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41360" yWindow="5140" windowWidth="26680" windowHeight="16400" tabRatio="711" activeTab="1"/>
  </bookViews>
  <sheets>
    <sheet name="summary" sheetId="5" r:id="rId1"/>
    <sheet name="RD c1 vs f" sheetId="1" r:id="rId2"/>
    <sheet name="RD c1 compare" sheetId="3" r:id="rId3"/>
    <sheet name="RD c2 vs f" sheetId="2" r:id="rId4"/>
    <sheet name="RD c2 compare" sheetId="4" r:id="rId5"/>
    <sheet name="VA c1 vs f satunsat" sheetId="6" r:id="rId6"/>
    <sheet name="VA c1 vs f time" sheetId="7" r:id="rId7"/>
    <sheet name="VA c1 compare" sheetId="9" r:id="rId8"/>
    <sheet name="VA c2 vs f satunsat" sheetId="10" r:id="rId9"/>
    <sheet name="VA c2 vs f time" sheetId="11" r:id="rId10"/>
    <sheet name="VA c2 compare" sheetId="12" r:id="rId11"/>
    <sheet name="artifacts" sheetId="13" r:id="rId1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5" l="1"/>
  <c r="H17" i="5"/>
  <c r="H18" i="5"/>
  <c r="H19" i="5"/>
  <c r="H20" i="5"/>
  <c r="H15" i="5"/>
  <c r="Q16" i="5"/>
  <c r="Q17" i="5"/>
  <c r="Q18" i="5"/>
  <c r="Q19" i="5"/>
  <c r="Q20" i="5"/>
  <c r="Q15" i="5"/>
  <c r="Q6" i="5"/>
  <c r="Q7" i="5"/>
  <c r="Q8" i="5"/>
  <c r="Q9" i="5"/>
  <c r="Q10" i="5"/>
  <c r="Q5" i="5"/>
  <c r="F517" i="11"/>
  <c r="E517" i="11"/>
  <c r="H8" i="5"/>
  <c r="F517" i="7"/>
  <c r="E517" i="7"/>
  <c r="F517" i="2"/>
  <c r="E517" i="2"/>
  <c r="F517" i="1"/>
  <c r="E517" i="1"/>
  <c r="H10" i="5"/>
  <c r="H9" i="5"/>
  <c r="H7" i="5"/>
  <c r="H6" i="5"/>
  <c r="H5" i="5"/>
  <c r="K516" i="12"/>
  <c r="J516" i="12"/>
  <c r="I516" i="12"/>
  <c r="H516" i="12"/>
  <c r="G516" i="12"/>
  <c r="C516" i="12"/>
  <c r="K515" i="12"/>
  <c r="J515" i="12"/>
  <c r="I515" i="12"/>
  <c r="H515" i="12"/>
  <c r="G515" i="12"/>
  <c r="C515" i="12"/>
  <c r="K514" i="12"/>
  <c r="J514" i="12"/>
  <c r="I514" i="12"/>
  <c r="H514" i="12"/>
  <c r="G514" i="12"/>
  <c r="C514" i="12"/>
  <c r="L513" i="12"/>
  <c r="K513" i="12"/>
  <c r="J513" i="12"/>
  <c r="I513" i="12"/>
  <c r="H513" i="12"/>
  <c r="G513" i="12"/>
  <c r="C513" i="12"/>
  <c r="L512" i="12"/>
  <c r="K512" i="12"/>
  <c r="J512" i="12"/>
  <c r="I512" i="12"/>
  <c r="H512" i="12"/>
  <c r="G512" i="12"/>
  <c r="C512" i="12"/>
  <c r="L511" i="12"/>
  <c r="K511" i="12"/>
  <c r="J511" i="12"/>
  <c r="I511" i="12"/>
  <c r="H511" i="12"/>
  <c r="G511" i="12"/>
  <c r="C511" i="12"/>
  <c r="L510" i="12"/>
  <c r="K510" i="12"/>
  <c r="J510" i="12"/>
  <c r="I510" i="12"/>
  <c r="H510" i="12"/>
  <c r="G510" i="12"/>
  <c r="C510" i="12"/>
  <c r="L509" i="12"/>
  <c r="K509" i="12"/>
  <c r="J509" i="12"/>
  <c r="I509" i="12"/>
  <c r="H509" i="12"/>
  <c r="G509" i="12"/>
  <c r="C509" i="12"/>
  <c r="L508" i="12"/>
  <c r="K508" i="12"/>
  <c r="J508" i="12"/>
  <c r="I508" i="12"/>
  <c r="H508" i="12"/>
  <c r="G508" i="12"/>
  <c r="C508" i="12"/>
  <c r="L507" i="12"/>
  <c r="K507" i="12"/>
  <c r="J507" i="12"/>
  <c r="I507" i="12"/>
  <c r="H507" i="12"/>
  <c r="G507" i="12"/>
  <c r="C507" i="12"/>
  <c r="L506" i="12"/>
  <c r="K506" i="12"/>
  <c r="J506" i="12"/>
  <c r="I506" i="12"/>
  <c r="H506" i="12"/>
  <c r="G506" i="12"/>
  <c r="C506" i="12"/>
  <c r="L505" i="12"/>
  <c r="K505" i="12"/>
  <c r="J505" i="12"/>
  <c r="I505" i="12"/>
  <c r="H505" i="12"/>
  <c r="G505" i="12"/>
  <c r="C505" i="12"/>
  <c r="L504" i="12"/>
  <c r="K504" i="12"/>
  <c r="J504" i="12"/>
  <c r="I504" i="12"/>
  <c r="H504" i="12"/>
  <c r="G504" i="12"/>
  <c r="C504" i="12"/>
  <c r="L503" i="12"/>
  <c r="K503" i="12"/>
  <c r="J503" i="12"/>
  <c r="I503" i="12"/>
  <c r="H503" i="12"/>
  <c r="G503" i="12"/>
  <c r="C503" i="12"/>
  <c r="L502" i="12"/>
  <c r="K502" i="12"/>
  <c r="J502" i="12"/>
  <c r="I502" i="12"/>
  <c r="H502" i="12"/>
  <c r="G502" i="12"/>
  <c r="C502" i="12"/>
  <c r="L501" i="12"/>
  <c r="K501" i="12"/>
  <c r="J501" i="12"/>
  <c r="I501" i="12"/>
  <c r="H501" i="12"/>
  <c r="G501" i="12"/>
  <c r="C501" i="12"/>
  <c r="L500" i="12"/>
  <c r="K500" i="12"/>
  <c r="J500" i="12"/>
  <c r="I500" i="12"/>
  <c r="H500" i="12"/>
  <c r="G500" i="12"/>
  <c r="C500" i="12"/>
  <c r="L499" i="12"/>
  <c r="K499" i="12"/>
  <c r="J499" i="12"/>
  <c r="I499" i="12"/>
  <c r="H499" i="12"/>
  <c r="G499" i="12"/>
  <c r="C499" i="12"/>
  <c r="L498" i="12"/>
  <c r="K498" i="12"/>
  <c r="J498" i="12"/>
  <c r="I498" i="12"/>
  <c r="H498" i="12"/>
  <c r="G498" i="12"/>
  <c r="C498" i="12"/>
  <c r="L497" i="12"/>
  <c r="K497" i="12"/>
  <c r="J497" i="12"/>
  <c r="I497" i="12"/>
  <c r="H497" i="12"/>
  <c r="G497" i="12"/>
  <c r="C497" i="12"/>
  <c r="L496" i="12"/>
  <c r="K496" i="12"/>
  <c r="J496" i="12"/>
  <c r="I496" i="12"/>
  <c r="H496" i="12"/>
  <c r="G496" i="12"/>
  <c r="C496" i="12"/>
  <c r="L495" i="12"/>
  <c r="K495" i="12"/>
  <c r="J495" i="12"/>
  <c r="I495" i="12"/>
  <c r="H495" i="12"/>
  <c r="G495" i="12"/>
  <c r="C495" i="12"/>
  <c r="L494" i="12"/>
  <c r="K494" i="12"/>
  <c r="J494" i="12"/>
  <c r="I494" i="12"/>
  <c r="H494" i="12"/>
  <c r="G494" i="12"/>
  <c r="C494" i="12"/>
  <c r="L493" i="12"/>
  <c r="K493" i="12"/>
  <c r="J493" i="12"/>
  <c r="I493" i="12"/>
  <c r="H493" i="12"/>
  <c r="G493" i="12"/>
  <c r="C493" i="12"/>
  <c r="L492" i="12"/>
  <c r="K492" i="12"/>
  <c r="J492" i="12"/>
  <c r="I492" i="12"/>
  <c r="H492" i="12"/>
  <c r="G492" i="12"/>
  <c r="C492" i="12"/>
  <c r="L491" i="12"/>
  <c r="K491" i="12"/>
  <c r="J491" i="12"/>
  <c r="I491" i="12"/>
  <c r="H491" i="12"/>
  <c r="G491" i="12"/>
  <c r="C491" i="12"/>
  <c r="L490" i="12"/>
  <c r="K490" i="12"/>
  <c r="J490" i="12"/>
  <c r="I490" i="12"/>
  <c r="H490" i="12"/>
  <c r="G490" i="12"/>
  <c r="C490" i="12"/>
  <c r="L489" i="12"/>
  <c r="K489" i="12"/>
  <c r="J489" i="12"/>
  <c r="I489" i="12"/>
  <c r="H489" i="12"/>
  <c r="G489" i="12"/>
  <c r="C489" i="12"/>
  <c r="L488" i="12"/>
  <c r="K488" i="12"/>
  <c r="J488" i="12"/>
  <c r="I488" i="12"/>
  <c r="H488" i="12"/>
  <c r="G488" i="12"/>
  <c r="C488" i="12"/>
  <c r="L487" i="12"/>
  <c r="K487" i="12"/>
  <c r="J487" i="12"/>
  <c r="I487" i="12"/>
  <c r="H487" i="12"/>
  <c r="G487" i="12"/>
  <c r="C487" i="12"/>
  <c r="L486" i="12"/>
  <c r="K486" i="12"/>
  <c r="J486" i="12"/>
  <c r="I486" i="12"/>
  <c r="H486" i="12"/>
  <c r="G486" i="12"/>
  <c r="C486" i="12"/>
  <c r="L485" i="12"/>
  <c r="K485" i="12"/>
  <c r="J485" i="12"/>
  <c r="I485" i="12"/>
  <c r="H485" i="12"/>
  <c r="G485" i="12"/>
  <c r="C485" i="12"/>
  <c r="L484" i="12"/>
  <c r="K484" i="12"/>
  <c r="J484" i="12"/>
  <c r="I484" i="12"/>
  <c r="H484" i="12"/>
  <c r="G484" i="12"/>
  <c r="C484" i="12"/>
  <c r="L483" i="12"/>
  <c r="K483" i="12"/>
  <c r="J483" i="12"/>
  <c r="I483" i="12"/>
  <c r="H483" i="12"/>
  <c r="G483" i="12"/>
  <c r="C483" i="12"/>
  <c r="L482" i="12"/>
  <c r="K482" i="12"/>
  <c r="J482" i="12"/>
  <c r="I482" i="12"/>
  <c r="H482" i="12"/>
  <c r="G482" i="12"/>
  <c r="C482" i="12"/>
  <c r="L481" i="12"/>
  <c r="K481" i="12"/>
  <c r="J481" i="12"/>
  <c r="I481" i="12"/>
  <c r="H481" i="12"/>
  <c r="G481" i="12"/>
  <c r="C481" i="12"/>
  <c r="L480" i="12"/>
  <c r="K480" i="12"/>
  <c r="J480" i="12"/>
  <c r="I480" i="12"/>
  <c r="H480" i="12"/>
  <c r="G480" i="12"/>
  <c r="C480" i="12"/>
  <c r="L479" i="12"/>
  <c r="K479" i="12"/>
  <c r="J479" i="12"/>
  <c r="I479" i="12"/>
  <c r="H479" i="12"/>
  <c r="G479" i="12"/>
  <c r="C479" i="12"/>
  <c r="L478" i="12"/>
  <c r="K478" i="12"/>
  <c r="J478" i="12"/>
  <c r="I478" i="12"/>
  <c r="H478" i="12"/>
  <c r="G478" i="12"/>
  <c r="C478" i="12"/>
  <c r="L477" i="12"/>
  <c r="K477" i="12"/>
  <c r="J477" i="12"/>
  <c r="I477" i="12"/>
  <c r="H477" i="12"/>
  <c r="G477" i="12"/>
  <c r="C477" i="12"/>
  <c r="L476" i="12"/>
  <c r="K476" i="12"/>
  <c r="J476" i="12"/>
  <c r="I476" i="12"/>
  <c r="H476" i="12"/>
  <c r="G476" i="12"/>
  <c r="C476" i="12"/>
  <c r="L475" i="12"/>
  <c r="K475" i="12"/>
  <c r="J475" i="12"/>
  <c r="I475" i="12"/>
  <c r="H475" i="12"/>
  <c r="G475" i="12"/>
  <c r="C475" i="12"/>
  <c r="L474" i="12"/>
  <c r="K474" i="12"/>
  <c r="J474" i="12"/>
  <c r="I474" i="12"/>
  <c r="H474" i="12"/>
  <c r="G474" i="12"/>
  <c r="C474" i="12"/>
  <c r="L473" i="12"/>
  <c r="K473" i="12"/>
  <c r="J473" i="12"/>
  <c r="I473" i="12"/>
  <c r="H473" i="12"/>
  <c r="G473" i="12"/>
  <c r="C473" i="12"/>
  <c r="L472" i="12"/>
  <c r="K472" i="12"/>
  <c r="J472" i="12"/>
  <c r="I472" i="12"/>
  <c r="H472" i="12"/>
  <c r="G472" i="12"/>
  <c r="C472" i="12"/>
  <c r="L471" i="12"/>
  <c r="K471" i="12"/>
  <c r="J471" i="12"/>
  <c r="I471" i="12"/>
  <c r="H471" i="12"/>
  <c r="G471" i="12"/>
  <c r="C471" i="12"/>
  <c r="L470" i="12"/>
  <c r="K470" i="12"/>
  <c r="J470" i="12"/>
  <c r="I470" i="12"/>
  <c r="H470" i="12"/>
  <c r="G470" i="12"/>
  <c r="C470" i="12"/>
  <c r="L469" i="12"/>
  <c r="K469" i="12"/>
  <c r="J469" i="12"/>
  <c r="I469" i="12"/>
  <c r="H469" i="12"/>
  <c r="G469" i="12"/>
  <c r="C469" i="12"/>
  <c r="L468" i="12"/>
  <c r="K468" i="12"/>
  <c r="J468" i="12"/>
  <c r="I468" i="12"/>
  <c r="H468" i="12"/>
  <c r="G468" i="12"/>
  <c r="C468" i="12"/>
  <c r="L467" i="12"/>
  <c r="K467" i="12"/>
  <c r="J467" i="12"/>
  <c r="I467" i="12"/>
  <c r="H467" i="12"/>
  <c r="G467" i="12"/>
  <c r="C467" i="12"/>
  <c r="L466" i="12"/>
  <c r="K466" i="12"/>
  <c r="J466" i="12"/>
  <c r="I466" i="12"/>
  <c r="H466" i="12"/>
  <c r="G466" i="12"/>
  <c r="C466" i="12"/>
  <c r="L465" i="12"/>
  <c r="K465" i="12"/>
  <c r="J465" i="12"/>
  <c r="I465" i="12"/>
  <c r="H465" i="12"/>
  <c r="G465" i="12"/>
  <c r="C465" i="12"/>
  <c r="L464" i="12"/>
  <c r="K464" i="12"/>
  <c r="J464" i="12"/>
  <c r="I464" i="12"/>
  <c r="H464" i="12"/>
  <c r="G464" i="12"/>
  <c r="C464" i="12"/>
  <c r="L463" i="12"/>
  <c r="K463" i="12"/>
  <c r="J463" i="12"/>
  <c r="I463" i="12"/>
  <c r="H463" i="12"/>
  <c r="G463" i="12"/>
  <c r="C463" i="12"/>
  <c r="L462" i="12"/>
  <c r="K462" i="12"/>
  <c r="J462" i="12"/>
  <c r="I462" i="12"/>
  <c r="H462" i="12"/>
  <c r="G462" i="12"/>
  <c r="C462" i="12"/>
  <c r="L461" i="12"/>
  <c r="K461" i="12"/>
  <c r="J461" i="12"/>
  <c r="I461" i="12"/>
  <c r="H461" i="12"/>
  <c r="G461" i="12"/>
  <c r="C461" i="12"/>
  <c r="L460" i="12"/>
  <c r="K460" i="12"/>
  <c r="J460" i="12"/>
  <c r="I460" i="12"/>
  <c r="H460" i="12"/>
  <c r="G460" i="12"/>
  <c r="C460" i="12"/>
  <c r="L459" i="12"/>
  <c r="K459" i="12"/>
  <c r="J459" i="12"/>
  <c r="I459" i="12"/>
  <c r="H459" i="12"/>
  <c r="G459" i="12"/>
  <c r="C459" i="12"/>
  <c r="L458" i="12"/>
  <c r="K458" i="12"/>
  <c r="J458" i="12"/>
  <c r="I458" i="12"/>
  <c r="H458" i="12"/>
  <c r="G458" i="12"/>
  <c r="C458" i="12"/>
  <c r="L457" i="12"/>
  <c r="K457" i="12"/>
  <c r="J457" i="12"/>
  <c r="I457" i="12"/>
  <c r="H457" i="12"/>
  <c r="G457" i="12"/>
  <c r="C457" i="12"/>
  <c r="L456" i="12"/>
  <c r="K456" i="12"/>
  <c r="J456" i="12"/>
  <c r="I456" i="12"/>
  <c r="H456" i="12"/>
  <c r="G456" i="12"/>
  <c r="C456" i="12"/>
  <c r="L455" i="12"/>
  <c r="K455" i="12"/>
  <c r="J455" i="12"/>
  <c r="I455" i="12"/>
  <c r="H455" i="12"/>
  <c r="G455" i="12"/>
  <c r="C455" i="12"/>
  <c r="L454" i="12"/>
  <c r="K454" i="12"/>
  <c r="J454" i="12"/>
  <c r="I454" i="12"/>
  <c r="H454" i="12"/>
  <c r="G454" i="12"/>
  <c r="C454" i="12"/>
  <c r="L453" i="12"/>
  <c r="K453" i="12"/>
  <c r="J453" i="12"/>
  <c r="I453" i="12"/>
  <c r="H453" i="12"/>
  <c r="G453" i="12"/>
  <c r="C453" i="12"/>
  <c r="L452" i="12"/>
  <c r="K452" i="12"/>
  <c r="J452" i="12"/>
  <c r="I452" i="12"/>
  <c r="H452" i="12"/>
  <c r="G452" i="12"/>
  <c r="C452" i="12"/>
  <c r="L451" i="12"/>
  <c r="K451" i="12"/>
  <c r="J451" i="12"/>
  <c r="I451" i="12"/>
  <c r="H451" i="12"/>
  <c r="G451" i="12"/>
  <c r="C451" i="12"/>
  <c r="L450" i="12"/>
  <c r="K450" i="12"/>
  <c r="J450" i="12"/>
  <c r="I450" i="12"/>
  <c r="H450" i="12"/>
  <c r="G450" i="12"/>
  <c r="C450" i="12"/>
  <c r="L449" i="12"/>
  <c r="K449" i="12"/>
  <c r="J449" i="12"/>
  <c r="I449" i="12"/>
  <c r="H449" i="12"/>
  <c r="G449" i="12"/>
  <c r="C449" i="12"/>
  <c r="L448" i="12"/>
  <c r="K448" i="12"/>
  <c r="J448" i="12"/>
  <c r="I448" i="12"/>
  <c r="H448" i="12"/>
  <c r="G448" i="12"/>
  <c r="C448" i="12"/>
  <c r="L447" i="12"/>
  <c r="K447" i="12"/>
  <c r="J447" i="12"/>
  <c r="I447" i="12"/>
  <c r="H447" i="12"/>
  <c r="G447" i="12"/>
  <c r="C447" i="12"/>
  <c r="L446" i="12"/>
  <c r="K446" i="12"/>
  <c r="J446" i="12"/>
  <c r="I446" i="12"/>
  <c r="H446" i="12"/>
  <c r="G446" i="12"/>
  <c r="C446" i="12"/>
  <c r="L445" i="12"/>
  <c r="K445" i="12"/>
  <c r="J445" i="12"/>
  <c r="I445" i="12"/>
  <c r="H445" i="12"/>
  <c r="G445" i="12"/>
  <c r="C445" i="12"/>
  <c r="L444" i="12"/>
  <c r="K444" i="12"/>
  <c r="J444" i="12"/>
  <c r="I444" i="12"/>
  <c r="H444" i="12"/>
  <c r="G444" i="12"/>
  <c r="C444" i="12"/>
  <c r="L443" i="12"/>
  <c r="K443" i="12"/>
  <c r="J443" i="12"/>
  <c r="I443" i="12"/>
  <c r="H443" i="12"/>
  <c r="G443" i="12"/>
  <c r="C443" i="12"/>
  <c r="L442" i="12"/>
  <c r="K442" i="12"/>
  <c r="J442" i="12"/>
  <c r="I442" i="12"/>
  <c r="H442" i="12"/>
  <c r="G442" i="12"/>
  <c r="C442" i="12"/>
  <c r="L441" i="12"/>
  <c r="K441" i="12"/>
  <c r="J441" i="12"/>
  <c r="I441" i="12"/>
  <c r="H441" i="12"/>
  <c r="G441" i="12"/>
  <c r="C441" i="12"/>
  <c r="L440" i="12"/>
  <c r="K440" i="12"/>
  <c r="J440" i="12"/>
  <c r="I440" i="12"/>
  <c r="H440" i="12"/>
  <c r="G440" i="12"/>
  <c r="C440" i="12"/>
  <c r="L439" i="12"/>
  <c r="K439" i="12"/>
  <c r="J439" i="12"/>
  <c r="I439" i="12"/>
  <c r="H439" i="12"/>
  <c r="G439" i="12"/>
  <c r="C439" i="12"/>
  <c r="L438" i="12"/>
  <c r="K438" i="12"/>
  <c r="J438" i="12"/>
  <c r="I438" i="12"/>
  <c r="H438" i="12"/>
  <c r="G438" i="12"/>
  <c r="C438" i="12"/>
  <c r="L437" i="12"/>
  <c r="K437" i="12"/>
  <c r="J437" i="12"/>
  <c r="I437" i="12"/>
  <c r="H437" i="12"/>
  <c r="G437" i="12"/>
  <c r="C437" i="12"/>
  <c r="L436" i="12"/>
  <c r="K436" i="12"/>
  <c r="J436" i="12"/>
  <c r="I436" i="12"/>
  <c r="H436" i="12"/>
  <c r="G436" i="12"/>
  <c r="C436" i="12"/>
  <c r="L435" i="12"/>
  <c r="K435" i="12"/>
  <c r="J435" i="12"/>
  <c r="I435" i="12"/>
  <c r="H435" i="12"/>
  <c r="G435" i="12"/>
  <c r="C435" i="12"/>
  <c r="L434" i="12"/>
  <c r="K434" i="12"/>
  <c r="J434" i="12"/>
  <c r="I434" i="12"/>
  <c r="H434" i="12"/>
  <c r="G434" i="12"/>
  <c r="C434" i="12"/>
  <c r="L433" i="12"/>
  <c r="K433" i="12"/>
  <c r="J433" i="12"/>
  <c r="I433" i="12"/>
  <c r="H433" i="12"/>
  <c r="G433" i="12"/>
  <c r="C433" i="12"/>
  <c r="L432" i="12"/>
  <c r="K432" i="12"/>
  <c r="J432" i="12"/>
  <c r="I432" i="12"/>
  <c r="H432" i="12"/>
  <c r="G432" i="12"/>
  <c r="C432" i="12"/>
  <c r="L431" i="12"/>
  <c r="K431" i="12"/>
  <c r="J431" i="12"/>
  <c r="I431" i="12"/>
  <c r="H431" i="12"/>
  <c r="G431" i="12"/>
  <c r="C431" i="12"/>
  <c r="L430" i="12"/>
  <c r="K430" i="12"/>
  <c r="J430" i="12"/>
  <c r="I430" i="12"/>
  <c r="H430" i="12"/>
  <c r="G430" i="12"/>
  <c r="C430" i="12"/>
  <c r="L429" i="12"/>
  <c r="K429" i="12"/>
  <c r="J429" i="12"/>
  <c r="I429" i="12"/>
  <c r="H429" i="12"/>
  <c r="G429" i="12"/>
  <c r="C429" i="12"/>
  <c r="L428" i="12"/>
  <c r="K428" i="12"/>
  <c r="J428" i="12"/>
  <c r="I428" i="12"/>
  <c r="H428" i="12"/>
  <c r="G428" i="12"/>
  <c r="C428" i="12"/>
  <c r="L427" i="12"/>
  <c r="K427" i="12"/>
  <c r="J427" i="12"/>
  <c r="I427" i="12"/>
  <c r="H427" i="12"/>
  <c r="G427" i="12"/>
  <c r="C427" i="12"/>
  <c r="L426" i="12"/>
  <c r="K426" i="12"/>
  <c r="J426" i="12"/>
  <c r="I426" i="12"/>
  <c r="H426" i="12"/>
  <c r="G426" i="12"/>
  <c r="C426" i="12"/>
  <c r="L425" i="12"/>
  <c r="K425" i="12"/>
  <c r="J425" i="12"/>
  <c r="I425" i="12"/>
  <c r="H425" i="12"/>
  <c r="G425" i="12"/>
  <c r="C425" i="12"/>
  <c r="L424" i="12"/>
  <c r="K424" i="12"/>
  <c r="J424" i="12"/>
  <c r="I424" i="12"/>
  <c r="H424" i="12"/>
  <c r="G424" i="12"/>
  <c r="C424" i="12"/>
  <c r="L423" i="12"/>
  <c r="K423" i="12"/>
  <c r="J423" i="12"/>
  <c r="I423" i="12"/>
  <c r="H423" i="12"/>
  <c r="G423" i="12"/>
  <c r="C423" i="12"/>
  <c r="L422" i="12"/>
  <c r="K422" i="12"/>
  <c r="J422" i="12"/>
  <c r="I422" i="12"/>
  <c r="H422" i="12"/>
  <c r="G422" i="12"/>
  <c r="C422" i="12"/>
  <c r="L421" i="12"/>
  <c r="K421" i="12"/>
  <c r="J421" i="12"/>
  <c r="I421" i="12"/>
  <c r="H421" i="12"/>
  <c r="G421" i="12"/>
  <c r="C421" i="12"/>
  <c r="L420" i="12"/>
  <c r="K420" i="12"/>
  <c r="J420" i="12"/>
  <c r="I420" i="12"/>
  <c r="H420" i="12"/>
  <c r="G420" i="12"/>
  <c r="C420" i="12"/>
  <c r="L419" i="12"/>
  <c r="K419" i="12"/>
  <c r="J419" i="12"/>
  <c r="I419" i="12"/>
  <c r="H419" i="12"/>
  <c r="G419" i="12"/>
  <c r="C419" i="12"/>
  <c r="L418" i="12"/>
  <c r="K418" i="12"/>
  <c r="J418" i="12"/>
  <c r="I418" i="12"/>
  <c r="H418" i="12"/>
  <c r="G418" i="12"/>
  <c r="C418" i="12"/>
  <c r="L417" i="12"/>
  <c r="K417" i="12"/>
  <c r="J417" i="12"/>
  <c r="I417" i="12"/>
  <c r="H417" i="12"/>
  <c r="G417" i="12"/>
  <c r="C417" i="12"/>
  <c r="L416" i="12"/>
  <c r="K416" i="12"/>
  <c r="J416" i="12"/>
  <c r="I416" i="12"/>
  <c r="H416" i="12"/>
  <c r="G416" i="12"/>
  <c r="C416" i="12"/>
  <c r="L415" i="12"/>
  <c r="K415" i="12"/>
  <c r="J415" i="12"/>
  <c r="I415" i="12"/>
  <c r="H415" i="12"/>
  <c r="G415" i="12"/>
  <c r="C415" i="12"/>
  <c r="L414" i="12"/>
  <c r="K414" i="12"/>
  <c r="J414" i="12"/>
  <c r="I414" i="12"/>
  <c r="H414" i="12"/>
  <c r="G414" i="12"/>
  <c r="C414" i="12"/>
  <c r="L413" i="12"/>
  <c r="K413" i="12"/>
  <c r="J413" i="12"/>
  <c r="I413" i="12"/>
  <c r="H413" i="12"/>
  <c r="G413" i="12"/>
  <c r="C413" i="12"/>
  <c r="L412" i="12"/>
  <c r="K412" i="12"/>
  <c r="J412" i="12"/>
  <c r="I412" i="12"/>
  <c r="H412" i="12"/>
  <c r="G412" i="12"/>
  <c r="C412" i="12"/>
  <c r="L411" i="12"/>
  <c r="K411" i="12"/>
  <c r="J411" i="12"/>
  <c r="I411" i="12"/>
  <c r="H411" i="12"/>
  <c r="G411" i="12"/>
  <c r="C411" i="12"/>
  <c r="L410" i="12"/>
  <c r="K410" i="12"/>
  <c r="J410" i="12"/>
  <c r="I410" i="12"/>
  <c r="H410" i="12"/>
  <c r="G410" i="12"/>
  <c r="C410" i="12"/>
  <c r="L409" i="12"/>
  <c r="K409" i="12"/>
  <c r="J409" i="12"/>
  <c r="I409" i="12"/>
  <c r="H409" i="12"/>
  <c r="G409" i="12"/>
  <c r="C409" i="12"/>
  <c r="L408" i="12"/>
  <c r="K408" i="12"/>
  <c r="J408" i="12"/>
  <c r="I408" i="12"/>
  <c r="H408" i="12"/>
  <c r="G408" i="12"/>
  <c r="C408" i="12"/>
  <c r="L407" i="12"/>
  <c r="K407" i="12"/>
  <c r="J407" i="12"/>
  <c r="I407" i="12"/>
  <c r="H407" i="12"/>
  <c r="G407" i="12"/>
  <c r="C407" i="12"/>
  <c r="L406" i="12"/>
  <c r="K406" i="12"/>
  <c r="J406" i="12"/>
  <c r="I406" i="12"/>
  <c r="H406" i="12"/>
  <c r="G406" i="12"/>
  <c r="C406" i="12"/>
  <c r="L405" i="12"/>
  <c r="K405" i="12"/>
  <c r="J405" i="12"/>
  <c r="I405" i="12"/>
  <c r="H405" i="12"/>
  <c r="G405" i="12"/>
  <c r="C405" i="12"/>
  <c r="L404" i="12"/>
  <c r="K404" i="12"/>
  <c r="J404" i="12"/>
  <c r="I404" i="12"/>
  <c r="H404" i="12"/>
  <c r="G404" i="12"/>
  <c r="C404" i="12"/>
  <c r="L403" i="12"/>
  <c r="K403" i="12"/>
  <c r="J403" i="12"/>
  <c r="I403" i="12"/>
  <c r="H403" i="12"/>
  <c r="G403" i="12"/>
  <c r="C403" i="12"/>
  <c r="L402" i="12"/>
  <c r="K402" i="12"/>
  <c r="J402" i="12"/>
  <c r="I402" i="12"/>
  <c r="H402" i="12"/>
  <c r="G402" i="12"/>
  <c r="C402" i="12"/>
  <c r="L401" i="12"/>
  <c r="K401" i="12"/>
  <c r="J401" i="12"/>
  <c r="I401" i="12"/>
  <c r="H401" i="12"/>
  <c r="G401" i="12"/>
  <c r="C401" i="12"/>
  <c r="L400" i="12"/>
  <c r="K400" i="12"/>
  <c r="J400" i="12"/>
  <c r="I400" i="12"/>
  <c r="H400" i="12"/>
  <c r="G400" i="12"/>
  <c r="C400" i="12"/>
  <c r="L399" i="12"/>
  <c r="K399" i="12"/>
  <c r="J399" i="12"/>
  <c r="I399" i="12"/>
  <c r="H399" i="12"/>
  <c r="G399" i="12"/>
  <c r="C399" i="12"/>
  <c r="L398" i="12"/>
  <c r="K398" i="12"/>
  <c r="J398" i="12"/>
  <c r="I398" i="12"/>
  <c r="H398" i="12"/>
  <c r="G398" i="12"/>
  <c r="C398" i="12"/>
  <c r="L397" i="12"/>
  <c r="K397" i="12"/>
  <c r="J397" i="12"/>
  <c r="I397" i="12"/>
  <c r="H397" i="12"/>
  <c r="G397" i="12"/>
  <c r="C397" i="12"/>
  <c r="L396" i="12"/>
  <c r="K396" i="12"/>
  <c r="J396" i="12"/>
  <c r="I396" i="12"/>
  <c r="H396" i="12"/>
  <c r="G396" i="12"/>
  <c r="C396" i="12"/>
  <c r="L395" i="12"/>
  <c r="K395" i="12"/>
  <c r="J395" i="12"/>
  <c r="I395" i="12"/>
  <c r="H395" i="12"/>
  <c r="G395" i="12"/>
  <c r="C395" i="12"/>
  <c r="L394" i="12"/>
  <c r="K394" i="12"/>
  <c r="J394" i="12"/>
  <c r="I394" i="12"/>
  <c r="H394" i="12"/>
  <c r="G394" i="12"/>
  <c r="C394" i="12"/>
  <c r="L393" i="12"/>
  <c r="K393" i="12"/>
  <c r="J393" i="12"/>
  <c r="I393" i="12"/>
  <c r="H393" i="12"/>
  <c r="G393" i="12"/>
  <c r="C393" i="12"/>
  <c r="L392" i="12"/>
  <c r="K392" i="12"/>
  <c r="J392" i="12"/>
  <c r="I392" i="12"/>
  <c r="H392" i="12"/>
  <c r="G392" i="12"/>
  <c r="C392" i="12"/>
  <c r="L391" i="12"/>
  <c r="K391" i="12"/>
  <c r="J391" i="12"/>
  <c r="I391" i="12"/>
  <c r="H391" i="12"/>
  <c r="G391" i="12"/>
  <c r="C391" i="12"/>
  <c r="L390" i="12"/>
  <c r="K390" i="12"/>
  <c r="J390" i="12"/>
  <c r="I390" i="12"/>
  <c r="H390" i="12"/>
  <c r="G390" i="12"/>
  <c r="C390" i="12"/>
  <c r="L389" i="12"/>
  <c r="K389" i="12"/>
  <c r="J389" i="12"/>
  <c r="I389" i="12"/>
  <c r="H389" i="12"/>
  <c r="G389" i="12"/>
  <c r="C389" i="12"/>
  <c r="L388" i="12"/>
  <c r="K388" i="12"/>
  <c r="J388" i="12"/>
  <c r="I388" i="12"/>
  <c r="H388" i="12"/>
  <c r="G388" i="12"/>
  <c r="C388" i="12"/>
  <c r="L387" i="12"/>
  <c r="K387" i="12"/>
  <c r="J387" i="12"/>
  <c r="I387" i="12"/>
  <c r="H387" i="12"/>
  <c r="G387" i="12"/>
  <c r="C387" i="12"/>
  <c r="L386" i="12"/>
  <c r="K386" i="12"/>
  <c r="J386" i="12"/>
  <c r="I386" i="12"/>
  <c r="H386" i="12"/>
  <c r="G386" i="12"/>
  <c r="C386" i="12"/>
  <c r="L385" i="12"/>
  <c r="K385" i="12"/>
  <c r="J385" i="12"/>
  <c r="I385" i="12"/>
  <c r="H385" i="12"/>
  <c r="G385" i="12"/>
  <c r="C385" i="12"/>
  <c r="L384" i="12"/>
  <c r="K384" i="12"/>
  <c r="J384" i="12"/>
  <c r="I384" i="12"/>
  <c r="H384" i="12"/>
  <c r="G384" i="12"/>
  <c r="C384" i="12"/>
  <c r="L383" i="12"/>
  <c r="K383" i="12"/>
  <c r="J383" i="12"/>
  <c r="I383" i="12"/>
  <c r="H383" i="12"/>
  <c r="G383" i="12"/>
  <c r="C383" i="12"/>
  <c r="L382" i="12"/>
  <c r="K382" i="12"/>
  <c r="J382" i="12"/>
  <c r="I382" i="12"/>
  <c r="H382" i="12"/>
  <c r="G382" i="12"/>
  <c r="C382" i="12"/>
  <c r="L381" i="12"/>
  <c r="K381" i="12"/>
  <c r="J381" i="12"/>
  <c r="I381" i="12"/>
  <c r="H381" i="12"/>
  <c r="G381" i="12"/>
  <c r="C381" i="12"/>
  <c r="L380" i="12"/>
  <c r="K380" i="12"/>
  <c r="J380" i="12"/>
  <c r="I380" i="12"/>
  <c r="H380" i="12"/>
  <c r="G380" i="12"/>
  <c r="C380" i="12"/>
  <c r="L379" i="12"/>
  <c r="K379" i="12"/>
  <c r="J379" i="12"/>
  <c r="I379" i="12"/>
  <c r="H379" i="12"/>
  <c r="G379" i="12"/>
  <c r="C379" i="12"/>
  <c r="L378" i="12"/>
  <c r="K378" i="12"/>
  <c r="J378" i="12"/>
  <c r="I378" i="12"/>
  <c r="H378" i="12"/>
  <c r="G378" i="12"/>
  <c r="C378" i="12"/>
  <c r="L377" i="12"/>
  <c r="K377" i="12"/>
  <c r="J377" i="12"/>
  <c r="I377" i="12"/>
  <c r="H377" i="12"/>
  <c r="G377" i="12"/>
  <c r="C377" i="12"/>
  <c r="L376" i="12"/>
  <c r="K376" i="12"/>
  <c r="J376" i="12"/>
  <c r="I376" i="12"/>
  <c r="H376" i="12"/>
  <c r="G376" i="12"/>
  <c r="C376" i="12"/>
  <c r="L375" i="12"/>
  <c r="K375" i="12"/>
  <c r="J375" i="12"/>
  <c r="I375" i="12"/>
  <c r="H375" i="12"/>
  <c r="G375" i="12"/>
  <c r="C375" i="12"/>
  <c r="L374" i="12"/>
  <c r="K374" i="12"/>
  <c r="J374" i="12"/>
  <c r="I374" i="12"/>
  <c r="H374" i="12"/>
  <c r="G374" i="12"/>
  <c r="C374" i="12"/>
  <c r="L373" i="12"/>
  <c r="K373" i="12"/>
  <c r="J373" i="12"/>
  <c r="I373" i="12"/>
  <c r="H373" i="12"/>
  <c r="G373" i="12"/>
  <c r="C373" i="12"/>
  <c r="L372" i="12"/>
  <c r="K372" i="12"/>
  <c r="J372" i="12"/>
  <c r="I372" i="12"/>
  <c r="H372" i="12"/>
  <c r="G372" i="12"/>
  <c r="C372" i="12"/>
  <c r="L371" i="12"/>
  <c r="K371" i="12"/>
  <c r="J371" i="12"/>
  <c r="I371" i="12"/>
  <c r="H371" i="12"/>
  <c r="G371" i="12"/>
  <c r="C371" i="12"/>
  <c r="L370" i="12"/>
  <c r="K370" i="12"/>
  <c r="J370" i="12"/>
  <c r="I370" i="12"/>
  <c r="H370" i="12"/>
  <c r="G370" i="12"/>
  <c r="C370" i="12"/>
  <c r="L369" i="12"/>
  <c r="K369" i="12"/>
  <c r="J369" i="12"/>
  <c r="I369" i="12"/>
  <c r="H369" i="12"/>
  <c r="G369" i="12"/>
  <c r="C369" i="12"/>
  <c r="L368" i="12"/>
  <c r="K368" i="12"/>
  <c r="J368" i="12"/>
  <c r="I368" i="12"/>
  <c r="H368" i="12"/>
  <c r="G368" i="12"/>
  <c r="C368" i="12"/>
  <c r="L367" i="12"/>
  <c r="K367" i="12"/>
  <c r="J367" i="12"/>
  <c r="I367" i="12"/>
  <c r="H367" i="12"/>
  <c r="G367" i="12"/>
  <c r="C367" i="12"/>
  <c r="L366" i="12"/>
  <c r="K366" i="12"/>
  <c r="J366" i="12"/>
  <c r="I366" i="12"/>
  <c r="H366" i="12"/>
  <c r="G366" i="12"/>
  <c r="C366" i="12"/>
  <c r="L365" i="12"/>
  <c r="K365" i="12"/>
  <c r="J365" i="12"/>
  <c r="I365" i="12"/>
  <c r="H365" i="12"/>
  <c r="G365" i="12"/>
  <c r="C365" i="12"/>
  <c r="L364" i="12"/>
  <c r="K364" i="12"/>
  <c r="J364" i="12"/>
  <c r="I364" i="12"/>
  <c r="H364" i="12"/>
  <c r="G364" i="12"/>
  <c r="C364" i="12"/>
  <c r="L363" i="12"/>
  <c r="K363" i="12"/>
  <c r="J363" i="12"/>
  <c r="I363" i="12"/>
  <c r="H363" i="12"/>
  <c r="G363" i="12"/>
  <c r="C363" i="12"/>
  <c r="L362" i="12"/>
  <c r="K362" i="12"/>
  <c r="J362" i="12"/>
  <c r="I362" i="12"/>
  <c r="H362" i="12"/>
  <c r="G362" i="12"/>
  <c r="C362" i="12"/>
  <c r="L361" i="12"/>
  <c r="K361" i="12"/>
  <c r="J361" i="12"/>
  <c r="I361" i="12"/>
  <c r="H361" i="12"/>
  <c r="G361" i="12"/>
  <c r="C361" i="12"/>
  <c r="L360" i="12"/>
  <c r="K360" i="12"/>
  <c r="J360" i="12"/>
  <c r="I360" i="12"/>
  <c r="H360" i="12"/>
  <c r="G360" i="12"/>
  <c r="C360" i="12"/>
  <c r="L359" i="12"/>
  <c r="K359" i="12"/>
  <c r="J359" i="12"/>
  <c r="I359" i="12"/>
  <c r="H359" i="12"/>
  <c r="G359" i="12"/>
  <c r="C359" i="12"/>
  <c r="L358" i="12"/>
  <c r="K358" i="12"/>
  <c r="J358" i="12"/>
  <c r="I358" i="12"/>
  <c r="H358" i="12"/>
  <c r="G358" i="12"/>
  <c r="C358" i="12"/>
  <c r="L357" i="12"/>
  <c r="K357" i="12"/>
  <c r="J357" i="12"/>
  <c r="I357" i="12"/>
  <c r="H357" i="12"/>
  <c r="G357" i="12"/>
  <c r="C357" i="12"/>
  <c r="L356" i="12"/>
  <c r="K356" i="12"/>
  <c r="J356" i="12"/>
  <c r="I356" i="12"/>
  <c r="H356" i="12"/>
  <c r="G356" i="12"/>
  <c r="C356" i="12"/>
  <c r="L355" i="12"/>
  <c r="K355" i="12"/>
  <c r="J355" i="12"/>
  <c r="I355" i="12"/>
  <c r="H355" i="12"/>
  <c r="G355" i="12"/>
  <c r="C355" i="12"/>
  <c r="L354" i="12"/>
  <c r="K354" i="12"/>
  <c r="J354" i="12"/>
  <c r="I354" i="12"/>
  <c r="H354" i="12"/>
  <c r="G354" i="12"/>
  <c r="C354" i="12"/>
  <c r="L353" i="12"/>
  <c r="K353" i="12"/>
  <c r="J353" i="12"/>
  <c r="I353" i="12"/>
  <c r="H353" i="12"/>
  <c r="G353" i="12"/>
  <c r="C353" i="12"/>
  <c r="L352" i="12"/>
  <c r="K352" i="12"/>
  <c r="J352" i="12"/>
  <c r="I352" i="12"/>
  <c r="H352" i="12"/>
  <c r="G352" i="12"/>
  <c r="C352" i="12"/>
  <c r="L351" i="12"/>
  <c r="K351" i="12"/>
  <c r="J351" i="12"/>
  <c r="I351" i="12"/>
  <c r="H351" i="12"/>
  <c r="G351" i="12"/>
  <c r="C351" i="12"/>
  <c r="L350" i="12"/>
  <c r="K350" i="12"/>
  <c r="J350" i="12"/>
  <c r="I350" i="12"/>
  <c r="H350" i="12"/>
  <c r="G350" i="12"/>
  <c r="C350" i="12"/>
  <c r="L349" i="12"/>
  <c r="K349" i="12"/>
  <c r="J349" i="12"/>
  <c r="I349" i="12"/>
  <c r="H349" i="12"/>
  <c r="G349" i="12"/>
  <c r="C349" i="12"/>
  <c r="L348" i="12"/>
  <c r="K348" i="12"/>
  <c r="J348" i="12"/>
  <c r="I348" i="12"/>
  <c r="H348" i="12"/>
  <c r="G348" i="12"/>
  <c r="C348" i="12"/>
  <c r="L347" i="12"/>
  <c r="K347" i="12"/>
  <c r="J347" i="12"/>
  <c r="I347" i="12"/>
  <c r="H347" i="12"/>
  <c r="G347" i="12"/>
  <c r="C347" i="12"/>
  <c r="L346" i="12"/>
  <c r="K346" i="12"/>
  <c r="J346" i="12"/>
  <c r="I346" i="12"/>
  <c r="H346" i="12"/>
  <c r="G346" i="12"/>
  <c r="C346" i="12"/>
  <c r="L345" i="12"/>
  <c r="K345" i="12"/>
  <c r="J345" i="12"/>
  <c r="I345" i="12"/>
  <c r="H345" i="12"/>
  <c r="G345" i="12"/>
  <c r="C345" i="12"/>
  <c r="L344" i="12"/>
  <c r="K344" i="12"/>
  <c r="J344" i="12"/>
  <c r="I344" i="12"/>
  <c r="H344" i="12"/>
  <c r="G344" i="12"/>
  <c r="C344" i="12"/>
  <c r="L343" i="12"/>
  <c r="K343" i="12"/>
  <c r="J343" i="12"/>
  <c r="I343" i="12"/>
  <c r="H343" i="12"/>
  <c r="G343" i="12"/>
  <c r="C343" i="12"/>
  <c r="L342" i="12"/>
  <c r="K342" i="12"/>
  <c r="J342" i="12"/>
  <c r="I342" i="12"/>
  <c r="H342" i="12"/>
  <c r="G342" i="12"/>
  <c r="C342" i="12"/>
  <c r="L341" i="12"/>
  <c r="K341" i="12"/>
  <c r="J341" i="12"/>
  <c r="I341" i="12"/>
  <c r="H341" i="12"/>
  <c r="G341" i="12"/>
  <c r="C341" i="12"/>
  <c r="L340" i="12"/>
  <c r="K340" i="12"/>
  <c r="J340" i="12"/>
  <c r="I340" i="12"/>
  <c r="H340" i="12"/>
  <c r="G340" i="12"/>
  <c r="C340" i="12"/>
  <c r="L339" i="12"/>
  <c r="K339" i="12"/>
  <c r="J339" i="12"/>
  <c r="I339" i="12"/>
  <c r="H339" i="12"/>
  <c r="G339" i="12"/>
  <c r="C339" i="12"/>
  <c r="L338" i="12"/>
  <c r="K338" i="12"/>
  <c r="J338" i="12"/>
  <c r="I338" i="12"/>
  <c r="H338" i="12"/>
  <c r="G338" i="12"/>
  <c r="C338" i="12"/>
  <c r="L337" i="12"/>
  <c r="K337" i="12"/>
  <c r="J337" i="12"/>
  <c r="I337" i="12"/>
  <c r="H337" i="12"/>
  <c r="G337" i="12"/>
  <c r="C337" i="12"/>
  <c r="L336" i="12"/>
  <c r="K336" i="12"/>
  <c r="J336" i="12"/>
  <c r="I336" i="12"/>
  <c r="H336" i="12"/>
  <c r="G336" i="12"/>
  <c r="C336" i="12"/>
  <c r="L335" i="12"/>
  <c r="K335" i="12"/>
  <c r="J335" i="12"/>
  <c r="I335" i="12"/>
  <c r="H335" i="12"/>
  <c r="G335" i="12"/>
  <c r="C335" i="12"/>
  <c r="L334" i="12"/>
  <c r="K334" i="12"/>
  <c r="J334" i="12"/>
  <c r="I334" i="12"/>
  <c r="H334" i="12"/>
  <c r="G334" i="12"/>
  <c r="C334" i="12"/>
  <c r="L333" i="12"/>
  <c r="K333" i="12"/>
  <c r="J333" i="12"/>
  <c r="I333" i="12"/>
  <c r="H333" i="12"/>
  <c r="G333" i="12"/>
  <c r="C333" i="12"/>
  <c r="L332" i="12"/>
  <c r="K332" i="12"/>
  <c r="J332" i="12"/>
  <c r="I332" i="12"/>
  <c r="H332" i="12"/>
  <c r="G332" i="12"/>
  <c r="C332" i="12"/>
  <c r="L331" i="12"/>
  <c r="K331" i="12"/>
  <c r="J331" i="12"/>
  <c r="I331" i="12"/>
  <c r="H331" i="12"/>
  <c r="G331" i="12"/>
  <c r="C331" i="12"/>
  <c r="L330" i="12"/>
  <c r="K330" i="12"/>
  <c r="J330" i="12"/>
  <c r="I330" i="12"/>
  <c r="H330" i="12"/>
  <c r="G330" i="12"/>
  <c r="C330" i="12"/>
  <c r="L329" i="12"/>
  <c r="K329" i="12"/>
  <c r="J329" i="12"/>
  <c r="I329" i="12"/>
  <c r="H329" i="12"/>
  <c r="G329" i="12"/>
  <c r="C329" i="12"/>
  <c r="L328" i="12"/>
  <c r="K328" i="12"/>
  <c r="J328" i="12"/>
  <c r="I328" i="12"/>
  <c r="H328" i="12"/>
  <c r="G328" i="12"/>
  <c r="C328" i="12"/>
  <c r="L327" i="12"/>
  <c r="K327" i="12"/>
  <c r="J327" i="12"/>
  <c r="I327" i="12"/>
  <c r="H327" i="12"/>
  <c r="G327" i="12"/>
  <c r="C327" i="12"/>
  <c r="L326" i="12"/>
  <c r="K326" i="12"/>
  <c r="J326" i="12"/>
  <c r="I326" i="12"/>
  <c r="H326" i="12"/>
  <c r="G326" i="12"/>
  <c r="C326" i="12"/>
  <c r="L325" i="12"/>
  <c r="K325" i="12"/>
  <c r="J325" i="12"/>
  <c r="I325" i="12"/>
  <c r="H325" i="12"/>
  <c r="G325" i="12"/>
  <c r="C325" i="12"/>
  <c r="L324" i="12"/>
  <c r="K324" i="12"/>
  <c r="J324" i="12"/>
  <c r="I324" i="12"/>
  <c r="H324" i="12"/>
  <c r="G324" i="12"/>
  <c r="C324" i="12"/>
  <c r="L323" i="12"/>
  <c r="K323" i="12"/>
  <c r="J323" i="12"/>
  <c r="I323" i="12"/>
  <c r="H323" i="12"/>
  <c r="G323" i="12"/>
  <c r="C323" i="12"/>
  <c r="L322" i="12"/>
  <c r="K322" i="12"/>
  <c r="J322" i="12"/>
  <c r="I322" i="12"/>
  <c r="H322" i="12"/>
  <c r="G322" i="12"/>
  <c r="C322" i="12"/>
  <c r="L321" i="12"/>
  <c r="K321" i="12"/>
  <c r="J321" i="12"/>
  <c r="I321" i="12"/>
  <c r="H321" i="12"/>
  <c r="G321" i="12"/>
  <c r="C321" i="12"/>
  <c r="L320" i="12"/>
  <c r="K320" i="12"/>
  <c r="J320" i="12"/>
  <c r="I320" i="12"/>
  <c r="H320" i="12"/>
  <c r="G320" i="12"/>
  <c r="C320" i="12"/>
  <c r="L319" i="12"/>
  <c r="K319" i="12"/>
  <c r="J319" i="12"/>
  <c r="I319" i="12"/>
  <c r="H319" i="12"/>
  <c r="G319" i="12"/>
  <c r="C319" i="12"/>
  <c r="L318" i="12"/>
  <c r="K318" i="12"/>
  <c r="J318" i="12"/>
  <c r="I318" i="12"/>
  <c r="H318" i="12"/>
  <c r="G318" i="12"/>
  <c r="C318" i="12"/>
  <c r="L317" i="12"/>
  <c r="K317" i="12"/>
  <c r="J317" i="12"/>
  <c r="I317" i="12"/>
  <c r="H317" i="12"/>
  <c r="G317" i="12"/>
  <c r="C317" i="12"/>
  <c r="L316" i="12"/>
  <c r="K316" i="12"/>
  <c r="J316" i="12"/>
  <c r="I316" i="12"/>
  <c r="H316" i="12"/>
  <c r="G316" i="12"/>
  <c r="C316" i="12"/>
  <c r="L315" i="12"/>
  <c r="K315" i="12"/>
  <c r="J315" i="12"/>
  <c r="I315" i="12"/>
  <c r="H315" i="12"/>
  <c r="G315" i="12"/>
  <c r="C315" i="12"/>
  <c r="L314" i="12"/>
  <c r="K314" i="12"/>
  <c r="J314" i="12"/>
  <c r="I314" i="12"/>
  <c r="H314" i="12"/>
  <c r="G314" i="12"/>
  <c r="C314" i="12"/>
  <c r="L313" i="12"/>
  <c r="K313" i="12"/>
  <c r="J313" i="12"/>
  <c r="I313" i="12"/>
  <c r="H313" i="12"/>
  <c r="G313" i="12"/>
  <c r="C313" i="12"/>
  <c r="L312" i="12"/>
  <c r="K312" i="12"/>
  <c r="J312" i="12"/>
  <c r="I312" i="12"/>
  <c r="H312" i="12"/>
  <c r="G312" i="12"/>
  <c r="C312" i="12"/>
  <c r="L311" i="12"/>
  <c r="K311" i="12"/>
  <c r="J311" i="12"/>
  <c r="I311" i="12"/>
  <c r="H311" i="12"/>
  <c r="G311" i="12"/>
  <c r="C311" i="12"/>
  <c r="L310" i="12"/>
  <c r="K310" i="12"/>
  <c r="J310" i="12"/>
  <c r="I310" i="12"/>
  <c r="H310" i="12"/>
  <c r="G310" i="12"/>
  <c r="C310" i="12"/>
  <c r="L309" i="12"/>
  <c r="K309" i="12"/>
  <c r="J309" i="12"/>
  <c r="I309" i="12"/>
  <c r="H309" i="12"/>
  <c r="G309" i="12"/>
  <c r="C309" i="12"/>
  <c r="L308" i="12"/>
  <c r="K308" i="12"/>
  <c r="J308" i="12"/>
  <c r="I308" i="12"/>
  <c r="H308" i="12"/>
  <c r="G308" i="12"/>
  <c r="C308" i="12"/>
  <c r="L307" i="12"/>
  <c r="K307" i="12"/>
  <c r="J307" i="12"/>
  <c r="I307" i="12"/>
  <c r="H307" i="12"/>
  <c r="G307" i="12"/>
  <c r="C307" i="12"/>
  <c r="L306" i="12"/>
  <c r="K306" i="12"/>
  <c r="J306" i="12"/>
  <c r="I306" i="12"/>
  <c r="H306" i="12"/>
  <c r="G306" i="12"/>
  <c r="C306" i="12"/>
  <c r="L305" i="12"/>
  <c r="K305" i="12"/>
  <c r="J305" i="12"/>
  <c r="I305" i="12"/>
  <c r="H305" i="12"/>
  <c r="G305" i="12"/>
  <c r="C305" i="12"/>
  <c r="L304" i="12"/>
  <c r="K304" i="12"/>
  <c r="J304" i="12"/>
  <c r="I304" i="12"/>
  <c r="H304" i="12"/>
  <c r="G304" i="12"/>
  <c r="C304" i="12"/>
  <c r="L303" i="12"/>
  <c r="K303" i="12"/>
  <c r="J303" i="12"/>
  <c r="I303" i="12"/>
  <c r="H303" i="12"/>
  <c r="G303" i="12"/>
  <c r="C303" i="12"/>
  <c r="L302" i="12"/>
  <c r="K302" i="12"/>
  <c r="J302" i="12"/>
  <c r="I302" i="12"/>
  <c r="H302" i="12"/>
  <c r="G302" i="12"/>
  <c r="C302" i="12"/>
  <c r="L301" i="12"/>
  <c r="K301" i="12"/>
  <c r="J301" i="12"/>
  <c r="I301" i="12"/>
  <c r="H301" i="12"/>
  <c r="G301" i="12"/>
  <c r="C301" i="12"/>
  <c r="L300" i="12"/>
  <c r="K300" i="12"/>
  <c r="J300" i="12"/>
  <c r="I300" i="12"/>
  <c r="H300" i="12"/>
  <c r="G300" i="12"/>
  <c r="C300" i="12"/>
  <c r="L299" i="12"/>
  <c r="K299" i="12"/>
  <c r="J299" i="12"/>
  <c r="I299" i="12"/>
  <c r="H299" i="12"/>
  <c r="G299" i="12"/>
  <c r="C299" i="12"/>
  <c r="L298" i="12"/>
  <c r="K298" i="12"/>
  <c r="J298" i="12"/>
  <c r="I298" i="12"/>
  <c r="H298" i="12"/>
  <c r="G298" i="12"/>
  <c r="C298" i="12"/>
  <c r="L297" i="12"/>
  <c r="K297" i="12"/>
  <c r="J297" i="12"/>
  <c r="I297" i="12"/>
  <c r="H297" i="12"/>
  <c r="G297" i="12"/>
  <c r="C297" i="12"/>
  <c r="L296" i="12"/>
  <c r="K296" i="12"/>
  <c r="J296" i="12"/>
  <c r="I296" i="12"/>
  <c r="H296" i="12"/>
  <c r="G296" i="12"/>
  <c r="C296" i="12"/>
  <c r="L295" i="12"/>
  <c r="K295" i="12"/>
  <c r="J295" i="12"/>
  <c r="I295" i="12"/>
  <c r="H295" i="12"/>
  <c r="G295" i="12"/>
  <c r="C295" i="12"/>
  <c r="L294" i="12"/>
  <c r="K294" i="12"/>
  <c r="J294" i="12"/>
  <c r="I294" i="12"/>
  <c r="H294" i="12"/>
  <c r="G294" i="12"/>
  <c r="C294" i="12"/>
  <c r="L293" i="12"/>
  <c r="K293" i="12"/>
  <c r="J293" i="12"/>
  <c r="I293" i="12"/>
  <c r="H293" i="12"/>
  <c r="G293" i="12"/>
  <c r="C293" i="12"/>
  <c r="L292" i="12"/>
  <c r="K292" i="12"/>
  <c r="J292" i="12"/>
  <c r="I292" i="12"/>
  <c r="H292" i="12"/>
  <c r="G292" i="12"/>
  <c r="C292" i="12"/>
  <c r="L291" i="12"/>
  <c r="K291" i="12"/>
  <c r="J291" i="12"/>
  <c r="I291" i="12"/>
  <c r="H291" i="12"/>
  <c r="G291" i="12"/>
  <c r="C291" i="12"/>
  <c r="L290" i="12"/>
  <c r="K290" i="12"/>
  <c r="J290" i="12"/>
  <c r="I290" i="12"/>
  <c r="H290" i="12"/>
  <c r="G290" i="12"/>
  <c r="C290" i="12"/>
  <c r="L289" i="12"/>
  <c r="K289" i="12"/>
  <c r="J289" i="12"/>
  <c r="I289" i="12"/>
  <c r="H289" i="12"/>
  <c r="G289" i="12"/>
  <c r="C289" i="12"/>
  <c r="L288" i="12"/>
  <c r="K288" i="12"/>
  <c r="J288" i="12"/>
  <c r="I288" i="12"/>
  <c r="H288" i="12"/>
  <c r="G288" i="12"/>
  <c r="C288" i="12"/>
  <c r="L287" i="12"/>
  <c r="K287" i="12"/>
  <c r="J287" i="12"/>
  <c r="I287" i="12"/>
  <c r="H287" i="12"/>
  <c r="G287" i="12"/>
  <c r="C287" i="12"/>
  <c r="L286" i="12"/>
  <c r="K286" i="12"/>
  <c r="J286" i="12"/>
  <c r="I286" i="12"/>
  <c r="H286" i="12"/>
  <c r="G286" i="12"/>
  <c r="C286" i="12"/>
  <c r="L285" i="12"/>
  <c r="K285" i="12"/>
  <c r="J285" i="12"/>
  <c r="I285" i="12"/>
  <c r="H285" i="12"/>
  <c r="G285" i="12"/>
  <c r="C285" i="12"/>
  <c r="L284" i="12"/>
  <c r="K284" i="12"/>
  <c r="J284" i="12"/>
  <c r="I284" i="12"/>
  <c r="H284" i="12"/>
  <c r="G284" i="12"/>
  <c r="C284" i="12"/>
  <c r="L283" i="12"/>
  <c r="K283" i="12"/>
  <c r="J283" i="12"/>
  <c r="I283" i="12"/>
  <c r="H283" i="12"/>
  <c r="G283" i="12"/>
  <c r="C283" i="12"/>
  <c r="L282" i="12"/>
  <c r="K282" i="12"/>
  <c r="J282" i="12"/>
  <c r="I282" i="12"/>
  <c r="H282" i="12"/>
  <c r="G282" i="12"/>
  <c r="C282" i="12"/>
  <c r="L281" i="12"/>
  <c r="K281" i="12"/>
  <c r="J281" i="12"/>
  <c r="I281" i="12"/>
  <c r="H281" i="12"/>
  <c r="G281" i="12"/>
  <c r="C281" i="12"/>
  <c r="L280" i="12"/>
  <c r="K280" i="12"/>
  <c r="J280" i="12"/>
  <c r="I280" i="12"/>
  <c r="H280" i="12"/>
  <c r="G280" i="12"/>
  <c r="C280" i="12"/>
  <c r="L279" i="12"/>
  <c r="K279" i="12"/>
  <c r="J279" i="12"/>
  <c r="I279" i="12"/>
  <c r="H279" i="12"/>
  <c r="G279" i="12"/>
  <c r="C279" i="12"/>
  <c r="L278" i="12"/>
  <c r="K278" i="12"/>
  <c r="J278" i="12"/>
  <c r="I278" i="12"/>
  <c r="H278" i="12"/>
  <c r="G278" i="12"/>
  <c r="C278" i="12"/>
  <c r="L277" i="12"/>
  <c r="K277" i="12"/>
  <c r="J277" i="12"/>
  <c r="I277" i="12"/>
  <c r="H277" i="12"/>
  <c r="G277" i="12"/>
  <c r="C277" i="12"/>
  <c r="L276" i="12"/>
  <c r="K276" i="12"/>
  <c r="J276" i="12"/>
  <c r="I276" i="12"/>
  <c r="H276" i="12"/>
  <c r="G276" i="12"/>
  <c r="C276" i="12"/>
  <c r="L275" i="12"/>
  <c r="K275" i="12"/>
  <c r="J275" i="12"/>
  <c r="I275" i="12"/>
  <c r="H275" i="12"/>
  <c r="G275" i="12"/>
  <c r="C275" i="12"/>
  <c r="L274" i="12"/>
  <c r="K274" i="12"/>
  <c r="J274" i="12"/>
  <c r="I274" i="12"/>
  <c r="H274" i="12"/>
  <c r="G274" i="12"/>
  <c r="C274" i="12"/>
  <c r="L273" i="12"/>
  <c r="K273" i="12"/>
  <c r="J273" i="12"/>
  <c r="I273" i="12"/>
  <c r="H273" i="12"/>
  <c r="G273" i="12"/>
  <c r="C273" i="12"/>
  <c r="L272" i="12"/>
  <c r="K272" i="12"/>
  <c r="J272" i="12"/>
  <c r="I272" i="12"/>
  <c r="H272" i="12"/>
  <c r="G272" i="12"/>
  <c r="C272" i="12"/>
  <c r="L271" i="12"/>
  <c r="K271" i="12"/>
  <c r="J271" i="12"/>
  <c r="I271" i="12"/>
  <c r="H271" i="12"/>
  <c r="G271" i="12"/>
  <c r="C271" i="12"/>
  <c r="L270" i="12"/>
  <c r="K270" i="12"/>
  <c r="J270" i="12"/>
  <c r="I270" i="12"/>
  <c r="H270" i="12"/>
  <c r="G270" i="12"/>
  <c r="C270" i="12"/>
  <c r="L269" i="12"/>
  <c r="K269" i="12"/>
  <c r="J269" i="12"/>
  <c r="I269" i="12"/>
  <c r="H269" i="12"/>
  <c r="G269" i="12"/>
  <c r="C269" i="12"/>
  <c r="L268" i="12"/>
  <c r="K268" i="12"/>
  <c r="J268" i="12"/>
  <c r="I268" i="12"/>
  <c r="H268" i="12"/>
  <c r="G268" i="12"/>
  <c r="C268" i="12"/>
  <c r="L267" i="12"/>
  <c r="K267" i="12"/>
  <c r="J267" i="12"/>
  <c r="I267" i="12"/>
  <c r="H267" i="12"/>
  <c r="G267" i="12"/>
  <c r="C267" i="12"/>
  <c r="L266" i="12"/>
  <c r="K266" i="12"/>
  <c r="J266" i="12"/>
  <c r="I266" i="12"/>
  <c r="H266" i="12"/>
  <c r="G266" i="12"/>
  <c r="C266" i="12"/>
  <c r="L265" i="12"/>
  <c r="K265" i="12"/>
  <c r="J265" i="12"/>
  <c r="I265" i="12"/>
  <c r="H265" i="12"/>
  <c r="G265" i="12"/>
  <c r="C265" i="12"/>
  <c r="L264" i="12"/>
  <c r="K264" i="12"/>
  <c r="J264" i="12"/>
  <c r="I264" i="12"/>
  <c r="H264" i="12"/>
  <c r="G264" i="12"/>
  <c r="C264" i="12"/>
  <c r="L263" i="12"/>
  <c r="K263" i="12"/>
  <c r="J263" i="12"/>
  <c r="I263" i="12"/>
  <c r="H263" i="12"/>
  <c r="G263" i="12"/>
  <c r="C263" i="12"/>
  <c r="L262" i="12"/>
  <c r="K262" i="12"/>
  <c r="J262" i="12"/>
  <c r="I262" i="12"/>
  <c r="H262" i="12"/>
  <c r="G262" i="12"/>
  <c r="C262" i="12"/>
  <c r="L261" i="12"/>
  <c r="K261" i="12"/>
  <c r="J261" i="12"/>
  <c r="I261" i="12"/>
  <c r="H261" i="12"/>
  <c r="G261" i="12"/>
  <c r="C261" i="12"/>
  <c r="L260" i="12"/>
  <c r="K260" i="12"/>
  <c r="J260" i="12"/>
  <c r="I260" i="12"/>
  <c r="H260" i="12"/>
  <c r="G260" i="12"/>
  <c r="C260" i="12"/>
  <c r="L259" i="12"/>
  <c r="K259" i="12"/>
  <c r="J259" i="12"/>
  <c r="I259" i="12"/>
  <c r="H259" i="12"/>
  <c r="G259" i="12"/>
  <c r="C259" i="12"/>
  <c r="L258" i="12"/>
  <c r="K258" i="12"/>
  <c r="J258" i="12"/>
  <c r="I258" i="12"/>
  <c r="H258" i="12"/>
  <c r="G258" i="12"/>
  <c r="C258" i="12"/>
  <c r="L257" i="12"/>
  <c r="K257" i="12"/>
  <c r="J257" i="12"/>
  <c r="I257" i="12"/>
  <c r="H257" i="12"/>
  <c r="G257" i="12"/>
  <c r="C257" i="12"/>
  <c r="L256" i="12"/>
  <c r="K256" i="12"/>
  <c r="J256" i="12"/>
  <c r="I256" i="12"/>
  <c r="H256" i="12"/>
  <c r="G256" i="12"/>
  <c r="C256" i="12"/>
  <c r="L255" i="12"/>
  <c r="K255" i="12"/>
  <c r="J255" i="12"/>
  <c r="I255" i="12"/>
  <c r="H255" i="12"/>
  <c r="G255" i="12"/>
  <c r="C255" i="12"/>
  <c r="L254" i="12"/>
  <c r="K254" i="12"/>
  <c r="J254" i="12"/>
  <c r="I254" i="12"/>
  <c r="H254" i="12"/>
  <c r="G254" i="12"/>
  <c r="C254" i="12"/>
  <c r="L253" i="12"/>
  <c r="K253" i="12"/>
  <c r="J253" i="12"/>
  <c r="I253" i="12"/>
  <c r="H253" i="12"/>
  <c r="G253" i="12"/>
  <c r="C253" i="12"/>
  <c r="L252" i="12"/>
  <c r="K252" i="12"/>
  <c r="J252" i="12"/>
  <c r="I252" i="12"/>
  <c r="H252" i="12"/>
  <c r="G252" i="12"/>
  <c r="C252" i="12"/>
  <c r="L251" i="12"/>
  <c r="K251" i="12"/>
  <c r="J251" i="12"/>
  <c r="I251" i="12"/>
  <c r="H251" i="12"/>
  <c r="G251" i="12"/>
  <c r="C251" i="12"/>
  <c r="L250" i="12"/>
  <c r="K250" i="12"/>
  <c r="J250" i="12"/>
  <c r="I250" i="12"/>
  <c r="H250" i="12"/>
  <c r="G250" i="12"/>
  <c r="C250" i="12"/>
  <c r="L249" i="12"/>
  <c r="K249" i="12"/>
  <c r="J249" i="12"/>
  <c r="I249" i="12"/>
  <c r="H249" i="12"/>
  <c r="G249" i="12"/>
  <c r="C249" i="12"/>
  <c r="L248" i="12"/>
  <c r="K248" i="12"/>
  <c r="J248" i="12"/>
  <c r="I248" i="12"/>
  <c r="H248" i="12"/>
  <c r="G248" i="12"/>
  <c r="C248" i="12"/>
  <c r="L247" i="12"/>
  <c r="K247" i="12"/>
  <c r="J247" i="12"/>
  <c r="I247" i="12"/>
  <c r="H247" i="12"/>
  <c r="G247" i="12"/>
  <c r="C247" i="12"/>
  <c r="L246" i="12"/>
  <c r="K246" i="12"/>
  <c r="J246" i="12"/>
  <c r="I246" i="12"/>
  <c r="H246" i="12"/>
  <c r="G246" i="12"/>
  <c r="C246" i="12"/>
  <c r="L245" i="12"/>
  <c r="K245" i="12"/>
  <c r="J245" i="12"/>
  <c r="I245" i="12"/>
  <c r="H245" i="12"/>
  <c r="G245" i="12"/>
  <c r="C245" i="12"/>
  <c r="L244" i="12"/>
  <c r="K244" i="12"/>
  <c r="J244" i="12"/>
  <c r="I244" i="12"/>
  <c r="H244" i="12"/>
  <c r="G244" i="12"/>
  <c r="C244" i="12"/>
  <c r="L243" i="12"/>
  <c r="K243" i="12"/>
  <c r="J243" i="12"/>
  <c r="I243" i="12"/>
  <c r="H243" i="12"/>
  <c r="G243" i="12"/>
  <c r="C243" i="12"/>
  <c r="L242" i="12"/>
  <c r="K242" i="12"/>
  <c r="J242" i="12"/>
  <c r="I242" i="12"/>
  <c r="H242" i="12"/>
  <c r="G242" i="12"/>
  <c r="C242" i="12"/>
  <c r="L241" i="12"/>
  <c r="K241" i="12"/>
  <c r="J241" i="12"/>
  <c r="I241" i="12"/>
  <c r="H241" i="12"/>
  <c r="G241" i="12"/>
  <c r="C241" i="12"/>
  <c r="L240" i="12"/>
  <c r="K240" i="12"/>
  <c r="J240" i="12"/>
  <c r="I240" i="12"/>
  <c r="H240" i="12"/>
  <c r="G240" i="12"/>
  <c r="C240" i="12"/>
  <c r="L239" i="12"/>
  <c r="K239" i="12"/>
  <c r="J239" i="12"/>
  <c r="I239" i="12"/>
  <c r="H239" i="12"/>
  <c r="G239" i="12"/>
  <c r="C239" i="12"/>
  <c r="L238" i="12"/>
  <c r="K238" i="12"/>
  <c r="J238" i="12"/>
  <c r="I238" i="12"/>
  <c r="H238" i="12"/>
  <c r="G238" i="12"/>
  <c r="C238" i="12"/>
  <c r="L237" i="12"/>
  <c r="K237" i="12"/>
  <c r="J237" i="12"/>
  <c r="I237" i="12"/>
  <c r="H237" i="12"/>
  <c r="G237" i="12"/>
  <c r="C237" i="12"/>
  <c r="L236" i="12"/>
  <c r="K236" i="12"/>
  <c r="J236" i="12"/>
  <c r="I236" i="12"/>
  <c r="H236" i="12"/>
  <c r="G236" i="12"/>
  <c r="C236" i="12"/>
  <c r="L235" i="12"/>
  <c r="K235" i="12"/>
  <c r="J235" i="12"/>
  <c r="I235" i="12"/>
  <c r="H235" i="12"/>
  <c r="G235" i="12"/>
  <c r="C235" i="12"/>
  <c r="L234" i="12"/>
  <c r="K234" i="12"/>
  <c r="J234" i="12"/>
  <c r="I234" i="12"/>
  <c r="H234" i="12"/>
  <c r="G234" i="12"/>
  <c r="C234" i="12"/>
  <c r="L233" i="12"/>
  <c r="K233" i="12"/>
  <c r="J233" i="12"/>
  <c r="I233" i="12"/>
  <c r="H233" i="12"/>
  <c r="G233" i="12"/>
  <c r="C233" i="12"/>
  <c r="L232" i="12"/>
  <c r="K232" i="12"/>
  <c r="J232" i="12"/>
  <c r="I232" i="12"/>
  <c r="H232" i="12"/>
  <c r="G232" i="12"/>
  <c r="C232" i="12"/>
  <c r="L231" i="12"/>
  <c r="K231" i="12"/>
  <c r="J231" i="12"/>
  <c r="I231" i="12"/>
  <c r="H231" i="12"/>
  <c r="G231" i="12"/>
  <c r="C231" i="12"/>
  <c r="L230" i="12"/>
  <c r="K230" i="12"/>
  <c r="J230" i="12"/>
  <c r="I230" i="12"/>
  <c r="H230" i="12"/>
  <c r="G230" i="12"/>
  <c r="C230" i="12"/>
  <c r="L229" i="12"/>
  <c r="K229" i="12"/>
  <c r="J229" i="12"/>
  <c r="I229" i="12"/>
  <c r="H229" i="12"/>
  <c r="G229" i="12"/>
  <c r="C229" i="12"/>
  <c r="L228" i="12"/>
  <c r="K228" i="12"/>
  <c r="J228" i="12"/>
  <c r="I228" i="12"/>
  <c r="H228" i="12"/>
  <c r="G228" i="12"/>
  <c r="C228" i="12"/>
  <c r="L227" i="12"/>
  <c r="K227" i="12"/>
  <c r="J227" i="12"/>
  <c r="I227" i="12"/>
  <c r="H227" i="12"/>
  <c r="G227" i="12"/>
  <c r="C227" i="12"/>
  <c r="L226" i="12"/>
  <c r="K226" i="12"/>
  <c r="J226" i="12"/>
  <c r="I226" i="12"/>
  <c r="H226" i="12"/>
  <c r="G226" i="12"/>
  <c r="C226" i="12"/>
  <c r="L225" i="12"/>
  <c r="K225" i="12"/>
  <c r="J225" i="12"/>
  <c r="I225" i="12"/>
  <c r="H225" i="12"/>
  <c r="G225" i="12"/>
  <c r="C225" i="12"/>
  <c r="L224" i="12"/>
  <c r="K224" i="12"/>
  <c r="J224" i="12"/>
  <c r="I224" i="12"/>
  <c r="H224" i="12"/>
  <c r="G224" i="12"/>
  <c r="C224" i="12"/>
  <c r="L223" i="12"/>
  <c r="K223" i="12"/>
  <c r="J223" i="12"/>
  <c r="I223" i="12"/>
  <c r="H223" i="12"/>
  <c r="G223" i="12"/>
  <c r="C223" i="12"/>
  <c r="L222" i="12"/>
  <c r="K222" i="12"/>
  <c r="J222" i="12"/>
  <c r="I222" i="12"/>
  <c r="H222" i="12"/>
  <c r="G222" i="12"/>
  <c r="C222" i="12"/>
  <c r="L221" i="12"/>
  <c r="K221" i="12"/>
  <c r="J221" i="12"/>
  <c r="I221" i="12"/>
  <c r="H221" i="12"/>
  <c r="G221" i="12"/>
  <c r="C221" i="12"/>
  <c r="L220" i="12"/>
  <c r="K220" i="12"/>
  <c r="J220" i="12"/>
  <c r="I220" i="12"/>
  <c r="H220" i="12"/>
  <c r="G220" i="12"/>
  <c r="C220" i="12"/>
  <c r="L219" i="12"/>
  <c r="K219" i="12"/>
  <c r="J219" i="12"/>
  <c r="I219" i="12"/>
  <c r="H219" i="12"/>
  <c r="G219" i="12"/>
  <c r="C219" i="12"/>
  <c r="L218" i="12"/>
  <c r="K218" i="12"/>
  <c r="J218" i="12"/>
  <c r="I218" i="12"/>
  <c r="H218" i="12"/>
  <c r="G218" i="12"/>
  <c r="C218" i="12"/>
  <c r="L217" i="12"/>
  <c r="K217" i="12"/>
  <c r="J217" i="12"/>
  <c r="I217" i="12"/>
  <c r="H217" i="12"/>
  <c r="G217" i="12"/>
  <c r="C217" i="12"/>
  <c r="L216" i="12"/>
  <c r="K216" i="12"/>
  <c r="J216" i="12"/>
  <c r="I216" i="12"/>
  <c r="H216" i="12"/>
  <c r="G216" i="12"/>
  <c r="C216" i="12"/>
  <c r="L215" i="12"/>
  <c r="K215" i="12"/>
  <c r="J215" i="12"/>
  <c r="I215" i="12"/>
  <c r="H215" i="12"/>
  <c r="G215" i="12"/>
  <c r="C215" i="12"/>
  <c r="L214" i="12"/>
  <c r="K214" i="12"/>
  <c r="J214" i="12"/>
  <c r="I214" i="12"/>
  <c r="H214" i="12"/>
  <c r="G214" i="12"/>
  <c r="C214" i="12"/>
  <c r="L213" i="12"/>
  <c r="K213" i="12"/>
  <c r="J213" i="12"/>
  <c r="I213" i="12"/>
  <c r="H213" i="12"/>
  <c r="G213" i="12"/>
  <c r="C213" i="12"/>
  <c r="L212" i="12"/>
  <c r="K212" i="12"/>
  <c r="J212" i="12"/>
  <c r="I212" i="12"/>
  <c r="H212" i="12"/>
  <c r="G212" i="12"/>
  <c r="C212" i="12"/>
  <c r="L211" i="12"/>
  <c r="K211" i="12"/>
  <c r="J211" i="12"/>
  <c r="I211" i="12"/>
  <c r="H211" i="12"/>
  <c r="G211" i="12"/>
  <c r="C211" i="12"/>
  <c r="L210" i="12"/>
  <c r="K210" i="12"/>
  <c r="J210" i="12"/>
  <c r="I210" i="12"/>
  <c r="H210" i="12"/>
  <c r="G210" i="12"/>
  <c r="C210" i="12"/>
  <c r="L209" i="12"/>
  <c r="K209" i="12"/>
  <c r="J209" i="12"/>
  <c r="I209" i="12"/>
  <c r="H209" i="12"/>
  <c r="G209" i="12"/>
  <c r="C209" i="12"/>
  <c r="L208" i="12"/>
  <c r="K208" i="12"/>
  <c r="J208" i="12"/>
  <c r="I208" i="12"/>
  <c r="H208" i="12"/>
  <c r="G208" i="12"/>
  <c r="C208" i="12"/>
  <c r="L207" i="12"/>
  <c r="K207" i="12"/>
  <c r="J207" i="12"/>
  <c r="I207" i="12"/>
  <c r="H207" i="12"/>
  <c r="G207" i="12"/>
  <c r="C207" i="12"/>
  <c r="L206" i="12"/>
  <c r="K206" i="12"/>
  <c r="J206" i="12"/>
  <c r="I206" i="12"/>
  <c r="H206" i="12"/>
  <c r="G206" i="12"/>
  <c r="C206" i="12"/>
  <c r="L205" i="12"/>
  <c r="K205" i="12"/>
  <c r="J205" i="12"/>
  <c r="I205" i="12"/>
  <c r="H205" i="12"/>
  <c r="G205" i="12"/>
  <c r="C205" i="12"/>
  <c r="L204" i="12"/>
  <c r="K204" i="12"/>
  <c r="J204" i="12"/>
  <c r="I204" i="12"/>
  <c r="H204" i="12"/>
  <c r="G204" i="12"/>
  <c r="C204" i="12"/>
  <c r="L203" i="12"/>
  <c r="K203" i="12"/>
  <c r="J203" i="12"/>
  <c r="I203" i="12"/>
  <c r="H203" i="12"/>
  <c r="G203" i="12"/>
  <c r="C203" i="12"/>
  <c r="L202" i="12"/>
  <c r="K202" i="12"/>
  <c r="J202" i="12"/>
  <c r="I202" i="12"/>
  <c r="H202" i="12"/>
  <c r="G202" i="12"/>
  <c r="C202" i="12"/>
  <c r="L201" i="12"/>
  <c r="K201" i="12"/>
  <c r="J201" i="12"/>
  <c r="I201" i="12"/>
  <c r="H201" i="12"/>
  <c r="G201" i="12"/>
  <c r="C201" i="12"/>
  <c r="L200" i="12"/>
  <c r="K200" i="12"/>
  <c r="J200" i="12"/>
  <c r="I200" i="12"/>
  <c r="H200" i="12"/>
  <c r="G200" i="12"/>
  <c r="C200" i="12"/>
  <c r="L199" i="12"/>
  <c r="K199" i="12"/>
  <c r="J199" i="12"/>
  <c r="I199" i="12"/>
  <c r="H199" i="12"/>
  <c r="G199" i="12"/>
  <c r="C199" i="12"/>
  <c r="L198" i="12"/>
  <c r="K198" i="12"/>
  <c r="J198" i="12"/>
  <c r="I198" i="12"/>
  <c r="H198" i="12"/>
  <c r="G198" i="12"/>
  <c r="C198" i="12"/>
  <c r="L197" i="12"/>
  <c r="K197" i="12"/>
  <c r="J197" i="12"/>
  <c r="I197" i="12"/>
  <c r="H197" i="12"/>
  <c r="G197" i="12"/>
  <c r="C197" i="12"/>
  <c r="L196" i="12"/>
  <c r="K196" i="12"/>
  <c r="J196" i="12"/>
  <c r="I196" i="12"/>
  <c r="H196" i="12"/>
  <c r="G196" i="12"/>
  <c r="C196" i="12"/>
  <c r="L195" i="12"/>
  <c r="K195" i="12"/>
  <c r="J195" i="12"/>
  <c r="I195" i="12"/>
  <c r="H195" i="12"/>
  <c r="G195" i="12"/>
  <c r="C195" i="12"/>
  <c r="L194" i="12"/>
  <c r="K194" i="12"/>
  <c r="J194" i="12"/>
  <c r="I194" i="12"/>
  <c r="H194" i="12"/>
  <c r="G194" i="12"/>
  <c r="C194" i="12"/>
  <c r="L193" i="12"/>
  <c r="K193" i="12"/>
  <c r="J193" i="12"/>
  <c r="I193" i="12"/>
  <c r="H193" i="12"/>
  <c r="G193" i="12"/>
  <c r="C193" i="12"/>
  <c r="L192" i="12"/>
  <c r="K192" i="12"/>
  <c r="J192" i="12"/>
  <c r="I192" i="12"/>
  <c r="H192" i="12"/>
  <c r="G192" i="12"/>
  <c r="C192" i="12"/>
  <c r="L191" i="12"/>
  <c r="K191" i="12"/>
  <c r="J191" i="12"/>
  <c r="I191" i="12"/>
  <c r="H191" i="12"/>
  <c r="G191" i="12"/>
  <c r="C191" i="12"/>
  <c r="L190" i="12"/>
  <c r="K190" i="12"/>
  <c r="J190" i="12"/>
  <c r="I190" i="12"/>
  <c r="H190" i="12"/>
  <c r="G190" i="12"/>
  <c r="C190" i="12"/>
  <c r="L189" i="12"/>
  <c r="K189" i="12"/>
  <c r="J189" i="12"/>
  <c r="I189" i="12"/>
  <c r="H189" i="12"/>
  <c r="G189" i="12"/>
  <c r="C189" i="12"/>
  <c r="L188" i="12"/>
  <c r="K188" i="12"/>
  <c r="J188" i="12"/>
  <c r="I188" i="12"/>
  <c r="H188" i="12"/>
  <c r="G188" i="12"/>
  <c r="C188" i="12"/>
  <c r="L187" i="12"/>
  <c r="K187" i="12"/>
  <c r="J187" i="12"/>
  <c r="I187" i="12"/>
  <c r="H187" i="12"/>
  <c r="G187" i="12"/>
  <c r="C187" i="12"/>
  <c r="L186" i="12"/>
  <c r="K186" i="12"/>
  <c r="J186" i="12"/>
  <c r="I186" i="12"/>
  <c r="H186" i="12"/>
  <c r="G186" i="12"/>
  <c r="C186" i="12"/>
  <c r="L185" i="12"/>
  <c r="K185" i="12"/>
  <c r="J185" i="12"/>
  <c r="I185" i="12"/>
  <c r="H185" i="12"/>
  <c r="G185" i="12"/>
  <c r="C185" i="12"/>
  <c r="L184" i="12"/>
  <c r="K184" i="12"/>
  <c r="J184" i="12"/>
  <c r="I184" i="12"/>
  <c r="H184" i="12"/>
  <c r="G184" i="12"/>
  <c r="C184" i="12"/>
  <c r="L183" i="12"/>
  <c r="K183" i="12"/>
  <c r="J183" i="12"/>
  <c r="I183" i="12"/>
  <c r="H183" i="12"/>
  <c r="G183" i="12"/>
  <c r="C183" i="12"/>
  <c r="L182" i="12"/>
  <c r="K182" i="12"/>
  <c r="J182" i="12"/>
  <c r="I182" i="12"/>
  <c r="H182" i="12"/>
  <c r="G182" i="12"/>
  <c r="C182" i="12"/>
  <c r="L181" i="12"/>
  <c r="K181" i="12"/>
  <c r="J181" i="12"/>
  <c r="I181" i="12"/>
  <c r="H181" i="12"/>
  <c r="G181" i="12"/>
  <c r="C181" i="12"/>
  <c r="L180" i="12"/>
  <c r="K180" i="12"/>
  <c r="J180" i="12"/>
  <c r="I180" i="12"/>
  <c r="H180" i="12"/>
  <c r="G180" i="12"/>
  <c r="C180" i="12"/>
  <c r="L179" i="12"/>
  <c r="K179" i="12"/>
  <c r="J179" i="12"/>
  <c r="I179" i="12"/>
  <c r="H179" i="12"/>
  <c r="G179" i="12"/>
  <c r="C179" i="12"/>
  <c r="L178" i="12"/>
  <c r="K178" i="12"/>
  <c r="J178" i="12"/>
  <c r="I178" i="12"/>
  <c r="H178" i="12"/>
  <c r="G178" i="12"/>
  <c r="C178" i="12"/>
  <c r="L177" i="12"/>
  <c r="K177" i="12"/>
  <c r="J177" i="12"/>
  <c r="I177" i="12"/>
  <c r="H177" i="12"/>
  <c r="G177" i="12"/>
  <c r="C177" i="12"/>
  <c r="L176" i="12"/>
  <c r="K176" i="12"/>
  <c r="J176" i="12"/>
  <c r="I176" i="12"/>
  <c r="H176" i="12"/>
  <c r="G176" i="12"/>
  <c r="C176" i="12"/>
  <c r="L175" i="12"/>
  <c r="K175" i="12"/>
  <c r="J175" i="12"/>
  <c r="I175" i="12"/>
  <c r="H175" i="12"/>
  <c r="G175" i="12"/>
  <c r="C175" i="12"/>
  <c r="L174" i="12"/>
  <c r="K174" i="12"/>
  <c r="J174" i="12"/>
  <c r="I174" i="12"/>
  <c r="H174" i="12"/>
  <c r="G174" i="12"/>
  <c r="C174" i="12"/>
  <c r="L173" i="12"/>
  <c r="K173" i="12"/>
  <c r="J173" i="12"/>
  <c r="I173" i="12"/>
  <c r="H173" i="12"/>
  <c r="G173" i="12"/>
  <c r="C173" i="12"/>
  <c r="L172" i="12"/>
  <c r="K172" i="12"/>
  <c r="J172" i="12"/>
  <c r="I172" i="12"/>
  <c r="H172" i="12"/>
  <c r="G172" i="12"/>
  <c r="C172" i="12"/>
  <c r="L171" i="12"/>
  <c r="K171" i="12"/>
  <c r="J171" i="12"/>
  <c r="I171" i="12"/>
  <c r="H171" i="12"/>
  <c r="G171" i="12"/>
  <c r="C171" i="12"/>
  <c r="L170" i="12"/>
  <c r="K170" i="12"/>
  <c r="J170" i="12"/>
  <c r="I170" i="12"/>
  <c r="H170" i="12"/>
  <c r="G170" i="12"/>
  <c r="C170" i="12"/>
  <c r="L169" i="12"/>
  <c r="K169" i="12"/>
  <c r="J169" i="12"/>
  <c r="I169" i="12"/>
  <c r="H169" i="12"/>
  <c r="G169" i="12"/>
  <c r="C169" i="12"/>
  <c r="L168" i="12"/>
  <c r="K168" i="12"/>
  <c r="J168" i="12"/>
  <c r="I168" i="12"/>
  <c r="H168" i="12"/>
  <c r="G168" i="12"/>
  <c r="C168" i="12"/>
  <c r="L167" i="12"/>
  <c r="K167" i="12"/>
  <c r="J167" i="12"/>
  <c r="I167" i="12"/>
  <c r="H167" i="12"/>
  <c r="G167" i="12"/>
  <c r="C167" i="12"/>
  <c r="L166" i="12"/>
  <c r="K166" i="12"/>
  <c r="J166" i="12"/>
  <c r="I166" i="12"/>
  <c r="H166" i="12"/>
  <c r="G166" i="12"/>
  <c r="C166" i="12"/>
  <c r="L165" i="12"/>
  <c r="K165" i="12"/>
  <c r="J165" i="12"/>
  <c r="I165" i="12"/>
  <c r="H165" i="12"/>
  <c r="G165" i="12"/>
  <c r="C165" i="12"/>
  <c r="L164" i="12"/>
  <c r="K164" i="12"/>
  <c r="J164" i="12"/>
  <c r="I164" i="12"/>
  <c r="H164" i="12"/>
  <c r="G164" i="12"/>
  <c r="C164" i="12"/>
  <c r="L163" i="12"/>
  <c r="K163" i="12"/>
  <c r="J163" i="12"/>
  <c r="I163" i="12"/>
  <c r="H163" i="12"/>
  <c r="G163" i="12"/>
  <c r="C163" i="12"/>
  <c r="L162" i="12"/>
  <c r="K162" i="12"/>
  <c r="J162" i="12"/>
  <c r="I162" i="12"/>
  <c r="H162" i="12"/>
  <c r="G162" i="12"/>
  <c r="C162" i="12"/>
  <c r="L161" i="12"/>
  <c r="K161" i="12"/>
  <c r="J161" i="12"/>
  <c r="I161" i="12"/>
  <c r="H161" i="12"/>
  <c r="G161" i="12"/>
  <c r="C161" i="12"/>
  <c r="L160" i="12"/>
  <c r="K160" i="12"/>
  <c r="J160" i="12"/>
  <c r="I160" i="12"/>
  <c r="H160" i="12"/>
  <c r="G160" i="12"/>
  <c r="C160" i="12"/>
  <c r="L159" i="12"/>
  <c r="K159" i="12"/>
  <c r="J159" i="12"/>
  <c r="I159" i="12"/>
  <c r="H159" i="12"/>
  <c r="G159" i="12"/>
  <c r="C159" i="12"/>
  <c r="L158" i="12"/>
  <c r="K158" i="12"/>
  <c r="J158" i="12"/>
  <c r="I158" i="12"/>
  <c r="H158" i="12"/>
  <c r="G158" i="12"/>
  <c r="C158" i="12"/>
  <c r="L157" i="12"/>
  <c r="K157" i="12"/>
  <c r="J157" i="12"/>
  <c r="I157" i="12"/>
  <c r="H157" i="12"/>
  <c r="G157" i="12"/>
  <c r="C157" i="12"/>
  <c r="L156" i="12"/>
  <c r="K156" i="12"/>
  <c r="J156" i="12"/>
  <c r="I156" i="12"/>
  <c r="H156" i="12"/>
  <c r="G156" i="12"/>
  <c r="C156" i="12"/>
  <c r="L155" i="12"/>
  <c r="K155" i="12"/>
  <c r="J155" i="12"/>
  <c r="I155" i="12"/>
  <c r="H155" i="12"/>
  <c r="G155" i="12"/>
  <c r="C155" i="12"/>
  <c r="L154" i="12"/>
  <c r="K154" i="12"/>
  <c r="J154" i="12"/>
  <c r="I154" i="12"/>
  <c r="H154" i="12"/>
  <c r="G154" i="12"/>
  <c r="C154" i="12"/>
  <c r="L153" i="12"/>
  <c r="K153" i="12"/>
  <c r="J153" i="12"/>
  <c r="I153" i="12"/>
  <c r="H153" i="12"/>
  <c r="G153" i="12"/>
  <c r="C153" i="12"/>
  <c r="L152" i="12"/>
  <c r="K152" i="12"/>
  <c r="J152" i="12"/>
  <c r="I152" i="12"/>
  <c r="H152" i="12"/>
  <c r="G152" i="12"/>
  <c r="C152" i="12"/>
  <c r="L151" i="12"/>
  <c r="K151" i="12"/>
  <c r="J151" i="12"/>
  <c r="I151" i="12"/>
  <c r="H151" i="12"/>
  <c r="G151" i="12"/>
  <c r="C151" i="12"/>
  <c r="L150" i="12"/>
  <c r="K150" i="12"/>
  <c r="J150" i="12"/>
  <c r="I150" i="12"/>
  <c r="H150" i="12"/>
  <c r="G150" i="12"/>
  <c r="C150" i="12"/>
  <c r="L149" i="12"/>
  <c r="K149" i="12"/>
  <c r="J149" i="12"/>
  <c r="I149" i="12"/>
  <c r="H149" i="12"/>
  <c r="G149" i="12"/>
  <c r="C149" i="12"/>
  <c r="L148" i="12"/>
  <c r="K148" i="12"/>
  <c r="J148" i="12"/>
  <c r="I148" i="12"/>
  <c r="H148" i="12"/>
  <c r="G148" i="12"/>
  <c r="C148" i="12"/>
  <c r="L147" i="12"/>
  <c r="K147" i="12"/>
  <c r="J147" i="12"/>
  <c r="I147" i="12"/>
  <c r="H147" i="12"/>
  <c r="G147" i="12"/>
  <c r="C147" i="12"/>
  <c r="L146" i="12"/>
  <c r="K146" i="12"/>
  <c r="J146" i="12"/>
  <c r="I146" i="12"/>
  <c r="H146" i="12"/>
  <c r="G146" i="12"/>
  <c r="C146" i="12"/>
  <c r="L145" i="12"/>
  <c r="K145" i="12"/>
  <c r="J145" i="12"/>
  <c r="I145" i="12"/>
  <c r="H145" i="12"/>
  <c r="G145" i="12"/>
  <c r="C145" i="12"/>
  <c r="L144" i="12"/>
  <c r="K144" i="12"/>
  <c r="J144" i="12"/>
  <c r="I144" i="12"/>
  <c r="H144" i="12"/>
  <c r="G144" i="12"/>
  <c r="C144" i="12"/>
  <c r="L143" i="12"/>
  <c r="K143" i="12"/>
  <c r="J143" i="12"/>
  <c r="I143" i="12"/>
  <c r="H143" i="12"/>
  <c r="G143" i="12"/>
  <c r="C143" i="12"/>
  <c r="L142" i="12"/>
  <c r="K142" i="12"/>
  <c r="J142" i="12"/>
  <c r="I142" i="12"/>
  <c r="H142" i="12"/>
  <c r="G142" i="12"/>
  <c r="C142" i="12"/>
  <c r="L141" i="12"/>
  <c r="K141" i="12"/>
  <c r="J141" i="12"/>
  <c r="I141" i="12"/>
  <c r="H141" i="12"/>
  <c r="G141" i="12"/>
  <c r="C141" i="12"/>
  <c r="L140" i="12"/>
  <c r="K140" i="12"/>
  <c r="J140" i="12"/>
  <c r="I140" i="12"/>
  <c r="H140" i="12"/>
  <c r="G140" i="12"/>
  <c r="C140" i="12"/>
  <c r="L139" i="12"/>
  <c r="K139" i="12"/>
  <c r="J139" i="12"/>
  <c r="I139" i="12"/>
  <c r="H139" i="12"/>
  <c r="G139" i="12"/>
  <c r="C139" i="12"/>
  <c r="L138" i="12"/>
  <c r="K138" i="12"/>
  <c r="J138" i="12"/>
  <c r="I138" i="12"/>
  <c r="H138" i="12"/>
  <c r="G138" i="12"/>
  <c r="C138" i="12"/>
  <c r="L137" i="12"/>
  <c r="K137" i="12"/>
  <c r="J137" i="12"/>
  <c r="I137" i="12"/>
  <c r="H137" i="12"/>
  <c r="G137" i="12"/>
  <c r="C137" i="12"/>
  <c r="L136" i="12"/>
  <c r="K136" i="12"/>
  <c r="J136" i="12"/>
  <c r="I136" i="12"/>
  <c r="H136" i="12"/>
  <c r="G136" i="12"/>
  <c r="C136" i="12"/>
  <c r="L135" i="12"/>
  <c r="K135" i="12"/>
  <c r="J135" i="12"/>
  <c r="I135" i="12"/>
  <c r="H135" i="12"/>
  <c r="G135" i="12"/>
  <c r="C135" i="12"/>
  <c r="L134" i="12"/>
  <c r="K134" i="12"/>
  <c r="J134" i="12"/>
  <c r="I134" i="12"/>
  <c r="H134" i="12"/>
  <c r="G134" i="12"/>
  <c r="C134" i="12"/>
  <c r="L133" i="12"/>
  <c r="K133" i="12"/>
  <c r="J133" i="12"/>
  <c r="I133" i="12"/>
  <c r="H133" i="12"/>
  <c r="G133" i="12"/>
  <c r="C133" i="12"/>
  <c r="L132" i="12"/>
  <c r="K132" i="12"/>
  <c r="J132" i="12"/>
  <c r="I132" i="12"/>
  <c r="H132" i="12"/>
  <c r="G132" i="12"/>
  <c r="C132" i="12"/>
  <c r="L131" i="12"/>
  <c r="K131" i="12"/>
  <c r="J131" i="12"/>
  <c r="I131" i="12"/>
  <c r="H131" i="12"/>
  <c r="G131" i="12"/>
  <c r="C131" i="12"/>
  <c r="L130" i="12"/>
  <c r="K130" i="12"/>
  <c r="J130" i="12"/>
  <c r="I130" i="12"/>
  <c r="H130" i="12"/>
  <c r="G130" i="12"/>
  <c r="C130" i="12"/>
  <c r="L129" i="12"/>
  <c r="K129" i="12"/>
  <c r="J129" i="12"/>
  <c r="I129" i="12"/>
  <c r="H129" i="12"/>
  <c r="G129" i="12"/>
  <c r="C129" i="12"/>
  <c r="L128" i="12"/>
  <c r="K128" i="12"/>
  <c r="J128" i="12"/>
  <c r="I128" i="12"/>
  <c r="H128" i="12"/>
  <c r="G128" i="12"/>
  <c r="C128" i="12"/>
  <c r="L127" i="12"/>
  <c r="K127" i="12"/>
  <c r="J127" i="12"/>
  <c r="I127" i="12"/>
  <c r="H127" i="12"/>
  <c r="G127" i="12"/>
  <c r="C127" i="12"/>
  <c r="L126" i="12"/>
  <c r="K126" i="12"/>
  <c r="J126" i="12"/>
  <c r="I126" i="12"/>
  <c r="H126" i="12"/>
  <c r="G126" i="12"/>
  <c r="C126" i="12"/>
  <c r="L125" i="12"/>
  <c r="K125" i="12"/>
  <c r="J125" i="12"/>
  <c r="I125" i="12"/>
  <c r="H125" i="12"/>
  <c r="G125" i="12"/>
  <c r="C125" i="12"/>
  <c r="L124" i="12"/>
  <c r="K124" i="12"/>
  <c r="J124" i="12"/>
  <c r="I124" i="12"/>
  <c r="H124" i="12"/>
  <c r="G124" i="12"/>
  <c r="C124" i="12"/>
  <c r="L123" i="12"/>
  <c r="K123" i="12"/>
  <c r="J123" i="12"/>
  <c r="I123" i="12"/>
  <c r="H123" i="12"/>
  <c r="G123" i="12"/>
  <c r="C123" i="12"/>
  <c r="L122" i="12"/>
  <c r="K122" i="12"/>
  <c r="J122" i="12"/>
  <c r="I122" i="12"/>
  <c r="H122" i="12"/>
  <c r="G122" i="12"/>
  <c r="C122" i="12"/>
  <c r="L121" i="12"/>
  <c r="K121" i="12"/>
  <c r="J121" i="12"/>
  <c r="I121" i="12"/>
  <c r="H121" i="12"/>
  <c r="G121" i="12"/>
  <c r="C121" i="12"/>
  <c r="L120" i="12"/>
  <c r="K120" i="12"/>
  <c r="J120" i="12"/>
  <c r="I120" i="12"/>
  <c r="H120" i="12"/>
  <c r="G120" i="12"/>
  <c r="C120" i="12"/>
  <c r="L119" i="12"/>
  <c r="K119" i="12"/>
  <c r="J119" i="12"/>
  <c r="I119" i="12"/>
  <c r="H119" i="12"/>
  <c r="G119" i="12"/>
  <c r="C119" i="12"/>
  <c r="L118" i="12"/>
  <c r="K118" i="12"/>
  <c r="J118" i="12"/>
  <c r="I118" i="12"/>
  <c r="H118" i="12"/>
  <c r="G118" i="12"/>
  <c r="C118" i="12"/>
  <c r="L117" i="12"/>
  <c r="K117" i="12"/>
  <c r="J117" i="12"/>
  <c r="I117" i="12"/>
  <c r="H117" i="12"/>
  <c r="G117" i="12"/>
  <c r="C117" i="12"/>
  <c r="L116" i="12"/>
  <c r="K116" i="12"/>
  <c r="J116" i="12"/>
  <c r="I116" i="12"/>
  <c r="H116" i="12"/>
  <c r="G116" i="12"/>
  <c r="C116" i="12"/>
  <c r="L115" i="12"/>
  <c r="K115" i="12"/>
  <c r="J115" i="12"/>
  <c r="I115" i="12"/>
  <c r="H115" i="12"/>
  <c r="G115" i="12"/>
  <c r="C115" i="12"/>
  <c r="L114" i="12"/>
  <c r="K114" i="12"/>
  <c r="J114" i="12"/>
  <c r="I114" i="12"/>
  <c r="H114" i="12"/>
  <c r="G114" i="12"/>
  <c r="C114" i="12"/>
  <c r="L113" i="12"/>
  <c r="K113" i="12"/>
  <c r="J113" i="12"/>
  <c r="I113" i="12"/>
  <c r="H113" i="12"/>
  <c r="G113" i="12"/>
  <c r="C113" i="12"/>
  <c r="L112" i="12"/>
  <c r="K112" i="12"/>
  <c r="J112" i="12"/>
  <c r="I112" i="12"/>
  <c r="H112" i="12"/>
  <c r="G112" i="12"/>
  <c r="C112" i="12"/>
  <c r="L111" i="12"/>
  <c r="K111" i="12"/>
  <c r="J111" i="12"/>
  <c r="I111" i="12"/>
  <c r="H111" i="12"/>
  <c r="G111" i="12"/>
  <c r="C111" i="12"/>
  <c r="L110" i="12"/>
  <c r="K110" i="12"/>
  <c r="J110" i="12"/>
  <c r="I110" i="12"/>
  <c r="H110" i="12"/>
  <c r="G110" i="12"/>
  <c r="C110" i="12"/>
  <c r="L109" i="12"/>
  <c r="K109" i="12"/>
  <c r="J109" i="12"/>
  <c r="I109" i="12"/>
  <c r="H109" i="12"/>
  <c r="G109" i="12"/>
  <c r="C109" i="12"/>
  <c r="L108" i="12"/>
  <c r="K108" i="12"/>
  <c r="J108" i="12"/>
  <c r="I108" i="12"/>
  <c r="H108" i="12"/>
  <c r="G108" i="12"/>
  <c r="C108" i="12"/>
  <c r="L107" i="12"/>
  <c r="K107" i="12"/>
  <c r="J107" i="12"/>
  <c r="I107" i="12"/>
  <c r="H107" i="12"/>
  <c r="G107" i="12"/>
  <c r="C107" i="12"/>
  <c r="L106" i="12"/>
  <c r="K106" i="12"/>
  <c r="J106" i="12"/>
  <c r="I106" i="12"/>
  <c r="H106" i="12"/>
  <c r="G106" i="12"/>
  <c r="C106" i="12"/>
  <c r="L105" i="12"/>
  <c r="K105" i="12"/>
  <c r="J105" i="12"/>
  <c r="I105" i="12"/>
  <c r="H105" i="12"/>
  <c r="G105" i="12"/>
  <c r="C105" i="12"/>
  <c r="L104" i="12"/>
  <c r="K104" i="12"/>
  <c r="J104" i="12"/>
  <c r="I104" i="12"/>
  <c r="H104" i="12"/>
  <c r="G104" i="12"/>
  <c r="C104" i="12"/>
  <c r="L103" i="12"/>
  <c r="K103" i="12"/>
  <c r="J103" i="12"/>
  <c r="I103" i="12"/>
  <c r="H103" i="12"/>
  <c r="G103" i="12"/>
  <c r="C103" i="12"/>
  <c r="L102" i="12"/>
  <c r="K102" i="12"/>
  <c r="J102" i="12"/>
  <c r="I102" i="12"/>
  <c r="H102" i="12"/>
  <c r="G102" i="12"/>
  <c r="C102" i="12"/>
  <c r="L101" i="12"/>
  <c r="K101" i="12"/>
  <c r="J101" i="12"/>
  <c r="I101" i="12"/>
  <c r="H101" i="12"/>
  <c r="G101" i="12"/>
  <c r="C101" i="12"/>
  <c r="L100" i="12"/>
  <c r="K100" i="12"/>
  <c r="J100" i="12"/>
  <c r="I100" i="12"/>
  <c r="H100" i="12"/>
  <c r="G100" i="12"/>
  <c r="C100" i="12"/>
  <c r="L99" i="12"/>
  <c r="K99" i="12"/>
  <c r="J99" i="12"/>
  <c r="I99" i="12"/>
  <c r="H99" i="12"/>
  <c r="G99" i="12"/>
  <c r="C99" i="12"/>
  <c r="L98" i="12"/>
  <c r="K98" i="12"/>
  <c r="J98" i="12"/>
  <c r="I98" i="12"/>
  <c r="H98" i="12"/>
  <c r="G98" i="12"/>
  <c r="C98" i="12"/>
  <c r="L97" i="12"/>
  <c r="K97" i="12"/>
  <c r="J97" i="12"/>
  <c r="I97" i="12"/>
  <c r="H97" i="12"/>
  <c r="G97" i="12"/>
  <c r="C97" i="12"/>
  <c r="L96" i="12"/>
  <c r="K96" i="12"/>
  <c r="J96" i="12"/>
  <c r="I96" i="12"/>
  <c r="H96" i="12"/>
  <c r="G96" i="12"/>
  <c r="C96" i="12"/>
  <c r="L95" i="12"/>
  <c r="K95" i="12"/>
  <c r="J95" i="12"/>
  <c r="I95" i="12"/>
  <c r="H95" i="12"/>
  <c r="G95" i="12"/>
  <c r="C95" i="12"/>
  <c r="L94" i="12"/>
  <c r="K94" i="12"/>
  <c r="J94" i="12"/>
  <c r="I94" i="12"/>
  <c r="H94" i="12"/>
  <c r="G94" i="12"/>
  <c r="C94" i="12"/>
  <c r="L93" i="12"/>
  <c r="K93" i="12"/>
  <c r="J93" i="12"/>
  <c r="I93" i="12"/>
  <c r="H93" i="12"/>
  <c r="G93" i="12"/>
  <c r="C93" i="12"/>
  <c r="L92" i="12"/>
  <c r="K92" i="12"/>
  <c r="J92" i="12"/>
  <c r="I92" i="12"/>
  <c r="H92" i="12"/>
  <c r="G92" i="12"/>
  <c r="C92" i="12"/>
  <c r="L91" i="12"/>
  <c r="K91" i="12"/>
  <c r="J91" i="12"/>
  <c r="I91" i="12"/>
  <c r="H91" i="12"/>
  <c r="G91" i="12"/>
  <c r="C91" i="12"/>
  <c r="L90" i="12"/>
  <c r="K90" i="12"/>
  <c r="J90" i="12"/>
  <c r="I90" i="12"/>
  <c r="H90" i="12"/>
  <c r="G90" i="12"/>
  <c r="C90" i="12"/>
  <c r="L89" i="12"/>
  <c r="K89" i="12"/>
  <c r="J89" i="12"/>
  <c r="I89" i="12"/>
  <c r="H89" i="12"/>
  <c r="G89" i="12"/>
  <c r="C89" i="12"/>
  <c r="L88" i="12"/>
  <c r="K88" i="12"/>
  <c r="J88" i="12"/>
  <c r="I88" i="12"/>
  <c r="H88" i="12"/>
  <c r="G88" i="12"/>
  <c r="C88" i="12"/>
  <c r="L87" i="12"/>
  <c r="K87" i="12"/>
  <c r="J87" i="12"/>
  <c r="I87" i="12"/>
  <c r="H87" i="12"/>
  <c r="G87" i="12"/>
  <c r="C87" i="12"/>
  <c r="L86" i="12"/>
  <c r="K86" i="12"/>
  <c r="J86" i="12"/>
  <c r="I86" i="12"/>
  <c r="H86" i="12"/>
  <c r="G86" i="12"/>
  <c r="C86" i="12"/>
  <c r="L85" i="12"/>
  <c r="K85" i="12"/>
  <c r="J85" i="12"/>
  <c r="I85" i="12"/>
  <c r="H85" i="12"/>
  <c r="G85" i="12"/>
  <c r="C85" i="12"/>
  <c r="L84" i="12"/>
  <c r="K84" i="12"/>
  <c r="J84" i="12"/>
  <c r="I84" i="12"/>
  <c r="H84" i="12"/>
  <c r="G84" i="12"/>
  <c r="C84" i="12"/>
  <c r="L83" i="12"/>
  <c r="K83" i="12"/>
  <c r="J83" i="12"/>
  <c r="I83" i="12"/>
  <c r="H83" i="12"/>
  <c r="G83" i="12"/>
  <c r="C83" i="12"/>
  <c r="L82" i="12"/>
  <c r="K82" i="12"/>
  <c r="J82" i="12"/>
  <c r="I82" i="12"/>
  <c r="H82" i="12"/>
  <c r="G82" i="12"/>
  <c r="C82" i="12"/>
  <c r="L81" i="12"/>
  <c r="K81" i="12"/>
  <c r="J81" i="12"/>
  <c r="I81" i="12"/>
  <c r="H81" i="12"/>
  <c r="G81" i="12"/>
  <c r="C81" i="12"/>
  <c r="L80" i="12"/>
  <c r="K80" i="12"/>
  <c r="J80" i="12"/>
  <c r="I80" i="12"/>
  <c r="H80" i="12"/>
  <c r="G80" i="12"/>
  <c r="C80" i="12"/>
  <c r="L79" i="12"/>
  <c r="K79" i="12"/>
  <c r="J79" i="12"/>
  <c r="I79" i="12"/>
  <c r="H79" i="12"/>
  <c r="G79" i="12"/>
  <c r="C79" i="12"/>
  <c r="L78" i="12"/>
  <c r="K78" i="12"/>
  <c r="J78" i="12"/>
  <c r="I78" i="12"/>
  <c r="H78" i="12"/>
  <c r="G78" i="12"/>
  <c r="C78" i="12"/>
  <c r="L77" i="12"/>
  <c r="K77" i="12"/>
  <c r="J77" i="12"/>
  <c r="I77" i="12"/>
  <c r="H77" i="12"/>
  <c r="G77" i="12"/>
  <c r="C77" i="12"/>
  <c r="L76" i="12"/>
  <c r="K76" i="12"/>
  <c r="J76" i="12"/>
  <c r="I76" i="12"/>
  <c r="H76" i="12"/>
  <c r="G76" i="12"/>
  <c r="C76" i="12"/>
  <c r="L75" i="12"/>
  <c r="K75" i="12"/>
  <c r="J75" i="12"/>
  <c r="I75" i="12"/>
  <c r="H75" i="12"/>
  <c r="G75" i="12"/>
  <c r="C75" i="12"/>
  <c r="L74" i="12"/>
  <c r="K74" i="12"/>
  <c r="J74" i="12"/>
  <c r="I74" i="12"/>
  <c r="H74" i="12"/>
  <c r="G74" i="12"/>
  <c r="C74" i="12"/>
  <c r="L73" i="12"/>
  <c r="K73" i="12"/>
  <c r="J73" i="12"/>
  <c r="I73" i="12"/>
  <c r="H73" i="12"/>
  <c r="G73" i="12"/>
  <c r="C73" i="12"/>
  <c r="L72" i="12"/>
  <c r="K72" i="12"/>
  <c r="J72" i="12"/>
  <c r="I72" i="12"/>
  <c r="H72" i="12"/>
  <c r="G72" i="12"/>
  <c r="C72" i="12"/>
  <c r="L71" i="12"/>
  <c r="K71" i="12"/>
  <c r="J71" i="12"/>
  <c r="I71" i="12"/>
  <c r="H71" i="12"/>
  <c r="G71" i="12"/>
  <c r="C71" i="12"/>
  <c r="L70" i="12"/>
  <c r="K70" i="12"/>
  <c r="J70" i="12"/>
  <c r="I70" i="12"/>
  <c r="H70" i="12"/>
  <c r="G70" i="12"/>
  <c r="C70" i="12"/>
  <c r="L69" i="12"/>
  <c r="K69" i="12"/>
  <c r="J69" i="12"/>
  <c r="I69" i="12"/>
  <c r="H69" i="12"/>
  <c r="G69" i="12"/>
  <c r="C69" i="12"/>
  <c r="L68" i="12"/>
  <c r="K68" i="12"/>
  <c r="J68" i="12"/>
  <c r="I68" i="12"/>
  <c r="H68" i="12"/>
  <c r="G68" i="12"/>
  <c r="C68" i="12"/>
  <c r="L67" i="12"/>
  <c r="K67" i="12"/>
  <c r="J67" i="12"/>
  <c r="I67" i="12"/>
  <c r="H67" i="12"/>
  <c r="G67" i="12"/>
  <c r="C67" i="12"/>
  <c r="L66" i="12"/>
  <c r="K66" i="12"/>
  <c r="J66" i="12"/>
  <c r="I66" i="12"/>
  <c r="H66" i="12"/>
  <c r="G66" i="12"/>
  <c r="C66" i="12"/>
  <c r="L65" i="12"/>
  <c r="K65" i="12"/>
  <c r="J65" i="12"/>
  <c r="I65" i="12"/>
  <c r="H65" i="12"/>
  <c r="G65" i="12"/>
  <c r="C65" i="12"/>
  <c r="L64" i="12"/>
  <c r="K64" i="12"/>
  <c r="J64" i="12"/>
  <c r="I64" i="12"/>
  <c r="H64" i="12"/>
  <c r="G64" i="12"/>
  <c r="C64" i="12"/>
  <c r="L63" i="12"/>
  <c r="K63" i="12"/>
  <c r="J63" i="12"/>
  <c r="I63" i="12"/>
  <c r="H63" i="12"/>
  <c r="G63" i="12"/>
  <c r="C63" i="12"/>
  <c r="L62" i="12"/>
  <c r="K62" i="12"/>
  <c r="J62" i="12"/>
  <c r="I62" i="12"/>
  <c r="H62" i="12"/>
  <c r="G62" i="12"/>
  <c r="C62" i="12"/>
  <c r="L61" i="12"/>
  <c r="K61" i="12"/>
  <c r="J61" i="12"/>
  <c r="I61" i="12"/>
  <c r="H61" i="12"/>
  <c r="G61" i="12"/>
  <c r="C61" i="12"/>
  <c r="L60" i="12"/>
  <c r="K60" i="12"/>
  <c r="J60" i="12"/>
  <c r="I60" i="12"/>
  <c r="H60" i="12"/>
  <c r="G60" i="12"/>
  <c r="C60" i="12"/>
  <c r="L59" i="12"/>
  <c r="K59" i="12"/>
  <c r="J59" i="12"/>
  <c r="I59" i="12"/>
  <c r="H59" i="12"/>
  <c r="G59" i="12"/>
  <c r="C59" i="12"/>
  <c r="L58" i="12"/>
  <c r="K58" i="12"/>
  <c r="J58" i="12"/>
  <c r="I58" i="12"/>
  <c r="H58" i="12"/>
  <c r="G58" i="12"/>
  <c r="C58" i="12"/>
  <c r="L57" i="12"/>
  <c r="K57" i="12"/>
  <c r="J57" i="12"/>
  <c r="I57" i="12"/>
  <c r="H57" i="12"/>
  <c r="G57" i="12"/>
  <c r="C57" i="12"/>
  <c r="L56" i="12"/>
  <c r="K56" i="12"/>
  <c r="J56" i="12"/>
  <c r="I56" i="12"/>
  <c r="H56" i="12"/>
  <c r="G56" i="12"/>
  <c r="C56" i="12"/>
  <c r="L55" i="12"/>
  <c r="K55" i="12"/>
  <c r="J55" i="12"/>
  <c r="I55" i="12"/>
  <c r="H55" i="12"/>
  <c r="G55" i="12"/>
  <c r="C55" i="12"/>
  <c r="L54" i="12"/>
  <c r="K54" i="12"/>
  <c r="J54" i="12"/>
  <c r="I54" i="12"/>
  <c r="H54" i="12"/>
  <c r="G54" i="12"/>
  <c r="C54" i="12"/>
  <c r="L53" i="12"/>
  <c r="K53" i="12"/>
  <c r="J53" i="12"/>
  <c r="I53" i="12"/>
  <c r="H53" i="12"/>
  <c r="G53" i="12"/>
  <c r="C53" i="12"/>
  <c r="L52" i="12"/>
  <c r="K52" i="12"/>
  <c r="J52" i="12"/>
  <c r="I52" i="12"/>
  <c r="H52" i="12"/>
  <c r="G52" i="12"/>
  <c r="C52" i="12"/>
  <c r="L51" i="12"/>
  <c r="K51" i="12"/>
  <c r="J51" i="12"/>
  <c r="I51" i="12"/>
  <c r="H51" i="12"/>
  <c r="G51" i="12"/>
  <c r="C51" i="12"/>
  <c r="L50" i="12"/>
  <c r="K50" i="12"/>
  <c r="J50" i="12"/>
  <c r="I50" i="12"/>
  <c r="H50" i="12"/>
  <c r="G50" i="12"/>
  <c r="C50" i="12"/>
  <c r="L49" i="12"/>
  <c r="K49" i="12"/>
  <c r="J49" i="12"/>
  <c r="I49" i="12"/>
  <c r="H49" i="12"/>
  <c r="G49" i="12"/>
  <c r="C49" i="12"/>
  <c r="L48" i="12"/>
  <c r="K48" i="12"/>
  <c r="J48" i="12"/>
  <c r="I48" i="12"/>
  <c r="H48" i="12"/>
  <c r="G48" i="12"/>
  <c r="C48" i="12"/>
  <c r="L47" i="12"/>
  <c r="K47" i="12"/>
  <c r="J47" i="12"/>
  <c r="I47" i="12"/>
  <c r="H47" i="12"/>
  <c r="G47" i="12"/>
  <c r="C47" i="12"/>
  <c r="L46" i="12"/>
  <c r="K46" i="12"/>
  <c r="J46" i="12"/>
  <c r="I46" i="12"/>
  <c r="H46" i="12"/>
  <c r="G46" i="12"/>
  <c r="C46" i="12"/>
  <c r="L45" i="12"/>
  <c r="K45" i="12"/>
  <c r="J45" i="12"/>
  <c r="I45" i="12"/>
  <c r="H45" i="12"/>
  <c r="G45" i="12"/>
  <c r="C45" i="12"/>
  <c r="L44" i="12"/>
  <c r="K44" i="12"/>
  <c r="J44" i="12"/>
  <c r="I44" i="12"/>
  <c r="H44" i="12"/>
  <c r="G44" i="12"/>
  <c r="C44" i="12"/>
  <c r="L43" i="12"/>
  <c r="K43" i="12"/>
  <c r="J43" i="12"/>
  <c r="I43" i="12"/>
  <c r="H43" i="12"/>
  <c r="G43" i="12"/>
  <c r="C43" i="12"/>
  <c r="L42" i="12"/>
  <c r="K42" i="12"/>
  <c r="J42" i="12"/>
  <c r="I42" i="12"/>
  <c r="H42" i="12"/>
  <c r="G42" i="12"/>
  <c r="C42" i="12"/>
  <c r="L41" i="12"/>
  <c r="K41" i="12"/>
  <c r="J41" i="12"/>
  <c r="I41" i="12"/>
  <c r="H41" i="12"/>
  <c r="G41" i="12"/>
  <c r="C41" i="12"/>
  <c r="L40" i="12"/>
  <c r="K40" i="12"/>
  <c r="J40" i="12"/>
  <c r="I40" i="12"/>
  <c r="H40" i="12"/>
  <c r="G40" i="12"/>
  <c r="C40" i="12"/>
  <c r="L39" i="12"/>
  <c r="K39" i="12"/>
  <c r="J39" i="12"/>
  <c r="I39" i="12"/>
  <c r="H39" i="12"/>
  <c r="G39" i="12"/>
  <c r="C39" i="12"/>
  <c r="L38" i="12"/>
  <c r="K38" i="12"/>
  <c r="J38" i="12"/>
  <c r="I38" i="12"/>
  <c r="H38" i="12"/>
  <c r="G38" i="12"/>
  <c r="C38" i="12"/>
  <c r="L37" i="12"/>
  <c r="K37" i="12"/>
  <c r="J37" i="12"/>
  <c r="I37" i="12"/>
  <c r="H37" i="12"/>
  <c r="G37" i="12"/>
  <c r="C37" i="12"/>
  <c r="L36" i="12"/>
  <c r="K36" i="12"/>
  <c r="J36" i="12"/>
  <c r="I36" i="12"/>
  <c r="H36" i="12"/>
  <c r="G36" i="12"/>
  <c r="C36" i="12"/>
  <c r="L35" i="12"/>
  <c r="K35" i="12"/>
  <c r="J35" i="12"/>
  <c r="I35" i="12"/>
  <c r="H35" i="12"/>
  <c r="G35" i="12"/>
  <c r="C35" i="12"/>
  <c r="L34" i="12"/>
  <c r="K34" i="12"/>
  <c r="J34" i="12"/>
  <c r="I34" i="12"/>
  <c r="H34" i="12"/>
  <c r="G34" i="12"/>
  <c r="C34" i="12"/>
  <c r="L33" i="12"/>
  <c r="K33" i="12"/>
  <c r="J33" i="12"/>
  <c r="I33" i="12"/>
  <c r="H33" i="12"/>
  <c r="G33" i="12"/>
  <c r="C33" i="12"/>
  <c r="L32" i="12"/>
  <c r="K32" i="12"/>
  <c r="J32" i="12"/>
  <c r="I32" i="12"/>
  <c r="H32" i="12"/>
  <c r="G32" i="12"/>
  <c r="C32" i="12"/>
  <c r="L31" i="12"/>
  <c r="K31" i="12"/>
  <c r="J31" i="12"/>
  <c r="I31" i="12"/>
  <c r="H31" i="12"/>
  <c r="G31" i="12"/>
  <c r="C31" i="12"/>
  <c r="L30" i="12"/>
  <c r="K30" i="12"/>
  <c r="J30" i="12"/>
  <c r="I30" i="12"/>
  <c r="H30" i="12"/>
  <c r="G30" i="12"/>
  <c r="C30" i="12"/>
  <c r="L29" i="12"/>
  <c r="K29" i="12"/>
  <c r="J29" i="12"/>
  <c r="I29" i="12"/>
  <c r="H29" i="12"/>
  <c r="G29" i="12"/>
  <c r="C29" i="12"/>
  <c r="L28" i="12"/>
  <c r="K28" i="12"/>
  <c r="J28" i="12"/>
  <c r="I28" i="12"/>
  <c r="H28" i="12"/>
  <c r="G28" i="12"/>
  <c r="C28" i="12"/>
  <c r="L27" i="12"/>
  <c r="K27" i="12"/>
  <c r="J27" i="12"/>
  <c r="I27" i="12"/>
  <c r="H27" i="12"/>
  <c r="G27" i="12"/>
  <c r="C27" i="12"/>
  <c r="L26" i="12"/>
  <c r="K26" i="12"/>
  <c r="J26" i="12"/>
  <c r="I26" i="12"/>
  <c r="H26" i="12"/>
  <c r="G26" i="12"/>
  <c r="C26" i="12"/>
  <c r="L25" i="12"/>
  <c r="K25" i="12"/>
  <c r="J25" i="12"/>
  <c r="I25" i="12"/>
  <c r="H25" i="12"/>
  <c r="G25" i="12"/>
  <c r="C25" i="12"/>
  <c r="L24" i="12"/>
  <c r="K24" i="12"/>
  <c r="J24" i="12"/>
  <c r="I24" i="12"/>
  <c r="H24" i="12"/>
  <c r="G24" i="12"/>
  <c r="C24" i="12"/>
  <c r="L23" i="12"/>
  <c r="K23" i="12"/>
  <c r="J23" i="12"/>
  <c r="I23" i="12"/>
  <c r="H23" i="12"/>
  <c r="G23" i="12"/>
  <c r="C23" i="12"/>
  <c r="L22" i="12"/>
  <c r="K22" i="12"/>
  <c r="J22" i="12"/>
  <c r="I22" i="12"/>
  <c r="H22" i="12"/>
  <c r="G22" i="12"/>
  <c r="C22" i="12"/>
  <c r="L21" i="12"/>
  <c r="K21" i="12"/>
  <c r="J21" i="12"/>
  <c r="I21" i="12"/>
  <c r="H21" i="12"/>
  <c r="G21" i="12"/>
  <c r="C21" i="12"/>
  <c r="L20" i="12"/>
  <c r="K20" i="12"/>
  <c r="J20" i="12"/>
  <c r="I20" i="12"/>
  <c r="H20" i="12"/>
  <c r="G20" i="12"/>
  <c r="C20" i="12"/>
  <c r="L19" i="12"/>
  <c r="K19" i="12"/>
  <c r="J19" i="12"/>
  <c r="I19" i="12"/>
  <c r="H19" i="12"/>
  <c r="G19" i="12"/>
  <c r="C19" i="12"/>
  <c r="L18" i="12"/>
  <c r="K18" i="12"/>
  <c r="J18" i="12"/>
  <c r="I18" i="12"/>
  <c r="H18" i="12"/>
  <c r="G18" i="12"/>
  <c r="C18" i="12"/>
  <c r="L17" i="12"/>
  <c r="K17" i="12"/>
  <c r="J17" i="12"/>
  <c r="I17" i="12"/>
  <c r="H17" i="12"/>
  <c r="G17" i="12"/>
  <c r="C17" i="12"/>
  <c r="L16" i="12"/>
  <c r="K16" i="12"/>
  <c r="J16" i="12"/>
  <c r="I16" i="12"/>
  <c r="H16" i="12"/>
  <c r="G16" i="12"/>
  <c r="C16" i="12"/>
  <c r="L15" i="12"/>
  <c r="K15" i="12"/>
  <c r="J15" i="12"/>
  <c r="I15" i="12"/>
  <c r="H15" i="12"/>
  <c r="G15" i="12"/>
  <c r="C15" i="12"/>
  <c r="L14" i="12"/>
  <c r="K14" i="12"/>
  <c r="J14" i="12"/>
  <c r="I14" i="12"/>
  <c r="H14" i="12"/>
  <c r="G14" i="12"/>
  <c r="C14" i="12"/>
  <c r="L13" i="12"/>
  <c r="K13" i="12"/>
  <c r="J13" i="12"/>
  <c r="I13" i="12"/>
  <c r="H13" i="12"/>
  <c r="G13" i="12"/>
  <c r="C13" i="12"/>
  <c r="L12" i="12"/>
  <c r="K12" i="12"/>
  <c r="J12" i="12"/>
  <c r="I12" i="12"/>
  <c r="H12" i="12"/>
  <c r="G12" i="12"/>
  <c r="C12" i="12"/>
  <c r="L11" i="12"/>
  <c r="K11" i="12"/>
  <c r="J11" i="12"/>
  <c r="I11" i="12"/>
  <c r="H11" i="12"/>
  <c r="G11" i="12"/>
  <c r="C11" i="12"/>
  <c r="L10" i="12"/>
  <c r="K10" i="12"/>
  <c r="J10" i="12"/>
  <c r="I10" i="12"/>
  <c r="H10" i="12"/>
  <c r="G10" i="12"/>
  <c r="C10" i="12"/>
  <c r="L9" i="12"/>
  <c r="K9" i="12"/>
  <c r="J9" i="12"/>
  <c r="I9" i="12"/>
  <c r="H9" i="12"/>
  <c r="G9" i="12"/>
  <c r="C9" i="12"/>
  <c r="C2" i="12"/>
  <c r="C3" i="12"/>
  <c r="C4" i="12"/>
  <c r="C5" i="12"/>
  <c r="G2" i="12"/>
  <c r="H2" i="12"/>
  <c r="I2" i="12"/>
  <c r="J2" i="12"/>
  <c r="K2" i="12"/>
  <c r="L2" i="12"/>
  <c r="G3" i="12"/>
  <c r="H3" i="12"/>
  <c r="I3" i="12"/>
  <c r="J3" i="12"/>
  <c r="K3" i="12"/>
  <c r="L3" i="12"/>
  <c r="G4" i="12"/>
  <c r="H4" i="12"/>
  <c r="I4" i="12"/>
  <c r="J4" i="12"/>
  <c r="K4" i="12"/>
  <c r="L4" i="12"/>
  <c r="G5" i="12"/>
  <c r="H5" i="12"/>
  <c r="I5" i="12"/>
  <c r="J5" i="12"/>
  <c r="K5" i="12"/>
  <c r="L5" i="12"/>
  <c r="C6" i="12"/>
  <c r="G6" i="12"/>
  <c r="H6" i="12"/>
  <c r="I6" i="12"/>
  <c r="J6" i="12"/>
  <c r="K6" i="12"/>
  <c r="L6" i="12"/>
  <c r="C7" i="12"/>
  <c r="G7" i="12"/>
  <c r="H7" i="12"/>
  <c r="I7" i="12"/>
  <c r="J7" i="12"/>
  <c r="K7" i="12"/>
  <c r="L7" i="12"/>
  <c r="C8" i="12"/>
  <c r="G8" i="12"/>
  <c r="H8" i="12"/>
  <c r="I8" i="12"/>
  <c r="J8" i="12"/>
  <c r="K8" i="12"/>
  <c r="L8" i="12"/>
  <c r="CC3" i="12"/>
  <c r="CC4" i="12"/>
  <c r="CC5" i="12"/>
  <c r="CC6" i="12"/>
  <c r="CC7" i="12"/>
  <c r="CC8" i="12"/>
  <c r="CB3" i="12"/>
  <c r="CB4" i="12"/>
  <c r="CB5" i="12"/>
  <c r="CB6" i="12"/>
  <c r="CB7" i="12"/>
  <c r="CB8" i="12"/>
  <c r="CA3" i="12"/>
  <c r="CA4" i="12"/>
  <c r="CA5" i="12"/>
  <c r="CA6" i="12"/>
  <c r="CA7" i="12"/>
  <c r="CA8" i="12"/>
  <c r="BZ3" i="12"/>
  <c r="BZ4" i="12"/>
  <c r="BZ5" i="12"/>
  <c r="BZ6" i="12"/>
  <c r="BZ7" i="12"/>
  <c r="BZ8" i="12"/>
  <c r="BY3" i="12"/>
  <c r="BY4" i="12"/>
  <c r="BY5" i="12"/>
  <c r="BY6" i="12"/>
  <c r="BY7" i="12"/>
  <c r="BY8" i="12"/>
  <c r="BX3" i="12"/>
  <c r="BX4" i="12"/>
  <c r="BX5" i="12"/>
  <c r="BX6" i="12"/>
  <c r="BX7" i="12"/>
  <c r="BX8" i="12"/>
  <c r="BW3" i="12"/>
  <c r="BW4" i="12"/>
  <c r="BW5" i="12"/>
  <c r="BW6" i="12"/>
  <c r="BW7" i="12"/>
  <c r="BW8" i="12"/>
  <c r="BV3" i="12"/>
  <c r="BV4" i="12"/>
  <c r="BV5" i="12"/>
  <c r="BV6" i="12"/>
  <c r="BV7" i="12"/>
  <c r="BV8" i="12"/>
  <c r="BU3" i="12"/>
  <c r="BU4" i="12"/>
  <c r="BU5" i="12"/>
  <c r="BU6" i="12"/>
  <c r="BU7" i="12"/>
  <c r="BU8" i="12"/>
  <c r="BT3" i="12"/>
  <c r="BT4" i="12"/>
  <c r="BT5" i="12"/>
  <c r="BT6" i="12"/>
  <c r="BT7" i="12"/>
  <c r="BT8" i="12"/>
  <c r="BS3" i="12"/>
  <c r="BS4" i="12"/>
  <c r="BS5" i="12"/>
  <c r="BS6" i="12"/>
  <c r="BS7" i="12"/>
  <c r="BS8" i="12"/>
  <c r="BR3" i="12"/>
  <c r="BR4" i="12"/>
  <c r="BR5" i="12"/>
  <c r="BR6" i="12"/>
  <c r="BR7" i="12"/>
  <c r="BR8" i="12"/>
  <c r="BQ3" i="12"/>
  <c r="BQ4" i="12"/>
  <c r="BQ5" i="12"/>
  <c r="BQ6" i="12"/>
  <c r="BQ7" i="12"/>
  <c r="BQ8" i="12"/>
  <c r="BP3" i="12"/>
  <c r="BP4" i="12"/>
  <c r="BP5" i="12"/>
  <c r="BP6" i="12"/>
  <c r="BP7" i="12"/>
  <c r="BP8" i="12"/>
  <c r="BO3" i="12"/>
  <c r="BO4" i="12"/>
  <c r="BO5" i="12"/>
  <c r="BO6" i="12"/>
  <c r="BO7" i="12"/>
  <c r="BO8" i="12"/>
  <c r="BN3" i="12"/>
  <c r="BN4" i="12"/>
  <c r="BN5" i="12"/>
  <c r="BN6" i="12"/>
  <c r="BN7" i="12"/>
  <c r="BN8" i="12"/>
  <c r="BM3" i="12"/>
  <c r="BM4" i="12"/>
  <c r="BM5" i="12"/>
  <c r="BM6" i="12"/>
  <c r="BM7" i="12"/>
  <c r="BM8" i="12"/>
  <c r="BL3" i="12"/>
  <c r="BL4" i="12"/>
  <c r="BL5" i="12"/>
  <c r="BL6" i="12"/>
  <c r="BL7" i="12"/>
  <c r="BL8" i="12"/>
  <c r="BK3" i="12"/>
  <c r="BK4" i="12"/>
  <c r="BK5" i="12"/>
  <c r="BK6" i="12"/>
  <c r="BK7" i="12"/>
  <c r="BK8" i="12"/>
  <c r="BJ3" i="12"/>
  <c r="BJ4" i="12"/>
  <c r="BJ5" i="12"/>
  <c r="BJ6" i="12"/>
  <c r="BJ7" i="12"/>
  <c r="BJ8" i="12"/>
  <c r="BI3" i="12"/>
  <c r="BI4" i="12"/>
  <c r="BI5" i="12"/>
  <c r="BI6" i="12"/>
  <c r="BI7" i="12"/>
  <c r="BI8" i="12"/>
  <c r="BH3" i="12"/>
  <c r="BH4" i="12"/>
  <c r="BH5" i="12"/>
  <c r="BH6" i="12"/>
  <c r="BH7" i="12"/>
  <c r="BH8" i="12"/>
  <c r="BG3" i="12"/>
  <c r="BG4" i="12"/>
  <c r="BG5" i="12"/>
  <c r="BG6" i="12"/>
  <c r="BG7" i="12"/>
  <c r="BG8" i="12"/>
  <c r="BF3" i="12"/>
  <c r="BF4" i="12"/>
  <c r="BF5" i="12"/>
  <c r="BF6" i="12"/>
  <c r="BF7" i="12"/>
  <c r="BF8" i="12"/>
  <c r="BE3" i="12"/>
  <c r="BE4" i="12"/>
  <c r="BE5" i="12"/>
  <c r="BE6" i="12"/>
  <c r="BE7" i="12"/>
  <c r="BE8" i="12"/>
  <c r="BD3" i="12"/>
  <c r="BD4" i="12"/>
  <c r="BD5" i="12"/>
  <c r="BD6" i="12"/>
  <c r="BD7" i="12"/>
  <c r="BD8" i="12"/>
  <c r="BC3" i="12"/>
  <c r="BC4" i="12"/>
  <c r="BC5" i="12"/>
  <c r="BC6" i="12"/>
  <c r="BC7" i="12"/>
  <c r="BC8" i="12"/>
  <c r="BB3" i="12"/>
  <c r="BB4" i="12"/>
  <c r="BB5" i="12"/>
  <c r="BB6" i="12"/>
  <c r="BB7" i="12"/>
  <c r="BB8" i="12"/>
  <c r="BA3" i="12"/>
  <c r="BA4" i="12"/>
  <c r="BA5" i="12"/>
  <c r="BA6" i="12"/>
  <c r="BA7" i="12"/>
  <c r="BA8" i="12"/>
  <c r="AZ3" i="12"/>
  <c r="AZ4" i="12"/>
  <c r="AZ5" i="12"/>
  <c r="AZ6" i="12"/>
  <c r="AZ7" i="12"/>
  <c r="AZ8" i="12"/>
  <c r="AY3" i="12"/>
  <c r="AY4" i="12"/>
  <c r="AY5" i="12"/>
  <c r="AY6" i="12"/>
  <c r="AY7" i="12"/>
  <c r="AY8" i="12"/>
  <c r="AX3" i="12"/>
  <c r="AX4" i="12"/>
  <c r="AX5" i="12"/>
  <c r="AX6" i="12"/>
  <c r="AX7" i="12"/>
  <c r="AX8" i="12"/>
  <c r="AW3" i="12"/>
  <c r="AW4" i="12"/>
  <c r="AW5" i="12"/>
  <c r="AW6" i="12"/>
  <c r="AW7" i="12"/>
  <c r="AW8" i="12"/>
  <c r="AV3" i="12"/>
  <c r="AV4" i="12"/>
  <c r="AV5" i="12"/>
  <c r="AV6" i="12"/>
  <c r="AV7" i="12"/>
  <c r="AV8" i="12"/>
  <c r="AU3" i="12"/>
  <c r="AU4" i="12"/>
  <c r="AU5" i="12"/>
  <c r="AU6" i="12"/>
  <c r="AU7" i="12"/>
  <c r="AU8" i="12"/>
  <c r="AT3" i="12"/>
  <c r="AT4" i="12"/>
  <c r="AT5" i="12"/>
  <c r="AT6" i="12"/>
  <c r="AT7" i="12"/>
  <c r="AT8" i="12"/>
  <c r="AS3" i="12"/>
  <c r="AS4" i="12"/>
  <c r="AS5" i="12"/>
  <c r="AS6" i="12"/>
  <c r="AS7" i="12"/>
  <c r="AS8" i="12"/>
  <c r="AR3" i="12"/>
  <c r="AR4" i="12"/>
  <c r="AR5" i="12"/>
  <c r="AR6" i="12"/>
  <c r="AR7" i="12"/>
  <c r="AR8" i="12"/>
  <c r="AQ3" i="12"/>
  <c r="AQ4" i="12"/>
  <c r="AQ5" i="12"/>
  <c r="AQ6" i="12"/>
  <c r="AQ7" i="12"/>
  <c r="AQ8" i="12"/>
  <c r="AP3" i="12"/>
  <c r="AP4" i="12"/>
  <c r="AP5" i="12"/>
  <c r="AP6" i="12"/>
  <c r="AP7" i="12"/>
  <c r="AP8" i="12"/>
  <c r="AO3" i="12"/>
  <c r="AO4" i="12"/>
  <c r="AO5" i="12"/>
  <c r="AO6" i="12"/>
  <c r="AO7" i="12"/>
  <c r="AO8" i="12"/>
  <c r="AN3" i="12"/>
  <c r="AN4" i="12"/>
  <c r="AN5" i="12"/>
  <c r="AN6" i="12"/>
  <c r="AN7" i="12"/>
  <c r="AN8" i="12"/>
  <c r="AM3" i="12"/>
  <c r="AM4" i="12"/>
  <c r="AM5" i="12"/>
  <c r="AM6" i="12"/>
  <c r="AM7" i="12"/>
  <c r="AM8" i="12"/>
  <c r="AL3" i="12"/>
  <c r="AL4" i="12"/>
  <c r="AL5" i="12"/>
  <c r="AL6" i="12"/>
  <c r="AL7" i="12"/>
  <c r="AL8" i="12"/>
  <c r="AK3" i="12"/>
  <c r="AK4" i="12"/>
  <c r="AK5" i="12"/>
  <c r="AK6" i="12"/>
  <c r="AK7" i="12"/>
  <c r="AK8" i="12"/>
  <c r="AJ3" i="12"/>
  <c r="AJ4" i="12"/>
  <c r="AJ5" i="12"/>
  <c r="AJ6" i="12"/>
  <c r="AJ7" i="12"/>
  <c r="AJ8" i="12"/>
  <c r="AI3" i="12"/>
  <c r="AI4" i="12"/>
  <c r="AI5" i="12"/>
  <c r="AI6" i="12"/>
  <c r="AI7" i="12"/>
  <c r="AI8" i="12"/>
  <c r="AH3" i="12"/>
  <c r="AH4" i="12"/>
  <c r="AH5" i="12"/>
  <c r="AH6" i="12"/>
  <c r="AH7" i="12"/>
  <c r="AH8" i="12"/>
  <c r="AG3" i="12"/>
  <c r="AG4" i="12"/>
  <c r="AG5" i="12"/>
  <c r="AG6" i="12"/>
  <c r="AG7" i="12"/>
  <c r="AG8" i="12"/>
  <c r="AF3" i="12"/>
  <c r="AF4" i="12"/>
  <c r="AF5" i="12"/>
  <c r="AF6" i="12"/>
  <c r="AF7" i="12"/>
  <c r="AF8" i="12"/>
  <c r="AE3" i="12"/>
  <c r="AE4" i="12"/>
  <c r="AE5" i="12"/>
  <c r="AE6" i="12"/>
  <c r="AE7" i="12"/>
  <c r="AE8" i="12"/>
  <c r="AD3" i="12"/>
  <c r="AD4" i="12"/>
  <c r="AD5" i="12"/>
  <c r="AD6" i="12"/>
  <c r="AD7" i="12"/>
  <c r="AD8" i="12"/>
  <c r="AC3" i="12"/>
  <c r="AC4" i="12"/>
  <c r="AC5" i="12"/>
  <c r="AC6" i="12"/>
  <c r="AC7" i="12"/>
  <c r="AC8" i="12"/>
  <c r="AB3" i="12"/>
  <c r="AB4" i="12"/>
  <c r="AB5" i="12"/>
  <c r="AB6" i="12"/>
  <c r="AB7" i="12"/>
  <c r="AB8" i="12"/>
  <c r="AA3" i="12"/>
  <c r="AA4" i="12"/>
  <c r="AA5" i="12"/>
  <c r="AA6" i="12"/>
  <c r="AA7" i="12"/>
  <c r="AA8" i="12"/>
  <c r="Z3" i="12"/>
  <c r="Z4" i="12"/>
  <c r="Z5" i="12"/>
  <c r="Z6" i="12"/>
  <c r="Z7" i="12"/>
  <c r="Z8" i="12"/>
  <c r="Y3" i="12"/>
  <c r="Y4" i="12"/>
  <c r="Y5" i="12"/>
  <c r="Y6" i="12"/>
  <c r="Y7" i="12"/>
  <c r="Y8" i="12"/>
  <c r="X3" i="12"/>
  <c r="X4" i="12"/>
  <c r="X5" i="12"/>
  <c r="X6" i="12"/>
  <c r="X7" i="12"/>
  <c r="X8" i="12"/>
  <c r="V8" i="12"/>
  <c r="U8" i="12"/>
  <c r="T8" i="12"/>
  <c r="S8" i="12"/>
  <c r="R8" i="12"/>
  <c r="Q8" i="12"/>
  <c r="N8" i="12"/>
  <c r="V7" i="12"/>
  <c r="U7" i="12"/>
  <c r="T7" i="12"/>
  <c r="S7" i="12"/>
  <c r="R7" i="12"/>
  <c r="Q7" i="12"/>
  <c r="O7" i="12"/>
  <c r="N7" i="12"/>
  <c r="V6" i="12"/>
  <c r="U6" i="12"/>
  <c r="T6" i="12"/>
  <c r="S6" i="12"/>
  <c r="R6" i="12"/>
  <c r="Q6" i="12"/>
  <c r="O6" i="12"/>
  <c r="N6" i="12"/>
  <c r="M6" i="12"/>
  <c r="V5" i="12"/>
  <c r="U5" i="12"/>
  <c r="T5" i="12"/>
  <c r="S5" i="12"/>
  <c r="R5" i="12"/>
  <c r="Q5" i="12"/>
  <c r="O5" i="12"/>
  <c r="N5" i="12"/>
  <c r="M5" i="12"/>
  <c r="V4" i="12"/>
  <c r="U4" i="12"/>
  <c r="T4" i="12"/>
  <c r="S4" i="12"/>
  <c r="R4" i="12"/>
  <c r="Q4" i="12"/>
  <c r="O4" i="12"/>
  <c r="N4" i="12"/>
  <c r="V3" i="12"/>
  <c r="U3" i="12"/>
  <c r="T3" i="12"/>
  <c r="S3" i="12"/>
  <c r="R3" i="12"/>
  <c r="Q3" i="12"/>
  <c r="O3" i="12"/>
  <c r="N3" i="12"/>
  <c r="W2" i="12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2" i="1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2" i="10"/>
  <c r="H263" i="10"/>
  <c r="H262" i="10"/>
  <c r="H261" i="10"/>
  <c r="H260" i="10"/>
  <c r="H259" i="10"/>
  <c r="H258" i="10"/>
  <c r="H257" i="10"/>
  <c r="H256" i="10"/>
  <c r="H255" i="10"/>
  <c r="K516" i="9"/>
  <c r="J516" i="9"/>
  <c r="I516" i="9"/>
  <c r="H516" i="9"/>
  <c r="G516" i="9"/>
  <c r="C516" i="9"/>
  <c r="K515" i="9"/>
  <c r="J515" i="9"/>
  <c r="I515" i="9"/>
  <c r="H515" i="9"/>
  <c r="G515" i="9"/>
  <c r="C515" i="9"/>
  <c r="K514" i="9"/>
  <c r="J514" i="9"/>
  <c r="I514" i="9"/>
  <c r="H514" i="9"/>
  <c r="G514" i="9"/>
  <c r="C514" i="9"/>
  <c r="L513" i="9"/>
  <c r="K513" i="9"/>
  <c r="J513" i="9"/>
  <c r="I513" i="9"/>
  <c r="H513" i="9"/>
  <c r="G513" i="9"/>
  <c r="C513" i="9"/>
  <c r="L512" i="9"/>
  <c r="K512" i="9"/>
  <c r="J512" i="9"/>
  <c r="I512" i="9"/>
  <c r="H512" i="9"/>
  <c r="G512" i="9"/>
  <c r="C512" i="9"/>
  <c r="L511" i="9"/>
  <c r="K511" i="9"/>
  <c r="J511" i="9"/>
  <c r="I511" i="9"/>
  <c r="H511" i="9"/>
  <c r="G511" i="9"/>
  <c r="C511" i="9"/>
  <c r="L510" i="9"/>
  <c r="K510" i="9"/>
  <c r="J510" i="9"/>
  <c r="I510" i="9"/>
  <c r="H510" i="9"/>
  <c r="G510" i="9"/>
  <c r="C510" i="9"/>
  <c r="L509" i="9"/>
  <c r="K509" i="9"/>
  <c r="J509" i="9"/>
  <c r="I509" i="9"/>
  <c r="H509" i="9"/>
  <c r="G509" i="9"/>
  <c r="C509" i="9"/>
  <c r="L508" i="9"/>
  <c r="K508" i="9"/>
  <c r="J508" i="9"/>
  <c r="I508" i="9"/>
  <c r="H508" i="9"/>
  <c r="G508" i="9"/>
  <c r="C508" i="9"/>
  <c r="L507" i="9"/>
  <c r="K507" i="9"/>
  <c r="J507" i="9"/>
  <c r="I507" i="9"/>
  <c r="H507" i="9"/>
  <c r="G507" i="9"/>
  <c r="C507" i="9"/>
  <c r="L506" i="9"/>
  <c r="K506" i="9"/>
  <c r="J506" i="9"/>
  <c r="I506" i="9"/>
  <c r="H506" i="9"/>
  <c r="G506" i="9"/>
  <c r="C506" i="9"/>
  <c r="L505" i="9"/>
  <c r="K505" i="9"/>
  <c r="J505" i="9"/>
  <c r="I505" i="9"/>
  <c r="H505" i="9"/>
  <c r="G505" i="9"/>
  <c r="C505" i="9"/>
  <c r="L504" i="9"/>
  <c r="K504" i="9"/>
  <c r="J504" i="9"/>
  <c r="I504" i="9"/>
  <c r="H504" i="9"/>
  <c r="G504" i="9"/>
  <c r="C504" i="9"/>
  <c r="L503" i="9"/>
  <c r="K503" i="9"/>
  <c r="J503" i="9"/>
  <c r="I503" i="9"/>
  <c r="H503" i="9"/>
  <c r="G503" i="9"/>
  <c r="C503" i="9"/>
  <c r="L502" i="9"/>
  <c r="K502" i="9"/>
  <c r="J502" i="9"/>
  <c r="I502" i="9"/>
  <c r="H502" i="9"/>
  <c r="G502" i="9"/>
  <c r="C502" i="9"/>
  <c r="L501" i="9"/>
  <c r="K501" i="9"/>
  <c r="J501" i="9"/>
  <c r="I501" i="9"/>
  <c r="H501" i="9"/>
  <c r="G501" i="9"/>
  <c r="C501" i="9"/>
  <c r="L500" i="9"/>
  <c r="K500" i="9"/>
  <c r="J500" i="9"/>
  <c r="I500" i="9"/>
  <c r="H500" i="9"/>
  <c r="G500" i="9"/>
  <c r="C500" i="9"/>
  <c r="L499" i="9"/>
  <c r="K499" i="9"/>
  <c r="J499" i="9"/>
  <c r="I499" i="9"/>
  <c r="H499" i="9"/>
  <c r="G499" i="9"/>
  <c r="C499" i="9"/>
  <c r="L498" i="9"/>
  <c r="K498" i="9"/>
  <c r="J498" i="9"/>
  <c r="I498" i="9"/>
  <c r="H498" i="9"/>
  <c r="G498" i="9"/>
  <c r="C498" i="9"/>
  <c r="L497" i="9"/>
  <c r="K497" i="9"/>
  <c r="J497" i="9"/>
  <c r="I497" i="9"/>
  <c r="H497" i="9"/>
  <c r="G497" i="9"/>
  <c r="C497" i="9"/>
  <c r="L496" i="9"/>
  <c r="K496" i="9"/>
  <c r="J496" i="9"/>
  <c r="I496" i="9"/>
  <c r="H496" i="9"/>
  <c r="G496" i="9"/>
  <c r="C496" i="9"/>
  <c r="L495" i="9"/>
  <c r="K495" i="9"/>
  <c r="J495" i="9"/>
  <c r="I495" i="9"/>
  <c r="H495" i="9"/>
  <c r="G495" i="9"/>
  <c r="C495" i="9"/>
  <c r="L494" i="9"/>
  <c r="K494" i="9"/>
  <c r="J494" i="9"/>
  <c r="I494" i="9"/>
  <c r="H494" i="9"/>
  <c r="G494" i="9"/>
  <c r="C494" i="9"/>
  <c r="L493" i="9"/>
  <c r="K493" i="9"/>
  <c r="J493" i="9"/>
  <c r="I493" i="9"/>
  <c r="H493" i="9"/>
  <c r="G493" i="9"/>
  <c r="C493" i="9"/>
  <c r="L492" i="9"/>
  <c r="K492" i="9"/>
  <c r="J492" i="9"/>
  <c r="I492" i="9"/>
  <c r="H492" i="9"/>
  <c r="G492" i="9"/>
  <c r="C492" i="9"/>
  <c r="L491" i="9"/>
  <c r="K491" i="9"/>
  <c r="J491" i="9"/>
  <c r="I491" i="9"/>
  <c r="H491" i="9"/>
  <c r="G491" i="9"/>
  <c r="C491" i="9"/>
  <c r="L490" i="9"/>
  <c r="K490" i="9"/>
  <c r="J490" i="9"/>
  <c r="I490" i="9"/>
  <c r="H490" i="9"/>
  <c r="G490" i="9"/>
  <c r="C490" i="9"/>
  <c r="L489" i="9"/>
  <c r="K489" i="9"/>
  <c r="J489" i="9"/>
  <c r="I489" i="9"/>
  <c r="H489" i="9"/>
  <c r="G489" i="9"/>
  <c r="C489" i="9"/>
  <c r="L488" i="9"/>
  <c r="K488" i="9"/>
  <c r="J488" i="9"/>
  <c r="I488" i="9"/>
  <c r="H488" i="9"/>
  <c r="G488" i="9"/>
  <c r="C488" i="9"/>
  <c r="L487" i="9"/>
  <c r="K487" i="9"/>
  <c r="J487" i="9"/>
  <c r="I487" i="9"/>
  <c r="H487" i="9"/>
  <c r="G487" i="9"/>
  <c r="C487" i="9"/>
  <c r="L486" i="9"/>
  <c r="K486" i="9"/>
  <c r="J486" i="9"/>
  <c r="I486" i="9"/>
  <c r="H486" i="9"/>
  <c r="G486" i="9"/>
  <c r="C486" i="9"/>
  <c r="L485" i="9"/>
  <c r="K485" i="9"/>
  <c r="J485" i="9"/>
  <c r="I485" i="9"/>
  <c r="H485" i="9"/>
  <c r="G485" i="9"/>
  <c r="C485" i="9"/>
  <c r="L484" i="9"/>
  <c r="K484" i="9"/>
  <c r="J484" i="9"/>
  <c r="I484" i="9"/>
  <c r="H484" i="9"/>
  <c r="G484" i="9"/>
  <c r="C484" i="9"/>
  <c r="L483" i="9"/>
  <c r="K483" i="9"/>
  <c r="J483" i="9"/>
  <c r="I483" i="9"/>
  <c r="H483" i="9"/>
  <c r="G483" i="9"/>
  <c r="C483" i="9"/>
  <c r="L482" i="9"/>
  <c r="K482" i="9"/>
  <c r="J482" i="9"/>
  <c r="I482" i="9"/>
  <c r="H482" i="9"/>
  <c r="G482" i="9"/>
  <c r="C482" i="9"/>
  <c r="L481" i="9"/>
  <c r="K481" i="9"/>
  <c r="J481" i="9"/>
  <c r="I481" i="9"/>
  <c r="H481" i="9"/>
  <c r="G481" i="9"/>
  <c r="C481" i="9"/>
  <c r="L480" i="9"/>
  <c r="K480" i="9"/>
  <c r="J480" i="9"/>
  <c r="I480" i="9"/>
  <c r="H480" i="9"/>
  <c r="G480" i="9"/>
  <c r="C480" i="9"/>
  <c r="L479" i="9"/>
  <c r="K479" i="9"/>
  <c r="J479" i="9"/>
  <c r="I479" i="9"/>
  <c r="H479" i="9"/>
  <c r="G479" i="9"/>
  <c r="C479" i="9"/>
  <c r="L478" i="9"/>
  <c r="K478" i="9"/>
  <c r="J478" i="9"/>
  <c r="I478" i="9"/>
  <c r="H478" i="9"/>
  <c r="G478" i="9"/>
  <c r="C478" i="9"/>
  <c r="L477" i="9"/>
  <c r="K477" i="9"/>
  <c r="J477" i="9"/>
  <c r="I477" i="9"/>
  <c r="H477" i="9"/>
  <c r="G477" i="9"/>
  <c r="C477" i="9"/>
  <c r="L476" i="9"/>
  <c r="K476" i="9"/>
  <c r="J476" i="9"/>
  <c r="I476" i="9"/>
  <c r="H476" i="9"/>
  <c r="G476" i="9"/>
  <c r="C476" i="9"/>
  <c r="L475" i="9"/>
  <c r="K475" i="9"/>
  <c r="J475" i="9"/>
  <c r="I475" i="9"/>
  <c r="H475" i="9"/>
  <c r="G475" i="9"/>
  <c r="C475" i="9"/>
  <c r="L474" i="9"/>
  <c r="K474" i="9"/>
  <c r="J474" i="9"/>
  <c r="I474" i="9"/>
  <c r="H474" i="9"/>
  <c r="G474" i="9"/>
  <c r="C474" i="9"/>
  <c r="L473" i="9"/>
  <c r="K473" i="9"/>
  <c r="J473" i="9"/>
  <c r="I473" i="9"/>
  <c r="H473" i="9"/>
  <c r="G473" i="9"/>
  <c r="C473" i="9"/>
  <c r="L472" i="9"/>
  <c r="K472" i="9"/>
  <c r="J472" i="9"/>
  <c r="I472" i="9"/>
  <c r="H472" i="9"/>
  <c r="G472" i="9"/>
  <c r="C472" i="9"/>
  <c r="L471" i="9"/>
  <c r="K471" i="9"/>
  <c r="J471" i="9"/>
  <c r="I471" i="9"/>
  <c r="H471" i="9"/>
  <c r="G471" i="9"/>
  <c r="C471" i="9"/>
  <c r="L470" i="9"/>
  <c r="K470" i="9"/>
  <c r="J470" i="9"/>
  <c r="I470" i="9"/>
  <c r="H470" i="9"/>
  <c r="G470" i="9"/>
  <c r="C470" i="9"/>
  <c r="L469" i="9"/>
  <c r="K469" i="9"/>
  <c r="J469" i="9"/>
  <c r="I469" i="9"/>
  <c r="H469" i="9"/>
  <c r="G469" i="9"/>
  <c r="C469" i="9"/>
  <c r="L468" i="9"/>
  <c r="K468" i="9"/>
  <c r="J468" i="9"/>
  <c r="I468" i="9"/>
  <c r="H468" i="9"/>
  <c r="G468" i="9"/>
  <c r="C468" i="9"/>
  <c r="L467" i="9"/>
  <c r="K467" i="9"/>
  <c r="J467" i="9"/>
  <c r="I467" i="9"/>
  <c r="H467" i="9"/>
  <c r="G467" i="9"/>
  <c r="C467" i="9"/>
  <c r="L466" i="9"/>
  <c r="K466" i="9"/>
  <c r="J466" i="9"/>
  <c r="I466" i="9"/>
  <c r="H466" i="9"/>
  <c r="G466" i="9"/>
  <c r="C466" i="9"/>
  <c r="L465" i="9"/>
  <c r="K465" i="9"/>
  <c r="J465" i="9"/>
  <c r="I465" i="9"/>
  <c r="H465" i="9"/>
  <c r="G465" i="9"/>
  <c r="C465" i="9"/>
  <c r="L464" i="9"/>
  <c r="K464" i="9"/>
  <c r="J464" i="9"/>
  <c r="I464" i="9"/>
  <c r="H464" i="9"/>
  <c r="G464" i="9"/>
  <c r="C464" i="9"/>
  <c r="L463" i="9"/>
  <c r="K463" i="9"/>
  <c r="J463" i="9"/>
  <c r="I463" i="9"/>
  <c r="H463" i="9"/>
  <c r="G463" i="9"/>
  <c r="C463" i="9"/>
  <c r="L462" i="9"/>
  <c r="K462" i="9"/>
  <c r="J462" i="9"/>
  <c r="I462" i="9"/>
  <c r="H462" i="9"/>
  <c r="G462" i="9"/>
  <c r="C462" i="9"/>
  <c r="L461" i="9"/>
  <c r="K461" i="9"/>
  <c r="J461" i="9"/>
  <c r="I461" i="9"/>
  <c r="H461" i="9"/>
  <c r="G461" i="9"/>
  <c r="C461" i="9"/>
  <c r="L460" i="9"/>
  <c r="K460" i="9"/>
  <c r="J460" i="9"/>
  <c r="I460" i="9"/>
  <c r="H460" i="9"/>
  <c r="G460" i="9"/>
  <c r="C460" i="9"/>
  <c r="L459" i="9"/>
  <c r="K459" i="9"/>
  <c r="J459" i="9"/>
  <c r="I459" i="9"/>
  <c r="H459" i="9"/>
  <c r="G459" i="9"/>
  <c r="C459" i="9"/>
  <c r="L458" i="9"/>
  <c r="K458" i="9"/>
  <c r="J458" i="9"/>
  <c r="I458" i="9"/>
  <c r="H458" i="9"/>
  <c r="G458" i="9"/>
  <c r="C458" i="9"/>
  <c r="L457" i="9"/>
  <c r="K457" i="9"/>
  <c r="J457" i="9"/>
  <c r="I457" i="9"/>
  <c r="H457" i="9"/>
  <c r="G457" i="9"/>
  <c r="C457" i="9"/>
  <c r="L456" i="9"/>
  <c r="K456" i="9"/>
  <c r="J456" i="9"/>
  <c r="I456" i="9"/>
  <c r="H456" i="9"/>
  <c r="G456" i="9"/>
  <c r="C456" i="9"/>
  <c r="L455" i="9"/>
  <c r="K455" i="9"/>
  <c r="J455" i="9"/>
  <c r="I455" i="9"/>
  <c r="H455" i="9"/>
  <c r="G455" i="9"/>
  <c r="C455" i="9"/>
  <c r="L454" i="9"/>
  <c r="K454" i="9"/>
  <c r="J454" i="9"/>
  <c r="I454" i="9"/>
  <c r="H454" i="9"/>
  <c r="G454" i="9"/>
  <c r="C454" i="9"/>
  <c r="L453" i="9"/>
  <c r="K453" i="9"/>
  <c r="J453" i="9"/>
  <c r="I453" i="9"/>
  <c r="H453" i="9"/>
  <c r="G453" i="9"/>
  <c r="C453" i="9"/>
  <c r="L452" i="9"/>
  <c r="K452" i="9"/>
  <c r="J452" i="9"/>
  <c r="I452" i="9"/>
  <c r="H452" i="9"/>
  <c r="G452" i="9"/>
  <c r="C452" i="9"/>
  <c r="L451" i="9"/>
  <c r="K451" i="9"/>
  <c r="J451" i="9"/>
  <c r="I451" i="9"/>
  <c r="H451" i="9"/>
  <c r="G451" i="9"/>
  <c r="C451" i="9"/>
  <c r="L450" i="9"/>
  <c r="K450" i="9"/>
  <c r="J450" i="9"/>
  <c r="I450" i="9"/>
  <c r="H450" i="9"/>
  <c r="G450" i="9"/>
  <c r="C450" i="9"/>
  <c r="L449" i="9"/>
  <c r="K449" i="9"/>
  <c r="J449" i="9"/>
  <c r="I449" i="9"/>
  <c r="H449" i="9"/>
  <c r="G449" i="9"/>
  <c r="C449" i="9"/>
  <c r="L448" i="9"/>
  <c r="K448" i="9"/>
  <c r="J448" i="9"/>
  <c r="I448" i="9"/>
  <c r="H448" i="9"/>
  <c r="G448" i="9"/>
  <c r="C448" i="9"/>
  <c r="L447" i="9"/>
  <c r="K447" i="9"/>
  <c r="J447" i="9"/>
  <c r="I447" i="9"/>
  <c r="H447" i="9"/>
  <c r="G447" i="9"/>
  <c r="C447" i="9"/>
  <c r="L446" i="9"/>
  <c r="K446" i="9"/>
  <c r="J446" i="9"/>
  <c r="I446" i="9"/>
  <c r="H446" i="9"/>
  <c r="G446" i="9"/>
  <c r="C446" i="9"/>
  <c r="L445" i="9"/>
  <c r="K445" i="9"/>
  <c r="J445" i="9"/>
  <c r="I445" i="9"/>
  <c r="H445" i="9"/>
  <c r="G445" i="9"/>
  <c r="C445" i="9"/>
  <c r="L444" i="9"/>
  <c r="K444" i="9"/>
  <c r="J444" i="9"/>
  <c r="I444" i="9"/>
  <c r="H444" i="9"/>
  <c r="G444" i="9"/>
  <c r="C444" i="9"/>
  <c r="L443" i="9"/>
  <c r="K443" i="9"/>
  <c r="J443" i="9"/>
  <c r="I443" i="9"/>
  <c r="H443" i="9"/>
  <c r="G443" i="9"/>
  <c r="C443" i="9"/>
  <c r="L442" i="9"/>
  <c r="K442" i="9"/>
  <c r="J442" i="9"/>
  <c r="I442" i="9"/>
  <c r="H442" i="9"/>
  <c r="G442" i="9"/>
  <c r="C442" i="9"/>
  <c r="L441" i="9"/>
  <c r="K441" i="9"/>
  <c r="J441" i="9"/>
  <c r="I441" i="9"/>
  <c r="H441" i="9"/>
  <c r="G441" i="9"/>
  <c r="C441" i="9"/>
  <c r="L440" i="9"/>
  <c r="K440" i="9"/>
  <c r="J440" i="9"/>
  <c r="I440" i="9"/>
  <c r="H440" i="9"/>
  <c r="G440" i="9"/>
  <c r="C440" i="9"/>
  <c r="L439" i="9"/>
  <c r="K439" i="9"/>
  <c r="J439" i="9"/>
  <c r="I439" i="9"/>
  <c r="H439" i="9"/>
  <c r="G439" i="9"/>
  <c r="C439" i="9"/>
  <c r="L438" i="9"/>
  <c r="K438" i="9"/>
  <c r="J438" i="9"/>
  <c r="I438" i="9"/>
  <c r="H438" i="9"/>
  <c r="G438" i="9"/>
  <c r="C438" i="9"/>
  <c r="L437" i="9"/>
  <c r="K437" i="9"/>
  <c r="J437" i="9"/>
  <c r="I437" i="9"/>
  <c r="H437" i="9"/>
  <c r="G437" i="9"/>
  <c r="C437" i="9"/>
  <c r="L436" i="9"/>
  <c r="K436" i="9"/>
  <c r="J436" i="9"/>
  <c r="I436" i="9"/>
  <c r="H436" i="9"/>
  <c r="G436" i="9"/>
  <c r="C436" i="9"/>
  <c r="L435" i="9"/>
  <c r="K435" i="9"/>
  <c r="J435" i="9"/>
  <c r="I435" i="9"/>
  <c r="H435" i="9"/>
  <c r="G435" i="9"/>
  <c r="C435" i="9"/>
  <c r="L434" i="9"/>
  <c r="K434" i="9"/>
  <c r="J434" i="9"/>
  <c r="I434" i="9"/>
  <c r="H434" i="9"/>
  <c r="G434" i="9"/>
  <c r="C434" i="9"/>
  <c r="L433" i="9"/>
  <c r="K433" i="9"/>
  <c r="J433" i="9"/>
  <c r="I433" i="9"/>
  <c r="H433" i="9"/>
  <c r="G433" i="9"/>
  <c r="C433" i="9"/>
  <c r="L432" i="9"/>
  <c r="K432" i="9"/>
  <c r="J432" i="9"/>
  <c r="I432" i="9"/>
  <c r="H432" i="9"/>
  <c r="G432" i="9"/>
  <c r="C432" i="9"/>
  <c r="L431" i="9"/>
  <c r="K431" i="9"/>
  <c r="J431" i="9"/>
  <c r="I431" i="9"/>
  <c r="H431" i="9"/>
  <c r="G431" i="9"/>
  <c r="C431" i="9"/>
  <c r="L430" i="9"/>
  <c r="K430" i="9"/>
  <c r="J430" i="9"/>
  <c r="I430" i="9"/>
  <c r="H430" i="9"/>
  <c r="G430" i="9"/>
  <c r="C430" i="9"/>
  <c r="L429" i="9"/>
  <c r="K429" i="9"/>
  <c r="J429" i="9"/>
  <c r="I429" i="9"/>
  <c r="H429" i="9"/>
  <c r="G429" i="9"/>
  <c r="C429" i="9"/>
  <c r="L428" i="9"/>
  <c r="K428" i="9"/>
  <c r="J428" i="9"/>
  <c r="I428" i="9"/>
  <c r="H428" i="9"/>
  <c r="G428" i="9"/>
  <c r="C428" i="9"/>
  <c r="L427" i="9"/>
  <c r="K427" i="9"/>
  <c r="J427" i="9"/>
  <c r="I427" i="9"/>
  <c r="H427" i="9"/>
  <c r="G427" i="9"/>
  <c r="C427" i="9"/>
  <c r="L426" i="9"/>
  <c r="K426" i="9"/>
  <c r="J426" i="9"/>
  <c r="I426" i="9"/>
  <c r="H426" i="9"/>
  <c r="G426" i="9"/>
  <c r="C426" i="9"/>
  <c r="L425" i="9"/>
  <c r="K425" i="9"/>
  <c r="J425" i="9"/>
  <c r="I425" i="9"/>
  <c r="H425" i="9"/>
  <c r="G425" i="9"/>
  <c r="C425" i="9"/>
  <c r="L424" i="9"/>
  <c r="K424" i="9"/>
  <c r="J424" i="9"/>
  <c r="I424" i="9"/>
  <c r="H424" i="9"/>
  <c r="G424" i="9"/>
  <c r="C424" i="9"/>
  <c r="L423" i="9"/>
  <c r="K423" i="9"/>
  <c r="J423" i="9"/>
  <c r="I423" i="9"/>
  <c r="H423" i="9"/>
  <c r="G423" i="9"/>
  <c r="C423" i="9"/>
  <c r="L422" i="9"/>
  <c r="K422" i="9"/>
  <c r="J422" i="9"/>
  <c r="I422" i="9"/>
  <c r="H422" i="9"/>
  <c r="G422" i="9"/>
  <c r="C422" i="9"/>
  <c r="L421" i="9"/>
  <c r="K421" i="9"/>
  <c r="J421" i="9"/>
  <c r="I421" i="9"/>
  <c r="H421" i="9"/>
  <c r="G421" i="9"/>
  <c r="C421" i="9"/>
  <c r="L420" i="9"/>
  <c r="K420" i="9"/>
  <c r="J420" i="9"/>
  <c r="I420" i="9"/>
  <c r="H420" i="9"/>
  <c r="G420" i="9"/>
  <c r="C420" i="9"/>
  <c r="L419" i="9"/>
  <c r="K419" i="9"/>
  <c r="J419" i="9"/>
  <c r="I419" i="9"/>
  <c r="H419" i="9"/>
  <c r="G419" i="9"/>
  <c r="C419" i="9"/>
  <c r="L418" i="9"/>
  <c r="K418" i="9"/>
  <c r="J418" i="9"/>
  <c r="I418" i="9"/>
  <c r="H418" i="9"/>
  <c r="G418" i="9"/>
  <c r="C418" i="9"/>
  <c r="L417" i="9"/>
  <c r="K417" i="9"/>
  <c r="J417" i="9"/>
  <c r="I417" i="9"/>
  <c r="H417" i="9"/>
  <c r="G417" i="9"/>
  <c r="C417" i="9"/>
  <c r="L416" i="9"/>
  <c r="K416" i="9"/>
  <c r="J416" i="9"/>
  <c r="I416" i="9"/>
  <c r="H416" i="9"/>
  <c r="G416" i="9"/>
  <c r="C416" i="9"/>
  <c r="L415" i="9"/>
  <c r="K415" i="9"/>
  <c r="J415" i="9"/>
  <c r="I415" i="9"/>
  <c r="H415" i="9"/>
  <c r="G415" i="9"/>
  <c r="C415" i="9"/>
  <c r="L414" i="9"/>
  <c r="K414" i="9"/>
  <c r="J414" i="9"/>
  <c r="I414" i="9"/>
  <c r="H414" i="9"/>
  <c r="G414" i="9"/>
  <c r="C414" i="9"/>
  <c r="L413" i="9"/>
  <c r="K413" i="9"/>
  <c r="J413" i="9"/>
  <c r="I413" i="9"/>
  <c r="H413" i="9"/>
  <c r="G413" i="9"/>
  <c r="C413" i="9"/>
  <c r="L412" i="9"/>
  <c r="K412" i="9"/>
  <c r="J412" i="9"/>
  <c r="I412" i="9"/>
  <c r="H412" i="9"/>
  <c r="G412" i="9"/>
  <c r="C412" i="9"/>
  <c r="L411" i="9"/>
  <c r="K411" i="9"/>
  <c r="J411" i="9"/>
  <c r="I411" i="9"/>
  <c r="H411" i="9"/>
  <c r="G411" i="9"/>
  <c r="C411" i="9"/>
  <c r="L410" i="9"/>
  <c r="K410" i="9"/>
  <c r="J410" i="9"/>
  <c r="I410" i="9"/>
  <c r="H410" i="9"/>
  <c r="G410" i="9"/>
  <c r="C410" i="9"/>
  <c r="L409" i="9"/>
  <c r="K409" i="9"/>
  <c r="J409" i="9"/>
  <c r="I409" i="9"/>
  <c r="H409" i="9"/>
  <c r="G409" i="9"/>
  <c r="C409" i="9"/>
  <c r="L408" i="9"/>
  <c r="K408" i="9"/>
  <c r="J408" i="9"/>
  <c r="I408" i="9"/>
  <c r="H408" i="9"/>
  <c r="G408" i="9"/>
  <c r="C408" i="9"/>
  <c r="L407" i="9"/>
  <c r="K407" i="9"/>
  <c r="J407" i="9"/>
  <c r="I407" i="9"/>
  <c r="H407" i="9"/>
  <c r="G407" i="9"/>
  <c r="C407" i="9"/>
  <c r="L406" i="9"/>
  <c r="K406" i="9"/>
  <c r="J406" i="9"/>
  <c r="I406" i="9"/>
  <c r="H406" i="9"/>
  <c r="G406" i="9"/>
  <c r="C406" i="9"/>
  <c r="L405" i="9"/>
  <c r="K405" i="9"/>
  <c r="J405" i="9"/>
  <c r="I405" i="9"/>
  <c r="H405" i="9"/>
  <c r="G405" i="9"/>
  <c r="C405" i="9"/>
  <c r="L404" i="9"/>
  <c r="K404" i="9"/>
  <c r="J404" i="9"/>
  <c r="I404" i="9"/>
  <c r="H404" i="9"/>
  <c r="G404" i="9"/>
  <c r="C404" i="9"/>
  <c r="L403" i="9"/>
  <c r="K403" i="9"/>
  <c r="J403" i="9"/>
  <c r="I403" i="9"/>
  <c r="H403" i="9"/>
  <c r="G403" i="9"/>
  <c r="C403" i="9"/>
  <c r="L402" i="9"/>
  <c r="K402" i="9"/>
  <c r="J402" i="9"/>
  <c r="I402" i="9"/>
  <c r="H402" i="9"/>
  <c r="G402" i="9"/>
  <c r="C402" i="9"/>
  <c r="L401" i="9"/>
  <c r="K401" i="9"/>
  <c r="J401" i="9"/>
  <c r="I401" i="9"/>
  <c r="H401" i="9"/>
  <c r="G401" i="9"/>
  <c r="C401" i="9"/>
  <c r="L400" i="9"/>
  <c r="K400" i="9"/>
  <c r="J400" i="9"/>
  <c r="I400" i="9"/>
  <c r="H400" i="9"/>
  <c r="G400" i="9"/>
  <c r="C400" i="9"/>
  <c r="L399" i="9"/>
  <c r="K399" i="9"/>
  <c r="J399" i="9"/>
  <c r="I399" i="9"/>
  <c r="H399" i="9"/>
  <c r="G399" i="9"/>
  <c r="C399" i="9"/>
  <c r="L398" i="9"/>
  <c r="K398" i="9"/>
  <c r="J398" i="9"/>
  <c r="I398" i="9"/>
  <c r="H398" i="9"/>
  <c r="G398" i="9"/>
  <c r="C398" i="9"/>
  <c r="L397" i="9"/>
  <c r="K397" i="9"/>
  <c r="J397" i="9"/>
  <c r="I397" i="9"/>
  <c r="H397" i="9"/>
  <c r="G397" i="9"/>
  <c r="C397" i="9"/>
  <c r="L396" i="9"/>
  <c r="K396" i="9"/>
  <c r="J396" i="9"/>
  <c r="I396" i="9"/>
  <c r="H396" i="9"/>
  <c r="G396" i="9"/>
  <c r="C396" i="9"/>
  <c r="L395" i="9"/>
  <c r="K395" i="9"/>
  <c r="J395" i="9"/>
  <c r="I395" i="9"/>
  <c r="H395" i="9"/>
  <c r="G395" i="9"/>
  <c r="C395" i="9"/>
  <c r="L394" i="9"/>
  <c r="K394" i="9"/>
  <c r="J394" i="9"/>
  <c r="I394" i="9"/>
  <c r="H394" i="9"/>
  <c r="G394" i="9"/>
  <c r="C394" i="9"/>
  <c r="L393" i="9"/>
  <c r="K393" i="9"/>
  <c r="J393" i="9"/>
  <c r="I393" i="9"/>
  <c r="H393" i="9"/>
  <c r="G393" i="9"/>
  <c r="C393" i="9"/>
  <c r="L392" i="9"/>
  <c r="K392" i="9"/>
  <c r="J392" i="9"/>
  <c r="I392" i="9"/>
  <c r="H392" i="9"/>
  <c r="G392" i="9"/>
  <c r="C392" i="9"/>
  <c r="L391" i="9"/>
  <c r="K391" i="9"/>
  <c r="J391" i="9"/>
  <c r="I391" i="9"/>
  <c r="H391" i="9"/>
  <c r="G391" i="9"/>
  <c r="C391" i="9"/>
  <c r="L390" i="9"/>
  <c r="K390" i="9"/>
  <c r="J390" i="9"/>
  <c r="I390" i="9"/>
  <c r="H390" i="9"/>
  <c r="G390" i="9"/>
  <c r="C390" i="9"/>
  <c r="L389" i="9"/>
  <c r="K389" i="9"/>
  <c r="J389" i="9"/>
  <c r="I389" i="9"/>
  <c r="H389" i="9"/>
  <c r="G389" i="9"/>
  <c r="C389" i="9"/>
  <c r="L388" i="9"/>
  <c r="K388" i="9"/>
  <c r="J388" i="9"/>
  <c r="I388" i="9"/>
  <c r="H388" i="9"/>
  <c r="G388" i="9"/>
  <c r="C388" i="9"/>
  <c r="L387" i="9"/>
  <c r="K387" i="9"/>
  <c r="J387" i="9"/>
  <c r="I387" i="9"/>
  <c r="H387" i="9"/>
  <c r="G387" i="9"/>
  <c r="C387" i="9"/>
  <c r="L386" i="9"/>
  <c r="K386" i="9"/>
  <c r="J386" i="9"/>
  <c r="I386" i="9"/>
  <c r="H386" i="9"/>
  <c r="G386" i="9"/>
  <c r="C386" i="9"/>
  <c r="L385" i="9"/>
  <c r="K385" i="9"/>
  <c r="J385" i="9"/>
  <c r="I385" i="9"/>
  <c r="H385" i="9"/>
  <c r="G385" i="9"/>
  <c r="C385" i="9"/>
  <c r="L384" i="9"/>
  <c r="K384" i="9"/>
  <c r="J384" i="9"/>
  <c r="I384" i="9"/>
  <c r="H384" i="9"/>
  <c r="G384" i="9"/>
  <c r="C384" i="9"/>
  <c r="L383" i="9"/>
  <c r="K383" i="9"/>
  <c r="J383" i="9"/>
  <c r="I383" i="9"/>
  <c r="H383" i="9"/>
  <c r="G383" i="9"/>
  <c r="C383" i="9"/>
  <c r="L382" i="9"/>
  <c r="K382" i="9"/>
  <c r="J382" i="9"/>
  <c r="I382" i="9"/>
  <c r="H382" i="9"/>
  <c r="G382" i="9"/>
  <c r="C382" i="9"/>
  <c r="L381" i="9"/>
  <c r="K381" i="9"/>
  <c r="J381" i="9"/>
  <c r="I381" i="9"/>
  <c r="H381" i="9"/>
  <c r="G381" i="9"/>
  <c r="C381" i="9"/>
  <c r="L380" i="9"/>
  <c r="K380" i="9"/>
  <c r="J380" i="9"/>
  <c r="I380" i="9"/>
  <c r="H380" i="9"/>
  <c r="G380" i="9"/>
  <c r="C380" i="9"/>
  <c r="L379" i="9"/>
  <c r="K379" i="9"/>
  <c r="J379" i="9"/>
  <c r="I379" i="9"/>
  <c r="H379" i="9"/>
  <c r="G379" i="9"/>
  <c r="C379" i="9"/>
  <c r="L378" i="9"/>
  <c r="K378" i="9"/>
  <c r="J378" i="9"/>
  <c r="I378" i="9"/>
  <c r="H378" i="9"/>
  <c r="G378" i="9"/>
  <c r="C378" i="9"/>
  <c r="L377" i="9"/>
  <c r="K377" i="9"/>
  <c r="J377" i="9"/>
  <c r="I377" i="9"/>
  <c r="H377" i="9"/>
  <c r="G377" i="9"/>
  <c r="C377" i="9"/>
  <c r="L376" i="9"/>
  <c r="K376" i="9"/>
  <c r="J376" i="9"/>
  <c r="I376" i="9"/>
  <c r="H376" i="9"/>
  <c r="G376" i="9"/>
  <c r="C376" i="9"/>
  <c r="L375" i="9"/>
  <c r="K375" i="9"/>
  <c r="J375" i="9"/>
  <c r="I375" i="9"/>
  <c r="H375" i="9"/>
  <c r="G375" i="9"/>
  <c r="C375" i="9"/>
  <c r="L374" i="9"/>
  <c r="K374" i="9"/>
  <c r="J374" i="9"/>
  <c r="I374" i="9"/>
  <c r="H374" i="9"/>
  <c r="G374" i="9"/>
  <c r="C374" i="9"/>
  <c r="L373" i="9"/>
  <c r="K373" i="9"/>
  <c r="J373" i="9"/>
  <c r="I373" i="9"/>
  <c r="H373" i="9"/>
  <c r="G373" i="9"/>
  <c r="C373" i="9"/>
  <c r="L372" i="9"/>
  <c r="K372" i="9"/>
  <c r="J372" i="9"/>
  <c r="I372" i="9"/>
  <c r="H372" i="9"/>
  <c r="G372" i="9"/>
  <c r="C372" i="9"/>
  <c r="L371" i="9"/>
  <c r="K371" i="9"/>
  <c r="J371" i="9"/>
  <c r="I371" i="9"/>
  <c r="H371" i="9"/>
  <c r="G371" i="9"/>
  <c r="C371" i="9"/>
  <c r="L370" i="9"/>
  <c r="K370" i="9"/>
  <c r="J370" i="9"/>
  <c r="I370" i="9"/>
  <c r="H370" i="9"/>
  <c r="G370" i="9"/>
  <c r="C370" i="9"/>
  <c r="L369" i="9"/>
  <c r="K369" i="9"/>
  <c r="J369" i="9"/>
  <c r="I369" i="9"/>
  <c r="H369" i="9"/>
  <c r="G369" i="9"/>
  <c r="C369" i="9"/>
  <c r="L368" i="9"/>
  <c r="K368" i="9"/>
  <c r="J368" i="9"/>
  <c r="I368" i="9"/>
  <c r="H368" i="9"/>
  <c r="G368" i="9"/>
  <c r="C368" i="9"/>
  <c r="L367" i="9"/>
  <c r="K367" i="9"/>
  <c r="J367" i="9"/>
  <c r="I367" i="9"/>
  <c r="H367" i="9"/>
  <c r="G367" i="9"/>
  <c r="C367" i="9"/>
  <c r="L366" i="9"/>
  <c r="K366" i="9"/>
  <c r="J366" i="9"/>
  <c r="I366" i="9"/>
  <c r="H366" i="9"/>
  <c r="G366" i="9"/>
  <c r="C366" i="9"/>
  <c r="L365" i="9"/>
  <c r="K365" i="9"/>
  <c r="J365" i="9"/>
  <c r="I365" i="9"/>
  <c r="H365" i="9"/>
  <c r="G365" i="9"/>
  <c r="C365" i="9"/>
  <c r="L364" i="9"/>
  <c r="K364" i="9"/>
  <c r="J364" i="9"/>
  <c r="I364" i="9"/>
  <c r="H364" i="9"/>
  <c r="G364" i="9"/>
  <c r="C364" i="9"/>
  <c r="L363" i="9"/>
  <c r="K363" i="9"/>
  <c r="J363" i="9"/>
  <c r="I363" i="9"/>
  <c r="H363" i="9"/>
  <c r="G363" i="9"/>
  <c r="C363" i="9"/>
  <c r="L362" i="9"/>
  <c r="K362" i="9"/>
  <c r="J362" i="9"/>
  <c r="I362" i="9"/>
  <c r="H362" i="9"/>
  <c r="G362" i="9"/>
  <c r="C362" i="9"/>
  <c r="L361" i="9"/>
  <c r="K361" i="9"/>
  <c r="J361" i="9"/>
  <c r="I361" i="9"/>
  <c r="H361" i="9"/>
  <c r="G361" i="9"/>
  <c r="C361" i="9"/>
  <c r="L360" i="9"/>
  <c r="K360" i="9"/>
  <c r="J360" i="9"/>
  <c r="I360" i="9"/>
  <c r="H360" i="9"/>
  <c r="G360" i="9"/>
  <c r="C360" i="9"/>
  <c r="L359" i="9"/>
  <c r="K359" i="9"/>
  <c r="J359" i="9"/>
  <c r="I359" i="9"/>
  <c r="H359" i="9"/>
  <c r="G359" i="9"/>
  <c r="C359" i="9"/>
  <c r="L358" i="9"/>
  <c r="K358" i="9"/>
  <c r="J358" i="9"/>
  <c r="I358" i="9"/>
  <c r="H358" i="9"/>
  <c r="G358" i="9"/>
  <c r="C358" i="9"/>
  <c r="L357" i="9"/>
  <c r="K357" i="9"/>
  <c r="J357" i="9"/>
  <c r="I357" i="9"/>
  <c r="H357" i="9"/>
  <c r="G357" i="9"/>
  <c r="C357" i="9"/>
  <c r="L356" i="9"/>
  <c r="K356" i="9"/>
  <c r="J356" i="9"/>
  <c r="I356" i="9"/>
  <c r="H356" i="9"/>
  <c r="G356" i="9"/>
  <c r="C356" i="9"/>
  <c r="L355" i="9"/>
  <c r="K355" i="9"/>
  <c r="J355" i="9"/>
  <c r="I355" i="9"/>
  <c r="H355" i="9"/>
  <c r="G355" i="9"/>
  <c r="C355" i="9"/>
  <c r="L354" i="9"/>
  <c r="K354" i="9"/>
  <c r="J354" i="9"/>
  <c r="I354" i="9"/>
  <c r="H354" i="9"/>
  <c r="G354" i="9"/>
  <c r="C354" i="9"/>
  <c r="L353" i="9"/>
  <c r="K353" i="9"/>
  <c r="J353" i="9"/>
  <c r="I353" i="9"/>
  <c r="H353" i="9"/>
  <c r="G353" i="9"/>
  <c r="C353" i="9"/>
  <c r="L352" i="9"/>
  <c r="K352" i="9"/>
  <c r="J352" i="9"/>
  <c r="I352" i="9"/>
  <c r="H352" i="9"/>
  <c r="G352" i="9"/>
  <c r="C352" i="9"/>
  <c r="L351" i="9"/>
  <c r="K351" i="9"/>
  <c r="J351" i="9"/>
  <c r="I351" i="9"/>
  <c r="H351" i="9"/>
  <c r="G351" i="9"/>
  <c r="C351" i="9"/>
  <c r="L350" i="9"/>
  <c r="K350" i="9"/>
  <c r="J350" i="9"/>
  <c r="I350" i="9"/>
  <c r="H350" i="9"/>
  <c r="G350" i="9"/>
  <c r="C350" i="9"/>
  <c r="L349" i="9"/>
  <c r="K349" i="9"/>
  <c r="J349" i="9"/>
  <c r="I349" i="9"/>
  <c r="H349" i="9"/>
  <c r="G349" i="9"/>
  <c r="C349" i="9"/>
  <c r="L348" i="9"/>
  <c r="K348" i="9"/>
  <c r="J348" i="9"/>
  <c r="I348" i="9"/>
  <c r="H348" i="9"/>
  <c r="G348" i="9"/>
  <c r="C348" i="9"/>
  <c r="L347" i="9"/>
  <c r="K347" i="9"/>
  <c r="J347" i="9"/>
  <c r="I347" i="9"/>
  <c r="H347" i="9"/>
  <c r="G347" i="9"/>
  <c r="C347" i="9"/>
  <c r="L346" i="9"/>
  <c r="K346" i="9"/>
  <c r="J346" i="9"/>
  <c r="I346" i="9"/>
  <c r="H346" i="9"/>
  <c r="G346" i="9"/>
  <c r="C346" i="9"/>
  <c r="L345" i="9"/>
  <c r="K345" i="9"/>
  <c r="J345" i="9"/>
  <c r="I345" i="9"/>
  <c r="H345" i="9"/>
  <c r="G345" i="9"/>
  <c r="C345" i="9"/>
  <c r="L344" i="9"/>
  <c r="K344" i="9"/>
  <c r="J344" i="9"/>
  <c r="I344" i="9"/>
  <c r="H344" i="9"/>
  <c r="G344" i="9"/>
  <c r="C344" i="9"/>
  <c r="L343" i="9"/>
  <c r="K343" i="9"/>
  <c r="J343" i="9"/>
  <c r="I343" i="9"/>
  <c r="H343" i="9"/>
  <c r="G343" i="9"/>
  <c r="C343" i="9"/>
  <c r="L342" i="9"/>
  <c r="K342" i="9"/>
  <c r="J342" i="9"/>
  <c r="I342" i="9"/>
  <c r="H342" i="9"/>
  <c r="G342" i="9"/>
  <c r="C342" i="9"/>
  <c r="L341" i="9"/>
  <c r="K341" i="9"/>
  <c r="J341" i="9"/>
  <c r="I341" i="9"/>
  <c r="H341" i="9"/>
  <c r="G341" i="9"/>
  <c r="C341" i="9"/>
  <c r="L340" i="9"/>
  <c r="K340" i="9"/>
  <c r="J340" i="9"/>
  <c r="I340" i="9"/>
  <c r="H340" i="9"/>
  <c r="G340" i="9"/>
  <c r="C340" i="9"/>
  <c r="L339" i="9"/>
  <c r="K339" i="9"/>
  <c r="J339" i="9"/>
  <c r="I339" i="9"/>
  <c r="H339" i="9"/>
  <c r="G339" i="9"/>
  <c r="C339" i="9"/>
  <c r="L338" i="9"/>
  <c r="K338" i="9"/>
  <c r="J338" i="9"/>
  <c r="I338" i="9"/>
  <c r="H338" i="9"/>
  <c r="G338" i="9"/>
  <c r="C338" i="9"/>
  <c r="L337" i="9"/>
  <c r="K337" i="9"/>
  <c r="J337" i="9"/>
  <c r="I337" i="9"/>
  <c r="H337" i="9"/>
  <c r="G337" i="9"/>
  <c r="C337" i="9"/>
  <c r="L336" i="9"/>
  <c r="K336" i="9"/>
  <c r="J336" i="9"/>
  <c r="I336" i="9"/>
  <c r="H336" i="9"/>
  <c r="G336" i="9"/>
  <c r="C336" i="9"/>
  <c r="L335" i="9"/>
  <c r="K335" i="9"/>
  <c r="J335" i="9"/>
  <c r="I335" i="9"/>
  <c r="H335" i="9"/>
  <c r="G335" i="9"/>
  <c r="C335" i="9"/>
  <c r="L334" i="9"/>
  <c r="K334" i="9"/>
  <c r="J334" i="9"/>
  <c r="I334" i="9"/>
  <c r="H334" i="9"/>
  <c r="G334" i="9"/>
  <c r="C334" i="9"/>
  <c r="L333" i="9"/>
  <c r="K333" i="9"/>
  <c r="J333" i="9"/>
  <c r="I333" i="9"/>
  <c r="H333" i="9"/>
  <c r="G333" i="9"/>
  <c r="C333" i="9"/>
  <c r="L332" i="9"/>
  <c r="K332" i="9"/>
  <c r="J332" i="9"/>
  <c r="I332" i="9"/>
  <c r="H332" i="9"/>
  <c r="G332" i="9"/>
  <c r="C332" i="9"/>
  <c r="L331" i="9"/>
  <c r="K331" i="9"/>
  <c r="J331" i="9"/>
  <c r="I331" i="9"/>
  <c r="H331" i="9"/>
  <c r="G331" i="9"/>
  <c r="C331" i="9"/>
  <c r="L330" i="9"/>
  <c r="K330" i="9"/>
  <c r="J330" i="9"/>
  <c r="I330" i="9"/>
  <c r="H330" i="9"/>
  <c r="G330" i="9"/>
  <c r="C330" i="9"/>
  <c r="L329" i="9"/>
  <c r="K329" i="9"/>
  <c r="J329" i="9"/>
  <c r="I329" i="9"/>
  <c r="H329" i="9"/>
  <c r="G329" i="9"/>
  <c r="C329" i="9"/>
  <c r="L328" i="9"/>
  <c r="K328" i="9"/>
  <c r="J328" i="9"/>
  <c r="I328" i="9"/>
  <c r="H328" i="9"/>
  <c r="G328" i="9"/>
  <c r="C328" i="9"/>
  <c r="L327" i="9"/>
  <c r="K327" i="9"/>
  <c r="J327" i="9"/>
  <c r="I327" i="9"/>
  <c r="H327" i="9"/>
  <c r="G327" i="9"/>
  <c r="C327" i="9"/>
  <c r="L326" i="9"/>
  <c r="K326" i="9"/>
  <c r="J326" i="9"/>
  <c r="I326" i="9"/>
  <c r="H326" i="9"/>
  <c r="G326" i="9"/>
  <c r="C326" i="9"/>
  <c r="L325" i="9"/>
  <c r="K325" i="9"/>
  <c r="J325" i="9"/>
  <c r="I325" i="9"/>
  <c r="H325" i="9"/>
  <c r="G325" i="9"/>
  <c r="C325" i="9"/>
  <c r="L324" i="9"/>
  <c r="K324" i="9"/>
  <c r="J324" i="9"/>
  <c r="I324" i="9"/>
  <c r="H324" i="9"/>
  <c r="G324" i="9"/>
  <c r="C324" i="9"/>
  <c r="L323" i="9"/>
  <c r="K323" i="9"/>
  <c r="J323" i="9"/>
  <c r="I323" i="9"/>
  <c r="H323" i="9"/>
  <c r="G323" i="9"/>
  <c r="C323" i="9"/>
  <c r="L322" i="9"/>
  <c r="K322" i="9"/>
  <c r="J322" i="9"/>
  <c r="I322" i="9"/>
  <c r="H322" i="9"/>
  <c r="G322" i="9"/>
  <c r="C322" i="9"/>
  <c r="L321" i="9"/>
  <c r="K321" i="9"/>
  <c r="J321" i="9"/>
  <c r="I321" i="9"/>
  <c r="H321" i="9"/>
  <c r="G321" i="9"/>
  <c r="C321" i="9"/>
  <c r="L320" i="9"/>
  <c r="K320" i="9"/>
  <c r="J320" i="9"/>
  <c r="I320" i="9"/>
  <c r="H320" i="9"/>
  <c r="G320" i="9"/>
  <c r="C320" i="9"/>
  <c r="L319" i="9"/>
  <c r="K319" i="9"/>
  <c r="J319" i="9"/>
  <c r="I319" i="9"/>
  <c r="H319" i="9"/>
  <c r="G319" i="9"/>
  <c r="C319" i="9"/>
  <c r="L318" i="9"/>
  <c r="K318" i="9"/>
  <c r="J318" i="9"/>
  <c r="I318" i="9"/>
  <c r="H318" i="9"/>
  <c r="G318" i="9"/>
  <c r="C318" i="9"/>
  <c r="L317" i="9"/>
  <c r="K317" i="9"/>
  <c r="J317" i="9"/>
  <c r="I317" i="9"/>
  <c r="H317" i="9"/>
  <c r="G317" i="9"/>
  <c r="C317" i="9"/>
  <c r="L316" i="9"/>
  <c r="K316" i="9"/>
  <c r="J316" i="9"/>
  <c r="I316" i="9"/>
  <c r="H316" i="9"/>
  <c r="G316" i="9"/>
  <c r="C316" i="9"/>
  <c r="L315" i="9"/>
  <c r="K315" i="9"/>
  <c r="J315" i="9"/>
  <c r="I315" i="9"/>
  <c r="H315" i="9"/>
  <c r="G315" i="9"/>
  <c r="C315" i="9"/>
  <c r="L314" i="9"/>
  <c r="K314" i="9"/>
  <c r="J314" i="9"/>
  <c r="I314" i="9"/>
  <c r="H314" i="9"/>
  <c r="G314" i="9"/>
  <c r="C314" i="9"/>
  <c r="L313" i="9"/>
  <c r="K313" i="9"/>
  <c r="J313" i="9"/>
  <c r="I313" i="9"/>
  <c r="H313" i="9"/>
  <c r="G313" i="9"/>
  <c r="C313" i="9"/>
  <c r="L312" i="9"/>
  <c r="K312" i="9"/>
  <c r="J312" i="9"/>
  <c r="I312" i="9"/>
  <c r="H312" i="9"/>
  <c r="G312" i="9"/>
  <c r="C312" i="9"/>
  <c r="L311" i="9"/>
  <c r="K311" i="9"/>
  <c r="J311" i="9"/>
  <c r="I311" i="9"/>
  <c r="H311" i="9"/>
  <c r="G311" i="9"/>
  <c r="C311" i="9"/>
  <c r="L310" i="9"/>
  <c r="K310" i="9"/>
  <c r="J310" i="9"/>
  <c r="I310" i="9"/>
  <c r="H310" i="9"/>
  <c r="G310" i="9"/>
  <c r="C310" i="9"/>
  <c r="L309" i="9"/>
  <c r="K309" i="9"/>
  <c r="J309" i="9"/>
  <c r="I309" i="9"/>
  <c r="H309" i="9"/>
  <c r="G309" i="9"/>
  <c r="C309" i="9"/>
  <c r="L308" i="9"/>
  <c r="K308" i="9"/>
  <c r="J308" i="9"/>
  <c r="I308" i="9"/>
  <c r="H308" i="9"/>
  <c r="G308" i="9"/>
  <c r="C308" i="9"/>
  <c r="L307" i="9"/>
  <c r="K307" i="9"/>
  <c r="J307" i="9"/>
  <c r="I307" i="9"/>
  <c r="H307" i="9"/>
  <c r="G307" i="9"/>
  <c r="C307" i="9"/>
  <c r="L306" i="9"/>
  <c r="K306" i="9"/>
  <c r="J306" i="9"/>
  <c r="I306" i="9"/>
  <c r="H306" i="9"/>
  <c r="G306" i="9"/>
  <c r="C306" i="9"/>
  <c r="L305" i="9"/>
  <c r="K305" i="9"/>
  <c r="J305" i="9"/>
  <c r="I305" i="9"/>
  <c r="H305" i="9"/>
  <c r="G305" i="9"/>
  <c r="C305" i="9"/>
  <c r="L304" i="9"/>
  <c r="K304" i="9"/>
  <c r="J304" i="9"/>
  <c r="I304" i="9"/>
  <c r="H304" i="9"/>
  <c r="G304" i="9"/>
  <c r="C304" i="9"/>
  <c r="L303" i="9"/>
  <c r="K303" i="9"/>
  <c r="J303" i="9"/>
  <c r="I303" i="9"/>
  <c r="H303" i="9"/>
  <c r="G303" i="9"/>
  <c r="C303" i="9"/>
  <c r="L302" i="9"/>
  <c r="K302" i="9"/>
  <c r="J302" i="9"/>
  <c r="I302" i="9"/>
  <c r="H302" i="9"/>
  <c r="G302" i="9"/>
  <c r="C302" i="9"/>
  <c r="L301" i="9"/>
  <c r="K301" i="9"/>
  <c r="J301" i="9"/>
  <c r="I301" i="9"/>
  <c r="H301" i="9"/>
  <c r="G301" i="9"/>
  <c r="C301" i="9"/>
  <c r="L300" i="9"/>
  <c r="K300" i="9"/>
  <c r="J300" i="9"/>
  <c r="I300" i="9"/>
  <c r="H300" i="9"/>
  <c r="G300" i="9"/>
  <c r="C300" i="9"/>
  <c r="L299" i="9"/>
  <c r="K299" i="9"/>
  <c r="J299" i="9"/>
  <c r="I299" i="9"/>
  <c r="H299" i="9"/>
  <c r="G299" i="9"/>
  <c r="C299" i="9"/>
  <c r="L298" i="9"/>
  <c r="K298" i="9"/>
  <c r="J298" i="9"/>
  <c r="I298" i="9"/>
  <c r="H298" i="9"/>
  <c r="G298" i="9"/>
  <c r="C298" i="9"/>
  <c r="L297" i="9"/>
  <c r="K297" i="9"/>
  <c r="J297" i="9"/>
  <c r="I297" i="9"/>
  <c r="H297" i="9"/>
  <c r="G297" i="9"/>
  <c r="C297" i="9"/>
  <c r="L296" i="9"/>
  <c r="K296" i="9"/>
  <c r="J296" i="9"/>
  <c r="I296" i="9"/>
  <c r="H296" i="9"/>
  <c r="G296" i="9"/>
  <c r="C296" i="9"/>
  <c r="L295" i="9"/>
  <c r="K295" i="9"/>
  <c r="J295" i="9"/>
  <c r="I295" i="9"/>
  <c r="H295" i="9"/>
  <c r="G295" i="9"/>
  <c r="C295" i="9"/>
  <c r="L294" i="9"/>
  <c r="K294" i="9"/>
  <c r="J294" i="9"/>
  <c r="I294" i="9"/>
  <c r="H294" i="9"/>
  <c r="G294" i="9"/>
  <c r="C294" i="9"/>
  <c r="L293" i="9"/>
  <c r="K293" i="9"/>
  <c r="J293" i="9"/>
  <c r="I293" i="9"/>
  <c r="H293" i="9"/>
  <c r="G293" i="9"/>
  <c r="C293" i="9"/>
  <c r="L292" i="9"/>
  <c r="K292" i="9"/>
  <c r="J292" i="9"/>
  <c r="I292" i="9"/>
  <c r="H292" i="9"/>
  <c r="G292" i="9"/>
  <c r="C292" i="9"/>
  <c r="L291" i="9"/>
  <c r="K291" i="9"/>
  <c r="J291" i="9"/>
  <c r="I291" i="9"/>
  <c r="H291" i="9"/>
  <c r="G291" i="9"/>
  <c r="C291" i="9"/>
  <c r="L290" i="9"/>
  <c r="K290" i="9"/>
  <c r="J290" i="9"/>
  <c r="I290" i="9"/>
  <c r="H290" i="9"/>
  <c r="G290" i="9"/>
  <c r="C290" i="9"/>
  <c r="L289" i="9"/>
  <c r="K289" i="9"/>
  <c r="J289" i="9"/>
  <c r="I289" i="9"/>
  <c r="H289" i="9"/>
  <c r="G289" i="9"/>
  <c r="C289" i="9"/>
  <c r="L288" i="9"/>
  <c r="K288" i="9"/>
  <c r="J288" i="9"/>
  <c r="I288" i="9"/>
  <c r="H288" i="9"/>
  <c r="G288" i="9"/>
  <c r="C288" i="9"/>
  <c r="L287" i="9"/>
  <c r="K287" i="9"/>
  <c r="J287" i="9"/>
  <c r="I287" i="9"/>
  <c r="H287" i="9"/>
  <c r="G287" i="9"/>
  <c r="C287" i="9"/>
  <c r="L286" i="9"/>
  <c r="K286" i="9"/>
  <c r="J286" i="9"/>
  <c r="I286" i="9"/>
  <c r="H286" i="9"/>
  <c r="G286" i="9"/>
  <c r="C286" i="9"/>
  <c r="L285" i="9"/>
  <c r="K285" i="9"/>
  <c r="J285" i="9"/>
  <c r="I285" i="9"/>
  <c r="H285" i="9"/>
  <c r="G285" i="9"/>
  <c r="C285" i="9"/>
  <c r="L284" i="9"/>
  <c r="K284" i="9"/>
  <c r="J284" i="9"/>
  <c r="I284" i="9"/>
  <c r="H284" i="9"/>
  <c r="G284" i="9"/>
  <c r="C284" i="9"/>
  <c r="L283" i="9"/>
  <c r="K283" i="9"/>
  <c r="J283" i="9"/>
  <c r="I283" i="9"/>
  <c r="H283" i="9"/>
  <c r="G283" i="9"/>
  <c r="C283" i="9"/>
  <c r="L282" i="9"/>
  <c r="K282" i="9"/>
  <c r="J282" i="9"/>
  <c r="I282" i="9"/>
  <c r="H282" i="9"/>
  <c r="G282" i="9"/>
  <c r="C282" i="9"/>
  <c r="L281" i="9"/>
  <c r="K281" i="9"/>
  <c r="J281" i="9"/>
  <c r="I281" i="9"/>
  <c r="H281" i="9"/>
  <c r="G281" i="9"/>
  <c r="C281" i="9"/>
  <c r="L280" i="9"/>
  <c r="K280" i="9"/>
  <c r="J280" i="9"/>
  <c r="I280" i="9"/>
  <c r="H280" i="9"/>
  <c r="G280" i="9"/>
  <c r="C280" i="9"/>
  <c r="L279" i="9"/>
  <c r="K279" i="9"/>
  <c r="J279" i="9"/>
  <c r="I279" i="9"/>
  <c r="H279" i="9"/>
  <c r="G279" i="9"/>
  <c r="C279" i="9"/>
  <c r="L278" i="9"/>
  <c r="K278" i="9"/>
  <c r="J278" i="9"/>
  <c r="I278" i="9"/>
  <c r="H278" i="9"/>
  <c r="G278" i="9"/>
  <c r="C278" i="9"/>
  <c r="L277" i="9"/>
  <c r="K277" i="9"/>
  <c r="J277" i="9"/>
  <c r="I277" i="9"/>
  <c r="H277" i="9"/>
  <c r="G277" i="9"/>
  <c r="C277" i="9"/>
  <c r="L276" i="9"/>
  <c r="K276" i="9"/>
  <c r="J276" i="9"/>
  <c r="I276" i="9"/>
  <c r="H276" i="9"/>
  <c r="G276" i="9"/>
  <c r="C276" i="9"/>
  <c r="L275" i="9"/>
  <c r="K275" i="9"/>
  <c r="J275" i="9"/>
  <c r="I275" i="9"/>
  <c r="H275" i="9"/>
  <c r="G275" i="9"/>
  <c r="C275" i="9"/>
  <c r="L274" i="9"/>
  <c r="K274" i="9"/>
  <c r="J274" i="9"/>
  <c r="I274" i="9"/>
  <c r="H274" i="9"/>
  <c r="G274" i="9"/>
  <c r="C274" i="9"/>
  <c r="L273" i="9"/>
  <c r="K273" i="9"/>
  <c r="J273" i="9"/>
  <c r="I273" i="9"/>
  <c r="H273" i="9"/>
  <c r="G273" i="9"/>
  <c r="C273" i="9"/>
  <c r="L272" i="9"/>
  <c r="K272" i="9"/>
  <c r="J272" i="9"/>
  <c r="I272" i="9"/>
  <c r="H272" i="9"/>
  <c r="G272" i="9"/>
  <c r="C272" i="9"/>
  <c r="L271" i="9"/>
  <c r="K271" i="9"/>
  <c r="J271" i="9"/>
  <c r="I271" i="9"/>
  <c r="H271" i="9"/>
  <c r="G271" i="9"/>
  <c r="C271" i="9"/>
  <c r="L270" i="9"/>
  <c r="K270" i="9"/>
  <c r="J270" i="9"/>
  <c r="I270" i="9"/>
  <c r="H270" i="9"/>
  <c r="G270" i="9"/>
  <c r="C270" i="9"/>
  <c r="L269" i="9"/>
  <c r="K269" i="9"/>
  <c r="J269" i="9"/>
  <c r="I269" i="9"/>
  <c r="H269" i="9"/>
  <c r="G269" i="9"/>
  <c r="C269" i="9"/>
  <c r="L268" i="9"/>
  <c r="K268" i="9"/>
  <c r="J268" i="9"/>
  <c r="I268" i="9"/>
  <c r="H268" i="9"/>
  <c r="G268" i="9"/>
  <c r="C268" i="9"/>
  <c r="L267" i="9"/>
  <c r="K267" i="9"/>
  <c r="J267" i="9"/>
  <c r="I267" i="9"/>
  <c r="H267" i="9"/>
  <c r="G267" i="9"/>
  <c r="C267" i="9"/>
  <c r="L266" i="9"/>
  <c r="K266" i="9"/>
  <c r="J266" i="9"/>
  <c r="I266" i="9"/>
  <c r="H266" i="9"/>
  <c r="G266" i="9"/>
  <c r="C266" i="9"/>
  <c r="L265" i="9"/>
  <c r="K265" i="9"/>
  <c r="J265" i="9"/>
  <c r="I265" i="9"/>
  <c r="H265" i="9"/>
  <c r="G265" i="9"/>
  <c r="C265" i="9"/>
  <c r="L264" i="9"/>
  <c r="K264" i="9"/>
  <c r="J264" i="9"/>
  <c r="I264" i="9"/>
  <c r="H264" i="9"/>
  <c r="G264" i="9"/>
  <c r="C264" i="9"/>
  <c r="L263" i="9"/>
  <c r="K263" i="9"/>
  <c r="J263" i="9"/>
  <c r="I263" i="9"/>
  <c r="H263" i="9"/>
  <c r="G263" i="9"/>
  <c r="C263" i="9"/>
  <c r="L262" i="9"/>
  <c r="K262" i="9"/>
  <c r="J262" i="9"/>
  <c r="I262" i="9"/>
  <c r="H262" i="9"/>
  <c r="G262" i="9"/>
  <c r="C262" i="9"/>
  <c r="L261" i="9"/>
  <c r="K261" i="9"/>
  <c r="J261" i="9"/>
  <c r="I261" i="9"/>
  <c r="H261" i="9"/>
  <c r="G261" i="9"/>
  <c r="C261" i="9"/>
  <c r="L260" i="9"/>
  <c r="K260" i="9"/>
  <c r="J260" i="9"/>
  <c r="I260" i="9"/>
  <c r="H260" i="9"/>
  <c r="G260" i="9"/>
  <c r="C260" i="9"/>
  <c r="L259" i="9"/>
  <c r="K259" i="9"/>
  <c r="J259" i="9"/>
  <c r="I259" i="9"/>
  <c r="H259" i="9"/>
  <c r="G259" i="9"/>
  <c r="C259" i="9"/>
  <c r="L258" i="9"/>
  <c r="K258" i="9"/>
  <c r="J258" i="9"/>
  <c r="I258" i="9"/>
  <c r="H258" i="9"/>
  <c r="G258" i="9"/>
  <c r="C258" i="9"/>
  <c r="L257" i="9"/>
  <c r="K257" i="9"/>
  <c r="J257" i="9"/>
  <c r="I257" i="9"/>
  <c r="H257" i="9"/>
  <c r="G257" i="9"/>
  <c r="C257" i="9"/>
  <c r="L256" i="9"/>
  <c r="K256" i="9"/>
  <c r="J256" i="9"/>
  <c r="I256" i="9"/>
  <c r="H256" i="9"/>
  <c r="G256" i="9"/>
  <c r="C256" i="9"/>
  <c r="L255" i="9"/>
  <c r="K255" i="9"/>
  <c r="J255" i="9"/>
  <c r="I255" i="9"/>
  <c r="H255" i="9"/>
  <c r="G255" i="9"/>
  <c r="C255" i="9"/>
  <c r="L254" i="9"/>
  <c r="K254" i="9"/>
  <c r="J254" i="9"/>
  <c r="I254" i="9"/>
  <c r="H254" i="9"/>
  <c r="G254" i="9"/>
  <c r="C254" i="9"/>
  <c r="L253" i="9"/>
  <c r="K253" i="9"/>
  <c r="J253" i="9"/>
  <c r="I253" i="9"/>
  <c r="H253" i="9"/>
  <c r="G253" i="9"/>
  <c r="C253" i="9"/>
  <c r="L252" i="9"/>
  <c r="K252" i="9"/>
  <c r="J252" i="9"/>
  <c r="I252" i="9"/>
  <c r="H252" i="9"/>
  <c r="G252" i="9"/>
  <c r="C252" i="9"/>
  <c r="L251" i="9"/>
  <c r="K251" i="9"/>
  <c r="J251" i="9"/>
  <c r="I251" i="9"/>
  <c r="H251" i="9"/>
  <c r="G251" i="9"/>
  <c r="C251" i="9"/>
  <c r="L250" i="9"/>
  <c r="K250" i="9"/>
  <c r="J250" i="9"/>
  <c r="I250" i="9"/>
  <c r="H250" i="9"/>
  <c r="G250" i="9"/>
  <c r="C250" i="9"/>
  <c r="L249" i="9"/>
  <c r="K249" i="9"/>
  <c r="J249" i="9"/>
  <c r="I249" i="9"/>
  <c r="H249" i="9"/>
  <c r="G249" i="9"/>
  <c r="C249" i="9"/>
  <c r="L248" i="9"/>
  <c r="K248" i="9"/>
  <c r="J248" i="9"/>
  <c r="I248" i="9"/>
  <c r="H248" i="9"/>
  <c r="G248" i="9"/>
  <c r="C248" i="9"/>
  <c r="L247" i="9"/>
  <c r="K247" i="9"/>
  <c r="J247" i="9"/>
  <c r="I247" i="9"/>
  <c r="H247" i="9"/>
  <c r="G247" i="9"/>
  <c r="C247" i="9"/>
  <c r="L246" i="9"/>
  <c r="K246" i="9"/>
  <c r="J246" i="9"/>
  <c r="I246" i="9"/>
  <c r="H246" i="9"/>
  <c r="G246" i="9"/>
  <c r="C246" i="9"/>
  <c r="L245" i="9"/>
  <c r="K245" i="9"/>
  <c r="J245" i="9"/>
  <c r="I245" i="9"/>
  <c r="H245" i="9"/>
  <c r="G245" i="9"/>
  <c r="C245" i="9"/>
  <c r="L244" i="9"/>
  <c r="K244" i="9"/>
  <c r="J244" i="9"/>
  <c r="I244" i="9"/>
  <c r="H244" i="9"/>
  <c r="G244" i="9"/>
  <c r="C244" i="9"/>
  <c r="L243" i="9"/>
  <c r="K243" i="9"/>
  <c r="J243" i="9"/>
  <c r="I243" i="9"/>
  <c r="H243" i="9"/>
  <c r="G243" i="9"/>
  <c r="C243" i="9"/>
  <c r="L242" i="9"/>
  <c r="K242" i="9"/>
  <c r="J242" i="9"/>
  <c r="I242" i="9"/>
  <c r="H242" i="9"/>
  <c r="G242" i="9"/>
  <c r="C242" i="9"/>
  <c r="L241" i="9"/>
  <c r="K241" i="9"/>
  <c r="J241" i="9"/>
  <c r="I241" i="9"/>
  <c r="H241" i="9"/>
  <c r="G241" i="9"/>
  <c r="C241" i="9"/>
  <c r="L240" i="9"/>
  <c r="K240" i="9"/>
  <c r="J240" i="9"/>
  <c r="I240" i="9"/>
  <c r="H240" i="9"/>
  <c r="G240" i="9"/>
  <c r="C240" i="9"/>
  <c r="L239" i="9"/>
  <c r="K239" i="9"/>
  <c r="J239" i="9"/>
  <c r="I239" i="9"/>
  <c r="H239" i="9"/>
  <c r="G239" i="9"/>
  <c r="C239" i="9"/>
  <c r="L238" i="9"/>
  <c r="K238" i="9"/>
  <c r="J238" i="9"/>
  <c r="I238" i="9"/>
  <c r="H238" i="9"/>
  <c r="G238" i="9"/>
  <c r="C238" i="9"/>
  <c r="L237" i="9"/>
  <c r="K237" i="9"/>
  <c r="J237" i="9"/>
  <c r="I237" i="9"/>
  <c r="H237" i="9"/>
  <c r="G237" i="9"/>
  <c r="C237" i="9"/>
  <c r="L236" i="9"/>
  <c r="K236" i="9"/>
  <c r="J236" i="9"/>
  <c r="I236" i="9"/>
  <c r="H236" i="9"/>
  <c r="G236" i="9"/>
  <c r="C236" i="9"/>
  <c r="L235" i="9"/>
  <c r="K235" i="9"/>
  <c r="J235" i="9"/>
  <c r="I235" i="9"/>
  <c r="H235" i="9"/>
  <c r="G235" i="9"/>
  <c r="C235" i="9"/>
  <c r="L234" i="9"/>
  <c r="K234" i="9"/>
  <c r="J234" i="9"/>
  <c r="I234" i="9"/>
  <c r="H234" i="9"/>
  <c r="G234" i="9"/>
  <c r="C234" i="9"/>
  <c r="L233" i="9"/>
  <c r="K233" i="9"/>
  <c r="J233" i="9"/>
  <c r="I233" i="9"/>
  <c r="H233" i="9"/>
  <c r="G233" i="9"/>
  <c r="C233" i="9"/>
  <c r="L232" i="9"/>
  <c r="K232" i="9"/>
  <c r="J232" i="9"/>
  <c r="I232" i="9"/>
  <c r="H232" i="9"/>
  <c r="G232" i="9"/>
  <c r="C232" i="9"/>
  <c r="L231" i="9"/>
  <c r="K231" i="9"/>
  <c r="J231" i="9"/>
  <c r="I231" i="9"/>
  <c r="H231" i="9"/>
  <c r="G231" i="9"/>
  <c r="C231" i="9"/>
  <c r="L230" i="9"/>
  <c r="K230" i="9"/>
  <c r="J230" i="9"/>
  <c r="I230" i="9"/>
  <c r="H230" i="9"/>
  <c r="G230" i="9"/>
  <c r="C230" i="9"/>
  <c r="L229" i="9"/>
  <c r="K229" i="9"/>
  <c r="J229" i="9"/>
  <c r="I229" i="9"/>
  <c r="H229" i="9"/>
  <c r="G229" i="9"/>
  <c r="C229" i="9"/>
  <c r="L228" i="9"/>
  <c r="K228" i="9"/>
  <c r="J228" i="9"/>
  <c r="I228" i="9"/>
  <c r="H228" i="9"/>
  <c r="G228" i="9"/>
  <c r="C228" i="9"/>
  <c r="L227" i="9"/>
  <c r="K227" i="9"/>
  <c r="J227" i="9"/>
  <c r="I227" i="9"/>
  <c r="H227" i="9"/>
  <c r="G227" i="9"/>
  <c r="C227" i="9"/>
  <c r="L226" i="9"/>
  <c r="K226" i="9"/>
  <c r="J226" i="9"/>
  <c r="I226" i="9"/>
  <c r="H226" i="9"/>
  <c r="G226" i="9"/>
  <c r="C226" i="9"/>
  <c r="L225" i="9"/>
  <c r="K225" i="9"/>
  <c r="J225" i="9"/>
  <c r="I225" i="9"/>
  <c r="H225" i="9"/>
  <c r="G225" i="9"/>
  <c r="C225" i="9"/>
  <c r="L224" i="9"/>
  <c r="K224" i="9"/>
  <c r="J224" i="9"/>
  <c r="I224" i="9"/>
  <c r="H224" i="9"/>
  <c r="G224" i="9"/>
  <c r="C224" i="9"/>
  <c r="L223" i="9"/>
  <c r="K223" i="9"/>
  <c r="J223" i="9"/>
  <c r="I223" i="9"/>
  <c r="H223" i="9"/>
  <c r="G223" i="9"/>
  <c r="C223" i="9"/>
  <c r="L222" i="9"/>
  <c r="K222" i="9"/>
  <c r="J222" i="9"/>
  <c r="I222" i="9"/>
  <c r="H222" i="9"/>
  <c r="G222" i="9"/>
  <c r="C222" i="9"/>
  <c r="L221" i="9"/>
  <c r="K221" i="9"/>
  <c r="J221" i="9"/>
  <c r="I221" i="9"/>
  <c r="H221" i="9"/>
  <c r="G221" i="9"/>
  <c r="C221" i="9"/>
  <c r="L220" i="9"/>
  <c r="K220" i="9"/>
  <c r="J220" i="9"/>
  <c r="I220" i="9"/>
  <c r="H220" i="9"/>
  <c r="G220" i="9"/>
  <c r="C220" i="9"/>
  <c r="L219" i="9"/>
  <c r="K219" i="9"/>
  <c r="J219" i="9"/>
  <c r="I219" i="9"/>
  <c r="H219" i="9"/>
  <c r="G219" i="9"/>
  <c r="C219" i="9"/>
  <c r="L218" i="9"/>
  <c r="K218" i="9"/>
  <c r="J218" i="9"/>
  <c r="I218" i="9"/>
  <c r="H218" i="9"/>
  <c r="G218" i="9"/>
  <c r="C218" i="9"/>
  <c r="L217" i="9"/>
  <c r="K217" i="9"/>
  <c r="J217" i="9"/>
  <c r="I217" i="9"/>
  <c r="H217" i="9"/>
  <c r="G217" i="9"/>
  <c r="C217" i="9"/>
  <c r="L216" i="9"/>
  <c r="K216" i="9"/>
  <c r="J216" i="9"/>
  <c r="I216" i="9"/>
  <c r="H216" i="9"/>
  <c r="G216" i="9"/>
  <c r="C216" i="9"/>
  <c r="L215" i="9"/>
  <c r="K215" i="9"/>
  <c r="J215" i="9"/>
  <c r="I215" i="9"/>
  <c r="H215" i="9"/>
  <c r="G215" i="9"/>
  <c r="C215" i="9"/>
  <c r="L214" i="9"/>
  <c r="K214" i="9"/>
  <c r="J214" i="9"/>
  <c r="I214" i="9"/>
  <c r="H214" i="9"/>
  <c r="G214" i="9"/>
  <c r="C214" i="9"/>
  <c r="L213" i="9"/>
  <c r="K213" i="9"/>
  <c r="J213" i="9"/>
  <c r="I213" i="9"/>
  <c r="H213" i="9"/>
  <c r="G213" i="9"/>
  <c r="C213" i="9"/>
  <c r="L212" i="9"/>
  <c r="K212" i="9"/>
  <c r="J212" i="9"/>
  <c r="I212" i="9"/>
  <c r="H212" i="9"/>
  <c r="G212" i="9"/>
  <c r="C212" i="9"/>
  <c r="L211" i="9"/>
  <c r="K211" i="9"/>
  <c r="J211" i="9"/>
  <c r="I211" i="9"/>
  <c r="H211" i="9"/>
  <c r="G211" i="9"/>
  <c r="C211" i="9"/>
  <c r="L210" i="9"/>
  <c r="K210" i="9"/>
  <c r="J210" i="9"/>
  <c r="I210" i="9"/>
  <c r="H210" i="9"/>
  <c r="G210" i="9"/>
  <c r="C210" i="9"/>
  <c r="L209" i="9"/>
  <c r="K209" i="9"/>
  <c r="J209" i="9"/>
  <c r="I209" i="9"/>
  <c r="H209" i="9"/>
  <c r="G209" i="9"/>
  <c r="C209" i="9"/>
  <c r="L208" i="9"/>
  <c r="K208" i="9"/>
  <c r="J208" i="9"/>
  <c r="I208" i="9"/>
  <c r="H208" i="9"/>
  <c r="G208" i="9"/>
  <c r="C208" i="9"/>
  <c r="L207" i="9"/>
  <c r="K207" i="9"/>
  <c r="J207" i="9"/>
  <c r="I207" i="9"/>
  <c r="H207" i="9"/>
  <c r="G207" i="9"/>
  <c r="C207" i="9"/>
  <c r="L206" i="9"/>
  <c r="K206" i="9"/>
  <c r="J206" i="9"/>
  <c r="I206" i="9"/>
  <c r="H206" i="9"/>
  <c r="G206" i="9"/>
  <c r="C206" i="9"/>
  <c r="L205" i="9"/>
  <c r="K205" i="9"/>
  <c r="J205" i="9"/>
  <c r="I205" i="9"/>
  <c r="H205" i="9"/>
  <c r="G205" i="9"/>
  <c r="C205" i="9"/>
  <c r="L204" i="9"/>
  <c r="K204" i="9"/>
  <c r="J204" i="9"/>
  <c r="I204" i="9"/>
  <c r="H204" i="9"/>
  <c r="G204" i="9"/>
  <c r="C204" i="9"/>
  <c r="L203" i="9"/>
  <c r="K203" i="9"/>
  <c r="J203" i="9"/>
  <c r="I203" i="9"/>
  <c r="H203" i="9"/>
  <c r="G203" i="9"/>
  <c r="C203" i="9"/>
  <c r="L202" i="9"/>
  <c r="K202" i="9"/>
  <c r="J202" i="9"/>
  <c r="I202" i="9"/>
  <c r="H202" i="9"/>
  <c r="G202" i="9"/>
  <c r="C202" i="9"/>
  <c r="L201" i="9"/>
  <c r="K201" i="9"/>
  <c r="J201" i="9"/>
  <c r="I201" i="9"/>
  <c r="H201" i="9"/>
  <c r="G201" i="9"/>
  <c r="C201" i="9"/>
  <c r="L200" i="9"/>
  <c r="K200" i="9"/>
  <c r="J200" i="9"/>
  <c r="I200" i="9"/>
  <c r="H200" i="9"/>
  <c r="G200" i="9"/>
  <c r="C200" i="9"/>
  <c r="L199" i="9"/>
  <c r="K199" i="9"/>
  <c r="J199" i="9"/>
  <c r="I199" i="9"/>
  <c r="H199" i="9"/>
  <c r="G199" i="9"/>
  <c r="C199" i="9"/>
  <c r="L198" i="9"/>
  <c r="K198" i="9"/>
  <c r="J198" i="9"/>
  <c r="I198" i="9"/>
  <c r="H198" i="9"/>
  <c r="G198" i="9"/>
  <c r="C198" i="9"/>
  <c r="L197" i="9"/>
  <c r="K197" i="9"/>
  <c r="J197" i="9"/>
  <c r="I197" i="9"/>
  <c r="H197" i="9"/>
  <c r="G197" i="9"/>
  <c r="C197" i="9"/>
  <c r="L196" i="9"/>
  <c r="K196" i="9"/>
  <c r="J196" i="9"/>
  <c r="I196" i="9"/>
  <c r="H196" i="9"/>
  <c r="G196" i="9"/>
  <c r="C196" i="9"/>
  <c r="L195" i="9"/>
  <c r="K195" i="9"/>
  <c r="J195" i="9"/>
  <c r="I195" i="9"/>
  <c r="H195" i="9"/>
  <c r="G195" i="9"/>
  <c r="C195" i="9"/>
  <c r="L194" i="9"/>
  <c r="K194" i="9"/>
  <c r="J194" i="9"/>
  <c r="I194" i="9"/>
  <c r="H194" i="9"/>
  <c r="G194" i="9"/>
  <c r="C194" i="9"/>
  <c r="L193" i="9"/>
  <c r="K193" i="9"/>
  <c r="J193" i="9"/>
  <c r="I193" i="9"/>
  <c r="H193" i="9"/>
  <c r="G193" i="9"/>
  <c r="C193" i="9"/>
  <c r="L192" i="9"/>
  <c r="K192" i="9"/>
  <c r="J192" i="9"/>
  <c r="I192" i="9"/>
  <c r="H192" i="9"/>
  <c r="G192" i="9"/>
  <c r="C192" i="9"/>
  <c r="L191" i="9"/>
  <c r="K191" i="9"/>
  <c r="J191" i="9"/>
  <c r="I191" i="9"/>
  <c r="H191" i="9"/>
  <c r="G191" i="9"/>
  <c r="C191" i="9"/>
  <c r="L190" i="9"/>
  <c r="K190" i="9"/>
  <c r="J190" i="9"/>
  <c r="I190" i="9"/>
  <c r="H190" i="9"/>
  <c r="G190" i="9"/>
  <c r="C190" i="9"/>
  <c r="L189" i="9"/>
  <c r="K189" i="9"/>
  <c r="J189" i="9"/>
  <c r="I189" i="9"/>
  <c r="H189" i="9"/>
  <c r="G189" i="9"/>
  <c r="C189" i="9"/>
  <c r="L188" i="9"/>
  <c r="K188" i="9"/>
  <c r="J188" i="9"/>
  <c r="I188" i="9"/>
  <c r="H188" i="9"/>
  <c r="G188" i="9"/>
  <c r="C188" i="9"/>
  <c r="L187" i="9"/>
  <c r="K187" i="9"/>
  <c r="J187" i="9"/>
  <c r="I187" i="9"/>
  <c r="H187" i="9"/>
  <c r="G187" i="9"/>
  <c r="C187" i="9"/>
  <c r="L186" i="9"/>
  <c r="K186" i="9"/>
  <c r="J186" i="9"/>
  <c r="I186" i="9"/>
  <c r="H186" i="9"/>
  <c r="G186" i="9"/>
  <c r="C186" i="9"/>
  <c r="L185" i="9"/>
  <c r="K185" i="9"/>
  <c r="J185" i="9"/>
  <c r="I185" i="9"/>
  <c r="H185" i="9"/>
  <c r="G185" i="9"/>
  <c r="C185" i="9"/>
  <c r="L184" i="9"/>
  <c r="K184" i="9"/>
  <c r="J184" i="9"/>
  <c r="I184" i="9"/>
  <c r="H184" i="9"/>
  <c r="G184" i="9"/>
  <c r="C184" i="9"/>
  <c r="L183" i="9"/>
  <c r="K183" i="9"/>
  <c r="J183" i="9"/>
  <c r="I183" i="9"/>
  <c r="H183" i="9"/>
  <c r="G183" i="9"/>
  <c r="C183" i="9"/>
  <c r="L182" i="9"/>
  <c r="K182" i="9"/>
  <c r="J182" i="9"/>
  <c r="I182" i="9"/>
  <c r="H182" i="9"/>
  <c r="G182" i="9"/>
  <c r="C182" i="9"/>
  <c r="L181" i="9"/>
  <c r="K181" i="9"/>
  <c r="J181" i="9"/>
  <c r="I181" i="9"/>
  <c r="H181" i="9"/>
  <c r="G181" i="9"/>
  <c r="C181" i="9"/>
  <c r="L180" i="9"/>
  <c r="K180" i="9"/>
  <c r="J180" i="9"/>
  <c r="I180" i="9"/>
  <c r="H180" i="9"/>
  <c r="G180" i="9"/>
  <c r="C180" i="9"/>
  <c r="L179" i="9"/>
  <c r="K179" i="9"/>
  <c r="J179" i="9"/>
  <c r="I179" i="9"/>
  <c r="H179" i="9"/>
  <c r="G179" i="9"/>
  <c r="C179" i="9"/>
  <c r="L178" i="9"/>
  <c r="K178" i="9"/>
  <c r="J178" i="9"/>
  <c r="I178" i="9"/>
  <c r="H178" i="9"/>
  <c r="G178" i="9"/>
  <c r="C178" i="9"/>
  <c r="L177" i="9"/>
  <c r="K177" i="9"/>
  <c r="J177" i="9"/>
  <c r="I177" i="9"/>
  <c r="H177" i="9"/>
  <c r="G177" i="9"/>
  <c r="C177" i="9"/>
  <c r="L176" i="9"/>
  <c r="K176" i="9"/>
  <c r="J176" i="9"/>
  <c r="I176" i="9"/>
  <c r="H176" i="9"/>
  <c r="G176" i="9"/>
  <c r="C176" i="9"/>
  <c r="L175" i="9"/>
  <c r="K175" i="9"/>
  <c r="J175" i="9"/>
  <c r="I175" i="9"/>
  <c r="H175" i="9"/>
  <c r="G175" i="9"/>
  <c r="C175" i="9"/>
  <c r="L174" i="9"/>
  <c r="K174" i="9"/>
  <c r="J174" i="9"/>
  <c r="I174" i="9"/>
  <c r="H174" i="9"/>
  <c r="G174" i="9"/>
  <c r="C174" i="9"/>
  <c r="L173" i="9"/>
  <c r="K173" i="9"/>
  <c r="J173" i="9"/>
  <c r="I173" i="9"/>
  <c r="H173" i="9"/>
  <c r="G173" i="9"/>
  <c r="C173" i="9"/>
  <c r="L172" i="9"/>
  <c r="K172" i="9"/>
  <c r="J172" i="9"/>
  <c r="I172" i="9"/>
  <c r="H172" i="9"/>
  <c r="G172" i="9"/>
  <c r="C172" i="9"/>
  <c r="L171" i="9"/>
  <c r="K171" i="9"/>
  <c r="J171" i="9"/>
  <c r="I171" i="9"/>
  <c r="H171" i="9"/>
  <c r="G171" i="9"/>
  <c r="C171" i="9"/>
  <c r="L170" i="9"/>
  <c r="K170" i="9"/>
  <c r="J170" i="9"/>
  <c r="I170" i="9"/>
  <c r="H170" i="9"/>
  <c r="G170" i="9"/>
  <c r="C170" i="9"/>
  <c r="L169" i="9"/>
  <c r="K169" i="9"/>
  <c r="J169" i="9"/>
  <c r="I169" i="9"/>
  <c r="H169" i="9"/>
  <c r="G169" i="9"/>
  <c r="C169" i="9"/>
  <c r="L168" i="9"/>
  <c r="K168" i="9"/>
  <c r="J168" i="9"/>
  <c r="I168" i="9"/>
  <c r="H168" i="9"/>
  <c r="G168" i="9"/>
  <c r="C168" i="9"/>
  <c r="L167" i="9"/>
  <c r="K167" i="9"/>
  <c r="J167" i="9"/>
  <c r="I167" i="9"/>
  <c r="H167" i="9"/>
  <c r="G167" i="9"/>
  <c r="C167" i="9"/>
  <c r="L166" i="9"/>
  <c r="K166" i="9"/>
  <c r="J166" i="9"/>
  <c r="I166" i="9"/>
  <c r="H166" i="9"/>
  <c r="G166" i="9"/>
  <c r="C166" i="9"/>
  <c r="L165" i="9"/>
  <c r="K165" i="9"/>
  <c r="J165" i="9"/>
  <c r="I165" i="9"/>
  <c r="H165" i="9"/>
  <c r="G165" i="9"/>
  <c r="C165" i="9"/>
  <c r="L164" i="9"/>
  <c r="K164" i="9"/>
  <c r="J164" i="9"/>
  <c r="I164" i="9"/>
  <c r="H164" i="9"/>
  <c r="G164" i="9"/>
  <c r="C164" i="9"/>
  <c r="L163" i="9"/>
  <c r="K163" i="9"/>
  <c r="J163" i="9"/>
  <c r="I163" i="9"/>
  <c r="H163" i="9"/>
  <c r="G163" i="9"/>
  <c r="C163" i="9"/>
  <c r="L162" i="9"/>
  <c r="K162" i="9"/>
  <c r="J162" i="9"/>
  <c r="I162" i="9"/>
  <c r="H162" i="9"/>
  <c r="G162" i="9"/>
  <c r="C162" i="9"/>
  <c r="L161" i="9"/>
  <c r="K161" i="9"/>
  <c r="J161" i="9"/>
  <c r="I161" i="9"/>
  <c r="H161" i="9"/>
  <c r="G161" i="9"/>
  <c r="C161" i="9"/>
  <c r="L160" i="9"/>
  <c r="K160" i="9"/>
  <c r="J160" i="9"/>
  <c r="I160" i="9"/>
  <c r="H160" i="9"/>
  <c r="G160" i="9"/>
  <c r="C160" i="9"/>
  <c r="L159" i="9"/>
  <c r="K159" i="9"/>
  <c r="J159" i="9"/>
  <c r="I159" i="9"/>
  <c r="H159" i="9"/>
  <c r="G159" i="9"/>
  <c r="C159" i="9"/>
  <c r="L158" i="9"/>
  <c r="K158" i="9"/>
  <c r="J158" i="9"/>
  <c r="I158" i="9"/>
  <c r="H158" i="9"/>
  <c r="G158" i="9"/>
  <c r="C158" i="9"/>
  <c r="L157" i="9"/>
  <c r="K157" i="9"/>
  <c r="J157" i="9"/>
  <c r="I157" i="9"/>
  <c r="H157" i="9"/>
  <c r="G157" i="9"/>
  <c r="C157" i="9"/>
  <c r="L156" i="9"/>
  <c r="K156" i="9"/>
  <c r="J156" i="9"/>
  <c r="I156" i="9"/>
  <c r="H156" i="9"/>
  <c r="G156" i="9"/>
  <c r="C156" i="9"/>
  <c r="L155" i="9"/>
  <c r="K155" i="9"/>
  <c r="J155" i="9"/>
  <c r="I155" i="9"/>
  <c r="H155" i="9"/>
  <c r="G155" i="9"/>
  <c r="C155" i="9"/>
  <c r="L154" i="9"/>
  <c r="K154" i="9"/>
  <c r="J154" i="9"/>
  <c r="I154" i="9"/>
  <c r="H154" i="9"/>
  <c r="G154" i="9"/>
  <c r="C154" i="9"/>
  <c r="L153" i="9"/>
  <c r="K153" i="9"/>
  <c r="J153" i="9"/>
  <c r="I153" i="9"/>
  <c r="H153" i="9"/>
  <c r="G153" i="9"/>
  <c r="C153" i="9"/>
  <c r="L152" i="9"/>
  <c r="K152" i="9"/>
  <c r="J152" i="9"/>
  <c r="I152" i="9"/>
  <c r="H152" i="9"/>
  <c r="G152" i="9"/>
  <c r="C152" i="9"/>
  <c r="L151" i="9"/>
  <c r="K151" i="9"/>
  <c r="J151" i="9"/>
  <c r="I151" i="9"/>
  <c r="H151" i="9"/>
  <c r="G151" i="9"/>
  <c r="C151" i="9"/>
  <c r="L150" i="9"/>
  <c r="K150" i="9"/>
  <c r="J150" i="9"/>
  <c r="I150" i="9"/>
  <c r="H150" i="9"/>
  <c r="G150" i="9"/>
  <c r="C150" i="9"/>
  <c r="L149" i="9"/>
  <c r="K149" i="9"/>
  <c r="J149" i="9"/>
  <c r="I149" i="9"/>
  <c r="H149" i="9"/>
  <c r="G149" i="9"/>
  <c r="C149" i="9"/>
  <c r="L148" i="9"/>
  <c r="K148" i="9"/>
  <c r="J148" i="9"/>
  <c r="I148" i="9"/>
  <c r="H148" i="9"/>
  <c r="G148" i="9"/>
  <c r="C148" i="9"/>
  <c r="L147" i="9"/>
  <c r="K147" i="9"/>
  <c r="J147" i="9"/>
  <c r="I147" i="9"/>
  <c r="H147" i="9"/>
  <c r="G147" i="9"/>
  <c r="C147" i="9"/>
  <c r="L146" i="9"/>
  <c r="K146" i="9"/>
  <c r="J146" i="9"/>
  <c r="I146" i="9"/>
  <c r="H146" i="9"/>
  <c r="G146" i="9"/>
  <c r="C146" i="9"/>
  <c r="L145" i="9"/>
  <c r="K145" i="9"/>
  <c r="J145" i="9"/>
  <c r="I145" i="9"/>
  <c r="H145" i="9"/>
  <c r="G145" i="9"/>
  <c r="C145" i="9"/>
  <c r="L144" i="9"/>
  <c r="K144" i="9"/>
  <c r="J144" i="9"/>
  <c r="I144" i="9"/>
  <c r="H144" i="9"/>
  <c r="G144" i="9"/>
  <c r="C144" i="9"/>
  <c r="L143" i="9"/>
  <c r="K143" i="9"/>
  <c r="J143" i="9"/>
  <c r="I143" i="9"/>
  <c r="H143" i="9"/>
  <c r="G143" i="9"/>
  <c r="C143" i="9"/>
  <c r="L142" i="9"/>
  <c r="K142" i="9"/>
  <c r="J142" i="9"/>
  <c r="I142" i="9"/>
  <c r="H142" i="9"/>
  <c r="G142" i="9"/>
  <c r="C142" i="9"/>
  <c r="L141" i="9"/>
  <c r="K141" i="9"/>
  <c r="J141" i="9"/>
  <c r="I141" i="9"/>
  <c r="H141" i="9"/>
  <c r="G141" i="9"/>
  <c r="C141" i="9"/>
  <c r="L140" i="9"/>
  <c r="K140" i="9"/>
  <c r="J140" i="9"/>
  <c r="I140" i="9"/>
  <c r="H140" i="9"/>
  <c r="G140" i="9"/>
  <c r="C140" i="9"/>
  <c r="L139" i="9"/>
  <c r="K139" i="9"/>
  <c r="J139" i="9"/>
  <c r="I139" i="9"/>
  <c r="H139" i="9"/>
  <c r="G139" i="9"/>
  <c r="C139" i="9"/>
  <c r="L138" i="9"/>
  <c r="K138" i="9"/>
  <c r="J138" i="9"/>
  <c r="I138" i="9"/>
  <c r="H138" i="9"/>
  <c r="G138" i="9"/>
  <c r="C138" i="9"/>
  <c r="L137" i="9"/>
  <c r="K137" i="9"/>
  <c r="J137" i="9"/>
  <c r="I137" i="9"/>
  <c r="H137" i="9"/>
  <c r="G137" i="9"/>
  <c r="C137" i="9"/>
  <c r="L136" i="9"/>
  <c r="K136" i="9"/>
  <c r="J136" i="9"/>
  <c r="I136" i="9"/>
  <c r="H136" i="9"/>
  <c r="G136" i="9"/>
  <c r="C136" i="9"/>
  <c r="L135" i="9"/>
  <c r="K135" i="9"/>
  <c r="J135" i="9"/>
  <c r="I135" i="9"/>
  <c r="H135" i="9"/>
  <c r="G135" i="9"/>
  <c r="C135" i="9"/>
  <c r="L134" i="9"/>
  <c r="K134" i="9"/>
  <c r="J134" i="9"/>
  <c r="I134" i="9"/>
  <c r="H134" i="9"/>
  <c r="G134" i="9"/>
  <c r="C134" i="9"/>
  <c r="L133" i="9"/>
  <c r="K133" i="9"/>
  <c r="J133" i="9"/>
  <c r="I133" i="9"/>
  <c r="H133" i="9"/>
  <c r="G133" i="9"/>
  <c r="C133" i="9"/>
  <c r="L132" i="9"/>
  <c r="K132" i="9"/>
  <c r="J132" i="9"/>
  <c r="I132" i="9"/>
  <c r="H132" i="9"/>
  <c r="G132" i="9"/>
  <c r="C132" i="9"/>
  <c r="L131" i="9"/>
  <c r="K131" i="9"/>
  <c r="J131" i="9"/>
  <c r="I131" i="9"/>
  <c r="H131" i="9"/>
  <c r="G131" i="9"/>
  <c r="C131" i="9"/>
  <c r="L130" i="9"/>
  <c r="K130" i="9"/>
  <c r="J130" i="9"/>
  <c r="I130" i="9"/>
  <c r="H130" i="9"/>
  <c r="G130" i="9"/>
  <c r="C130" i="9"/>
  <c r="L129" i="9"/>
  <c r="K129" i="9"/>
  <c r="J129" i="9"/>
  <c r="I129" i="9"/>
  <c r="H129" i="9"/>
  <c r="G129" i="9"/>
  <c r="C129" i="9"/>
  <c r="L128" i="9"/>
  <c r="K128" i="9"/>
  <c r="J128" i="9"/>
  <c r="I128" i="9"/>
  <c r="H128" i="9"/>
  <c r="G128" i="9"/>
  <c r="C128" i="9"/>
  <c r="L127" i="9"/>
  <c r="K127" i="9"/>
  <c r="J127" i="9"/>
  <c r="I127" i="9"/>
  <c r="H127" i="9"/>
  <c r="G127" i="9"/>
  <c r="C127" i="9"/>
  <c r="L126" i="9"/>
  <c r="K126" i="9"/>
  <c r="J126" i="9"/>
  <c r="I126" i="9"/>
  <c r="H126" i="9"/>
  <c r="G126" i="9"/>
  <c r="C126" i="9"/>
  <c r="L125" i="9"/>
  <c r="K125" i="9"/>
  <c r="J125" i="9"/>
  <c r="I125" i="9"/>
  <c r="H125" i="9"/>
  <c r="G125" i="9"/>
  <c r="C125" i="9"/>
  <c r="L124" i="9"/>
  <c r="K124" i="9"/>
  <c r="J124" i="9"/>
  <c r="I124" i="9"/>
  <c r="H124" i="9"/>
  <c r="G124" i="9"/>
  <c r="C124" i="9"/>
  <c r="L123" i="9"/>
  <c r="K123" i="9"/>
  <c r="J123" i="9"/>
  <c r="I123" i="9"/>
  <c r="H123" i="9"/>
  <c r="G123" i="9"/>
  <c r="C123" i="9"/>
  <c r="L122" i="9"/>
  <c r="K122" i="9"/>
  <c r="J122" i="9"/>
  <c r="I122" i="9"/>
  <c r="H122" i="9"/>
  <c r="G122" i="9"/>
  <c r="C122" i="9"/>
  <c r="L121" i="9"/>
  <c r="K121" i="9"/>
  <c r="J121" i="9"/>
  <c r="I121" i="9"/>
  <c r="H121" i="9"/>
  <c r="G121" i="9"/>
  <c r="C121" i="9"/>
  <c r="L120" i="9"/>
  <c r="K120" i="9"/>
  <c r="J120" i="9"/>
  <c r="I120" i="9"/>
  <c r="H120" i="9"/>
  <c r="G120" i="9"/>
  <c r="C120" i="9"/>
  <c r="L119" i="9"/>
  <c r="K119" i="9"/>
  <c r="J119" i="9"/>
  <c r="I119" i="9"/>
  <c r="H119" i="9"/>
  <c r="G119" i="9"/>
  <c r="C119" i="9"/>
  <c r="L118" i="9"/>
  <c r="K118" i="9"/>
  <c r="J118" i="9"/>
  <c r="I118" i="9"/>
  <c r="H118" i="9"/>
  <c r="G118" i="9"/>
  <c r="C118" i="9"/>
  <c r="L117" i="9"/>
  <c r="K117" i="9"/>
  <c r="J117" i="9"/>
  <c r="I117" i="9"/>
  <c r="H117" i="9"/>
  <c r="G117" i="9"/>
  <c r="C117" i="9"/>
  <c r="L116" i="9"/>
  <c r="K116" i="9"/>
  <c r="J116" i="9"/>
  <c r="I116" i="9"/>
  <c r="H116" i="9"/>
  <c r="G116" i="9"/>
  <c r="C116" i="9"/>
  <c r="L115" i="9"/>
  <c r="K115" i="9"/>
  <c r="J115" i="9"/>
  <c r="I115" i="9"/>
  <c r="H115" i="9"/>
  <c r="G115" i="9"/>
  <c r="C115" i="9"/>
  <c r="L114" i="9"/>
  <c r="K114" i="9"/>
  <c r="J114" i="9"/>
  <c r="I114" i="9"/>
  <c r="H114" i="9"/>
  <c r="G114" i="9"/>
  <c r="C114" i="9"/>
  <c r="L113" i="9"/>
  <c r="K113" i="9"/>
  <c r="J113" i="9"/>
  <c r="I113" i="9"/>
  <c r="H113" i="9"/>
  <c r="G113" i="9"/>
  <c r="C113" i="9"/>
  <c r="L112" i="9"/>
  <c r="K112" i="9"/>
  <c r="J112" i="9"/>
  <c r="I112" i="9"/>
  <c r="H112" i="9"/>
  <c r="G112" i="9"/>
  <c r="C112" i="9"/>
  <c r="L111" i="9"/>
  <c r="K111" i="9"/>
  <c r="J111" i="9"/>
  <c r="I111" i="9"/>
  <c r="H111" i="9"/>
  <c r="G111" i="9"/>
  <c r="C111" i="9"/>
  <c r="L110" i="9"/>
  <c r="K110" i="9"/>
  <c r="J110" i="9"/>
  <c r="I110" i="9"/>
  <c r="H110" i="9"/>
  <c r="G110" i="9"/>
  <c r="C110" i="9"/>
  <c r="L109" i="9"/>
  <c r="K109" i="9"/>
  <c r="J109" i="9"/>
  <c r="I109" i="9"/>
  <c r="H109" i="9"/>
  <c r="G109" i="9"/>
  <c r="C109" i="9"/>
  <c r="L108" i="9"/>
  <c r="K108" i="9"/>
  <c r="J108" i="9"/>
  <c r="I108" i="9"/>
  <c r="H108" i="9"/>
  <c r="G108" i="9"/>
  <c r="C108" i="9"/>
  <c r="L107" i="9"/>
  <c r="K107" i="9"/>
  <c r="J107" i="9"/>
  <c r="I107" i="9"/>
  <c r="H107" i="9"/>
  <c r="G107" i="9"/>
  <c r="C107" i="9"/>
  <c r="L106" i="9"/>
  <c r="K106" i="9"/>
  <c r="J106" i="9"/>
  <c r="I106" i="9"/>
  <c r="H106" i="9"/>
  <c r="G106" i="9"/>
  <c r="C106" i="9"/>
  <c r="L105" i="9"/>
  <c r="K105" i="9"/>
  <c r="J105" i="9"/>
  <c r="I105" i="9"/>
  <c r="H105" i="9"/>
  <c r="G105" i="9"/>
  <c r="C105" i="9"/>
  <c r="L104" i="9"/>
  <c r="K104" i="9"/>
  <c r="J104" i="9"/>
  <c r="I104" i="9"/>
  <c r="H104" i="9"/>
  <c r="G104" i="9"/>
  <c r="C104" i="9"/>
  <c r="L103" i="9"/>
  <c r="K103" i="9"/>
  <c r="J103" i="9"/>
  <c r="I103" i="9"/>
  <c r="H103" i="9"/>
  <c r="G103" i="9"/>
  <c r="C103" i="9"/>
  <c r="L102" i="9"/>
  <c r="K102" i="9"/>
  <c r="J102" i="9"/>
  <c r="I102" i="9"/>
  <c r="H102" i="9"/>
  <c r="G102" i="9"/>
  <c r="C102" i="9"/>
  <c r="L101" i="9"/>
  <c r="K101" i="9"/>
  <c r="J101" i="9"/>
  <c r="I101" i="9"/>
  <c r="H101" i="9"/>
  <c r="G101" i="9"/>
  <c r="C101" i="9"/>
  <c r="L100" i="9"/>
  <c r="K100" i="9"/>
  <c r="J100" i="9"/>
  <c r="I100" i="9"/>
  <c r="H100" i="9"/>
  <c r="G100" i="9"/>
  <c r="C100" i="9"/>
  <c r="L99" i="9"/>
  <c r="K99" i="9"/>
  <c r="J99" i="9"/>
  <c r="I99" i="9"/>
  <c r="H99" i="9"/>
  <c r="G99" i="9"/>
  <c r="C99" i="9"/>
  <c r="L98" i="9"/>
  <c r="K98" i="9"/>
  <c r="J98" i="9"/>
  <c r="I98" i="9"/>
  <c r="H98" i="9"/>
  <c r="G98" i="9"/>
  <c r="C98" i="9"/>
  <c r="L97" i="9"/>
  <c r="K97" i="9"/>
  <c r="J97" i="9"/>
  <c r="I97" i="9"/>
  <c r="H97" i="9"/>
  <c r="G97" i="9"/>
  <c r="C97" i="9"/>
  <c r="L96" i="9"/>
  <c r="K96" i="9"/>
  <c r="J96" i="9"/>
  <c r="I96" i="9"/>
  <c r="H96" i="9"/>
  <c r="G96" i="9"/>
  <c r="C96" i="9"/>
  <c r="L95" i="9"/>
  <c r="K95" i="9"/>
  <c r="J95" i="9"/>
  <c r="I95" i="9"/>
  <c r="H95" i="9"/>
  <c r="G95" i="9"/>
  <c r="C95" i="9"/>
  <c r="L94" i="9"/>
  <c r="K94" i="9"/>
  <c r="J94" i="9"/>
  <c r="I94" i="9"/>
  <c r="H94" i="9"/>
  <c r="G94" i="9"/>
  <c r="C94" i="9"/>
  <c r="L93" i="9"/>
  <c r="K93" i="9"/>
  <c r="J93" i="9"/>
  <c r="I93" i="9"/>
  <c r="H93" i="9"/>
  <c r="G93" i="9"/>
  <c r="C93" i="9"/>
  <c r="L92" i="9"/>
  <c r="K92" i="9"/>
  <c r="J92" i="9"/>
  <c r="I92" i="9"/>
  <c r="H92" i="9"/>
  <c r="G92" i="9"/>
  <c r="C92" i="9"/>
  <c r="L91" i="9"/>
  <c r="K91" i="9"/>
  <c r="J91" i="9"/>
  <c r="I91" i="9"/>
  <c r="H91" i="9"/>
  <c r="G91" i="9"/>
  <c r="C91" i="9"/>
  <c r="L90" i="9"/>
  <c r="K90" i="9"/>
  <c r="J90" i="9"/>
  <c r="I90" i="9"/>
  <c r="H90" i="9"/>
  <c r="G90" i="9"/>
  <c r="C90" i="9"/>
  <c r="L89" i="9"/>
  <c r="K89" i="9"/>
  <c r="J89" i="9"/>
  <c r="I89" i="9"/>
  <c r="H89" i="9"/>
  <c r="G89" i="9"/>
  <c r="C89" i="9"/>
  <c r="L88" i="9"/>
  <c r="K88" i="9"/>
  <c r="J88" i="9"/>
  <c r="I88" i="9"/>
  <c r="H88" i="9"/>
  <c r="G88" i="9"/>
  <c r="C88" i="9"/>
  <c r="L87" i="9"/>
  <c r="K87" i="9"/>
  <c r="J87" i="9"/>
  <c r="I87" i="9"/>
  <c r="H87" i="9"/>
  <c r="G87" i="9"/>
  <c r="C87" i="9"/>
  <c r="L86" i="9"/>
  <c r="K86" i="9"/>
  <c r="J86" i="9"/>
  <c r="I86" i="9"/>
  <c r="H86" i="9"/>
  <c r="G86" i="9"/>
  <c r="C86" i="9"/>
  <c r="L85" i="9"/>
  <c r="K85" i="9"/>
  <c r="J85" i="9"/>
  <c r="I85" i="9"/>
  <c r="H85" i="9"/>
  <c r="G85" i="9"/>
  <c r="C85" i="9"/>
  <c r="L84" i="9"/>
  <c r="K84" i="9"/>
  <c r="J84" i="9"/>
  <c r="I84" i="9"/>
  <c r="H84" i="9"/>
  <c r="G84" i="9"/>
  <c r="C84" i="9"/>
  <c r="L83" i="9"/>
  <c r="K83" i="9"/>
  <c r="J83" i="9"/>
  <c r="I83" i="9"/>
  <c r="H83" i="9"/>
  <c r="G83" i="9"/>
  <c r="C83" i="9"/>
  <c r="L82" i="9"/>
  <c r="K82" i="9"/>
  <c r="J82" i="9"/>
  <c r="I82" i="9"/>
  <c r="H82" i="9"/>
  <c r="G82" i="9"/>
  <c r="C82" i="9"/>
  <c r="L81" i="9"/>
  <c r="K81" i="9"/>
  <c r="J81" i="9"/>
  <c r="I81" i="9"/>
  <c r="H81" i="9"/>
  <c r="G81" i="9"/>
  <c r="C81" i="9"/>
  <c r="L80" i="9"/>
  <c r="K80" i="9"/>
  <c r="J80" i="9"/>
  <c r="I80" i="9"/>
  <c r="H80" i="9"/>
  <c r="G80" i="9"/>
  <c r="C80" i="9"/>
  <c r="L79" i="9"/>
  <c r="K79" i="9"/>
  <c r="J79" i="9"/>
  <c r="I79" i="9"/>
  <c r="H79" i="9"/>
  <c r="G79" i="9"/>
  <c r="C79" i="9"/>
  <c r="L78" i="9"/>
  <c r="K78" i="9"/>
  <c r="J78" i="9"/>
  <c r="I78" i="9"/>
  <c r="H78" i="9"/>
  <c r="G78" i="9"/>
  <c r="C78" i="9"/>
  <c r="L77" i="9"/>
  <c r="K77" i="9"/>
  <c r="J77" i="9"/>
  <c r="I77" i="9"/>
  <c r="H77" i="9"/>
  <c r="G77" i="9"/>
  <c r="C77" i="9"/>
  <c r="L76" i="9"/>
  <c r="K76" i="9"/>
  <c r="J76" i="9"/>
  <c r="I76" i="9"/>
  <c r="H76" i="9"/>
  <c r="G76" i="9"/>
  <c r="C76" i="9"/>
  <c r="L75" i="9"/>
  <c r="K75" i="9"/>
  <c r="J75" i="9"/>
  <c r="I75" i="9"/>
  <c r="H75" i="9"/>
  <c r="G75" i="9"/>
  <c r="C75" i="9"/>
  <c r="L74" i="9"/>
  <c r="K74" i="9"/>
  <c r="J74" i="9"/>
  <c r="I74" i="9"/>
  <c r="H74" i="9"/>
  <c r="G74" i="9"/>
  <c r="C74" i="9"/>
  <c r="L73" i="9"/>
  <c r="K73" i="9"/>
  <c r="J73" i="9"/>
  <c r="I73" i="9"/>
  <c r="H73" i="9"/>
  <c r="G73" i="9"/>
  <c r="C73" i="9"/>
  <c r="L72" i="9"/>
  <c r="K72" i="9"/>
  <c r="J72" i="9"/>
  <c r="I72" i="9"/>
  <c r="H72" i="9"/>
  <c r="G72" i="9"/>
  <c r="C72" i="9"/>
  <c r="L71" i="9"/>
  <c r="K71" i="9"/>
  <c r="J71" i="9"/>
  <c r="I71" i="9"/>
  <c r="H71" i="9"/>
  <c r="G71" i="9"/>
  <c r="C71" i="9"/>
  <c r="L70" i="9"/>
  <c r="K70" i="9"/>
  <c r="J70" i="9"/>
  <c r="I70" i="9"/>
  <c r="H70" i="9"/>
  <c r="G70" i="9"/>
  <c r="C70" i="9"/>
  <c r="L69" i="9"/>
  <c r="K69" i="9"/>
  <c r="J69" i="9"/>
  <c r="I69" i="9"/>
  <c r="H69" i="9"/>
  <c r="G69" i="9"/>
  <c r="C69" i="9"/>
  <c r="L68" i="9"/>
  <c r="K68" i="9"/>
  <c r="J68" i="9"/>
  <c r="I68" i="9"/>
  <c r="H68" i="9"/>
  <c r="G68" i="9"/>
  <c r="C68" i="9"/>
  <c r="L67" i="9"/>
  <c r="K67" i="9"/>
  <c r="J67" i="9"/>
  <c r="I67" i="9"/>
  <c r="H67" i="9"/>
  <c r="G67" i="9"/>
  <c r="C67" i="9"/>
  <c r="L66" i="9"/>
  <c r="K66" i="9"/>
  <c r="J66" i="9"/>
  <c r="I66" i="9"/>
  <c r="H66" i="9"/>
  <c r="G66" i="9"/>
  <c r="C66" i="9"/>
  <c r="L65" i="9"/>
  <c r="K65" i="9"/>
  <c r="J65" i="9"/>
  <c r="I65" i="9"/>
  <c r="H65" i="9"/>
  <c r="G65" i="9"/>
  <c r="C65" i="9"/>
  <c r="L64" i="9"/>
  <c r="K64" i="9"/>
  <c r="J64" i="9"/>
  <c r="I64" i="9"/>
  <c r="H64" i="9"/>
  <c r="G64" i="9"/>
  <c r="C64" i="9"/>
  <c r="L63" i="9"/>
  <c r="K63" i="9"/>
  <c r="J63" i="9"/>
  <c r="I63" i="9"/>
  <c r="H63" i="9"/>
  <c r="G63" i="9"/>
  <c r="C63" i="9"/>
  <c r="L62" i="9"/>
  <c r="K62" i="9"/>
  <c r="J62" i="9"/>
  <c r="I62" i="9"/>
  <c r="H62" i="9"/>
  <c r="G62" i="9"/>
  <c r="C62" i="9"/>
  <c r="L61" i="9"/>
  <c r="K61" i="9"/>
  <c r="J61" i="9"/>
  <c r="I61" i="9"/>
  <c r="H61" i="9"/>
  <c r="G61" i="9"/>
  <c r="C61" i="9"/>
  <c r="L60" i="9"/>
  <c r="K60" i="9"/>
  <c r="J60" i="9"/>
  <c r="I60" i="9"/>
  <c r="H60" i="9"/>
  <c r="G60" i="9"/>
  <c r="C60" i="9"/>
  <c r="L59" i="9"/>
  <c r="K59" i="9"/>
  <c r="J59" i="9"/>
  <c r="I59" i="9"/>
  <c r="H59" i="9"/>
  <c r="G59" i="9"/>
  <c r="C59" i="9"/>
  <c r="L58" i="9"/>
  <c r="K58" i="9"/>
  <c r="J58" i="9"/>
  <c r="I58" i="9"/>
  <c r="H58" i="9"/>
  <c r="G58" i="9"/>
  <c r="C58" i="9"/>
  <c r="L57" i="9"/>
  <c r="K57" i="9"/>
  <c r="J57" i="9"/>
  <c r="I57" i="9"/>
  <c r="H57" i="9"/>
  <c r="G57" i="9"/>
  <c r="C57" i="9"/>
  <c r="L56" i="9"/>
  <c r="K56" i="9"/>
  <c r="J56" i="9"/>
  <c r="I56" i="9"/>
  <c r="H56" i="9"/>
  <c r="G56" i="9"/>
  <c r="C56" i="9"/>
  <c r="L55" i="9"/>
  <c r="K55" i="9"/>
  <c r="J55" i="9"/>
  <c r="I55" i="9"/>
  <c r="H55" i="9"/>
  <c r="G55" i="9"/>
  <c r="C55" i="9"/>
  <c r="L54" i="9"/>
  <c r="K54" i="9"/>
  <c r="J54" i="9"/>
  <c r="I54" i="9"/>
  <c r="H54" i="9"/>
  <c r="G54" i="9"/>
  <c r="C54" i="9"/>
  <c r="L53" i="9"/>
  <c r="K53" i="9"/>
  <c r="J53" i="9"/>
  <c r="I53" i="9"/>
  <c r="H53" i="9"/>
  <c r="G53" i="9"/>
  <c r="C53" i="9"/>
  <c r="L52" i="9"/>
  <c r="K52" i="9"/>
  <c r="J52" i="9"/>
  <c r="I52" i="9"/>
  <c r="H52" i="9"/>
  <c r="G52" i="9"/>
  <c r="C52" i="9"/>
  <c r="L51" i="9"/>
  <c r="K51" i="9"/>
  <c r="J51" i="9"/>
  <c r="I51" i="9"/>
  <c r="H51" i="9"/>
  <c r="G51" i="9"/>
  <c r="C51" i="9"/>
  <c r="L50" i="9"/>
  <c r="K50" i="9"/>
  <c r="J50" i="9"/>
  <c r="I50" i="9"/>
  <c r="H50" i="9"/>
  <c r="G50" i="9"/>
  <c r="C50" i="9"/>
  <c r="L49" i="9"/>
  <c r="K49" i="9"/>
  <c r="J49" i="9"/>
  <c r="I49" i="9"/>
  <c r="H49" i="9"/>
  <c r="G49" i="9"/>
  <c r="C49" i="9"/>
  <c r="L48" i="9"/>
  <c r="K48" i="9"/>
  <c r="J48" i="9"/>
  <c r="I48" i="9"/>
  <c r="H48" i="9"/>
  <c r="G48" i="9"/>
  <c r="C48" i="9"/>
  <c r="L47" i="9"/>
  <c r="K47" i="9"/>
  <c r="J47" i="9"/>
  <c r="I47" i="9"/>
  <c r="H47" i="9"/>
  <c r="G47" i="9"/>
  <c r="C47" i="9"/>
  <c r="L46" i="9"/>
  <c r="K46" i="9"/>
  <c r="J46" i="9"/>
  <c r="I46" i="9"/>
  <c r="H46" i="9"/>
  <c r="G46" i="9"/>
  <c r="C46" i="9"/>
  <c r="L45" i="9"/>
  <c r="K45" i="9"/>
  <c r="J45" i="9"/>
  <c r="I45" i="9"/>
  <c r="H45" i="9"/>
  <c r="G45" i="9"/>
  <c r="C45" i="9"/>
  <c r="L44" i="9"/>
  <c r="K44" i="9"/>
  <c r="J44" i="9"/>
  <c r="I44" i="9"/>
  <c r="H44" i="9"/>
  <c r="G44" i="9"/>
  <c r="C44" i="9"/>
  <c r="L43" i="9"/>
  <c r="K43" i="9"/>
  <c r="J43" i="9"/>
  <c r="I43" i="9"/>
  <c r="H43" i="9"/>
  <c r="G43" i="9"/>
  <c r="C43" i="9"/>
  <c r="L42" i="9"/>
  <c r="K42" i="9"/>
  <c r="J42" i="9"/>
  <c r="I42" i="9"/>
  <c r="H42" i="9"/>
  <c r="G42" i="9"/>
  <c r="C42" i="9"/>
  <c r="L41" i="9"/>
  <c r="K41" i="9"/>
  <c r="J41" i="9"/>
  <c r="I41" i="9"/>
  <c r="H41" i="9"/>
  <c r="G41" i="9"/>
  <c r="C41" i="9"/>
  <c r="L40" i="9"/>
  <c r="K40" i="9"/>
  <c r="J40" i="9"/>
  <c r="I40" i="9"/>
  <c r="H40" i="9"/>
  <c r="G40" i="9"/>
  <c r="C40" i="9"/>
  <c r="L39" i="9"/>
  <c r="K39" i="9"/>
  <c r="J39" i="9"/>
  <c r="I39" i="9"/>
  <c r="H39" i="9"/>
  <c r="G39" i="9"/>
  <c r="C39" i="9"/>
  <c r="L38" i="9"/>
  <c r="K38" i="9"/>
  <c r="J38" i="9"/>
  <c r="I38" i="9"/>
  <c r="H38" i="9"/>
  <c r="G38" i="9"/>
  <c r="C38" i="9"/>
  <c r="L37" i="9"/>
  <c r="K37" i="9"/>
  <c r="J37" i="9"/>
  <c r="I37" i="9"/>
  <c r="H37" i="9"/>
  <c r="G37" i="9"/>
  <c r="C37" i="9"/>
  <c r="L36" i="9"/>
  <c r="K36" i="9"/>
  <c r="J36" i="9"/>
  <c r="I36" i="9"/>
  <c r="H36" i="9"/>
  <c r="G36" i="9"/>
  <c r="C36" i="9"/>
  <c r="L35" i="9"/>
  <c r="K35" i="9"/>
  <c r="J35" i="9"/>
  <c r="I35" i="9"/>
  <c r="H35" i="9"/>
  <c r="G35" i="9"/>
  <c r="C35" i="9"/>
  <c r="L34" i="9"/>
  <c r="K34" i="9"/>
  <c r="J34" i="9"/>
  <c r="I34" i="9"/>
  <c r="H34" i="9"/>
  <c r="G34" i="9"/>
  <c r="C34" i="9"/>
  <c r="L33" i="9"/>
  <c r="K33" i="9"/>
  <c r="J33" i="9"/>
  <c r="I33" i="9"/>
  <c r="H33" i="9"/>
  <c r="G33" i="9"/>
  <c r="C33" i="9"/>
  <c r="L32" i="9"/>
  <c r="K32" i="9"/>
  <c r="J32" i="9"/>
  <c r="I32" i="9"/>
  <c r="H32" i="9"/>
  <c r="G32" i="9"/>
  <c r="C32" i="9"/>
  <c r="L31" i="9"/>
  <c r="K31" i="9"/>
  <c r="J31" i="9"/>
  <c r="I31" i="9"/>
  <c r="H31" i="9"/>
  <c r="G31" i="9"/>
  <c r="C31" i="9"/>
  <c r="L30" i="9"/>
  <c r="K30" i="9"/>
  <c r="J30" i="9"/>
  <c r="I30" i="9"/>
  <c r="H30" i="9"/>
  <c r="G30" i="9"/>
  <c r="C30" i="9"/>
  <c r="L29" i="9"/>
  <c r="K29" i="9"/>
  <c r="J29" i="9"/>
  <c r="I29" i="9"/>
  <c r="H29" i="9"/>
  <c r="G29" i="9"/>
  <c r="C29" i="9"/>
  <c r="L28" i="9"/>
  <c r="K28" i="9"/>
  <c r="J28" i="9"/>
  <c r="I28" i="9"/>
  <c r="H28" i="9"/>
  <c r="G28" i="9"/>
  <c r="C28" i="9"/>
  <c r="L27" i="9"/>
  <c r="K27" i="9"/>
  <c r="J27" i="9"/>
  <c r="I27" i="9"/>
  <c r="H27" i="9"/>
  <c r="G27" i="9"/>
  <c r="C27" i="9"/>
  <c r="L26" i="9"/>
  <c r="K26" i="9"/>
  <c r="J26" i="9"/>
  <c r="I26" i="9"/>
  <c r="H26" i="9"/>
  <c r="G26" i="9"/>
  <c r="C26" i="9"/>
  <c r="L25" i="9"/>
  <c r="K25" i="9"/>
  <c r="J25" i="9"/>
  <c r="I25" i="9"/>
  <c r="H25" i="9"/>
  <c r="G25" i="9"/>
  <c r="C25" i="9"/>
  <c r="L24" i="9"/>
  <c r="K24" i="9"/>
  <c r="J24" i="9"/>
  <c r="I24" i="9"/>
  <c r="H24" i="9"/>
  <c r="G24" i="9"/>
  <c r="C24" i="9"/>
  <c r="L23" i="9"/>
  <c r="K23" i="9"/>
  <c r="J23" i="9"/>
  <c r="I23" i="9"/>
  <c r="H23" i="9"/>
  <c r="G23" i="9"/>
  <c r="C23" i="9"/>
  <c r="L22" i="9"/>
  <c r="K22" i="9"/>
  <c r="J22" i="9"/>
  <c r="I22" i="9"/>
  <c r="H22" i="9"/>
  <c r="G22" i="9"/>
  <c r="C22" i="9"/>
  <c r="L21" i="9"/>
  <c r="K21" i="9"/>
  <c r="J21" i="9"/>
  <c r="I21" i="9"/>
  <c r="H21" i="9"/>
  <c r="G21" i="9"/>
  <c r="C21" i="9"/>
  <c r="L20" i="9"/>
  <c r="K20" i="9"/>
  <c r="J20" i="9"/>
  <c r="I20" i="9"/>
  <c r="H20" i="9"/>
  <c r="G20" i="9"/>
  <c r="C20" i="9"/>
  <c r="L19" i="9"/>
  <c r="K19" i="9"/>
  <c r="J19" i="9"/>
  <c r="I19" i="9"/>
  <c r="H19" i="9"/>
  <c r="G19" i="9"/>
  <c r="C19" i="9"/>
  <c r="L18" i="9"/>
  <c r="K18" i="9"/>
  <c r="J18" i="9"/>
  <c r="I18" i="9"/>
  <c r="H18" i="9"/>
  <c r="G18" i="9"/>
  <c r="C18" i="9"/>
  <c r="L17" i="9"/>
  <c r="K17" i="9"/>
  <c r="J17" i="9"/>
  <c r="I17" i="9"/>
  <c r="H17" i="9"/>
  <c r="G17" i="9"/>
  <c r="C17" i="9"/>
  <c r="L16" i="9"/>
  <c r="K16" i="9"/>
  <c r="J16" i="9"/>
  <c r="I16" i="9"/>
  <c r="H16" i="9"/>
  <c r="G16" i="9"/>
  <c r="C16" i="9"/>
  <c r="L15" i="9"/>
  <c r="K15" i="9"/>
  <c r="J15" i="9"/>
  <c r="I15" i="9"/>
  <c r="H15" i="9"/>
  <c r="G15" i="9"/>
  <c r="C15" i="9"/>
  <c r="L14" i="9"/>
  <c r="K14" i="9"/>
  <c r="J14" i="9"/>
  <c r="I14" i="9"/>
  <c r="H14" i="9"/>
  <c r="G14" i="9"/>
  <c r="C14" i="9"/>
  <c r="L13" i="9"/>
  <c r="K13" i="9"/>
  <c r="J13" i="9"/>
  <c r="I13" i="9"/>
  <c r="H13" i="9"/>
  <c r="G13" i="9"/>
  <c r="C13" i="9"/>
  <c r="L12" i="9"/>
  <c r="K12" i="9"/>
  <c r="J12" i="9"/>
  <c r="I12" i="9"/>
  <c r="H12" i="9"/>
  <c r="G12" i="9"/>
  <c r="C12" i="9"/>
  <c r="L11" i="9"/>
  <c r="K11" i="9"/>
  <c r="J11" i="9"/>
  <c r="I11" i="9"/>
  <c r="H11" i="9"/>
  <c r="G11" i="9"/>
  <c r="C11" i="9"/>
  <c r="L10" i="9"/>
  <c r="K10" i="9"/>
  <c r="J10" i="9"/>
  <c r="I10" i="9"/>
  <c r="H10" i="9"/>
  <c r="G10" i="9"/>
  <c r="C10" i="9"/>
  <c r="L9" i="9"/>
  <c r="K9" i="9"/>
  <c r="J9" i="9"/>
  <c r="I9" i="9"/>
  <c r="H9" i="9"/>
  <c r="G9" i="9"/>
  <c r="C9" i="9"/>
  <c r="C2" i="9"/>
  <c r="C3" i="9"/>
  <c r="C4" i="9"/>
  <c r="C5" i="9"/>
  <c r="G2" i="9"/>
  <c r="H2" i="9"/>
  <c r="I2" i="9"/>
  <c r="J2" i="9"/>
  <c r="K2" i="9"/>
  <c r="L2" i="9"/>
  <c r="G3" i="9"/>
  <c r="H3" i="9"/>
  <c r="I3" i="9"/>
  <c r="J3" i="9"/>
  <c r="K3" i="9"/>
  <c r="L3" i="9"/>
  <c r="G4" i="9"/>
  <c r="H4" i="9"/>
  <c r="I4" i="9"/>
  <c r="J4" i="9"/>
  <c r="K4" i="9"/>
  <c r="L4" i="9"/>
  <c r="G5" i="9"/>
  <c r="H5" i="9"/>
  <c r="I5" i="9"/>
  <c r="J5" i="9"/>
  <c r="K5" i="9"/>
  <c r="L5" i="9"/>
  <c r="C6" i="9"/>
  <c r="G6" i="9"/>
  <c r="H6" i="9"/>
  <c r="I6" i="9"/>
  <c r="J6" i="9"/>
  <c r="K6" i="9"/>
  <c r="L6" i="9"/>
  <c r="C7" i="9"/>
  <c r="G7" i="9"/>
  <c r="H7" i="9"/>
  <c r="I7" i="9"/>
  <c r="J7" i="9"/>
  <c r="K7" i="9"/>
  <c r="L7" i="9"/>
  <c r="C8" i="9"/>
  <c r="G8" i="9"/>
  <c r="H8" i="9"/>
  <c r="I8" i="9"/>
  <c r="J8" i="9"/>
  <c r="K8" i="9"/>
  <c r="L8" i="9"/>
  <c r="CC3" i="9"/>
  <c r="CC4" i="9"/>
  <c r="CC5" i="9"/>
  <c r="CC6" i="9"/>
  <c r="CC7" i="9"/>
  <c r="CC8" i="9"/>
  <c r="CB3" i="9"/>
  <c r="CB4" i="9"/>
  <c r="CB5" i="9"/>
  <c r="CB6" i="9"/>
  <c r="CB7" i="9"/>
  <c r="CB8" i="9"/>
  <c r="CA3" i="9"/>
  <c r="CA4" i="9"/>
  <c r="CA5" i="9"/>
  <c r="CA6" i="9"/>
  <c r="CA7" i="9"/>
  <c r="CA8" i="9"/>
  <c r="BZ3" i="9"/>
  <c r="BZ4" i="9"/>
  <c r="BZ5" i="9"/>
  <c r="BZ6" i="9"/>
  <c r="BZ7" i="9"/>
  <c r="BZ8" i="9"/>
  <c r="BY3" i="9"/>
  <c r="BY4" i="9"/>
  <c r="BY5" i="9"/>
  <c r="BY6" i="9"/>
  <c r="BY7" i="9"/>
  <c r="BY8" i="9"/>
  <c r="BX3" i="9"/>
  <c r="BX4" i="9"/>
  <c r="BX5" i="9"/>
  <c r="BX6" i="9"/>
  <c r="BX7" i="9"/>
  <c r="BX8" i="9"/>
  <c r="BW3" i="9"/>
  <c r="BW4" i="9"/>
  <c r="BW5" i="9"/>
  <c r="BW6" i="9"/>
  <c r="BW7" i="9"/>
  <c r="BW8" i="9"/>
  <c r="BV3" i="9"/>
  <c r="BV4" i="9"/>
  <c r="BV5" i="9"/>
  <c r="BV6" i="9"/>
  <c r="BV7" i="9"/>
  <c r="BV8" i="9"/>
  <c r="BU3" i="9"/>
  <c r="BU4" i="9"/>
  <c r="BU5" i="9"/>
  <c r="BU6" i="9"/>
  <c r="BU7" i="9"/>
  <c r="BU8" i="9"/>
  <c r="BT3" i="9"/>
  <c r="BT4" i="9"/>
  <c r="BT5" i="9"/>
  <c r="BT6" i="9"/>
  <c r="BT7" i="9"/>
  <c r="BT8" i="9"/>
  <c r="BS3" i="9"/>
  <c r="BS4" i="9"/>
  <c r="BS5" i="9"/>
  <c r="BS6" i="9"/>
  <c r="BS7" i="9"/>
  <c r="BS8" i="9"/>
  <c r="BR3" i="9"/>
  <c r="BR4" i="9"/>
  <c r="BR5" i="9"/>
  <c r="BR6" i="9"/>
  <c r="BR7" i="9"/>
  <c r="BR8" i="9"/>
  <c r="BQ3" i="9"/>
  <c r="BQ4" i="9"/>
  <c r="BQ5" i="9"/>
  <c r="BQ6" i="9"/>
  <c r="BQ7" i="9"/>
  <c r="BQ8" i="9"/>
  <c r="BP3" i="9"/>
  <c r="BP4" i="9"/>
  <c r="BP5" i="9"/>
  <c r="BP6" i="9"/>
  <c r="BP7" i="9"/>
  <c r="BP8" i="9"/>
  <c r="BO3" i="9"/>
  <c r="BO4" i="9"/>
  <c r="BO5" i="9"/>
  <c r="BO6" i="9"/>
  <c r="BO7" i="9"/>
  <c r="BO8" i="9"/>
  <c r="BN3" i="9"/>
  <c r="BN4" i="9"/>
  <c r="BN5" i="9"/>
  <c r="BN6" i="9"/>
  <c r="BN7" i="9"/>
  <c r="BN8" i="9"/>
  <c r="BM3" i="9"/>
  <c r="BM4" i="9"/>
  <c r="BM5" i="9"/>
  <c r="BM6" i="9"/>
  <c r="BM7" i="9"/>
  <c r="BM8" i="9"/>
  <c r="BL3" i="9"/>
  <c r="BL4" i="9"/>
  <c r="BL5" i="9"/>
  <c r="BL6" i="9"/>
  <c r="BL7" i="9"/>
  <c r="BL8" i="9"/>
  <c r="BK3" i="9"/>
  <c r="BK4" i="9"/>
  <c r="BK5" i="9"/>
  <c r="BK6" i="9"/>
  <c r="BK7" i="9"/>
  <c r="BK8" i="9"/>
  <c r="BJ3" i="9"/>
  <c r="BJ4" i="9"/>
  <c r="BJ5" i="9"/>
  <c r="BJ6" i="9"/>
  <c r="BJ7" i="9"/>
  <c r="BJ8" i="9"/>
  <c r="BI3" i="9"/>
  <c r="BI4" i="9"/>
  <c r="BI5" i="9"/>
  <c r="BI6" i="9"/>
  <c r="BI7" i="9"/>
  <c r="BI8" i="9"/>
  <c r="BH3" i="9"/>
  <c r="BH4" i="9"/>
  <c r="BH5" i="9"/>
  <c r="BH6" i="9"/>
  <c r="BH7" i="9"/>
  <c r="BH8" i="9"/>
  <c r="BG3" i="9"/>
  <c r="BG4" i="9"/>
  <c r="BG5" i="9"/>
  <c r="BG6" i="9"/>
  <c r="BG7" i="9"/>
  <c r="BG8" i="9"/>
  <c r="BF3" i="9"/>
  <c r="BF4" i="9"/>
  <c r="BF5" i="9"/>
  <c r="BF6" i="9"/>
  <c r="BF7" i="9"/>
  <c r="BF8" i="9"/>
  <c r="BE3" i="9"/>
  <c r="BE4" i="9"/>
  <c r="BE5" i="9"/>
  <c r="BE6" i="9"/>
  <c r="BE7" i="9"/>
  <c r="BE8" i="9"/>
  <c r="BD3" i="9"/>
  <c r="BD4" i="9"/>
  <c r="BD5" i="9"/>
  <c r="BD6" i="9"/>
  <c r="BD7" i="9"/>
  <c r="BD8" i="9"/>
  <c r="BC3" i="9"/>
  <c r="BC4" i="9"/>
  <c r="BC5" i="9"/>
  <c r="BC6" i="9"/>
  <c r="BC7" i="9"/>
  <c r="BC8" i="9"/>
  <c r="BB3" i="9"/>
  <c r="BB4" i="9"/>
  <c r="BB5" i="9"/>
  <c r="BB6" i="9"/>
  <c r="BB7" i="9"/>
  <c r="BB8" i="9"/>
  <c r="BA3" i="9"/>
  <c r="BA4" i="9"/>
  <c r="BA5" i="9"/>
  <c r="BA6" i="9"/>
  <c r="BA7" i="9"/>
  <c r="BA8" i="9"/>
  <c r="AZ3" i="9"/>
  <c r="AZ4" i="9"/>
  <c r="AZ5" i="9"/>
  <c r="AZ6" i="9"/>
  <c r="AZ7" i="9"/>
  <c r="AZ8" i="9"/>
  <c r="AY3" i="9"/>
  <c r="AY4" i="9"/>
  <c r="AY5" i="9"/>
  <c r="AY6" i="9"/>
  <c r="AY7" i="9"/>
  <c r="AY8" i="9"/>
  <c r="AX3" i="9"/>
  <c r="AX4" i="9"/>
  <c r="AX5" i="9"/>
  <c r="AX6" i="9"/>
  <c r="AX7" i="9"/>
  <c r="AX8" i="9"/>
  <c r="AW3" i="9"/>
  <c r="AW4" i="9"/>
  <c r="AW5" i="9"/>
  <c r="AW6" i="9"/>
  <c r="AW7" i="9"/>
  <c r="AW8" i="9"/>
  <c r="AV3" i="9"/>
  <c r="AV4" i="9"/>
  <c r="AV5" i="9"/>
  <c r="AV6" i="9"/>
  <c r="AV7" i="9"/>
  <c r="AV8" i="9"/>
  <c r="AU3" i="9"/>
  <c r="AU4" i="9"/>
  <c r="AU5" i="9"/>
  <c r="AU6" i="9"/>
  <c r="AU7" i="9"/>
  <c r="AU8" i="9"/>
  <c r="AT3" i="9"/>
  <c r="AT4" i="9"/>
  <c r="AT5" i="9"/>
  <c r="AT6" i="9"/>
  <c r="AT7" i="9"/>
  <c r="AT8" i="9"/>
  <c r="AS3" i="9"/>
  <c r="AS4" i="9"/>
  <c r="AS5" i="9"/>
  <c r="AS6" i="9"/>
  <c r="AS7" i="9"/>
  <c r="AS8" i="9"/>
  <c r="AR3" i="9"/>
  <c r="AR4" i="9"/>
  <c r="AR5" i="9"/>
  <c r="AR6" i="9"/>
  <c r="AR7" i="9"/>
  <c r="AR8" i="9"/>
  <c r="AQ3" i="9"/>
  <c r="AQ4" i="9"/>
  <c r="AQ5" i="9"/>
  <c r="AQ6" i="9"/>
  <c r="AQ7" i="9"/>
  <c r="AQ8" i="9"/>
  <c r="AP3" i="9"/>
  <c r="AP4" i="9"/>
  <c r="AP5" i="9"/>
  <c r="AP6" i="9"/>
  <c r="AP7" i="9"/>
  <c r="AP8" i="9"/>
  <c r="AO3" i="9"/>
  <c r="AO4" i="9"/>
  <c r="AO5" i="9"/>
  <c r="AO6" i="9"/>
  <c r="AO7" i="9"/>
  <c r="AO8" i="9"/>
  <c r="AN3" i="9"/>
  <c r="AN4" i="9"/>
  <c r="AN5" i="9"/>
  <c r="AN6" i="9"/>
  <c r="AN7" i="9"/>
  <c r="AN8" i="9"/>
  <c r="AM3" i="9"/>
  <c r="AM4" i="9"/>
  <c r="AM5" i="9"/>
  <c r="AM6" i="9"/>
  <c r="AM7" i="9"/>
  <c r="AM8" i="9"/>
  <c r="AL3" i="9"/>
  <c r="AL4" i="9"/>
  <c r="AL5" i="9"/>
  <c r="AL6" i="9"/>
  <c r="AL7" i="9"/>
  <c r="AL8" i="9"/>
  <c r="AK3" i="9"/>
  <c r="AK4" i="9"/>
  <c r="AK5" i="9"/>
  <c r="AK6" i="9"/>
  <c r="AK7" i="9"/>
  <c r="AK8" i="9"/>
  <c r="AJ3" i="9"/>
  <c r="AJ4" i="9"/>
  <c r="AJ5" i="9"/>
  <c r="AJ6" i="9"/>
  <c r="AJ7" i="9"/>
  <c r="AJ8" i="9"/>
  <c r="AI3" i="9"/>
  <c r="AI4" i="9"/>
  <c r="AI5" i="9"/>
  <c r="AI6" i="9"/>
  <c r="AI7" i="9"/>
  <c r="AI8" i="9"/>
  <c r="AH3" i="9"/>
  <c r="AH4" i="9"/>
  <c r="AH5" i="9"/>
  <c r="AH6" i="9"/>
  <c r="AH7" i="9"/>
  <c r="AH8" i="9"/>
  <c r="AG3" i="9"/>
  <c r="AG4" i="9"/>
  <c r="AG5" i="9"/>
  <c r="AG6" i="9"/>
  <c r="AG7" i="9"/>
  <c r="AG8" i="9"/>
  <c r="AF3" i="9"/>
  <c r="AF4" i="9"/>
  <c r="AF5" i="9"/>
  <c r="AF6" i="9"/>
  <c r="AF7" i="9"/>
  <c r="AF8" i="9"/>
  <c r="AE3" i="9"/>
  <c r="AE4" i="9"/>
  <c r="AE5" i="9"/>
  <c r="AE6" i="9"/>
  <c r="AE7" i="9"/>
  <c r="AE8" i="9"/>
  <c r="AD3" i="9"/>
  <c r="AD4" i="9"/>
  <c r="AD5" i="9"/>
  <c r="AD6" i="9"/>
  <c r="AD7" i="9"/>
  <c r="AD8" i="9"/>
  <c r="AC3" i="9"/>
  <c r="AC4" i="9"/>
  <c r="AC5" i="9"/>
  <c r="AC6" i="9"/>
  <c r="AC7" i="9"/>
  <c r="AC8" i="9"/>
  <c r="AB3" i="9"/>
  <c r="AB4" i="9"/>
  <c r="AB5" i="9"/>
  <c r="AB6" i="9"/>
  <c r="AB7" i="9"/>
  <c r="AB8" i="9"/>
  <c r="AA3" i="9"/>
  <c r="AA4" i="9"/>
  <c r="AA5" i="9"/>
  <c r="AA6" i="9"/>
  <c r="AA7" i="9"/>
  <c r="AA8" i="9"/>
  <c r="Z3" i="9"/>
  <c r="Z4" i="9"/>
  <c r="Z5" i="9"/>
  <c r="Z6" i="9"/>
  <c r="Z7" i="9"/>
  <c r="Z8" i="9"/>
  <c r="Y3" i="9"/>
  <c r="Y4" i="9"/>
  <c r="Y5" i="9"/>
  <c r="Y6" i="9"/>
  <c r="Y7" i="9"/>
  <c r="Y8" i="9"/>
  <c r="X3" i="9"/>
  <c r="X4" i="9"/>
  <c r="X5" i="9"/>
  <c r="X6" i="9"/>
  <c r="X7" i="9"/>
  <c r="X8" i="9"/>
  <c r="V8" i="9"/>
  <c r="U8" i="9"/>
  <c r="T8" i="9"/>
  <c r="S8" i="9"/>
  <c r="R8" i="9"/>
  <c r="Q8" i="9"/>
  <c r="N8" i="9"/>
  <c r="V7" i="9"/>
  <c r="U7" i="9"/>
  <c r="T7" i="9"/>
  <c r="S7" i="9"/>
  <c r="R7" i="9"/>
  <c r="Q7" i="9"/>
  <c r="O7" i="9"/>
  <c r="N7" i="9"/>
  <c r="V6" i="9"/>
  <c r="U6" i="9"/>
  <c r="T6" i="9"/>
  <c r="S6" i="9"/>
  <c r="R6" i="9"/>
  <c r="Q6" i="9"/>
  <c r="O6" i="9"/>
  <c r="N6" i="9"/>
  <c r="M6" i="9"/>
  <c r="V5" i="9"/>
  <c r="U5" i="9"/>
  <c r="T5" i="9"/>
  <c r="S5" i="9"/>
  <c r="R5" i="9"/>
  <c r="Q5" i="9"/>
  <c r="O5" i="9"/>
  <c r="N5" i="9"/>
  <c r="M5" i="9"/>
  <c r="V4" i="9"/>
  <c r="U4" i="9"/>
  <c r="T4" i="9"/>
  <c r="S4" i="9"/>
  <c r="R4" i="9"/>
  <c r="Q4" i="9"/>
  <c r="O4" i="9"/>
  <c r="N4" i="9"/>
  <c r="V3" i="9"/>
  <c r="U3" i="9"/>
  <c r="T3" i="9"/>
  <c r="S3" i="9"/>
  <c r="R3" i="9"/>
  <c r="Q3" i="9"/>
  <c r="O3" i="9"/>
  <c r="N3" i="9"/>
  <c r="W2" i="9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2" i="6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2" i="7"/>
  <c r="H263" i="6"/>
  <c r="H262" i="6"/>
  <c r="H261" i="6"/>
  <c r="H260" i="6"/>
  <c r="H259" i="6"/>
  <c r="H258" i="6"/>
  <c r="H257" i="6"/>
  <c r="H256" i="6"/>
  <c r="H255" i="6"/>
  <c r="J231" i="1"/>
  <c r="C513" i="3"/>
  <c r="C514" i="3"/>
  <c r="C515" i="3"/>
  <c r="C516" i="3"/>
  <c r="G513" i="3"/>
  <c r="H513" i="3"/>
  <c r="I513" i="3"/>
  <c r="J513" i="3"/>
  <c r="K513" i="3"/>
  <c r="L513" i="3"/>
  <c r="G514" i="3"/>
  <c r="H514" i="3"/>
  <c r="I514" i="3"/>
  <c r="J514" i="3"/>
  <c r="K514" i="3"/>
  <c r="L514" i="3"/>
  <c r="G515" i="3"/>
  <c r="H515" i="3"/>
  <c r="I515" i="3"/>
  <c r="J515" i="3"/>
  <c r="K515" i="3"/>
  <c r="L515" i="3"/>
  <c r="G516" i="3"/>
  <c r="H516" i="3"/>
  <c r="I516" i="3"/>
  <c r="J516" i="3"/>
  <c r="K516" i="3"/>
  <c r="L516" i="3"/>
  <c r="G498" i="4"/>
  <c r="H498" i="4"/>
  <c r="I498" i="4"/>
  <c r="J498" i="4"/>
  <c r="K498" i="4"/>
  <c r="G499" i="4"/>
  <c r="H499" i="4"/>
  <c r="I499" i="4"/>
  <c r="J499" i="4"/>
  <c r="K499" i="4"/>
  <c r="G500" i="4"/>
  <c r="H500" i="4"/>
  <c r="I500" i="4"/>
  <c r="J500" i="4"/>
  <c r="K500" i="4"/>
  <c r="G501" i="4"/>
  <c r="H501" i="4"/>
  <c r="I501" i="4"/>
  <c r="J501" i="4"/>
  <c r="K501" i="4"/>
  <c r="G502" i="4"/>
  <c r="H502" i="4"/>
  <c r="I502" i="4"/>
  <c r="J502" i="4"/>
  <c r="K502" i="4"/>
  <c r="G503" i="4"/>
  <c r="H503" i="4"/>
  <c r="I503" i="4"/>
  <c r="J503" i="4"/>
  <c r="K503" i="4"/>
  <c r="G504" i="4"/>
  <c r="H504" i="4"/>
  <c r="I504" i="4"/>
  <c r="J504" i="4"/>
  <c r="K504" i="4"/>
  <c r="G505" i="4"/>
  <c r="H505" i="4"/>
  <c r="I505" i="4"/>
  <c r="J505" i="4"/>
  <c r="K505" i="4"/>
  <c r="G506" i="4"/>
  <c r="H506" i="4"/>
  <c r="I506" i="4"/>
  <c r="J506" i="4"/>
  <c r="K506" i="4"/>
  <c r="G507" i="4"/>
  <c r="H507" i="4"/>
  <c r="I507" i="4"/>
  <c r="J507" i="4"/>
  <c r="K507" i="4"/>
  <c r="G508" i="4"/>
  <c r="H508" i="4"/>
  <c r="I508" i="4"/>
  <c r="J508" i="4"/>
  <c r="K508" i="4"/>
  <c r="G509" i="4"/>
  <c r="H509" i="4"/>
  <c r="I509" i="4"/>
  <c r="J509" i="4"/>
  <c r="K509" i="4"/>
  <c r="G510" i="4"/>
  <c r="H510" i="4"/>
  <c r="I510" i="4"/>
  <c r="J510" i="4"/>
  <c r="K510" i="4"/>
  <c r="G511" i="4"/>
  <c r="H511" i="4"/>
  <c r="I511" i="4"/>
  <c r="J511" i="4"/>
  <c r="K511" i="4"/>
  <c r="G512" i="4"/>
  <c r="H512" i="4"/>
  <c r="I512" i="4"/>
  <c r="J512" i="4"/>
  <c r="K512" i="4"/>
  <c r="G513" i="4"/>
  <c r="H513" i="4"/>
  <c r="I513" i="4"/>
  <c r="J513" i="4"/>
  <c r="K513" i="4"/>
  <c r="G514" i="4"/>
  <c r="H514" i="4"/>
  <c r="I514" i="4"/>
  <c r="J514" i="4"/>
  <c r="K514" i="4"/>
  <c r="G515" i="4"/>
  <c r="H515" i="4"/>
  <c r="I515" i="4"/>
  <c r="J515" i="4"/>
  <c r="K515" i="4"/>
  <c r="G516" i="4"/>
  <c r="H516" i="4"/>
  <c r="I516" i="4"/>
  <c r="J516" i="4"/>
  <c r="K516" i="4"/>
  <c r="G2" i="4"/>
  <c r="G3" i="4"/>
  <c r="G4" i="4"/>
  <c r="G5" i="4"/>
  <c r="X3" i="4"/>
  <c r="G6" i="4"/>
  <c r="G7" i="4"/>
  <c r="G8" i="4"/>
  <c r="G9" i="4"/>
  <c r="H2" i="4"/>
  <c r="I2" i="4"/>
  <c r="J2" i="4"/>
  <c r="K2" i="4"/>
  <c r="L2" i="4"/>
  <c r="H3" i="4"/>
  <c r="I3" i="4"/>
  <c r="J3" i="4"/>
  <c r="K3" i="4"/>
  <c r="L3" i="4"/>
  <c r="H4" i="4"/>
  <c r="I4" i="4"/>
  <c r="J4" i="4"/>
  <c r="K4" i="4"/>
  <c r="L4" i="4"/>
  <c r="H5" i="4"/>
  <c r="I5" i="4"/>
  <c r="J5" i="4"/>
  <c r="K5" i="4"/>
  <c r="L5" i="4"/>
  <c r="H6" i="4"/>
  <c r="I6" i="4"/>
  <c r="J6" i="4"/>
  <c r="K6" i="4"/>
  <c r="L6" i="4"/>
  <c r="H7" i="4"/>
  <c r="I7" i="4"/>
  <c r="J7" i="4"/>
  <c r="K7" i="4"/>
  <c r="L7" i="4"/>
  <c r="H8" i="4"/>
  <c r="I8" i="4"/>
  <c r="J8" i="4"/>
  <c r="K8" i="4"/>
  <c r="L8" i="4"/>
  <c r="H9" i="4"/>
  <c r="I9" i="4"/>
  <c r="J9" i="4"/>
  <c r="K9" i="4"/>
  <c r="L9" i="4"/>
  <c r="G10" i="4"/>
  <c r="H10" i="4"/>
  <c r="I10" i="4"/>
  <c r="J10" i="4"/>
  <c r="K10" i="4"/>
  <c r="L10" i="4"/>
  <c r="G11" i="4"/>
  <c r="H11" i="4"/>
  <c r="I11" i="4"/>
  <c r="J11" i="4"/>
  <c r="K11" i="4"/>
  <c r="L11" i="4"/>
  <c r="G12" i="4"/>
  <c r="H12" i="4"/>
  <c r="I12" i="4"/>
  <c r="J12" i="4"/>
  <c r="K12" i="4"/>
  <c r="L12" i="4"/>
  <c r="G13" i="4"/>
  <c r="H13" i="4"/>
  <c r="I13" i="4"/>
  <c r="J13" i="4"/>
  <c r="K13" i="4"/>
  <c r="L13" i="4"/>
  <c r="G14" i="4"/>
  <c r="H14" i="4"/>
  <c r="I14" i="4"/>
  <c r="J14" i="4"/>
  <c r="K14" i="4"/>
  <c r="L14" i="4"/>
  <c r="G15" i="4"/>
  <c r="H15" i="4"/>
  <c r="I15" i="4"/>
  <c r="J15" i="4"/>
  <c r="K15" i="4"/>
  <c r="L15" i="4"/>
  <c r="G16" i="4"/>
  <c r="H16" i="4"/>
  <c r="I16" i="4"/>
  <c r="J16" i="4"/>
  <c r="K16" i="4"/>
  <c r="L16" i="4"/>
  <c r="G17" i="4"/>
  <c r="H17" i="4"/>
  <c r="I17" i="4"/>
  <c r="J17" i="4"/>
  <c r="K17" i="4"/>
  <c r="L17" i="4"/>
  <c r="G18" i="4"/>
  <c r="H18" i="4"/>
  <c r="I18" i="4"/>
  <c r="J18" i="4"/>
  <c r="K18" i="4"/>
  <c r="L18" i="4"/>
  <c r="G19" i="4"/>
  <c r="H19" i="4"/>
  <c r="I19" i="4"/>
  <c r="J19" i="4"/>
  <c r="K19" i="4"/>
  <c r="L19" i="4"/>
  <c r="G20" i="4"/>
  <c r="H20" i="4"/>
  <c r="I20" i="4"/>
  <c r="J20" i="4"/>
  <c r="K20" i="4"/>
  <c r="L20" i="4"/>
  <c r="G21" i="4"/>
  <c r="H21" i="4"/>
  <c r="I21" i="4"/>
  <c r="J21" i="4"/>
  <c r="K21" i="4"/>
  <c r="L21" i="4"/>
  <c r="G22" i="4"/>
  <c r="H22" i="4"/>
  <c r="I22" i="4"/>
  <c r="J22" i="4"/>
  <c r="K22" i="4"/>
  <c r="L22" i="4"/>
  <c r="G23" i="4"/>
  <c r="H23" i="4"/>
  <c r="I23" i="4"/>
  <c r="J23" i="4"/>
  <c r="K23" i="4"/>
  <c r="L23" i="4"/>
  <c r="G24" i="4"/>
  <c r="H24" i="4"/>
  <c r="I24" i="4"/>
  <c r="J24" i="4"/>
  <c r="K24" i="4"/>
  <c r="L24" i="4"/>
  <c r="G25" i="4"/>
  <c r="H25" i="4"/>
  <c r="I25" i="4"/>
  <c r="J25" i="4"/>
  <c r="K25" i="4"/>
  <c r="L25" i="4"/>
  <c r="G26" i="4"/>
  <c r="H26" i="4"/>
  <c r="I26" i="4"/>
  <c r="J26" i="4"/>
  <c r="K26" i="4"/>
  <c r="L26" i="4"/>
  <c r="G27" i="4"/>
  <c r="H27" i="4"/>
  <c r="I27" i="4"/>
  <c r="J27" i="4"/>
  <c r="K27" i="4"/>
  <c r="L27" i="4"/>
  <c r="G28" i="4"/>
  <c r="H28" i="4"/>
  <c r="I28" i="4"/>
  <c r="J28" i="4"/>
  <c r="K28" i="4"/>
  <c r="L28" i="4"/>
  <c r="G29" i="4"/>
  <c r="H29" i="4"/>
  <c r="I29" i="4"/>
  <c r="J29" i="4"/>
  <c r="K29" i="4"/>
  <c r="L29" i="4"/>
  <c r="G30" i="4"/>
  <c r="H30" i="4"/>
  <c r="I30" i="4"/>
  <c r="J30" i="4"/>
  <c r="K30" i="4"/>
  <c r="L30" i="4"/>
  <c r="G31" i="4"/>
  <c r="H31" i="4"/>
  <c r="I31" i="4"/>
  <c r="J31" i="4"/>
  <c r="K31" i="4"/>
  <c r="L31" i="4"/>
  <c r="G32" i="4"/>
  <c r="H32" i="4"/>
  <c r="I32" i="4"/>
  <c r="J32" i="4"/>
  <c r="K32" i="4"/>
  <c r="L32" i="4"/>
  <c r="G33" i="4"/>
  <c r="H33" i="4"/>
  <c r="I33" i="4"/>
  <c r="J33" i="4"/>
  <c r="K33" i="4"/>
  <c r="L33" i="4"/>
  <c r="G34" i="4"/>
  <c r="H34" i="4"/>
  <c r="I34" i="4"/>
  <c r="J34" i="4"/>
  <c r="K34" i="4"/>
  <c r="L34" i="4"/>
  <c r="G35" i="4"/>
  <c r="H35" i="4"/>
  <c r="I35" i="4"/>
  <c r="J35" i="4"/>
  <c r="K35" i="4"/>
  <c r="L35" i="4"/>
  <c r="G36" i="4"/>
  <c r="H36" i="4"/>
  <c r="I36" i="4"/>
  <c r="J36" i="4"/>
  <c r="K36" i="4"/>
  <c r="L36" i="4"/>
  <c r="G37" i="4"/>
  <c r="H37" i="4"/>
  <c r="I37" i="4"/>
  <c r="J37" i="4"/>
  <c r="K37" i="4"/>
  <c r="L37" i="4"/>
  <c r="G38" i="4"/>
  <c r="H38" i="4"/>
  <c r="I38" i="4"/>
  <c r="J38" i="4"/>
  <c r="K38" i="4"/>
  <c r="L38" i="4"/>
  <c r="G39" i="4"/>
  <c r="H39" i="4"/>
  <c r="I39" i="4"/>
  <c r="J39" i="4"/>
  <c r="K39" i="4"/>
  <c r="L39" i="4"/>
  <c r="G40" i="4"/>
  <c r="H40" i="4"/>
  <c r="I40" i="4"/>
  <c r="J40" i="4"/>
  <c r="K40" i="4"/>
  <c r="L40" i="4"/>
  <c r="G41" i="4"/>
  <c r="H41" i="4"/>
  <c r="I41" i="4"/>
  <c r="J41" i="4"/>
  <c r="K41" i="4"/>
  <c r="L41" i="4"/>
  <c r="G42" i="4"/>
  <c r="H42" i="4"/>
  <c r="I42" i="4"/>
  <c r="J42" i="4"/>
  <c r="K42" i="4"/>
  <c r="L42" i="4"/>
  <c r="G43" i="4"/>
  <c r="H43" i="4"/>
  <c r="I43" i="4"/>
  <c r="J43" i="4"/>
  <c r="K43" i="4"/>
  <c r="L43" i="4"/>
  <c r="G44" i="4"/>
  <c r="H44" i="4"/>
  <c r="I44" i="4"/>
  <c r="J44" i="4"/>
  <c r="K44" i="4"/>
  <c r="L44" i="4"/>
  <c r="G45" i="4"/>
  <c r="H45" i="4"/>
  <c r="I45" i="4"/>
  <c r="J45" i="4"/>
  <c r="K45" i="4"/>
  <c r="L45" i="4"/>
  <c r="G46" i="4"/>
  <c r="H46" i="4"/>
  <c r="I46" i="4"/>
  <c r="J46" i="4"/>
  <c r="K46" i="4"/>
  <c r="L46" i="4"/>
  <c r="G47" i="4"/>
  <c r="H47" i="4"/>
  <c r="I47" i="4"/>
  <c r="J47" i="4"/>
  <c r="K47" i="4"/>
  <c r="L47" i="4"/>
  <c r="G48" i="4"/>
  <c r="H48" i="4"/>
  <c r="I48" i="4"/>
  <c r="J48" i="4"/>
  <c r="K48" i="4"/>
  <c r="L48" i="4"/>
  <c r="G49" i="4"/>
  <c r="H49" i="4"/>
  <c r="I49" i="4"/>
  <c r="J49" i="4"/>
  <c r="K49" i="4"/>
  <c r="L49" i="4"/>
  <c r="G50" i="4"/>
  <c r="H50" i="4"/>
  <c r="I50" i="4"/>
  <c r="J50" i="4"/>
  <c r="K50" i="4"/>
  <c r="L50" i="4"/>
  <c r="G51" i="4"/>
  <c r="H51" i="4"/>
  <c r="I51" i="4"/>
  <c r="J51" i="4"/>
  <c r="K51" i="4"/>
  <c r="L51" i="4"/>
  <c r="G52" i="4"/>
  <c r="H52" i="4"/>
  <c r="I52" i="4"/>
  <c r="J52" i="4"/>
  <c r="K52" i="4"/>
  <c r="L52" i="4"/>
  <c r="G53" i="4"/>
  <c r="H53" i="4"/>
  <c r="I53" i="4"/>
  <c r="J53" i="4"/>
  <c r="K53" i="4"/>
  <c r="L53" i="4"/>
  <c r="G54" i="4"/>
  <c r="H54" i="4"/>
  <c r="I54" i="4"/>
  <c r="J54" i="4"/>
  <c r="K54" i="4"/>
  <c r="L54" i="4"/>
  <c r="G55" i="4"/>
  <c r="H55" i="4"/>
  <c r="I55" i="4"/>
  <c r="J55" i="4"/>
  <c r="K55" i="4"/>
  <c r="L55" i="4"/>
  <c r="G56" i="4"/>
  <c r="H56" i="4"/>
  <c r="I56" i="4"/>
  <c r="J56" i="4"/>
  <c r="K56" i="4"/>
  <c r="L56" i="4"/>
  <c r="G57" i="4"/>
  <c r="H57" i="4"/>
  <c r="I57" i="4"/>
  <c r="J57" i="4"/>
  <c r="K57" i="4"/>
  <c r="L57" i="4"/>
  <c r="G58" i="4"/>
  <c r="H58" i="4"/>
  <c r="I58" i="4"/>
  <c r="J58" i="4"/>
  <c r="K58" i="4"/>
  <c r="L58" i="4"/>
  <c r="G59" i="4"/>
  <c r="H59" i="4"/>
  <c r="I59" i="4"/>
  <c r="J59" i="4"/>
  <c r="K59" i="4"/>
  <c r="L59" i="4"/>
  <c r="G60" i="4"/>
  <c r="H60" i="4"/>
  <c r="I60" i="4"/>
  <c r="J60" i="4"/>
  <c r="K60" i="4"/>
  <c r="L60" i="4"/>
  <c r="G61" i="4"/>
  <c r="H61" i="4"/>
  <c r="I61" i="4"/>
  <c r="J61" i="4"/>
  <c r="K61" i="4"/>
  <c r="L61" i="4"/>
  <c r="G62" i="4"/>
  <c r="H62" i="4"/>
  <c r="I62" i="4"/>
  <c r="J62" i="4"/>
  <c r="K62" i="4"/>
  <c r="L62" i="4"/>
  <c r="G63" i="4"/>
  <c r="H63" i="4"/>
  <c r="I63" i="4"/>
  <c r="J63" i="4"/>
  <c r="K63" i="4"/>
  <c r="L63" i="4"/>
  <c r="G64" i="4"/>
  <c r="H64" i="4"/>
  <c r="I64" i="4"/>
  <c r="J64" i="4"/>
  <c r="K64" i="4"/>
  <c r="L64" i="4"/>
  <c r="G65" i="4"/>
  <c r="H65" i="4"/>
  <c r="I65" i="4"/>
  <c r="J65" i="4"/>
  <c r="K65" i="4"/>
  <c r="L65" i="4"/>
  <c r="G66" i="4"/>
  <c r="H66" i="4"/>
  <c r="I66" i="4"/>
  <c r="J66" i="4"/>
  <c r="K66" i="4"/>
  <c r="L66" i="4"/>
  <c r="G67" i="4"/>
  <c r="H67" i="4"/>
  <c r="I67" i="4"/>
  <c r="J67" i="4"/>
  <c r="K67" i="4"/>
  <c r="L67" i="4"/>
  <c r="G68" i="4"/>
  <c r="H68" i="4"/>
  <c r="I68" i="4"/>
  <c r="J68" i="4"/>
  <c r="K68" i="4"/>
  <c r="L68" i="4"/>
  <c r="G69" i="4"/>
  <c r="H69" i="4"/>
  <c r="I69" i="4"/>
  <c r="J69" i="4"/>
  <c r="K69" i="4"/>
  <c r="L69" i="4"/>
  <c r="G70" i="4"/>
  <c r="H70" i="4"/>
  <c r="I70" i="4"/>
  <c r="J70" i="4"/>
  <c r="K70" i="4"/>
  <c r="L70" i="4"/>
  <c r="G71" i="4"/>
  <c r="H71" i="4"/>
  <c r="I71" i="4"/>
  <c r="J71" i="4"/>
  <c r="K71" i="4"/>
  <c r="L71" i="4"/>
  <c r="G72" i="4"/>
  <c r="H72" i="4"/>
  <c r="I72" i="4"/>
  <c r="J72" i="4"/>
  <c r="K72" i="4"/>
  <c r="L72" i="4"/>
  <c r="G73" i="4"/>
  <c r="H73" i="4"/>
  <c r="I73" i="4"/>
  <c r="J73" i="4"/>
  <c r="K73" i="4"/>
  <c r="L73" i="4"/>
  <c r="G74" i="4"/>
  <c r="H74" i="4"/>
  <c r="I74" i="4"/>
  <c r="J74" i="4"/>
  <c r="K74" i="4"/>
  <c r="L74" i="4"/>
  <c r="G75" i="4"/>
  <c r="H75" i="4"/>
  <c r="I75" i="4"/>
  <c r="J75" i="4"/>
  <c r="K75" i="4"/>
  <c r="L75" i="4"/>
  <c r="G76" i="4"/>
  <c r="H76" i="4"/>
  <c r="I76" i="4"/>
  <c r="J76" i="4"/>
  <c r="K76" i="4"/>
  <c r="L76" i="4"/>
  <c r="G77" i="4"/>
  <c r="H77" i="4"/>
  <c r="I77" i="4"/>
  <c r="J77" i="4"/>
  <c r="K77" i="4"/>
  <c r="L77" i="4"/>
  <c r="G78" i="4"/>
  <c r="H78" i="4"/>
  <c r="I78" i="4"/>
  <c r="J78" i="4"/>
  <c r="K78" i="4"/>
  <c r="L78" i="4"/>
  <c r="G79" i="4"/>
  <c r="H79" i="4"/>
  <c r="I79" i="4"/>
  <c r="J79" i="4"/>
  <c r="K79" i="4"/>
  <c r="L79" i="4"/>
  <c r="G80" i="4"/>
  <c r="H80" i="4"/>
  <c r="I80" i="4"/>
  <c r="J80" i="4"/>
  <c r="K80" i="4"/>
  <c r="L80" i="4"/>
  <c r="G81" i="4"/>
  <c r="H81" i="4"/>
  <c r="I81" i="4"/>
  <c r="J81" i="4"/>
  <c r="K81" i="4"/>
  <c r="L81" i="4"/>
  <c r="G82" i="4"/>
  <c r="H82" i="4"/>
  <c r="I82" i="4"/>
  <c r="J82" i="4"/>
  <c r="K82" i="4"/>
  <c r="L82" i="4"/>
  <c r="G83" i="4"/>
  <c r="H83" i="4"/>
  <c r="I83" i="4"/>
  <c r="J83" i="4"/>
  <c r="K83" i="4"/>
  <c r="L83" i="4"/>
  <c r="G84" i="4"/>
  <c r="H84" i="4"/>
  <c r="I84" i="4"/>
  <c r="J84" i="4"/>
  <c r="K84" i="4"/>
  <c r="L84" i="4"/>
  <c r="G85" i="4"/>
  <c r="H85" i="4"/>
  <c r="I85" i="4"/>
  <c r="J85" i="4"/>
  <c r="K85" i="4"/>
  <c r="L85" i="4"/>
  <c r="G86" i="4"/>
  <c r="H86" i="4"/>
  <c r="I86" i="4"/>
  <c r="J86" i="4"/>
  <c r="K86" i="4"/>
  <c r="L86" i="4"/>
  <c r="G87" i="4"/>
  <c r="H87" i="4"/>
  <c r="I87" i="4"/>
  <c r="J87" i="4"/>
  <c r="K87" i="4"/>
  <c r="L87" i="4"/>
  <c r="G88" i="4"/>
  <c r="H88" i="4"/>
  <c r="I88" i="4"/>
  <c r="J88" i="4"/>
  <c r="K88" i="4"/>
  <c r="L88" i="4"/>
  <c r="G89" i="4"/>
  <c r="H89" i="4"/>
  <c r="I89" i="4"/>
  <c r="J89" i="4"/>
  <c r="K89" i="4"/>
  <c r="L89" i="4"/>
  <c r="G90" i="4"/>
  <c r="H90" i="4"/>
  <c r="I90" i="4"/>
  <c r="J90" i="4"/>
  <c r="K90" i="4"/>
  <c r="L90" i="4"/>
  <c r="G91" i="4"/>
  <c r="H91" i="4"/>
  <c r="I91" i="4"/>
  <c r="J91" i="4"/>
  <c r="K91" i="4"/>
  <c r="L91" i="4"/>
  <c r="G92" i="4"/>
  <c r="H92" i="4"/>
  <c r="I92" i="4"/>
  <c r="J92" i="4"/>
  <c r="K92" i="4"/>
  <c r="L92" i="4"/>
  <c r="G93" i="4"/>
  <c r="H93" i="4"/>
  <c r="I93" i="4"/>
  <c r="J93" i="4"/>
  <c r="K93" i="4"/>
  <c r="L93" i="4"/>
  <c r="G94" i="4"/>
  <c r="H94" i="4"/>
  <c r="I94" i="4"/>
  <c r="J94" i="4"/>
  <c r="K94" i="4"/>
  <c r="L94" i="4"/>
  <c r="G95" i="4"/>
  <c r="H95" i="4"/>
  <c r="I95" i="4"/>
  <c r="J95" i="4"/>
  <c r="K95" i="4"/>
  <c r="L95" i="4"/>
  <c r="G96" i="4"/>
  <c r="H96" i="4"/>
  <c r="I96" i="4"/>
  <c r="J96" i="4"/>
  <c r="K96" i="4"/>
  <c r="L96" i="4"/>
  <c r="G97" i="4"/>
  <c r="H97" i="4"/>
  <c r="I97" i="4"/>
  <c r="J97" i="4"/>
  <c r="K97" i="4"/>
  <c r="L97" i="4"/>
  <c r="G98" i="4"/>
  <c r="H98" i="4"/>
  <c r="I98" i="4"/>
  <c r="J98" i="4"/>
  <c r="K98" i="4"/>
  <c r="L98" i="4"/>
  <c r="G99" i="4"/>
  <c r="H99" i="4"/>
  <c r="I99" i="4"/>
  <c r="J99" i="4"/>
  <c r="K99" i="4"/>
  <c r="L99" i="4"/>
  <c r="G100" i="4"/>
  <c r="H100" i="4"/>
  <c r="I100" i="4"/>
  <c r="J100" i="4"/>
  <c r="K100" i="4"/>
  <c r="L100" i="4"/>
  <c r="G101" i="4"/>
  <c r="H101" i="4"/>
  <c r="I101" i="4"/>
  <c r="J101" i="4"/>
  <c r="K101" i="4"/>
  <c r="L101" i="4"/>
  <c r="G102" i="4"/>
  <c r="H102" i="4"/>
  <c r="I102" i="4"/>
  <c r="J102" i="4"/>
  <c r="K102" i="4"/>
  <c r="L102" i="4"/>
  <c r="G103" i="4"/>
  <c r="H103" i="4"/>
  <c r="I103" i="4"/>
  <c r="J103" i="4"/>
  <c r="K103" i="4"/>
  <c r="L103" i="4"/>
  <c r="G104" i="4"/>
  <c r="H104" i="4"/>
  <c r="I104" i="4"/>
  <c r="J104" i="4"/>
  <c r="K104" i="4"/>
  <c r="L104" i="4"/>
  <c r="G105" i="4"/>
  <c r="H105" i="4"/>
  <c r="I105" i="4"/>
  <c r="J105" i="4"/>
  <c r="K105" i="4"/>
  <c r="L105" i="4"/>
  <c r="G106" i="4"/>
  <c r="H106" i="4"/>
  <c r="I106" i="4"/>
  <c r="J106" i="4"/>
  <c r="K106" i="4"/>
  <c r="L106" i="4"/>
  <c r="G107" i="4"/>
  <c r="H107" i="4"/>
  <c r="I107" i="4"/>
  <c r="J107" i="4"/>
  <c r="K107" i="4"/>
  <c r="L107" i="4"/>
  <c r="G108" i="4"/>
  <c r="H108" i="4"/>
  <c r="I108" i="4"/>
  <c r="J108" i="4"/>
  <c r="K108" i="4"/>
  <c r="L108" i="4"/>
  <c r="G109" i="4"/>
  <c r="H109" i="4"/>
  <c r="I109" i="4"/>
  <c r="J109" i="4"/>
  <c r="K109" i="4"/>
  <c r="L109" i="4"/>
  <c r="G110" i="4"/>
  <c r="H110" i="4"/>
  <c r="I110" i="4"/>
  <c r="J110" i="4"/>
  <c r="K110" i="4"/>
  <c r="L110" i="4"/>
  <c r="G111" i="4"/>
  <c r="H111" i="4"/>
  <c r="I111" i="4"/>
  <c r="J111" i="4"/>
  <c r="K111" i="4"/>
  <c r="L111" i="4"/>
  <c r="G112" i="4"/>
  <c r="H112" i="4"/>
  <c r="I112" i="4"/>
  <c r="J112" i="4"/>
  <c r="K112" i="4"/>
  <c r="L112" i="4"/>
  <c r="G113" i="4"/>
  <c r="H113" i="4"/>
  <c r="I113" i="4"/>
  <c r="J113" i="4"/>
  <c r="K113" i="4"/>
  <c r="L113" i="4"/>
  <c r="G114" i="4"/>
  <c r="H114" i="4"/>
  <c r="I114" i="4"/>
  <c r="J114" i="4"/>
  <c r="K114" i="4"/>
  <c r="L114" i="4"/>
  <c r="G115" i="4"/>
  <c r="H115" i="4"/>
  <c r="I115" i="4"/>
  <c r="J115" i="4"/>
  <c r="K115" i="4"/>
  <c r="L115" i="4"/>
  <c r="G116" i="4"/>
  <c r="H116" i="4"/>
  <c r="I116" i="4"/>
  <c r="J116" i="4"/>
  <c r="K116" i="4"/>
  <c r="L116" i="4"/>
  <c r="G117" i="4"/>
  <c r="H117" i="4"/>
  <c r="I117" i="4"/>
  <c r="J117" i="4"/>
  <c r="K117" i="4"/>
  <c r="L117" i="4"/>
  <c r="G118" i="4"/>
  <c r="H118" i="4"/>
  <c r="I118" i="4"/>
  <c r="J118" i="4"/>
  <c r="K118" i="4"/>
  <c r="L118" i="4"/>
  <c r="G119" i="4"/>
  <c r="H119" i="4"/>
  <c r="I119" i="4"/>
  <c r="J119" i="4"/>
  <c r="K119" i="4"/>
  <c r="L119" i="4"/>
  <c r="G120" i="4"/>
  <c r="H120" i="4"/>
  <c r="I120" i="4"/>
  <c r="J120" i="4"/>
  <c r="K120" i="4"/>
  <c r="L120" i="4"/>
  <c r="G121" i="4"/>
  <c r="H121" i="4"/>
  <c r="I121" i="4"/>
  <c r="J121" i="4"/>
  <c r="K121" i="4"/>
  <c r="L121" i="4"/>
  <c r="G122" i="4"/>
  <c r="H122" i="4"/>
  <c r="I122" i="4"/>
  <c r="J122" i="4"/>
  <c r="K122" i="4"/>
  <c r="L122" i="4"/>
  <c r="G123" i="4"/>
  <c r="H123" i="4"/>
  <c r="I123" i="4"/>
  <c r="J123" i="4"/>
  <c r="K123" i="4"/>
  <c r="L123" i="4"/>
  <c r="G124" i="4"/>
  <c r="H124" i="4"/>
  <c r="I124" i="4"/>
  <c r="J124" i="4"/>
  <c r="K124" i="4"/>
  <c r="L124" i="4"/>
  <c r="G125" i="4"/>
  <c r="H125" i="4"/>
  <c r="I125" i="4"/>
  <c r="J125" i="4"/>
  <c r="K125" i="4"/>
  <c r="L125" i="4"/>
  <c r="G126" i="4"/>
  <c r="H126" i="4"/>
  <c r="I126" i="4"/>
  <c r="J126" i="4"/>
  <c r="K126" i="4"/>
  <c r="L126" i="4"/>
  <c r="G127" i="4"/>
  <c r="H127" i="4"/>
  <c r="I127" i="4"/>
  <c r="J127" i="4"/>
  <c r="K127" i="4"/>
  <c r="L127" i="4"/>
  <c r="G128" i="4"/>
  <c r="H128" i="4"/>
  <c r="I128" i="4"/>
  <c r="J128" i="4"/>
  <c r="K128" i="4"/>
  <c r="L128" i="4"/>
  <c r="G129" i="4"/>
  <c r="H129" i="4"/>
  <c r="I129" i="4"/>
  <c r="J129" i="4"/>
  <c r="K129" i="4"/>
  <c r="L129" i="4"/>
  <c r="G130" i="4"/>
  <c r="H130" i="4"/>
  <c r="I130" i="4"/>
  <c r="J130" i="4"/>
  <c r="K130" i="4"/>
  <c r="L130" i="4"/>
  <c r="G131" i="4"/>
  <c r="H131" i="4"/>
  <c r="I131" i="4"/>
  <c r="J131" i="4"/>
  <c r="K131" i="4"/>
  <c r="L131" i="4"/>
  <c r="G132" i="4"/>
  <c r="H132" i="4"/>
  <c r="I132" i="4"/>
  <c r="J132" i="4"/>
  <c r="K132" i="4"/>
  <c r="L132" i="4"/>
  <c r="G133" i="4"/>
  <c r="H133" i="4"/>
  <c r="I133" i="4"/>
  <c r="J133" i="4"/>
  <c r="K133" i="4"/>
  <c r="L133" i="4"/>
  <c r="G134" i="4"/>
  <c r="H134" i="4"/>
  <c r="I134" i="4"/>
  <c r="J134" i="4"/>
  <c r="K134" i="4"/>
  <c r="L134" i="4"/>
  <c r="G135" i="4"/>
  <c r="H135" i="4"/>
  <c r="I135" i="4"/>
  <c r="J135" i="4"/>
  <c r="K135" i="4"/>
  <c r="L135" i="4"/>
  <c r="G136" i="4"/>
  <c r="H136" i="4"/>
  <c r="I136" i="4"/>
  <c r="J136" i="4"/>
  <c r="K136" i="4"/>
  <c r="L136" i="4"/>
  <c r="G137" i="4"/>
  <c r="H137" i="4"/>
  <c r="I137" i="4"/>
  <c r="J137" i="4"/>
  <c r="K137" i="4"/>
  <c r="L137" i="4"/>
  <c r="G138" i="4"/>
  <c r="H138" i="4"/>
  <c r="I138" i="4"/>
  <c r="J138" i="4"/>
  <c r="K138" i="4"/>
  <c r="L138" i="4"/>
  <c r="G139" i="4"/>
  <c r="H139" i="4"/>
  <c r="I139" i="4"/>
  <c r="J139" i="4"/>
  <c r="K139" i="4"/>
  <c r="L139" i="4"/>
  <c r="G140" i="4"/>
  <c r="H140" i="4"/>
  <c r="I140" i="4"/>
  <c r="J140" i="4"/>
  <c r="K140" i="4"/>
  <c r="L140" i="4"/>
  <c r="G141" i="4"/>
  <c r="H141" i="4"/>
  <c r="I141" i="4"/>
  <c r="J141" i="4"/>
  <c r="K141" i="4"/>
  <c r="L141" i="4"/>
  <c r="G142" i="4"/>
  <c r="H142" i="4"/>
  <c r="I142" i="4"/>
  <c r="J142" i="4"/>
  <c r="K142" i="4"/>
  <c r="L142" i="4"/>
  <c r="G143" i="4"/>
  <c r="H143" i="4"/>
  <c r="I143" i="4"/>
  <c r="J143" i="4"/>
  <c r="K143" i="4"/>
  <c r="L143" i="4"/>
  <c r="G144" i="4"/>
  <c r="H144" i="4"/>
  <c r="I144" i="4"/>
  <c r="J144" i="4"/>
  <c r="K144" i="4"/>
  <c r="L144" i="4"/>
  <c r="G145" i="4"/>
  <c r="H145" i="4"/>
  <c r="I145" i="4"/>
  <c r="J145" i="4"/>
  <c r="K145" i="4"/>
  <c r="L145" i="4"/>
  <c r="G146" i="4"/>
  <c r="H146" i="4"/>
  <c r="I146" i="4"/>
  <c r="J146" i="4"/>
  <c r="K146" i="4"/>
  <c r="L146" i="4"/>
  <c r="G147" i="4"/>
  <c r="H147" i="4"/>
  <c r="I147" i="4"/>
  <c r="J147" i="4"/>
  <c r="K147" i="4"/>
  <c r="L147" i="4"/>
  <c r="G148" i="4"/>
  <c r="H148" i="4"/>
  <c r="I148" i="4"/>
  <c r="J148" i="4"/>
  <c r="K148" i="4"/>
  <c r="L148" i="4"/>
  <c r="G149" i="4"/>
  <c r="H149" i="4"/>
  <c r="I149" i="4"/>
  <c r="J149" i="4"/>
  <c r="K149" i="4"/>
  <c r="L149" i="4"/>
  <c r="G150" i="4"/>
  <c r="H150" i="4"/>
  <c r="I150" i="4"/>
  <c r="J150" i="4"/>
  <c r="K150" i="4"/>
  <c r="L150" i="4"/>
  <c r="G151" i="4"/>
  <c r="H151" i="4"/>
  <c r="I151" i="4"/>
  <c r="J151" i="4"/>
  <c r="K151" i="4"/>
  <c r="L151" i="4"/>
  <c r="G152" i="4"/>
  <c r="H152" i="4"/>
  <c r="I152" i="4"/>
  <c r="J152" i="4"/>
  <c r="K152" i="4"/>
  <c r="L152" i="4"/>
  <c r="G153" i="4"/>
  <c r="H153" i="4"/>
  <c r="I153" i="4"/>
  <c r="J153" i="4"/>
  <c r="K153" i="4"/>
  <c r="L153" i="4"/>
  <c r="G154" i="4"/>
  <c r="H154" i="4"/>
  <c r="I154" i="4"/>
  <c r="J154" i="4"/>
  <c r="K154" i="4"/>
  <c r="L154" i="4"/>
  <c r="G155" i="4"/>
  <c r="H155" i="4"/>
  <c r="I155" i="4"/>
  <c r="J155" i="4"/>
  <c r="K155" i="4"/>
  <c r="L155" i="4"/>
  <c r="G156" i="4"/>
  <c r="H156" i="4"/>
  <c r="I156" i="4"/>
  <c r="J156" i="4"/>
  <c r="K156" i="4"/>
  <c r="L156" i="4"/>
  <c r="G157" i="4"/>
  <c r="H157" i="4"/>
  <c r="I157" i="4"/>
  <c r="J157" i="4"/>
  <c r="K157" i="4"/>
  <c r="L157" i="4"/>
  <c r="G158" i="4"/>
  <c r="H158" i="4"/>
  <c r="I158" i="4"/>
  <c r="J158" i="4"/>
  <c r="K158" i="4"/>
  <c r="L158" i="4"/>
  <c r="G159" i="4"/>
  <c r="H159" i="4"/>
  <c r="I159" i="4"/>
  <c r="J159" i="4"/>
  <c r="K159" i="4"/>
  <c r="L159" i="4"/>
  <c r="G160" i="4"/>
  <c r="H160" i="4"/>
  <c r="I160" i="4"/>
  <c r="J160" i="4"/>
  <c r="K160" i="4"/>
  <c r="L160" i="4"/>
  <c r="G161" i="4"/>
  <c r="H161" i="4"/>
  <c r="I161" i="4"/>
  <c r="J161" i="4"/>
  <c r="K161" i="4"/>
  <c r="L161" i="4"/>
  <c r="G162" i="4"/>
  <c r="H162" i="4"/>
  <c r="I162" i="4"/>
  <c r="J162" i="4"/>
  <c r="K162" i="4"/>
  <c r="L162" i="4"/>
  <c r="G163" i="4"/>
  <c r="H163" i="4"/>
  <c r="I163" i="4"/>
  <c r="J163" i="4"/>
  <c r="K163" i="4"/>
  <c r="L163" i="4"/>
  <c r="G164" i="4"/>
  <c r="H164" i="4"/>
  <c r="I164" i="4"/>
  <c r="J164" i="4"/>
  <c r="K164" i="4"/>
  <c r="L164" i="4"/>
  <c r="G165" i="4"/>
  <c r="H165" i="4"/>
  <c r="I165" i="4"/>
  <c r="J165" i="4"/>
  <c r="K165" i="4"/>
  <c r="L165" i="4"/>
  <c r="G166" i="4"/>
  <c r="H166" i="4"/>
  <c r="I166" i="4"/>
  <c r="J166" i="4"/>
  <c r="K166" i="4"/>
  <c r="L166" i="4"/>
  <c r="G167" i="4"/>
  <c r="H167" i="4"/>
  <c r="I167" i="4"/>
  <c r="J167" i="4"/>
  <c r="K167" i="4"/>
  <c r="L167" i="4"/>
  <c r="G168" i="4"/>
  <c r="H168" i="4"/>
  <c r="I168" i="4"/>
  <c r="J168" i="4"/>
  <c r="K168" i="4"/>
  <c r="L168" i="4"/>
  <c r="G169" i="4"/>
  <c r="H169" i="4"/>
  <c r="I169" i="4"/>
  <c r="J169" i="4"/>
  <c r="K169" i="4"/>
  <c r="L169" i="4"/>
  <c r="G170" i="4"/>
  <c r="H170" i="4"/>
  <c r="I170" i="4"/>
  <c r="J170" i="4"/>
  <c r="K170" i="4"/>
  <c r="L170" i="4"/>
  <c r="G171" i="4"/>
  <c r="H171" i="4"/>
  <c r="I171" i="4"/>
  <c r="J171" i="4"/>
  <c r="K171" i="4"/>
  <c r="L171" i="4"/>
  <c r="G172" i="4"/>
  <c r="H172" i="4"/>
  <c r="I172" i="4"/>
  <c r="J172" i="4"/>
  <c r="K172" i="4"/>
  <c r="L172" i="4"/>
  <c r="G173" i="4"/>
  <c r="H173" i="4"/>
  <c r="I173" i="4"/>
  <c r="J173" i="4"/>
  <c r="K173" i="4"/>
  <c r="L173" i="4"/>
  <c r="G174" i="4"/>
  <c r="H174" i="4"/>
  <c r="I174" i="4"/>
  <c r="J174" i="4"/>
  <c r="K174" i="4"/>
  <c r="L174" i="4"/>
  <c r="G175" i="4"/>
  <c r="H175" i="4"/>
  <c r="I175" i="4"/>
  <c r="J175" i="4"/>
  <c r="K175" i="4"/>
  <c r="L175" i="4"/>
  <c r="G176" i="4"/>
  <c r="H176" i="4"/>
  <c r="I176" i="4"/>
  <c r="J176" i="4"/>
  <c r="K176" i="4"/>
  <c r="L176" i="4"/>
  <c r="G177" i="4"/>
  <c r="H177" i="4"/>
  <c r="I177" i="4"/>
  <c r="J177" i="4"/>
  <c r="K177" i="4"/>
  <c r="L177" i="4"/>
  <c r="G178" i="4"/>
  <c r="H178" i="4"/>
  <c r="I178" i="4"/>
  <c r="J178" i="4"/>
  <c r="K178" i="4"/>
  <c r="L178" i="4"/>
  <c r="G179" i="4"/>
  <c r="H179" i="4"/>
  <c r="I179" i="4"/>
  <c r="J179" i="4"/>
  <c r="K179" i="4"/>
  <c r="L179" i="4"/>
  <c r="G180" i="4"/>
  <c r="H180" i="4"/>
  <c r="I180" i="4"/>
  <c r="J180" i="4"/>
  <c r="K180" i="4"/>
  <c r="L180" i="4"/>
  <c r="G181" i="4"/>
  <c r="H181" i="4"/>
  <c r="I181" i="4"/>
  <c r="J181" i="4"/>
  <c r="K181" i="4"/>
  <c r="L181" i="4"/>
  <c r="G182" i="4"/>
  <c r="H182" i="4"/>
  <c r="I182" i="4"/>
  <c r="J182" i="4"/>
  <c r="K182" i="4"/>
  <c r="L182" i="4"/>
  <c r="G183" i="4"/>
  <c r="H183" i="4"/>
  <c r="I183" i="4"/>
  <c r="J183" i="4"/>
  <c r="K183" i="4"/>
  <c r="L183" i="4"/>
  <c r="G184" i="4"/>
  <c r="H184" i="4"/>
  <c r="I184" i="4"/>
  <c r="J184" i="4"/>
  <c r="K184" i="4"/>
  <c r="L184" i="4"/>
  <c r="G185" i="4"/>
  <c r="H185" i="4"/>
  <c r="I185" i="4"/>
  <c r="J185" i="4"/>
  <c r="K185" i="4"/>
  <c r="L185" i="4"/>
  <c r="G186" i="4"/>
  <c r="H186" i="4"/>
  <c r="I186" i="4"/>
  <c r="J186" i="4"/>
  <c r="K186" i="4"/>
  <c r="L186" i="4"/>
  <c r="G187" i="4"/>
  <c r="H187" i="4"/>
  <c r="I187" i="4"/>
  <c r="J187" i="4"/>
  <c r="K187" i="4"/>
  <c r="L187" i="4"/>
  <c r="G188" i="4"/>
  <c r="H188" i="4"/>
  <c r="I188" i="4"/>
  <c r="J188" i="4"/>
  <c r="K188" i="4"/>
  <c r="L188" i="4"/>
  <c r="G189" i="4"/>
  <c r="H189" i="4"/>
  <c r="I189" i="4"/>
  <c r="J189" i="4"/>
  <c r="K189" i="4"/>
  <c r="L189" i="4"/>
  <c r="G190" i="4"/>
  <c r="H190" i="4"/>
  <c r="I190" i="4"/>
  <c r="J190" i="4"/>
  <c r="K190" i="4"/>
  <c r="L190" i="4"/>
  <c r="G191" i="4"/>
  <c r="H191" i="4"/>
  <c r="I191" i="4"/>
  <c r="J191" i="4"/>
  <c r="K191" i="4"/>
  <c r="L191" i="4"/>
  <c r="G192" i="4"/>
  <c r="H192" i="4"/>
  <c r="I192" i="4"/>
  <c r="J192" i="4"/>
  <c r="K192" i="4"/>
  <c r="L192" i="4"/>
  <c r="G193" i="4"/>
  <c r="H193" i="4"/>
  <c r="I193" i="4"/>
  <c r="J193" i="4"/>
  <c r="K193" i="4"/>
  <c r="L193" i="4"/>
  <c r="G194" i="4"/>
  <c r="H194" i="4"/>
  <c r="I194" i="4"/>
  <c r="J194" i="4"/>
  <c r="K194" i="4"/>
  <c r="L194" i="4"/>
  <c r="G195" i="4"/>
  <c r="H195" i="4"/>
  <c r="I195" i="4"/>
  <c r="J195" i="4"/>
  <c r="K195" i="4"/>
  <c r="L195" i="4"/>
  <c r="G196" i="4"/>
  <c r="H196" i="4"/>
  <c r="I196" i="4"/>
  <c r="J196" i="4"/>
  <c r="K196" i="4"/>
  <c r="L196" i="4"/>
  <c r="G197" i="4"/>
  <c r="H197" i="4"/>
  <c r="I197" i="4"/>
  <c r="J197" i="4"/>
  <c r="K197" i="4"/>
  <c r="L197" i="4"/>
  <c r="G198" i="4"/>
  <c r="H198" i="4"/>
  <c r="I198" i="4"/>
  <c r="J198" i="4"/>
  <c r="K198" i="4"/>
  <c r="L198" i="4"/>
  <c r="G199" i="4"/>
  <c r="H199" i="4"/>
  <c r="I199" i="4"/>
  <c r="J199" i="4"/>
  <c r="K199" i="4"/>
  <c r="L199" i="4"/>
  <c r="G200" i="4"/>
  <c r="H200" i="4"/>
  <c r="I200" i="4"/>
  <c r="J200" i="4"/>
  <c r="K200" i="4"/>
  <c r="L200" i="4"/>
  <c r="G201" i="4"/>
  <c r="H201" i="4"/>
  <c r="I201" i="4"/>
  <c r="J201" i="4"/>
  <c r="K201" i="4"/>
  <c r="L201" i="4"/>
  <c r="G202" i="4"/>
  <c r="H202" i="4"/>
  <c r="I202" i="4"/>
  <c r="J202" i="4"/>
  <c r="K202" i="4"/>
  <c r="L202" i="4"/>
  <c r="G203" i="4"/>
  <c r="H203" i="4"/>
  <c r="I203" i="4"/>
  <c r="J203" i="4"/>
  <c r="K203" i="4"/>
  <c r="L203" i="4"/>
  <c r="G204" i="4"/>
  <c r="H204" i="4"/>
  <c r="I204" i="4"/>
  <c r="J204" i="4"/>
  <c r="K204" i="4"/>
  <c r="L204" i="4"/>
  <c r="G205" i="4"/>
  <c r="H205" i="4"/>
  <c r="I205" i="4"/>
  <c r="J205" i="4"/>
  <c r="K205" i="4"/>
  <c r="L205" i="4"/>
  <c r="G206" i="4"/>
  <c r="H206" i="4"/>
  <c r="I206" i="4"/>
  <c r="J206" i="4"/>
  <c r="K206" i="4"/>
  <c r="L206" i="4"/>
  <c r="G207" i="4"/>
  <c r="H207" i="4"/>
  <c r="I207" i="4"/>
  <c r="J207" i="4"/>
  <c r="K207" i="4"/>
  <c r="L207" i="4"/>
  <c r="G208" i="4"/>
  <c r="H208" i="4"/>
  <c r="I208" i="4"/>
  <c r="J208" i="4"/>
  <c r="K208" i="4"/>
  <c r="L208" i="4"/>
  <c r="G209" i="4"/>
  <c r="H209" i="4"/>
  <c r="I209" i="4"/>
  <c r="J209" i="4"/>
  <c r="K209" i="4"/>
  <c r="L209" i="4"/>
  <c r="G210" i="4"/>
  <c r="H210" i="4"/>
  <c r="I210" i="4"/>
  <c r="J210" i="4"/>
  <c r="K210" i="4"/>
  <c r="L210" i="4"/>
  <c r="G211" i="4"/>
  <c r="H211" i="4"/>
  <c r="I211" i="4"/>
  <c r="J211" i="4"/>
  <c r="K211" i="4"/>
  <c r="L211" i="4"/>
  <c r="G212" i="4"/>
  <c r="H212" i="4"/>
  <c r="I212" i="4"/>
  <c r="J212" i="4"/>
  <c r="K212" i="4"/>
  <c r="L212" i="4"/>
  <c r="G213" i="4"/>
  <c r="H213" i="4"/>
  <c r="I213" i="4"/>
  <c r="J213" i="4"/>
  <c r="K213" i="4"/>
  <c r="L213" i="4"/>
  <c r="G214" i="4"/>
  <c r="H214" i="4"/>
  <c r="I214" i="4"/>
  <c r="J214" i="4"/>
  <c r="K214" i="4"/>
  <c r="L214" i="4"/>
  <c r="G215" i="4"/>
  <c r="H215" i="4"/>
  <c r="I215" i="4"/>
  <c r="J215" i="4"/>
  <c r="K215" i="4"/>
  <c r="L215" i="4"/>
  <c r="G216" i="4"/>
  <c r="H216" i="4"/>
  <c r="I216" i="4"/>
  <c r="J216" i="4"/>
  <c r="K216" i="4"/>
  <c r="L216" i="4"/>
  <c r="G217" i="4"/>
  <c r="H217" i="4"/>
  <c r="I217" i="4"/>
  <c r="J217" i="4"/>
  <c r="K217" i="4"/>
  <c r="L217" i="4"/>
  <c r="G218" i="4"/>
  <c r="H218" i="4"/>
  <c r="I218" i="4"/>
  <c r="J218" i="4"/>
  <c r="K218" i="4"/>
  <c r="L218" i="4"/>
  <c r="G219" i="4"/>
  <c r="H219" i="4"/>
  <c r="I219" i="4"/>
  <c r="J219" i="4"/>
  <c r="K219" i="4"/>
  <c r="L219" i="4"/>
  <c r="G220" i="4"/>
  <c r="H220" i="4"/>
  <c r="I220" i="4"/>
  <c r="J220" i="4"/>
  <c r="K220" i="4"/>
  <c r="L220" i="4"/>
  <c r="G221" i="4"/>
  <c r="H221" i="4"/>
  <c r="I221" i="4"/>
  <c r="J221" i="4"/>
  <c r="K221" i="4"/>
  <c r="L221" i="4"/>
  <c r="G222" i="4"/>
  <c r="H222" i="4"/>
  <c r="I222" i="4"/>
  <c r="J222" i="4"/>
  <c r="K222" i="4"/>
  <c r="L222" i="4"/>
  <c r="G223" i="4"/>
  <c r="H223" i="4"/>
  <c r="I223" i="4"/>
  <c r="J223" i="4"/>
  <c r="K223" i="4"/>
  <c r="L223" i="4"/>
  <c r="G224" i="4"/>
  <c r="H224" i="4"/>
  <c r="I224" i="4"/>
  <c r="J224" i="4"/>
  <c r="K224" i="4"/>
  <c r="L224" i="4"/>
  <c r="G225" i="4"/>
  <c r="H225" i="4"/>
  <c r="I225" i="4"/>
  <c r="J225" i="4"/>
  <c r="K225" i="4"/>
  <c r="L225" i="4"/>
  <c r="G226" i="4"/>
  <c r="H226" i="4"/>
  <c r="I226" i="4"/>
  <c r="J226" i="4"/>
  <c r="K226" i="4"/>
  <c r="L226" i="4"/>
  <c r="G227" i="4"/>
  <c r="H227" i="4"/>
  <c r="I227" i="4"/>
  <c r="J227" i="4"/>
  <c r="K227" i="4"/>
  <c r="L227" i="4"/>
  <c r="G228" i="4"/>
  <c r="H228" i="4"/>
  <c r="I228" i="4"/>
  <c r="J228" i="4"/>
  <c r="K228" i="4"/>
  <c r="L228" i="4"/>
  <c r="G229" i="4"/>
  <c r="H229" i="4"/>
  <c r="I229" i="4"/>
  <c r="J229" i="4"/>
  <c r="K229" i="4"/>
  <c r="L229" i="4"/>
  <c r="G230" i="4"/>
  <c r="H230" i="4"/>
  <c r="I230" i="4"/>
  <c r="J230" i="4"/>
  <c r="K230" i="4"/>
  <c r="L230" i="4"/>
  <c r="G231" i="4"/>
  <c r="H231" i="4"/>
  <c r="I231" i="4"/>
  <c r="J231" i="4"/>
  <c r="K231" i="4"/>
  <c r="L231" i="4"/>
  <c r="G232" i="4"/>
  <c r="H232" i="4"/>
  <c r="I232" i="4"/>
  <c r="J232" i="4"/>
  <c r="K232" i="4"/>
  <c r="L232" i="4"/>
  <c r="G233" i="4"/>
  <c r="H233" i="4"/>
  <c r="I233" i="4"/>
  <c r="J233" i="4"/>
  <c r="K233" i="4"/>
  <c r="L233" i="4"/>
  <c r="G234" i="4"/>
  <c r="H234" i="4"/>
  <c r="I234" i="4"/>
  <c r="J234" i="4"/>
  <c r="K234" i="4"/>
  <c r="L234" i="4"/>
  <c r="G235" i="4"/>
  <c r="H235" i="4"/>
  <c r="I235" i="4"/>
  <c r="J235" i="4"/>
  <c r="K235" i="4"/>
  <c r="L235" i="4"/>
  <c r="G236" i="4"/>
  <c r="H236" i="4"/>
  <c r="I236" i="4"/>
  <c r="J236" i="4"/>
  <c r="K236" i="4"/>
  <c r="L236" i="4"/>
  <c r="G237" i="4"/>
  <c r="H237" i="4"/>
  <c r="I237" i="4"/>
  <c r="J237" i="4"/>
  <c r="K237" i="4"/>
  <c r="L237" i="4"/>
  <c r="G238" i="4"/>
  <c r="H238" i="4"/>
  <c r="I238" i="4"/>
  <c r="J238" i="4"/>
  <c r="K238" i="4"/>
  <c r="L238" i="4"/>
  <c r="G239" i="4"/>
  <c r="H239" i="4"/>
  <c r="I239" i="4"/>
  <c r="J239" i="4"/>
  <c r="K239" i="4"/>
  <c r="L239" i="4"/>
  <c r="G240" i="4"/>
  <c r="H240" i="4"/>
  <c r="I240" i="4"/>
  <c r="J240" i="4"/>
  <c r="K240" i="4"/>
  <c r="L240" i="4"/>
  <c r="G241" i="4"/>
  <c r="H241" i="4"/>
  <c r="I241" i="4"/>
  <c r="J241" i="4"/>
  <c r="K241" i="4"/>
  <c r="L241" i="4"/>
  <c r="G242" i="4"/>
  <c r="H242" i="4"/>
  <c r="I242" i="4"/>
  <c r="J242" i="4"/>
  <c r="K242" i="4"/>
  <c r="L242" i="4"/>
  <c r="G243" i="4"/>
  <c r="H243" i="4"/>
  <c r="I243" i="4"/>
  <c r="J243" i="4"/>
  <c r="K243" i="4"/>
  <c r="L243" i="4"/>
  <c r="G244" i="4"/>
  <c r="H244" i="4"/>
  <c r="I244" i="4"/>
  <c r="J244" i="4"/>
  <c r="K244" i="4"/>
  <c r="L244" i="4"/>
  <c r="G245" i="4"/>
  <c r="H245" i="4"/>
  <c r="I245" i="4"/>
  <c r="J245" i="4"/>
  <c r="K245" i="4"/>
  <c r="L245" i="4"/>
  <c r="G246" i="4"/>
  <c r="H246" i="4"/>
  <c r="I246" i="4"/>
  <c r="J246" i="4"/>
  <c r="K246" i="4"/>
  <c r="L246" i="4"/>
  <c r="G247" i="4"/>
  <c r="H247" i="4"/>
  <c r="I247" i="4"/>
  <c r="J247" i="4"/>
  <c r="K247" i="4"/>
  <c r="L247" i="4"/>
  <c r="G248" i="4"/>
  <c r="H248" i="4"/>
  <c r="I248" i="4"/>
  <c r="J248" i="4"/>
  <c r="K248" i="4"/>
  <c r="L248" i="4"/>
  <c r="G249" i="4"/>
  <c r="H249" i="4"/>
  <c r="I249" i="4"/>
  <c r="J249" i="4"/>
  <c r="K249" i="4"/>
  <c r="L249" i="4"/>
  <c r="G250" i="4"/>
  <c r="H250" i="4"/>
  <c r="I250" i="4"/>
  <c r="J250" i="4"/>
  <c r="K250" i="4"/>
  <c r="L250" i="4"/>
  <c r="G251" i="4"/>
  <c r="H251" i="4"/>
  <c r="I251" i="4"/>
  <c r="J251" i="4"/>
  <c r="K251" i="4"/>
  <c r="L251" i="4"/>
  <c r="G252" i="4"/>
  <c r="H252" i="4"/>
  <c r="I252" i="4"/>
  <c r="J252" i="4"/>
  <c r="K252" i="4"/>
  <c r="L252" i="4"/>
  <c r="G253" i="4"/>
  <c r="H253" i="4"/>
  <c r="I253" i="4"/>
  <c r="J253" i="4"/>
  <c r="K253" i="4"/>
  <c r="L253" i="4"/>
  <c r="G254" i="4"/>
  <c r="H254" i="4"/>
  <c r="I254" i="4"/>
  <c r="J254" i="4"/>
  <c r="K254" i="4"/>
  <c r="L254" i="4"/>
  <c r="G255" i="4"/>
  <c r="H255" i="4"/>
  <c r="I255" i="4"/>
  <c r="J255" i="4"/>
  <c r="K255" i="4"/>
  <c r="L255" i="4"/>
  <c r="G256" i="4"/>
  <c r="H256" i="4"/>
  <c r="I256" i="4"/>
  <c r="J256" i="4"/>
  <c r="K256" i="4"/>
  <c r="L256" i="4"/>
  <c r="G257" i="4"/>
  <c r="H257" i="4"/>
  <c r="I257" i="4"/>
  <c r="J257" i="4"/>
  <c r="K257" i="4"/>
  <c r="L257" i="4"/>
  <c r="G258" i="4"/>
  <c r="H258" i="4"/>
  <c r="I258" i="4"/>
  <c r="J258" i="4"/>
  <c r="K258" i="4"/>
  <c r="L258" i="4"/>
  <c r="G259" i="4"/>
  <c r="H259" i="4"/>
  <c r="I259" i="4"/>
  <c r="J259" i="4"/>
  <c r="K259" i="4"/>
  <c r="L259" i="4"/>
  <c r="G260" i="4"/>
  <c r="H260" i="4"/>
  <c r="I260" i="4"/>
  <c r="J260" i="4"/>
  <c r="K260" i="4"/>
  <c r="L260" i="4"/>
  <c r="G261" i="4"/>
  <c r="H261" i="4"/>
  <c r="I261" i="4"/>
  <c r="J261" i="4"/>
  <c r="K261" i="4"/>
  <c r="L261" i="4"/>
  <c r="G262" i="4"/>
  <c r="H262" i="4"/>
  <c r="I262" i="4"/>
  <c r="J262" i="4"/>
  <c r="K262" i="4"/>
  <c r="L262" i="4"/>
  <c r="G263" i="4"/>
  <c r="H263" i="4"/>
  <c r="I263" i="4"/>
  <c r="J263" i="4"/>
  <c r="K263" i="4"/>
  <c r="L263" i="4"/>
  <c r="G264" i="4"/>
  <c r="H264" i="4"/>
  <c r="I264" i="4"/>
  <c r="J264" i="4"/>
  <c r="K264" i="4"/>
  <c r="L264" i="4"/>
  <c r="G265" i="4"/>
  <c r="H265" i="4"/>
  <c r="I265" i="4"/>
  <c r="J265" i="4"/>
  <c r="K265" i="4"/>
  <c r="L265" i="4"/>
  <c r="G266" i="4"/>
  <c r="H266" i="4"/>
  <c r="I266" i="4"/>
  <c r="J266" i="4"/>
  <c r="K266" i="4"/>
  <c r="L266" i="4"/>
  <c r="G267" i="4"/>
  <c r="H267" i="4"/>
  <c r="I267" i="4"/>
  <c r="J267" i="4"/>
  <c r="K267" i="4"/>
  <c r="L267" i="4"/>
  <c r="G268" i="4"/>
  <c r="H268" i="4"/>
  <c r="I268" i="4"/>
  <c r="J268" i="4"/>
  <c r="K268" i="4"/>
  <c r="L268" i="4"/>
  <c r="G269" i="4"/>
  <c r="H269" i="4"/>
  <c r="I269" i="4"/>
  <c r="J269" i="4"/>
  <c r="K269" i="4"/>
  <c r="L269" i="4"/>
  <c r="G270" i="4"/>
  <c r="H270" i="4"/>
  <c r="I270" i="4"/>
  <c r="J270" i="4"/>
  <c r="K270" i="4"/>
  <c r="L270" i="4"/>
  <c r="G271" i="4"/>
  <c r="H271" i="4"/>
  <c r="I271" i="4"/>
  <c r="J271" i="4"/>
  <c r="K271" i="4"/>
  <c r="L271" i="4"/>
  <c r="G272" i="4"/>
  <c r="H272" i="4"/>
  <c r="I272" i="4"/>
  <c r="J272" i="4"/>
  <c r="K272" i="4"/>
  <c r="L272" i="4"/>
  <c r="G273" i="4"/>
  <c r="H273" i="4"/>
  <c r="I273" i="4"/>
  <c r="J273" i="4"/>
  <c r="K273" i="4"/>
  <c r="L273" i="4"/>
  <c r="G274" i="4"/>
  <c r="H274" i="4"/>
  <c r="I274" i="4"/>
  <c r="J274" i="4"/>
  <c r="K274" i="4"/>
  <c r="L274" i="4"/>
  <c r="G275" i="4"/>
  <c r="H275" i="4"/>
  <c r="I275" i="4"/>
  <c r="J275" i="4"/>
  <c r="K275" i="4"/>
  <c r="L275" i="4"/>
  <c r="G276" i="4"/>
  <c r="H276" i="4"/>
  <c r="I276" i="4"/>
  <c r="J276" i="4"/>
  <c r="K276" i="4"/>
  <c r="L276" i="4"/>
  <c r="G277" i="4"/>
  <c r="H277" i="4"/>
  <c r="I277" i="4"/>
  <c r="J277" i="4"/>
  <c r="K277" i="4"/>
  <c r="L277" i="4"/>
  <c r="G278" i="4"/>
  <c r="H278" i="4"/>
  <c r="I278" i="4"/>
  <c r="J278" i="4"/>
  <c r="K278" i="4"/>
  <c r="L278" i="4"/>
  <c r="G279" i="4"/>
  <c r="H279" i="4"/>
  <c r="I279" i="4"/>
  <c r="J279" i="4"/>
  <c r="K279" i="4"/>
  <c r="L279" i="4"/>
  <c r="G280" i="4"/>
  <c r="H280" i="4"/>
  <c r="I280" i="4"/>
  <c r="J280" i="4"/>
  <c r="K280" i="4"/>
  <c r="L280" i="4"/>
  <c r="G281" i="4"/>
  <c r="H281" i="4"/>
  <c r="I281" i="4"/>
  <c r="J281" i="4"/>
  <c r="K281" i="4"/>
  <c r="L281" i="4"/>
  <c r="G282" i="4"/>
  <c r="H282" i="4"/>
  <c r="I282" i="4"/>
  <c r="J282" i="4"/>
  <c r="K282" i="4"/>
  <c r="L282" i="4"/>
  <c r="G283" i="4"/>
  <c r="H283" i="4"/>
  <c r="I283" i="4"/>
  <c r="J283" i="4"/>
  <c r="K283" i="4"/>
  <c r="L283" i="4"/>
  <c r="G284" i="4"/>
  <c r="H284" i="4"/>
  <c r="I284" i="4"/>
  <c r="J284" i="4"/>
  <c r="K284" i="4"/>
  <c r="L284" i="4"/>
  <c r="G285" i="4"/>
  <c r="H285" i="4"/>
  <c r="I285" i="4"/>
  <c r="J285" i="4"/>
  <c r="K285" i="4"/>
  <c r="L285" i="4"/>
  <c r="G286" i="4"/>
  <c r="H286" i="4"/>
  <c r="I286" i="4"/>
  <c r="J286" i="4"/>
  <c r="K286" i="4"/>
  <c r="L286" i="4"/>
  <c r="G287" i="4"/>
  <c r="H287" i="4"/>
  <c r="I287" i="4"/>
  <c r="J287" i="4"/>
  <c r="K287" i="4"/>
  <c r="L287" i="4"/>
  <c r="G288" i="4"/>
  <c r="H288" i="4"/>
  <c r="I288" i="4"/>
  <c r="J288" i="4"/>
  <c r="K288" i="4"/>
  <c r="L288" i="4"/>
  <c r="G289" i="4"/>
  <c r="H289" i="4"/>
  <c r="I289" i="4"/>
  <c r="J289" i="4"/>
  <c r="K289" i="4"/>
  <c r="L289" i="4"/>
  <c r="G290" i="4"/>
  <c r="H290" i="4"/>
  <c r="I290" i="4"/>
  <c r="J290" i="4"/>
  <c r="K290" i="4"/>
  <c r="L290" i="4"/>
  <c r="G291" i="4"/>
  <c r="H291" i="4"/>
  <c r="I291" i="4"/>
  <c r="J291" i="4"/>
  <c r="K291" i="4"/>
  <c r="L291" i="4"/>
  <c r="G292" i="4"/>
  <c r="H292" i="4"/>
  <c r="I292" i="4"/>
  <c r="J292" i="4"/>
  <c r="K292" i="4"/>
  <c r="L292" i="4"/>
  <c r="G293" i="4"/>
  <c r="H293" i="4"/>
  <c r="I293" i="4"/>
  <c r="J293" i="4"/>
  <c r="K293" i="4"/>
  <c r="L293" i="4"/>
  <c r="G294" i="4"/>
  <c r="H294" i="4"/>
  <c r="I294" i="4"/>
  <c r="J294" i="4"/>
  <c r="K294" i="4"/>
  <c r="L294" i="4"/>
  <c r="G295" i="4"/>
  <c r="H295" i="4"/>
  <c r="I295" i="4"/>
  <c r="J295" i="4"/>
  <c r="K295" i="4"/>
  <c r="L295" i="4"/>
  <c r="G296" i="4"/>
  <c r="H296" i="4"/>
  <c r="I296" i="4"/>
  <c r="J296" i="4"/>
  <c r="K296" i="4"/>
  <c r="L296" i="4"/>
  <c r="G297" i="4"/>
  <c r="H297" i="4"/>
  <c r="I297" i="4"/>
  <c r="J297" i="4"/>
  <c r="K297" i="4"/>
  <c r="L297" i="4"/>
  <c r="G298" i="4"/>
  <c r="H298" i="4"/>
  <c r="I298" i="4"/>
  <c r="J298" i="4"/>
  <c r="K298" i="4"/>
  <c r="L298" i="4"/>
  <c r="G299" i="4"/>
  <c r="H299" i="4"/>
  <c r="I299" i="4"/>
  <c r="J299" i="4"/>
  <c r="K299" i="4"/>
  <c r="L299" i="4"/>
  <c r="G300" i="4"/>
  <c r="H300" i="4"/>
  <c r="I300" i="4"/>
  <c r="J300" i="4"/>
  <c r="K300" i="4"/>
  <c r="L300" i="4"/>
  <c r="G301" i="4"/>
  <c r="H301" i="4"/>
  <c r="I301" i="4"/>
  <c r="J301" i="4"/>
  <c r="K301" i="4"/>
  <c r="L301" i="4"/>
  <c r="G302" i="4"/>
  <c r="H302" i="4"/>
  <c r="I302" i="4"/>
  <c r="J302" i="4"/>
  <c r="K302" i="4"/>
  <c r="L302" i="4"/>
  <c r="G303" i="4"/>
  <c r="H303" i="4"/>
  <c r="I303" i="4"/>
  <c r="J303" i="4"/>
  <c r="K303" i="4"/>
  <c r="L303" i="4"/>
  <c r="G304" i="4"/>
  <c r="H304" i="4"/>
  <c r="I304" i="4"/>
  <c r="J304" i="4"/>
  <c r="K304" i="4"/>
  <c r="L304" i="4"/>
  <c r="G305" i="4"/>
  <c r="H305" i="4"/>
  <c r="I305" i="4"/>
  <c r="J305" i="4"/>
  <c r="K305" i="4"/>
  <c r="L305" i="4"/>
  <c r="G306" i="4"/>
  <c r="H306" i="4"/>
  <c r="I306" i="4"/>
  <c r="J306" i="4"/>
  <c r="K306" i="4"/>
  <c r="L306" i="4"/>
  <c r="G307" i="4"/>
  <c r="H307" i="4"/>
  <c r="I307" i="4"/>
  <c r="J307" i="4"/>
  <c r="K307" i="4"/>
  <c r="L307" i="4"/>
  <c r="G308" i="4"/>
  <c r="H308" i="4"/>
  <c r="I308" i="4"/>
  <c r="J308" i="4"/>
  <c r="K308" i="4"/>
  <c r="L308" i="4"/>
  <c r="G309" i="4"/>
  <c r="H309" i="4"/>
  <c r="I309" i="4"/>
  <c r="J309" i="4"/>
  <c r="K309" i="4"/>
  <c r="L309" i="4"/>
  <c r="G310" i="4"/>
  <c r="H310" i="4"/>
  <c r="I310" i="4"/>
  <c r="J310" i="4"/>
  <c r="K310" i="4"/>
  <c r="L310" i="4"/>
  <c r="G311" i="4"/>
  <c r="H311" i="4"/>
  <c r="I311" i="4"/>
  <c r="J311" i="4"/>
  <c r="K311" i="4"/>
  <c r="L311" i="4"/>
  <c r="G312" i="4"/>
  <c r="H312" i="4"/>
  <c r="I312" i="4"/>
  <c r="J312" i="4"/>
  <c r="K312" i="4"/>
  <c r="L312" i="4"/>
  <c r="G313" i="4"/>
  <c r="H313" i="4"/>
  <c r="I313" i="4"/>
  <c r="J313" i="4"/>
  <c r="K313" i="4"/>
  <c r="L313" i="4"/>
  <c r="G314" i="4"/>
  <c r="H314" i="4"/>
  <c r="I314" i="4"/>
  <c r="J314" i="4"/>
  <c r="K314" i="4"/>
  <c r="L314" i="4"/>
  <c r="G315" i="4"/>
  <c r="H315" i="4"/>
  <c r="I315" i="4"/>
  <c r="J315" i="4"/>
  <c r="K315" i="4"/>
  <c r="L315" i="4"/>
  <c r="G316" i="4"/>
  <c r="H316" i="4"/>
  <c r="I316" i="4"/>
  <c r="J316" i="4"/>
  <c r="K316" i="4"/>
  <c r="L316" i="4"/>
  <c r="G317" i="4"/>
  <c r="H317" i="4"/>
  <c r="I317" i="4"/>
  <c r="J317" i="4"/>
  <c r="K317" i="4"/>
  <c r="L317" i="4"/>
  <c r="G318" i="4"/>
  <c r="H318" i="4"/>
  <c r="I318" i="4"/>
  <c r="J318" i="4"/>
  <c r="K318" i="4"/>
  <c r="L318" i="4"/>
  <c r="G319" i="4"/>
  <c r="H319" i="4"/>
  <c r="I319" i="4"/>
  <c r="J319" i="4"/>
  <c r="K319" i="4"/>
  <c r="L319" i="4"/>
  <c r="G320" i="4"/>
  <c r="H320" i="4"/>
  <c r="I320" i="4"/>
  <c r="J320" i="4"/>
  <c r="K320" i="4"/>
  <c r="L320" i="4"/>
  <c r="G321" i="4"/>
  <c r="H321" i="4"/>
  <c r="I321" i="4"/>
  <c r="J321" i="4"/>
  <c r="K321" i="4"/>
  <c r="L321" i="4"/>
  <c r="G322" i="4"/>
  <c r="H322" i="4"/>
  <c r="I322" i="4"/>
  <c r="J322" i="4"/>
  <c r="K322" i="4"/>
  <c r="L322" i="4"/>
  <c r="G323" i="4"/>
  <c r="H323" i="4"/>
  <c r="I323" i="4"/>
  <c r="J323" i="4"/>
  <c r="K323" i="4"/>
  <c r="L323" i="4"/>
  <c r="G324" i="4"/>
  <c r="H324" i="4"/>
  <c r="I324" i="4"/>
  <c r="J324" i="4"/>
  <c r="K324" i="4"/>
  <c r="L324" i="4"/>
  <c r="G325" i="4"/>
  <c r="H325" i="4"/>
  <c r="I325" i="4"/>
  <c r="J325" i="4"/>
  <c r="K325" i="4"/>
  <c r="L325" i="4"/>
  <c r="G326" i="4"/>
  <c r="H326" i="4"/>
  <c r="I326" i="4"/>
  <c r="J326" i="4"/>
  <c r="K326" i="4"/>
  <c r="L326" i="4"/>
  <c r="G327" i="4"/>
  <c r="H327" i="4"/>
  <c r="I327" i="4"/>
  <c r="J327" i="4"/>
  <c r="K327" i="4"/>
  <c r="L327" i="4"/>
  <c r="G328" i="4"/>
  <c r="H328" i="4"/>
  <c r="I328" i="4"/>
  <c r="J328" i="4"/>
  <c r="K328" i="4"/>
  <c r="L328" i="4"/>
  <c r="G329" i="4"/>
  <c r="H329" i="4"/>
  <c r="I329" i="4"/>
  <c r="J329" i="4"/>
  <c r="K329" i="4"/>
  <c r="L329" i="4"/>
  <c r="G330" i="4"/>
  <c r="H330" i="4"/>
  <c r="I330" i="4"/>
  <c r="J330" i="4"/>
  <c r="K330" i="4"/>
  <c r="L330" i="4"/>
  <c r="G331" i="4"/>
  <c r="H331" i="4"/>
  <c r="I331" i="4"/>
  <c r="J331" i="4"/>
  <c r="K331" i="4"/>
  <c r="L331" i="4"/>
  <c r="G332" i="4"/>
  <c r="H332" i="4"/>
  <c r="I332" i="4"/>
  <c r="J332" i="4"/>
  <c r="K332" i="4"/>
  <c r="L332" i="4"/>
  <c r="G333" i="4"/>
  <c r="H333" i="4"/>
  <c r="I333" i="4"/>
  <c r="J333" i="4"/>
  <c r="K333" i="4"/>
  <c r="L333" i="4"/>
  <c r="G334" i="4"/>
  <c r="H334" i="4"/>
  <c r="I334" i="4"/>
  <c r="J334" i="4"/>
  <c r="K334" i="4"/>
  <c r="L334" i="4"/>
  <c r="G335" i="4"/>
  <c r="H335" i="4"/>
  <c r="I335" i="4"/>
  <c r="J335" i="4"/>
  <c r="K335" i="4"/>
  <c r="L335" i="4"/>
  <c r="G336" i="4"/>
  <c r="H336" i="4"/>
  <c r="I336" i="4"/>
  <c r="J336" i="4"/>
  <c r="K336" i="4"/>
  <c r="L336" i="4"/>
  <c r="G337" i="4"/>
  <c r="H337" i="4"/>
  <c r="I337" i="4"/>
  <c r="J337" i="4"/>
  <c r="K337" i="4"/>
  <c r="L337" i="4"/>
  <c r="G338" i="4"/>
  <c r="H338" i="4"/>
  <c r="I338" i="4"/>
  <c r="J338" i="4"/>
  <c r="K338" i="4"/>
  <c r="L338" i="4"/>
  <c r="G339" i="4"/>
  <c r="H339" i="4"/>
  <c r="I339" i="4"/>
  <c r="J339" i="4"/>
  <c r="K339" i="4"/>
  <c r="L339" i="4"/>
  <c r="G340" i="4"/>
  <c r="H340" i="4"/>
  <c r="I340" i="4"/>
  <c r="J340" i="4"/>
  <c r="K340" i="4"/>
  <c r="L340" i="4"/>
  <c r="G341" i="4"/>
  <c r="H341" i="4"/>
  <c r="I341" i="4"/>
  <c r="J341" i="4"/>
  <c r="K341" i="4"/>
  <c r="L341" i="4"/>
  <c r="G342" i="4"/>
  <c r="H342" i="4"/>
  <c r="I342" i="4"/>
  <c r="J342" i="4"/>
  <c r="K342" i="4"/>
  <c r="L342" i="4"/>
  <c r="G343" i="4"/>
  <c r="H343" i="4"/>
  <c r="I343" i="4"/>
  <c r="J343" i="4"/>
  <c r="K343" i="4"/>
  <c r="L343" i="4"/>
  <c r="G344" i="4"/>
  <c r="H344" i="4"/>
  <c r="I344" i="4"/>
  <c r="J344" i="4"/>
  <c r="K344" i="4"/>
  <c r="L344" i="4"/>
  <c r="G345" i="4"/>
  <c r="H345" i="4"/>
  <c r="I345" i="4"/>
  <c r="J345" i="4"/>
  <c r="K345" i="4"/>
  <c r="L345" i="4"/>
  <c r="G346" i="4"/>
  <c r="H346" i="4"/>
  <c r="I346" i="4"/>
  <c r="J346" i="4"/>
  <c r="K346" i="4"/>
  <c r="L346" i="4"/>
  <c r="G347" i="4"/>
  <c r="H347" i="4"/>
  <c r="I347" i="4"/>
  <c r="J347" i="4"/>
  <c r="K347" i="4"/>
  <c r="L347" i="4"/>
  <c r="G348" i="4"/>
  <c r="H348" i="4"/>
  <c r="I348" i="4"/>
  <c r="J348" i="4"/>
  <c r="K348" i="4"/>
  <c r="L348" i="4"/>
  <c r="G349" i="4"/>
  <c r="H349" i="4"/>
  <c r="I349" i="4"/>
  <c r="J349" i="4"/>
  <c r="K349" i="4"/>
  <c r="L349" i="4"/>
  <c r="G350" i="4"/>
  <c r="H350" i="4"/>
  <c r="I350" i="4"/>
  <c r="J350" i="4"/>
  <c r="K350" i="4"/>
  <c r="L350" i="4"/>
  <c r="G351" i="4"/>
  <c r="H351" i="4"/>
  <c r="I351" i="4"/>
  <c r="J351" i="4"/>
  <c r="K351" i="4"/>
  <c r="L351" i="4"/>
  <c r="G352" i="4"/>
  <c r="H352" i="4"/>
  <c r="I352" i="4"/>
  <c r="J352" i="4"/>
  <c r="K352" i="4"/>
  <c r="L352" i="4"/>
  <c r="G353" i="4"/>
  <c r="H353" i="4"/>
  <c r="I353" i="4"/>
  <c r="J353" i="4"/>
  <c r="K353" i="4"/>
  <c r="L353" i="4"/>
  <c r="G354" i="4"/>
  <c r="H354" i="4"/>
  <c r="I354" i="4"/>
  <c r="J354" i="4"/>
  <c r="K354" i="4"/>
  <c r="L354" i="4"/>
  <c r="G355" i="4"/>
  <c r="H355" i="4"/>
  <c r="I355" i="4"/>
  <c r="J355" i="4"/>
  <c r="K355" i="4"/>
  <c r="L355" i="4"/>
  <c r="G356" i="4"/>
  <c r="H356" i="4"/>
  <c r="I356" i="4"/>
  <c r="J356" i="4"/>
  <c r="K356" i="4"/>
  <c r="L356" i="4"/>
  <c r="G357" i="4"/>
  <c r="H357" i="4"/>
  <c r="I357" i="4"/>
  <c r="J357" i="4"/>
  <c r="K357" i="4"/>
  <c r="L357" i="4"/>
  <c r="G358" i="4"/>
  <c r="H358" i="4"/>
  <c r="I358" i="4"/>
  <c r="J358" i="4"/>
  <c r="K358" i="4"/>
  <c r="L358" i="4"/>
  <c r="G359" i="4"/>
  <c r="H359" i="4"/>
  <c r="I359" i="4"/>
  <c r="J359" i="4"/>
  <c r="K359" i="4"/>
  <c r="L359" i="4"/>
  <c r="G360" i="4"/>
  <c r="H360" i="4"/>
  <c r="I360" i="4"/>
  <c r="J360" i="4"/>
  <c r="K360" i="4"/>
  <c r="L360" i="4"/>
  <c r="G361" i="4"/>
  <c r="H361" i="4"/>
  <c r="I361" i="4"/>
  <c r="J361" i="4"/>
  <c r="K361" i="4"/>
  <c r="L361" i="4"/>
  <c r="G362" i="4"/>
  <c r="H362" i="4"/>
  <c r="I362" i="4"/>
  <c r="J362" i="4"/>
  <c r="K362" i="4"/>
  <c r="L362" i="4"/>
  <c r="G363" i="4"/>
  <c r="H363" i="4"/>
  <c r="I363" i="4"/>
  <c r="J363" i="4"/>
  <c r="K363" i="4"/>
  <c r="L363" i="4"/>
  <c r="G364" i="4"/>
  <c r="H364" i="4"/>
  <c r="I364" i="4"/>
  <c r="J364" i="4"/>
  <c r="K364" i="4"/>
  <c r="L364" i="4"/>
  <c r="G365" i="4"/>
  <c r="H365" i="4"/>
  <c r="I365" i="4"/>
  <c r="J365" i="4"/>
  <c r="K365" i="4"/>
  <c r="L365" i="4"/>
  <c r="G366" i="4"/>
  <c r="H366" i="4"/>
  <c r="I366" i="4"/>
  <c r="J366" i="4"/>
  <c r="K366" i="4"/>
  <c r="L366" i="4"/>
  <c r="G367" i="4"/>
  <c r="H367" i="4"/>
  <c r="I367" i="4"/>
  <c r="J367" i="4"/>
  <c r="K367" i="4"/>
  <c r="L367" i="4"/>
  <c r="G368" i="4"/>
  <c r="H368" i="4"/>
  <c r="I368" i="4"/>
  <c r="J368" i="4"/>
  <c r="K368" i="4"/>
  <c r="L368" i="4"/>
  <c r="G369" i="4"/>
  <c r="H369" i="4"/>
  <c r="I369" i="4"/>
  <c r="J369" i="4"/>
  <c r="K369" i="4"/>
  <c r="L369" i="4"/>
  <c r="G370" i="4"/>
  <c r="H370" i="4"/>
  <c r="I370" i="4"/>
  <c r="J370" i="4"/>
  <c r="K370" i="4"/>
  <c r="L370" i="4"/>
  <c r="G371" i="4"/>
  <c r="H371" i="4"/>
  <c r="I371" i="4"/>
  <c r="J371" i="4"/>
  <c r="K371" i="4"/>
  <c r="L371" i="4"/>
  <c r="G372" i="4"/>
  <c r="H372" i="4"/>
  <c r="I372" i="4"/>
  <c r="J372" i="4"/>
  <c r="K372" i="4"/>
  <c r="L372" i="4"/>
  <c r="G373" i="4"/>
  <c r="H373" i="4"/>
  <c r="I373" i="4"/>
  <c r="J373" i="4"/>
  <c r="K373" i="4"/>
  <c r="L373" i="4"/>
  <c r="G374" i="4"/>
  <c r="H374" i="4"/>
  <c r="I374" i="4"/>
  <c r="J374" i="4"/>
  <c r="K374" i="4"/>
  <c r="L374" i="4"/>
  <c r="G375" i="4"/>
  <c r="H375" i="4"/>
  <c r="I375" i="4"/>
  <c r="J375" i="4"/>
  <c r="K375" i="4"/>
  <c r="L375" i="4"/>
  <c r="G376" i="4"/>
  <c r="H376" i="4"/>
  <c r="I376" i="4"/>
  <c r="J376" i="4"/>
  <c r="K376" i="4"/>
  <c r="L376" i="4"/>
  <c r="G377" i="4"/>
  <c r="H377" i="4"/>
  <c r="I377" i="4"/>
  <c r="J377" i="4"/>
  <c r="K377" i="4"/>
  <c r="L377" i="4"/>
  <c r="G378" i="4"/>
  <c r="H378" i="4"/>
  <c r="I378" i="4"/>
  <c r="J378" i="4"/>
  <c r="K378" i="4"/>
  <c r="L378" i="4"/>
  <c r="G379" i="4"/>
  <c r="H379" i="4"/>
  <c r="I379" i="4"/>
  <c r="J379" i="4"/>
  <c r="K379" i="4"/>
  <c r="L379" i="4"/>
  <c r="G380" i="4"/>
  <c r="H380" i="4"/>
  <c r="I380" i="4"/>
  <c r="J380" i="4"/>
  <c r="K380" i="4"/>
  <c r="L380" i="4"/>
  <c r="G381" i="4"/>
  <c r="H381" i="4"/>
  <c r="I381" i="4"/>
  <c r="J381" i="4"/>
  <c r="K381" i="4"/>
  <c r="L381" i="4"/>
  <c r="G382" i="4"/>
  <c r="H382" i="4"/>
  <c r="I382" i="4"/>
  <c r="J382" i="4"/>
  <c r="K382" i="4"/>
  <c r="L382" i="4"/>
  <c r="G383" i="4"/>
  <c r="H383" i="4"/>
  <c r="I383" i="4"/>
  <c r="J383" i="4"/>
  <c r="K383" i="4"/>
  <c r="L383" i="4"/>
  <c r="G384" i="4"/>
  <c r="H384" i="4"/>
  <c r="I384" i="4"/>
  <c r="J384" i="4"/>
  <c r="K384" i="4"/>
  <c r="L384" i="4"/>
  <c r="G385" i="4"/>
  <c r="H385" i="4"/>
  <c r="I385" i="4"/>
  <c r="J385" i="4"/>
  <c r="K385" i="4"/>
  <c r="L385" i="4"/>
  <c r="G386" i="4"/>
  <c r="H386" i="4"/>
  <c r="I386" i="4"/>
  <c r="J386" i="4"/>
  <c r="K386" i="4"/>
  <c r="L386" i="4"/>
  <c r="G387" i="4"/>
  <c r="H387" i="4"/>
  <c r="I387" i="4"/>
  <c r="J387" i="4"/>
  <c r="K387" i="4"/>
  <c r="L387" i="4"/>
  <c r="G388" i="4"/>
  <c r="H388" i="4"/>
  <c r="I388" i="4"/>
  <c r="J388" i="4"/>
  <c r="K388" i="4"/>
  <c r="L388" i="4"/>
  <c r="G389" i="4"/>
  <c r="H389" i="4"/>
  <c r="I389" i="4"/>
  <c r="J389" i="4"/>
  <c r="K389" i="4"/>
  <c r="L389" i="4"/>
  <c r="G390" i="4"/>
  <c r="H390" i="4"/>
  <c r="I390" i="4"/>
  <c r="J390" i="4"/>
  <c r="K390" i="4"/>
  <c r="L390" i="4"/>
  <c r="G391" i="4"/>
  <c r="H391" i="4"/>
  <c r="I391" i="4"/>
  <c r="J391" i="4"/>
  <c r="K391" i="4"/>
  <c r="L391" i="4"/>
  <c r="G392" i="4"/>
  <c r="H392" i="4"/>
  <c r="I392" i="4"/>
  <c r="J392" i="4"/>
  <c r="K392" i="4"/>
  <c r="L392" i="4"/>
  <c r="G393" i="4"/>
  <c r="H393" i="4"/>
  <c r="I393" i="4"/>
  <c r="J393" i="4"/>
  <c r="K393" i="4"/>
  <c r="L393" i="4"/>
  <c r="G394" i="4"/>
  <c r="H394" i="4"/>
  <c r="I394" i="4"/>
  <c r="J394" i="4"/>
  <c r="K394" i="4"/>
  <c r="L394" i="4"/>
  <c r="G395" i="4"/>
  <c r="H395" i="4"/>
  <c r="I395" i="4"/>
  <c r="J395" i="4"/>
  <c r="K395" i="4"/>
  <c r="L395" i="4"/>
  <c r="G396" i="4"/>
  <c r="H396" i="4"/>
  <c r="I396" i="4"/>
  <c r="J396" i="4"/>
  <c r="K396" i="4"/>
  <c r="L396" i="4"/>
  <c r="G397" i="4"/>
  <c r="H397" i="4"/>
  <c r="I397" i="4"/>
  <c r="J397" i="4"/>
  <c r="K397" i="4"/>
  <c r="L397" i="4"/>
  <c r="G398" i="4"/>
  <c r="H398" i="4"/>
  <c r="I398" i="4"/>
  <c r="J398" i="4"/>
  <c r="K398" i="4"/>
  <c r="L398" i="4"/>
  <c r="G399" i="4"/>
  <c r="H399" i="4"/>
  <c r="I399" i="4"/>
  <c r="J399" i="4"/>
  <c r="K399" i="4"/>
  <c r="L399" i="4"/>
  <c r="G400" i="4"/>
  <c r="H400" i="4"/>
  <c r="I400" i="4"/>
  <c r="J400" i="4"/>
  <c r="K400" i="4"/>
  <c r="L400" i="4"/>
  <c r="G401" i="4"/>
  <c r="H401" i="4"/>
  <c r="I401" i="4"/>
  <c r="J401" i="4"/>
  <c r="K401" i="4"/>
  <c r="L401" i="4"/>
  <c r="G402" i="4"/>
  <c r="H402" i="4"/>
  <c r="I402" i="4"/>
  <c r="J402" i="4"/>
  <c r="K402" i="4"/>
  <c r="L402" i="4"/>
  <c r="G403" i="4"/>
  <c r="H403" i="4"/>
  <c r="I403" i="4"/>
  <c r="J403" i="4"/>
  <c r="K403" i="4"/>
  <c r="L403" i="4"/>
  <c r="G404" i="4"/>
  <c r="H404" i="4"/>
  <c r="I404" i="4"/>
  <c r="J404" i="4"/>
  <c r="K404" i="4"/>
  <c r="L404" i="4"/>
  <c r="G405" i="4"/>
  <c r="H405" i="4"/>
  <c r="I405" i="4"/>
  <c r="J405" i="4"/>
  <c r="K405" i="4"/>
  <c r="L405" i="4"/>
  <c r="G406" i="4"/>
  <c r="H406" i="4"/>
  <c r="I406" i="4"/>
  <c r="J406" i="4"/>
  <c r="K406" i="4"/>
  <c r="L406" i="4"/>
  <c r="G407" i="4"/>
  <c r="H407" i="4"/>
  <c r="I407" i="4"/>
  <c r="J407" i="4"/>
  <c r="K407" i="4"/>
  <c r="L407" i="4"/>
  <c r="G408" i="4"/>
  <c r="H408" i="4"/>
  <c r="I408" i="4"/>
  <c r="J408" i="4"/>
  <c r="K408" i="4"/>
  <c r="L408" i="4"/>
  <c r="G409" i="4"/>
  <c r="H409" i="4"/>
  <c r="I409" i="4"/>
  <c r="J409" i="4"/>
  <c r="K409" i="4"/>
  <c r="L409" i="4"/>
  <c r="G410" i="4"/>
  <c r="H410" i="4"/>
  <c r="I410" i="4"/>
  <c r="J410" i="4"/>
  <c r="K410" i="4"/>
  <c r="L410" i="4"/>
  <c r="G411" i="4"/>
  <c r="H411" i="4"/>
  <c r="I411" i="4"/>
  <c r="J411" i="4"/>
  <c r="K411" i="4"/>
  <c r="L411" i="4"/>
  <c r="G412" i="4"/>
  <c r="H412" i="4"/>
  <c r="I412" i="4"/>
  <c r="J412" i="4"/>
  <c r="K412" i="4"/>
  <c r="L412" i="4"/>
  <c r="G413" i="4"/>
  <c r="H413" i="4"/>
  <c r="I413" i="4"/>
  <c r="J413" i="4"/>
  <c r="K413" i="4"/>
  <c r="L413" i="4"/>
  <c r="G414" i="4"/>
  <c r="H414" i="4"/>
  <c r="I414" i="4"/>
  <c r="J414" i="4"/>
  <c r="K414" i="4"/>
  <c r="L414" i="4"/>
  <c r="G415" i="4"/>
  <c r="H415" i="4"/>
  <c r="I415" i="4"/>
  <c r="J415" i="4"/>
  <c r="K415" i="4"/>
  <c r="L415" i="4"/>
  <c r="G416" i="4"/>
  <c r="H416" i="4"/>
  <c r="I416" i="4"/>
  <c r="J416" i="4"/>
  <c r="K416" i="4"/>
  <c r="L416" i="4"/>
  <c r="G417" i="4"/>
  <c r="H417" i="4"/>
  <c r="I417" i="4"/>
  <c r="J417" i="4"/>
  <c r="K417" i="4"/>
  <c r="L417" i="4"/>
  <c r="G418" i="4"/>
  <c r="H418" i="4"/>
  <c r="I418" i="4"/>
  <c r="J418" i="4"/>
  <c r="K418" i="4"/>
  <c r="L418" i="4"/>
  <c r="G419" i="4"/>
  <c r="H419" i="4"/>
  <c r="I419" i="4"/>
  <c r="J419" i="4"/>
  <c r="K419" i="4"/>
  <c r="L419" i="4"/>
  <c r="G420" i="4"/>
  <c r="H420" i="4"/>
  <c r="I420" i="4"/>
  <c r="J420" i="4"/>
  <c r="K420" i="4"/>
  <c r="L420" i="4"/>
  <c r="G421" i="4"/>
  <c r="H421" i="4"/>
  <c r="I421" i="4"/>
  <c r="J421" i="4"/>
  <c r="K421" i="4"/>
  <c r="L421" i="4"/>
  <c r="G422" i="4"/>
  <c r="H422" i="4"/>
  <c r="I422" i="4"/>
  <c r="J422" i="4"/>
  <c r="K422" i="4"/>
  <c r="L422" i="4"/>
  <c r="G423" i="4"/>
  <c r="H423" i="4"/>
  <c r="I423" i="4"/>
  <c r="J423" i="4"/>
  <c r="K423" i="4"/>
  <c r="L423" i="4"/>
  <c r="G424" i="4"/>
  <c r="H424" i="4"/>
  <c r="I424" i="4"/>
  <c r="J424" i="4"/>
  <c r="K424" i="4"/>
  <c r="L424" i="4"/>
  <c r="G425" i="4"/>
  <c r="H425" i="4"/>
  <c r="I425" i="4"/>
  <c r="J425" i="4"/>
  <c r="K425" i="4"/>
  <c r="L425" i="4"/>
  <c r="G426" i="4"/>
  <c r="H426" i="4"/>
  <c r="I426" i="4"/>
  <c r="J426" i="4"/>
  <c r="K426" i="4"/>
  <c r="L426" i="4"/>
  <c r="G427" i="4"/>
  <c r="H427" i="4"/>
  <c r="I427" i="4"/>
  <c r="J427" i="4"/>
  <c r="K427" i="4"/>
  <c r="L427" i="4"/>
  <c r="G428" i="4"/>
  <c r="H428" i="4"/>
  <c r="I428" i="4"/>
  <c r="J428" i="4"/>
  <c r="K428" i="4"/>
  <c r="L428" i="4"/>
  <c r="G429" i="4"/>
  <c r="H429" i="4"/>
  <c r="I429" i="4"/>
  <c r="J429" i="4"/>
  <c r="K429" i="4"/>
  <c r="L429" i="4"/>
  <c r="G430" i="4"/>
  <c r="H430" i="4"/>
  <c r="I430" i="4"/>
  <c r="J430" i="4"/>
  <c r="K430" i="4"/>
  <c r="L430" i="4"/>
  <c r="G431" i="4"/>
  <c r="H431" i="4"/>
  <c r="I431" i="4"/>
  <c r="J431" i="4"/>
  <c r="K431" i="4"/>
  <c r="L431" i="4"/>
  <c r="G432" i="4"/>
  <c r="H432" i="4"/>
  <c r="I432" i="4"/>
  <c r="J432" i="4"/>
  <c r="K432" i="4"/>
  <c r="L432" i="4"/>
  <c r="G433" i="4"/>
  <c r="H433" i="4"/>
  <c r="I433" i="4"/>
  <c r="J433" i="4"/>
  <c r="K433" i="4"/>
  <c r="L433" i="4"/>
  <c r="G434" i="4"/>
  <c r="H434" i="4"/>
  <c r="I434" i="4"/>
  <c r="J434" i="4"/>
  <c r="K434" i="4"/>
  <c r="L434" i="4"/>
  <c r="G435" i="4"/>
  <c r="H435" i="4"/>
  <c r="I435" i="4"/>
  <c r="J435" i="4"/>
  <c r="K435" i="4"/>
  <c r="L435" i="4"/>
  <c r="G436" i="4"/>
  <c r="H436" i="4"/>
  <c r="I436" i="4"/>
  <c r="J436" i="4"/>
  <c r="K436" i="4"/>
  <c r="L436" i="4"/>
  <c r="G437" i="4"/>
  <c r="H437" i="4"/>
  <c r="I437" i="4"/>
  <c r="J437" i="4"/>
  <c r="K437" i="4"/>
  <c r="L437" i="4"/>
  <c r="G438" i="4"/>
  <c r="H438" i="4"/>
  <c r="I438" i="4"/>
  <c r="J438" i="4"/>
  <c r="K438" i="4"/>
  <c r="L438" i="4"/>
  <c r="G439" i="4"/>
  <c r="H439" i="4"/>
  <c r="I439" i="4"/>
  <c r="J439" i="4"/>
  <c r="K439" i="4"/>
  <c r="L439" i="4"/>
  <c r="G440" i="4"/>
  <c r="H440" i="4"/>
  <c r="I440" i="4"/>
  <c r="J440" i="4"/>
  <c r="K440" i="4"/>
  <c r="L440" i="4"/>
  <c r="G441" i="4"/>
  <c r="H441" i="4"/>
  <c r="I441" i="4"/>
  <c r="J441" i="4"/>
  <c r="K441" i="4"/>
  <c r="L441" i="4"/>
  <c r="G442" i="4"/>
  <c r="H442" i="4"/>
  <c r="I442" i="4"/>
  <c r="J442" i="4"/>
  <c r="K442" i="4"/>
  <c r="L442" i="4"/>
  <c r="G443" i="4"/>
  <c r="H443" i="4"/>
  <c r="I443" i="4"/>
  <c r="J443" i="4"/>
  <c r="K443" i="4"/>
  <c r="L443" i="4"/>
  <c r="G444" i="4"/>
  <c r="H444" i="4"/>
  <c r="I444" i="4"/>
  <c r="J444" i="4"/>
  <c r="K444" i="4"/>
  <c r="L444" i="4"/>
  <c r="G445" i="4"/>
  <c r="H445" i="4"/>
  <c r="I445" i="4"/>
  <c r="J445" i="4"/>
  <c r="K445" i="4"/>
  <c r="L445" i="4"/>
  <c r="G446" i="4"/>
  <c r="H446" i="4"/>
  <c r="I446" i="4"/>
  <c r="J446" i="4"/>
  <c r="K446" i="4"/>
  <c r="L446" i="4"/>
  <c r="G447" i="4"/>
  <c r="H447" i="4"/>
  <c r="I447" i="4"/>
  <c r="J447" i="4"/>
  <c r="K447" i="4"/>
  <c r="L447" i="4"/>
  <c r="G448" i="4"/>
  <c r="H448" i="4"/>
  <c r="I448" i="4"/>
  <c r="J448" i="4"/>
  <c r="K448" i="4"/>
  <c r="L448" i="4"/>
  <c r="G449" i="4"/>
  <c r="H449" i="4"/>
  <c r="I449" i="4"/>
  <c r="J449" i="4"/>
  <c r="K449" i="4"/>
  <c r="L449" i="4"/>
  <c r="G450" i="4"/>
  <c r="H450" i="4"/>
  <c r="I450" i="4"/>
  <c r="J450" i="4"/>
  <c r="K450" i="4"/>
  <c r="L450" i="4"/>
  <c r="G451" i="4"/>
  <c r="H451" i="4"/>
  <c r="I451" i="4"/>
  <c r="J451" i="4"/>
  <c r="K451" i="4"/>
  <c r="L451" i="4"/>
  <c r="G452" i="4"/>
  <c r="H452" i="4"/>
  <c r="I452" i="4"/>
  <c r="J452" i="4"/>
  <c r="K452" i="4"/>
  <c r="L452" i="4"/>
  <c r="G453" i="4"/>
  <c r="H453" i="4"/>
  <c r="I453" i="4"/>
  <c r="J453" i="4"/>
  <c r="K453" i="4"/>
  <c r="L453" i="4"/>
  <c r="G454" i="4"/>
  <c r="H454" i="4"/>
  <c r="I454" i="4"/>
  <c r="J454" i="4"/>
  <c r="K454" i="4"/>
  <c r="L454" i="4"/>
  <c r="G455" i="4"/>
  <c r="H455" i="4"/>
  <c r="I455" i="4"/>
  <c r="J455" i="4"/>
  <c r="K455" i="4"/>
  <c r="L455" i="4"/>
  <c r="G456" i="4"/>
  <c r="H456" i="4"/>
  <c r="I456" i="4"/>
  <c r="J456" i="4"/>
  <c r="K456" i="4"/>
  <c r="L456" i="4"/>
  <c r="G457" i="4"/>
  <c r="H457" i="4"/>
  <c r="I457" i="4"/>
  <c r="J457" i="4"/>
  <c r="K457" i="4"/>
  <c r="L457" i="4"/>
  <c r="G458" i="4"/>
  <c r="H458" i="4"/>
  <c r="I458" i="4"/>
  <c r="J458" i="4"/>
  <c r="K458" i="4"/>
  <c r="L458" i="4"/>
  <c r="G459" i="4"/>
  <c r="H459" i="4"/>
  <c r="I459" i="4"/>
  <c r="J459" i="4"/>
  <c r="K459" i="4"/>
  <c r="L459" i="4"/>
  <c r="G460" i="4"/>
  <c r="H460" i="4"/>
  <c r="I460" i="4"/>
  <c r="J460" i="4"/>
  <c r="K460" i="4"/>
  <c r="L460" i="4"/>
  <c r="G461" i="4"/>
  <c r="H461" i="4"/>
  <c r="I461" i="4"/>
  <c r="J461" i="4"/>
  <c r="K461" i="4"/>
  <c r="L461" i="4"/>
  <c r="G462" i="4"/>
  <c r="H462" i="4"/>
  <c r="I462" i="4"/>
  <c r="J462" i="4"/>
  <c r="K462" i="4"/>
  <c r="L462" i="4"/>
  <c r="G463" i="4"/>
  <c r="H463" i="4"/>
  <c r="I463" i="4"/>
  <c r="J463" i="4"/>
  <c r="K463" i="4"/>
  <c r="L463" i="4"/>
  <c r="G464" i="4"/>
  <c r="H464" i="4"/>
  <c r="I464" i="4"/>
  <c r="J464" i="4"/>
  <c r="K464" i="4"/>
  <c r="L464" i="4"/>
  <c r="G465" i="4"/>
  <c r="H465" i="4"/>
  <c r="I465" i="4"/>
  <c r="J465" i="4"/>
  <c r="K465" i="4"/>
  <c r="L465" i="4"/>
  <c r="G466" i="4"/>
  <c r="H466" i="4"/>
  <c r="I466" i="4"/>
  <c r="J466" i="4"/>
  <c r="K466" i="4"/>
  <c r="L466" i="4"/>
  <c r="G467" i="4"/>
  <c r="H467" i="4"/>
  <c r="I467" i="4"/>
  <c r="J467" i="4"/>
  <c r="K467" i="4"/>
  <c r="L467" i="4"/>
  <c r="G468" i="4"/>
  <c r="H468" i="4"/>
  <c r="I468" i="4"/>
  <c r="J468" i="4"/>
  <c r="K468" i="4"/>
  <c r="L468" i="4"/>
  <c r="G469" i="4"/>
  <c r="H469" i="4"/>
  <c r="I469" i="4"/>
  <c r="J469" i="4"/>
  <c r="K469" i="4"/>
  <c r="L469" i="4"/>
  <c r="G470" i="4"/>
  <c r="H470" i="4"/>
  <c r="I470" i="4"/>
  <c r="J470" i="4"/>
  <c r="K470" i="4"/>
  <c r="L470" i="4"/>
  <c r="G471" i="4"/>
  <c r="H471" i="4"/>
  <c r="I471" i="4"/>
  <c r="J471" i="4"/>
  <c r="K471" i="4"/>
  <c r="L471" i="4"/>
  <c r="G472" i="4"/>
  <c r="H472" i="4"/>
  <c r="I472" i="4"/>
  <c r="J472" i="4"/>
  <c r="K472" i="4"/>
  <c r="L472" i="4"/>
  <c r="G473" i="4"/>
  <c r="H473" i="4"/>
  <c r="I473" i="4"/>
  <c r="J473" i="4"/>
  <c r="K473" i="4"/>
  <c r="L473" i="4"/>
  <c r="G474" i="4"/>
  <c r="H474" i="4"/>
  <c r="I474" i="4"/>
  <c r="J474" i="4"/>
  <c r="K474" i="4"/>
  <c r="L474" i="4"/>
  <c r="G475" i="4"/>
  <c r="H475" i="4"/>
  <c r="I475" i="4"/>
  <c r="J475" i="4"/>
  <c r="K475" i="4"/>
  <c r="L475" i="4"/>
  <c r="G476" i="4"/>
  <c r="H476" i="4"/>
  <c r="I476" i="4"/>
  <c r="J476" i="4"/>
  <c r="K476" i="4"/>
  <c r="L476" i="4"/>
  <c r="G477" i="4"/>
  <c r="H477" i="4"/>
  <c r="I477" i="4"/>
  <c r="J477" i="4"/>
  <c r="K477" i="4"/>
  <c r="L477" i="4"/>
  <c r="G478" i="4"/>
  <c r="H478" i="4"/>
  <c r="I478" i="4"/>
  <c r="J478" i="4"/>
  <c r="K478" i="4"/>
  <c r="L478" i="4"/>
  <c r="G479" i="4"/>
  <c r="H479" i="4"/>
  <c r="I479" i="4"/>
  <c r="J479" i="4"/>
  <c r="K479" i="4"/>
  <c r="L479" i="4"/>
  <c r="G480" i="4"/>
  <c r="H480" i="4"/>
  <c r="I480" i="4"/>
  <c r="J480" i="4"/>
  <c r="K480" i="4"/>
  <c r="L480" i="4"/>
  <c r="G481" i="4"/>
  <c r="H481" i="4"/>
  <c r="I481" i="4"/>
  <c r="J481" i="4"/>
  <c r="K481" i="4"/>
  <c r="L481" i="4"/>
  <c r="G482" i="4"/>
  <c r="H482" i="4"/>
  <c r="I482" i="4"/>
  <c r="J482" i="4"/>
  <c r="K482" i="4"/>
  <c r="L482" i="4"/>
  <c r="G483" i="4"/>
  <c r="H483" i="4"/>
  <c r="I483" i="4"/>
  <c r="J483" i="4"/>
  <c r="K483" i="4"/>
  <c r="L483" i="4"/>
  <c r="G484" i="4"/>
  <c r="H484" i="4"/>
  <c r="I484" i="4"/>
  <c r="J484" i="4"/>
  <c r="K484" i="4"/>
  <c r="L484" i="4"/>
  <c r="G485" i="4"/>
  <c r="H485" i="4"/>
  <c r="I485" i="4"/>
  <c r="J485" i="4"/>
  <c r="K485" i="4"/>
  <c r="L485" i="4"/>
  <c r="G486" i="4"/>
  <c r="H486" i="4"/>
  <c r="I486" i="4"/>
  <c r="J486" i="4"/>
  <c r="K486" i="4"/>
  <c r="L486" i="4"/>
  <c r="G487" i="4"/>
  <c r="H487" i="4"/>
  <c r="I487" i="4"/>
  <c r="J487" i="4"/>
  <c r="K487" i="4"/>
  <c r="L487" i="4"/>
  <c r="G488" i="4"/>
  <c r="H488" i="4"/>
  <c r="I488" i="4"/>
  <c r="J488" i="4"/>
  <c r="K488" i="4"/>
  <c r="L488" i="4"/>
  <c r="G489" i="4"/>
  <c r="H489" i="4"/>
  <c r="I489" i="4"/>
  <c r="J489" i="4"/>
  <c r="K489" i="4"/>
  <c r="L489" i="4"/>
  <c r="G490" i="4"/>
  <c r="H490" i="4"/>
  <c r="I490" i="4"/>
  <c r="J490" i="4"/>
  <c r="K490" i="4"/>
  <c r="L490" i="4"/>
  <c r="G491" i="4"/>
  <c r="H491" i="4"/>
  <c r="I491" i="4"/>
  <c r="J491" i="4"/>
  <c r="K491" i="4"/>
  <c r="L491" i="4"/>
  <c r="G492" i="4"/>
  <c r="H492" i="4"/>
  <c r="I492" i="4"/>
  <c r="J492" i="4"/>
  <c r="K492" i="4"/>
  <c r="L492" i="4"/>
  <c r="G493" i="4"/>
  <c r="H493" i="4"/>
  <c r="I493" i="4"/>
  <c r="J493" i="4"/>
  <c r="K493" i="4"/>
  <c r="L493" i="4"/>
  <c r="G494" i="4"/>
  <c r="H494" i="4"/>
  <c r="I494" i="4"/>
  <c r="J494" i="4"/>
  <c r="K494" i="4"/>
  <c r="L494" i="4"/>
  <c r="G495" i="4"/>
  <c r="H495" i="4"/>
  <c r="I495" i="4"/>
  <c r="J495" i="4"/>
  <c r="K495" i="4"/>
  <c r="L495" i="4"/>
  <c r="G496" i="4"/>
  <c r="H496" i="4"/>
  <c r="I496" i="4"/>
  <c r="J496" i="4"/>
  <c r="K496" i="4"/>
  <c r="L496" i="4"/>
  <c r="G497" i="4"/>
  <c r="H497" i="4"/>
  <c r="I497" i="4"/>
  <c r="J497" i="4"/>
  <c r="K497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Y3" i="4"/>
  <c r="Y4" i="4"/>
  <c r="Y5" i="4"/>
  <c r="CC3" i="4"/>
  <c r="CC4" i="4"/>
  <c r="CC5" i="4"/>
  <c r="CC6" i="4"/>
  <c r="CC7" i="4"/>
  <c r="CC8" i="4"/>
  <c r="BZ3" i="4"/>
  <c r="BZ4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CA3" i="4"/>
  <c r="CB3" i="4"/>
  <c r="Q3" i="4"/>
  <c r="R3" i="4"/>
  <c r="S3" i="4"/>
  <c r="T3" i="4"/>
  <c r="U3" i="4"/>
  <c r="V3" i="4"/>
  <c r="O3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I513" i="1"/>
  <c r="J513" i="1"/>
  <c r="I514" i="1"/>
  <c r="J514" i="1"/>
  <c r="I515" i="1"/>
  <c r="J515" i="1"/>
  <c r="I516" i="1"/>
  <c r="J516" i="1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2" i="4"/>
  <c r="C3" i="4"/>
  <c r="C4" i="4"/>
  <c r="C5" i="4"/>
  <c r="C6" i="4"/>
  <c r="C7" i="4"/>
  <c r="C8" i="4"/>
  <c r="CB4" i="4"/>
  <c r="CB5" i="4"/>
  <c r="CB6" i="4"/>
  <c r="CB7" i="4"/>
  <c r="CB8" i="4"/>
  <c r="CA4" i="4"/>
  <c r="CA5" i="4"/>
  <c r="CA6" i="4"/>
  <c r="CA7" i="4"/>
  <c r="CA8" i="4"/>
  <c r="BZ5" i="4"/>
  <c r="BZ6" i="4"/>
  <c r="BZ7" i="4"/>
  <c r="BZ8" i="4"/>
  <c r="BY4" i="4"/>
  <c r="BY5" i="4"/>
  <c r="BY6" i="4"/>
  <c r="BY7" i="4"/>
  <c r="BY8" i="4"/>
  <c r="BX4" i="4"/>
  <c r="BX5" i="4"/>
  <c r="BX6" i="4"/>
  <c r="BX7" i="4"/>
  <c r="BX8" i="4"/>
  <c r="BW4" i="4"/>
  <c r="BW5" i="4"/>
  <c r="BW6" i="4"/>
  <c r="BW7" i="4"/>
  <c r="BW8" i="4"/>
  <c r="BV4" i="4"/>
  <c r="BV5" i="4"/>
  <c r="BV6" i="4"/>
  <c r="BV7" i="4"/>
  <c r="BV8" i="4"/>
  <c r="BU4" i="4"/>
  <c r="BU5" i="4"/>
  <c r="BU6" i="4"/>
  <c r="BU7" i="4"/>
  <c r="BU8" i="4"/>
  <c r="BT4" i="4"/>
  <c r="BT5" i="4"/>
  <c r="BT6" i="4"/>
  <c r="BT7" i="4"/>
  <c r="BT8" i="4"/>
  <c r="BS4" i="4"/>
  <c r="BS5" i="4"/>
  <c r="BS6" i="4"/>
  <c r="BS7" i="4"/>
  <c r="BS8" i="4"/>
  <c r="BR4" i="4"/>
  <c r="BR5" i="4"/>
  <c r="BR6" i="4"/>
  <c r="BR7" i="4"/>
  <c r="BR8" i="4"/>
  <c r="BQ4" i="4"/>
  <c r="BQ5" i="4"/>
  <c r="BQ6" i="4"/>
  <c r="BQ7" i="4"/>
  <c r="BQ8" i="4"/>
  <c r="BP4" i="4"/>
  <c r="BP5" i="4"/>
  <c r="BP6" i="4"/>
  <c r="BP7" i="4"/>
  <c r="BP8" i="4"/>
  <c r="BO4" i="4"/>
  <c r="BO5" i="4"/>
  <c r="BO6" i="4"/>
  <c r="BO7" i="4"/>
  <c r="BO8" i="4"/>
  <c r="BN4" i="4"/>
  <c r="BN5" i="4"/>
  <c r="BN6" i="4"/>
  <c r="BN7" i="4"/>
  <c r="BN8" i="4"/>
  <c r="BM4" i="4"/>
  <c r="BM5" i="4"/>
  <c r="BM6" i="4"/>
  <c r="BM7" i="4"/>
  <c r="BM8" i="4"/>
  <c r="BL4" i="4"/>
  <c r="BL5" i="4"/>
  <c r="BL6" i="4"/>
  <c r="BL7" i="4"/>
  <c r="BL8" i="4"/>
  <c r="BK4" i="4"/>
  <c r="BK5" i="4"/>
  <c r="BK6" i="4"/>
  <c r="BK7" i="4"/>
  <c r="BK8" i="4"/>
  <c r="BJ4" i="4"/>
  <c r="BJ5" i="4"/>
  <c r="BJ6" i="4"/>
  <c r="BJ7" i="4"/>
  <c r="BJ8" i="4"/>
  <c r="BI4" i="4"/>
  <c r="BI5" i="4"/>
  <c r="BI6" i="4"/>
  <c r="BI7" i="4"/>
  <c r="BI8" i="4"/>
  <c r="BH4" i="4"/>
  <c r="BH5" i="4"/>
  <c r="BH6" i="4"/>
  <c r="BH7" i="4"/>
  <c r="BH8" i="4"/>
  <c r="BG4" i="4"/>
  <c r="BG5" i="4"/>
  <c r="BG6" i="4"/>
  <c r="BG7" i="4"/>
  <c r="BG8" i="4"/>
  <c r="BF4" i="4"/>
  <c r="BF5" i="4"/>
  <c r="BF6" i="4"/>
  <c r="BF7" i="4"/>
  <c r="BF8" i="4"/>
  <c r="BE4" i="4"/>
  <c r="BE5" i="4"/>
  <c r="BE6" i="4"/>
  <c r="BE7" i="4"/>
  <c r="BE8" i="4"/>
  <c r="BD4" i="4"/>
  <c r="BD5" i="4"/>
  <c r="BD6" i="4"/>
  <c r="BD7" i="4"/>
  <c r="BD8" i="4"/>
  <c r="BC4" i="4"/>
  <c r="BC5" i="4"/>
  <c r="BC6" i="4"/>
  <c r="BC7" i="4"/>
  <c r="BC8" i="4"/>
  <c r="BB4" i="4"/>
  <c r="BB5" i="4"/>
  <c r="BB6" i="4"/>
  <c r="BB7" i="4"/>
  <c r="BB8" i="4"/>
  <c r="BA4" i="4"/>
  <c r="BA5" i="4"/>
  <c r="BA6" i="4"/>
  <c r="BA7" i="4"/>
  <c r="BA8" i="4"/>
  <c r="AZ4" i="4"/>
  <c r="AZ5" i="4"/>
  <c r="AZ6" i="4"/>
  <c r="AZ7" i="4"/>
  <c r="AZ8" i="4"/>
  <c r="AY4" i="4"/>
  <c r="AY5" i="4"/>
  <c r="AY6" i="4"/>
  <c r="AY7" i="4"/>
  <c r="AY8" i="4"/>
  <c r="AX4" i="4"/>
  <c r="AX5" i="4"/>
  <c r="AX6" i="4"/>
  <c r="AX7" i="4"/>
  <c r="AX8" i="4"/>
  <c r="AW4" i="4"/>
  <c r="AW5" i="4"/>
  <c r="AW6" i="4"/>
  <c r="AW7" i="4"/>
  <c r="AW8" i="4"/>
  <c r="AV4" i="4"/>
  <c r="AV5" i="4"/>
  <c r="AV6" i="4"/>
  <c r="AV7" i="4"/>
  <c r="AV8" i="4"/>
  <c r="AU4" i="4"/>
  <c r="AU5" i="4"/>
  <c r="AU6" i="4"/>
  <c r="AU7" i="4"/>
  <c r="AU8" i="4"/>
  <c r="AT4" i="4"/>
  <c r="AT5" i="4"/>
  <c r="AT6" i="4"/>
  <c r="AT7" i="4"/>
  <c r="AT8" i="4"/>
  <c r="AS4" i="4"/>
  <c r="AS5" i="4"/>
  <c r="AS6" i="4"/>
  <c r="AS7" i="4"/>
  <c r="AS8" i="4"/>
  <c r="AR4" i="4"/>
  <c r="AR5" i="4"/>
  <c r="AR6" i="4"/>
  <c r="AR7" i="4"/>
  <c r="AR8" i="4"/>
  <c r="AQ4" i="4"/>
  <c r="AQ5" i="4"/>
  <c r="AQ6" i="4"/>
  <c r="AQ7" i="4"/>
  <c r="AQ8" i="4"/>
  <c r="AP4" i="4"/>
  <c r="AP5" i="4"/>
  <c r="AP6" i="4"/>
  <c r="AP7" i="4"/>
  <c r="AP8" i="4"/>
  <c r="AO4" i="4"/>
  <c r="AO5" i="4"/>
  <c r="AO6" i="4"/>
  <c r="AO7" i="4"/>
  <c r="AO8" i="4"/>
  <c r="AN4" i="4"/>
  <c r="AN5" i="4"/>
  <c r="AN6" i="4"/>
  <c r="AN7" i="4"/>
  <c r="AN8" i="4"/>
  <c r="AM4" i="4"/>
  <c r="AM5" i="4"/>
  <c r="AM6" i="4"/>
  <c r="AM7" i="4"/>
  <c r="AM8" i="4"/>
  <c r="AL4" i="4"/>
  <c r="AL5" i="4"/>
  <c r="AL6" i="4"/>
  <c r="AL7" i="4"/>
  <c r="AL8" i="4"/>
  <c r="AK4" i="4"/>
  <c r="AK5" i="4"/>
  <c r="AK6" i="4"/>
  <c r="AK7" i="4"/>
  <c r="AK8" i="4"/>
  <c r="AJ4" i="4"/>
  <c r="AJ5" i="4"/>
  <c r="AJ6" i="4"/>
  <c r="AJ7" i="4"/>
  <c r="AJ8" i="4"/>
  <c r="AI4" i="4"/>
  <c r="AI5" i="4"/>
  <c r="AI6" i="4"/>
  <c r="AI7" i="4"/>
  <c r="AI8" i="4"/>
  <c r="AH4" i="4"/>
  <c r="AH5" i="4"/>
  <c r="AH6" i="4"/>
  <c r="AH7" i="4"/>
  <c r="AH8" i="4"/>
  <c r="AG4" i="4"/>
  <c r="AG5" i="4"/>
  <c r="AG6" i="4"/>
  <c r="AG7" i="4"/>
  <c r="AG8" i="4"/>
  <c r="AF4" i="4"/>
  <c r="AF5" i="4"/>
  <c r="AF6" i="4"/>
  <c r="AF7" i="4"/>
  <c r="AF8" i="4"/>
  <c r="AE4" i="4"/>
  <c r="AE5" i="4"/>
  <c r="AE6" i="4"/>
  <c r="AE7" i="4"/>
  <c r="AE8" i="4"/>
  <c r="AD4" i="4"/>
  <c r="AD5" i="4"/>
  <c r="AD6" i="4"/>
  <c r="AD7" i="4"/>
  <c r="AD8" i="4"/>
  <c r="AC4" i="4"/>
  <c r="AC5" i="4"/>
  <c r="AC6" i="4"/>
  <c r="AC7" i="4"/>
  <c r="AC8" i="4"/>
  <c r="AB4" i="4"/>
  <c r="AB5" i="4"/>
  <c r="AB6" i="4"/>
  <c r="AB7" i="4"/>
  <c r="AB8" i="4"/>
  <c r="AA4" i="4"/>
  <c r="AA5" i="4"/>
  <c r="AA6" i="4"/>
  <c r="AA7" i="4"/>
  <c r="AA8" i="4"/>
  <c r="Z4" i="4"/>
  <c r="Z5" i="4"/>
  <c r="Z6" i="4"/>
  <c r="Z7" i="4"/>
  <c r="Z8" i="4"/>
  <c r="Y6" i="4"/>
  <c r="Y7" i="4"/>
  <c r="Y8" i="4"/>
  <c r="X4" i="4"/>
  <c r="X5" i="4"/>
  <c r="X6" i="4"/>
  <c r="X7" i="4"/>
  <c r="X8" i="4"/>
  <c r="V8" i="4"/>
  <c r="U8" i="4"/>
  <c r="T8" i="4"/>
  <c r="S8" i="4"/>
  <c r="R8" i="4"/>
  <c r="Q8" i="4"/>
  <c r="N8" i="4"/>
  <c r="V7" i="4"/>
  <c r="U7" i="4"/>
  <c r="T7" i="4"/>
  <c r="S7" i="4"/>
  <c r="R7" i="4"/>
  <c r="Q7" i="4"/>
  <c r="O7" i="4"/>
  <c r="N7" i="4"/>
  <c r="V6" i="4"/>
  <c r="U6" i="4"/>
  <c r="T6" i="4"/>
  <c r="S6" i="4"/>
  <c r="R6" i="4"/>
  <c r="Q6" i="4"/>
  <c r="O6" i="4"/>
  <c r="N6" i="4"/>
  <c r="M6" i="4"/>
  <c r="V5" i="4"/>
  <c r="U5" i="4"/>
  <c r="T5" i="4"/>
  <c r="S5" i="4"/>
  <c r="R5" i="4"/>
  <c r="Q5" i="4"/>
  <c r="O5" i="4"/>
  <c r="N5" i="4"/>
  <c r="M5" i="4"/>
  <c r="V4" i="4"/>
  <c r="U4" i="4"/>
  <c r="T4" i="4"/>
  <c r="S4" i="4"/>
  <c r="R4" i="4"/>
  <c r="Q4" i="4"/>
  <c r="O4" i="4"/>
  <c r="N4" i="4"/>
  <c r="N3" i="4"/>
  <c r="W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2" i="3"/>
  <c r="G49" i="3"/>
  <c r="G510" i="3"/>
  <c r="G511" i="3"/>
  <c r="G512" i="3"/>
  <c r="CC3" i="3"/>
  <c r="H510" i="3"/>
  <c r="H511" i="3"/>
  <c r="H512" i="3"/>
  <c r="CC4" i="3"/>
  <c r="I510" i="3"/>
  <c r="I511" i="3"/>
  <c r="I512" i="3"/>
  <c r="CC5" i="3"/>
  <c r="J510" i="3"/>
  <c r="J511" i="3"/>
  <c r="J512" i="3"/>
  <c r="CC6" i="3"/>
  <c r="K510" i="3"/>
  <c r="K511" i="3"/>
  <c r="K512" i="3"/>
  <c r="CC7" i="3"/>
  <c r="L510" i="3"/>
  <c r="L511" i="3"/>
  <c r="L512" i="3"/>
  <c r="CC8" i="3"/>
  <c r="G504" i="3"/>
  <c r="G505" i="3"/>
  <c r="G506" i="3"/>
  <c r="G507" i="3"/>
  <c r="G508" i="3"/>
  <c r="G2" i="3"/>
  <c r="H2" i="3"/>
  <c r="I2" i="3"/>
  <c r="J2" i="3"/>
  <c r="K2" i="3"/>
  <c r="L2" i="3"/>
  <c r="G3" i="3"/>
  <c r="H3" i="3"/>
  <c r="I3" i="3"/>
  <c r="J3" i="3"/>
  <c r="K3" i="3"/>
  <c r="L3" i="3"/>
  <c r="G4" i="3"/>
  <c r="H4" i="3"/>
  <c r="I4" i="3"/>
  <c r="J4" i="3"/>
  <c r="K4" i="3"/>
  <c r="L4" i="3"/>
  <c r="G5" i="3"/>
  <c r="H5" i="3"/>
  <c r="I5" i="3"/>
  <c r="J5" i="3"/>
  <c r="K5" i="3"/>
  <c r="L5" i="3"/>
  <c r="G6" i="3"/>
  <c r="H6" i="3"/>
  <c r="I6" i="3"/>
  <c r="J6" i="3"/>
  <c r="K6" i="3"/>
  <c r="L6" i="3"/>
  <c r="G7" i="3"/>
  <c r="H7" i="3"/>
  <c r="I7" i="3"/>
  <c r="J7" i="3"/>
  <c r="K7" i="3"/>
  <c r="L7" i="3"/>
  <c r="G8" i="3"/>
  <c r="H8" i="3"/>
  <c r="I8" i="3"/>
  <c r="J8" i="3"/>
  <c r="K8" i="3"/>
  <c r="L8" i="3"/>
  <c r="G9" i="3"/>
  <c r="H9" i="3"/>
  <c r="I9" i="3"/>
  <c r="J9" i="3"/>
  <c r="K9" i="3"/>
  <c r="L9" i="3"/>
  <c r="G10" i="3"/>
  <c r="H10" i="3"/>
  <c r="I10" i="3"/>
  <c r="J10" i="3"/>
  <c r="K10" i="3"/>
  <c r="L10" i="3"/>
  <c r="G11" i="3"/>
  <c r="H11" i="3"/>
  <c r="I11" i="3"/>
  <c r="J11" i="3"/>
  <c r="K11" i="3"/>
  <c r="L11" i="3"/>
  <c r="G12" i="3"/>
  <c r="H12" i="3"/>
  <c r="I12" i="3"/>
  <c r="J12" i="3"/>
  <c r="K12" i="3"/>
  <c r="L12" i="3"/>
  <c r="G13" i="3"/>
  <c r="H13" i="3"/>
  <c r="I13" i="3"/>
  <c r="J13" i="3"/>
  <c r="K13" i="3"/>
  <c r="L13" i="3"/>
  <c r="G14" i="3"/>
  <c r="H14" i="3"/>
  <c r="I14" i="3"/>
  <c r="J14" i="3"/>
  <c r="K14" i="3"/>
  <c r="L14" i="3"/>
  <c r="G15" i="3"/>
  <c r="H15" i="3"/>
  <c r="I15" i="3"/>
  <c r="J15" i="3"/>
  <c r="K15" i="3"/>
  <c r="L15" i="3"/>
  <c r="G16" i="3"/>
  <c r="H16" i="3"/>
  <c r="I16" i="3"/>
  <c r="J16" i="3"/>
  <c r="K16" i="3"/>
  <c r="L16" i="3"/>
  <c r="G17" i="3"/>
  <c r="H17" i="3"/>
  <c r="I17" i="3"/>
  <c r="J17" i="3"/>
  <c r="K17" i="3"/>
  <c r="L17" i="3"/>
  <c r="G18" i="3"/>
  <c r="H18" i="3"/>
  <c r="I18" i="3"/>
  <c r="J18" i="3"/>
  <c r="K18" i="3"/>
  <c r="L18" i="3"/>
  <c r="G19" i="3"/>
  <c r="H19" i="3"/>
  <c r="I19" i="3"/>
  <c r="J19" i="3"/>
  <c r="K19" i="3"/>
  <c r="L19" i="3"/>
  <c r="G20" i="3"/>
  <c r="H20" i="3"/>
  <c r="I20" i="3"/>
  <c r="J20" i="3"/>
  <c r="K20" i="3"/>
  <c r="L20" i="3"/>
  <c r="G21" i="3"/>
  <c r="H21" i="3"/>
  <c r="I21" i="3"/>
  <c r="J21" i="3"/>
  <c r="K21" i="3"/>
  <c r="L21" i="3"/>
  <c r="G22" i="3"/>
  <c r="H22" i="3"/>
  <c r="I22" i="3"/>
  <c r="J22" i="3"/>
  <c r="K22" i="3"/>
  <c r="L22" i="3"/>
  <c r="G23" i="3"/>
  <c r="H23" i="3"/>
  <c r="I23" i="3"/>
  <c r="J23" i="3"/>
  <c r="K23" i="3"/>
  <c r="L23" i="3"/>
  <c r="G24" i="3"/>
  <c r="H24" i="3"/>
  <c r="I24" i="3"/>
  <c r="J24" i="3"/>
  <c r="K24" i="3"/>
  <c r="L24" i="3"/>
  <c r="G25" i="3"/>
  <c r="H25" i="3"/>
  <c r="I25" i="3"/>
  <c r="J25" i="3"/>
  <c r="K25" i="3"/>
  <c r="L25" i="3"/>
  <c r="G26" i="3"/>
  <c r="H26" i="3"/>
  <c r="I26" i="3"/>
  <c r="J26" i="3"/>
  <c r="K26" i="3"/>
  <c r="L26" i="3"/>
  <c r="G27" i="3"/>
  <c r="H27" i="3"/>
  <c r="I27" i="3"/>
  <c r="J27" i="3"/>
  <c r="K27" i="3"/>
  <c r="L27" i="3"/>
  <c r="G28" i="3"/>
  <c r="H28" i="3"/>
  <c r="I28" i="3"/>
  <c r="J28" i="3"/>
  <c r="K28" i="3"/>
  <c r="L28" i="3"/>
  <c r="G29" i="3"/>
  <c r="H29" i="3"/>
  <c r="I29" i="3"/>
  <c r="J29" i="3"/>
  <c r="K29" i="3"/>
  <c r="L29" i="3"/>
  <c r="G30" i="3"/>
  <c r="H30" i="3"/>
  <c r="I30" i="3"/>
  <c r="J30" i="3"/>
  <c r="K30" i="3"/>
  <c r="L30" i="3"/>
  <c r="G31" i="3"/>
  <c r="H31" i="3"/>
  <c r="I31" i="3"/>
  <c r="J31" i="3"/>
  <c r="K31" i="3"/>
  <c r="L31" i="3"/>
  <c r="G32" i="3"/>
  <c r="H32" i="3"/>
  <c r="I32" i="3"/>
  <c r="J32" i="3"/>
  <c r="K32" i="3"/>
  <c r="L32" i="3"/>
  <c r="G33" i="3"/>
  <c r="H33" i="3"/>
  <c r="I33" i="3"/>
  <c r="J33" i="3"/>
  <c r="K33" i="3"/>
  <c r="L33" i="3"/>
  <c r="G34" i="3"/>
  <c r="H34" i="3"/>
  <c r="I34" i="3"/>
  <c r="J34" i="3"/>
  <c r="K34" i="3"/>
  <c r="L34" i="3"/>
  <c r="G35" i="3"/>
  <c r="H35" i="3"/>
  <c r="I35" i="3"/>
  <c r="J35" i="3"/>
  <c r="K35" i="3"/>
  <c r="L35" i="3"/>
  <c r="G36" i="3"/>
  <c r="H36" i="3"/>
  <c r="I36" i="3"/>
  <c r="J36" i="3"/>
  <c r="K36" i="3"/>
  <c r="L36" i="3"/>
  <c r="G37" i="3"/>
  <c r="H37" i="3"/>
  <c r="I37" i="3"/>
  <c r="J37" i="3"/>
  <c r="K37" i="3"/>
  <c r="L37" i="3"/>
  <c r="G38" i="3"/>
  <c r="H38" i="3"/>
  <c r="I38" i="3"/>
  <c r="J38" i="3"/>
  <c r="K38" i="3"/>
  <c r="L38" i="3"/>
  <c r="G39" i="3"/>
  <c r="H39" i="3"/>
  <c r="I39" i="3"/>
  <c r="J39" i="3"/>
  <c r="K39" i="3"/>
  <c r="L39" i="3"/>
  <c r="G40" i="3"/>
  <c r="H40" i="3"/>
  <c r="I40" i="3"/>
  <c r="J40" i="3"/>
  <c r="K40" i="3"/>
  <c r="L40" i="3"/>
  <c r="G41" i="3"/>
  <c r="H41" i="3"/>
  <c r="I41" i="3"/>
  <c r="J41" i="3"/>
  <c r="K41" i="3"/>
  <c r="L41" i="3"/>
  <c r="G42" i="3"/>
  <c r="H42" i="3"/>
  <c r="I42" i="3"/>
  <c r="J42" i="3"/>
  <c r="K42" i="3"/>
  <c r="L42" i="3"/>
  <c r="G43" i="3"/>
  <c r="H43" i="3"/>
  <c r="I43" i="3"/>
  <c r="J43" i="3"/>
  <c r="K43" i="3"/>
  <c r="L43" i="3"/>
  <c r="G44" i="3"/>
  <c r="H44" i="3"/>
  <c r="I44" i="3"/>
  <c r="J44" i="3"/>
  <c r="K44" i="3"/>
  <c r="L44" i="3"/>
  <c r="G45" i="3"/>
  <c r="H45" i="3"/>
  <c r="I45" i="3"/>
  <c r="J45" i="3"/>
  <c r="K45" i="3"/>
  <c r="L45" i="3"/>
  <c r="G46" i="3"/>
  <c r="H46" i="3"/>
  <c r="I46" i="3"/>
  <c r="J46" i="3"/>
  <c r="K46" i="3"/>
  <c r="L46" i="3"/>
  <c r="G47" i="3"/>
  <c r="H47" i="3"/>
  <c r="I47" i="3"/>
  <c r="J47" i="3"/>
  <c r="K47" i="3"/>
  <c r="L47" i="3"/>
  <c r="G48" i="3"/>
  <c r="H48" i="3"/>
  <c r="I48" i="3"/>
  <c r="J48" i="3"/>
  <c r="K48" i="3"/>
  <c r="L48" i="3"/>
  <c r="H49" i="3"/>
  <c r="I49" i="3"/>
  <c r="J49" i="3"/>
  <c r="K49" i="3"/>
  <c r="L49" i="3"/>
  <c r="G50" i="3"/>
  <c r="H50" i="3"/>
  <c r="I50" i="3"/>
  <c r="J50" i="3"/>
  <c r="K50" i="3"/>
  <c r="L50" i="3"/>
  <c r="G51" i="3"/>
  <c r="H51" i="3"/>
  <c r="I51" i="3"/>
  <c r="J51" i="3"/>
  <c r="K51" i="3"/>
  <c r="L51" i="3"/>
  <c r="G52" i="3"/>
  <c r="H52" i="3"/>
  <c r="I52" i="3"/>
  <c r="J52" i="3"/>
  <c r="K52" i="3"/>
  <c r="L52" i="3"/>
  <c r="G53" i="3"/>
  <c r="H53" i="3"/>
  <c r="I53" i="3"/>
  <c r="J53" i="3"/>
  <c r="K53" i="3"/>
  <c r="L53" i="3"/>
  <c r="G54" i="3"/>
  <c r="H54" i="3"/>
  <c r="I54" i="3"/>
  <c r="J54" i="3"/>
  <c r="K54" i="3"/>
  <c r="L54" i="3"/>
  <c r="G55" i="3"/>
  <c r="H55" i="3"/>
  <c r="I55" i="3"/>
  <c r="J55" i="3"/>
  <c r="K55" i="3"/>
  <c r="L55" i="3"/>
  <c r="G56" i="3"/>
  <c r="H56" i="3"/>
  <c r="I56" i="3"/>
  <c r="J56" i="3"/>
  <c r="K56" i="3"/>
  <c r="L56" i="3"/>
  <c r="G57" i="3"/>
  <c r="H57" i="3"/>
  <c r="I57" i="3"/>
  <c r="J57" i="3"/>
  <c r="K57" i="3"/>
  <c r="L57" i="3"/>
  <c r="G58" i="3"/>
  <c r="H58" i="3"/>
  <c r="I58" i="3"/>
  <c r="J58" i="3"/>
  <c r="K58" i="3"/>
  <c r="L58" i="3"/>
  <c r="G59" i="3"/>
  <c r="H59" i="3"/>
  <c r="I59" i="3"/>
  <c r="J59" i="3"/>
  <c r="K59" i="3"/>
  <c r="L59" i="3"/>
  <c r="G60" i="3"/>
  <c r="H60" i="3"/>
  <c r="I60" i="3"/>
  <c r="J60" i="3"/>
  <c r="K60" i="3"/>
  <c r="L60" i="3"/>
  <c r="G61" i="3"/>
  <c r="H61" i="3"/>
  <c r="I61" i="3"/>
  <c r="J61" i="3"/>
  <c r="K61" i="3"/>
  <c r="L61" i="3"/>
  <c r="G62" i="3"/>
  <c r="H62" i="3"/>
  <c r="I62" i="3"/>
  <c r="J62" i="3"/>
  <c r="K62" i="3"/>
  <c r="L62" i="3"/>
  <c r="G63" i="3"/>
  <c r="H63" i="3"/>
  <c r="I63" i="3"/>
  <c r="J63" i="3"/>
  <c r="K63" i="3"/>
  <c r="L63" i="3"/>
  <c r="G64" i="3"/>
  <c r="H64" i="3"/>
  <c r="I64" i="3"/>
  <c r="J64" i="3"/>
  <c r="K64" i="3"/>
  <c r="L64" i="3"/>
  <c r="G65" i="3"/>
  <c r="H65" i="3"/>
  <c r="I65" i="3"/>
  <c r="J65" i="3"/>
  <c r="K65" i="3"/>
  <c r="L65" i="3"/>
  <c r="G66" i="3"/>
  <c r="H66" i="3"/>
  <c r="I66" i="3"/>
  <c r="J66" i="3"/>
  <c r="K66" i="3"/>
  <c r="L66" i="3"/>
  <c r="G67" i="3"/>
  <c r="H67" i="3"/>
  <c r="I67" i="3"/>
  <c r="J67" i="3"/>
  <c r="K67" i="3"/>
  <c r="L67" i="3"/>
  <c r="G68" i="3"/>
  <c r="H68" i="3"/>
  <c r="I68" i="3"/>
  <c r="J68" i="3"/>
  <c r="K68" i="3"/>
  <c r="L68" i="3"/>
  <c r="G69" i="3"/>
  <c r="H69" i="3"/>
  <c r="I69" i="3"/>
  <c r="J69" i="3"/>
  <c r="K69" i="3"/>
  <c r="L69" i="3"/>
  <c r="G70" i="3"/>
  <c r="H70" i="3"/>
  <c r="I70" i="3"/>
  <c r="J70" i="3"/>
  <c r="K70" i="3"/>
  <c r="L70" i="3"/>
  <c r="G71" i="3"/>
  <c r="H71" i="3"/>
  <c r="I71" i="3"/>
  <c r="J71" i="3"/>
  <c r="K71" i="3"/>
  <c r="L71" i="3"/>
  <c r="G72" i="3"/>
  <c r="H72" i="3"/>
  <c r="I72" i="3"/>
  <c r="J72" i="3"/>
  <c r="K72" i="3"/>
  <c r="L72" i="3"/>
  <c r="G73" i="3"/>
  <c r="H73" i="3"/>
  <c r="I73" i="3"/>
  <c r="J73" i="3"/>
  <c r="K73" i="3"/>
  <c r="L73" i="3"/>
  <c r="G74" i="3"/>
  <c r="H74" i="3"/>
  <c r="I74" i="3"/>
  <c r="J74" i="3"/>
  <c r="K74" i="3"/>
  <c r="L74" i="3"/>
  <c r="G75" i="3"/>
  <c r="H75" i="3"/>
  <c r="I75" i="3"/>
  <c r="J75" i="3"/>
  <c r="K75" i="3"/>
  <c r="L75" i="3"/>
  <c r="G76" i="3"/>
  <c r="H76" i="3"/>
  <c r="I76" i="3"/>
  <c r="J76" i="3"/>
  <c r="K76" i="3"/>
  <c r="L76" i="3"/>
  <c r="G77" i="3"/>
  <c r="H77" i="3"/>
  <c r="I77" i="3"/>
  <c r="J77" i="3"/>
  <c r="K77" i="3"/>
  <c r="L77" i="3"/>
  <c r="G78" i="3"/>
  <c r="H78" i="3"/>
  <c r="I78" i="3"/>
  <c r="J78" i="3"/>
  <c r="K78" i="3"/>
  <c r="L78" i="3"/>
  <c r="G79" i="3"/>
  <c r="H79" i="3"/>
  <c r="I79" i="3"/>
  <c r="J79" i="3"/>
  <c r="K79" i="3"/>
  <c r="L79" i="3"/>
  <c r="G80" i="3"/>
  <c r="H80" i="3"/>
  <c r="I80" i="3"/>
  <c r="J80" i="3"/>
  <c r="K80" i="3"/>
  <c r="L80" i="3"/>
  <c r="G81" i="3"/>
  <c r="H81" i="3"/>
  <c r="I81" i="3"/>
  <c r="J81" i="3"/>
  <c r="K81" i="3"/>
  <c r="L81" i="3"/>
  <c r="G82" i="3"/>
  <c r="H82" i="3"/>
  <c r="I82" i="3"/>
  <c r="J82" i="3"/>
  <c r="K82" i="3"/>
  <c r="L82" i="3"/>
  <c r="G83" i="3"/>
  <c r="H83" i="3"/>
  <c r="I83" i="3"/>
  <c r="J83" i="3"/>
  <c r="K83" i="3"/>
  <c r="L83" i="3"/>
  <c r="G84" i="3"/>
  <c r="H84" i="3"/>
  <c r="I84" i="3"/>
  <c r="J84" i="3"/>
  <c r="K84" i="3"/>
  <c r="L84" i="3"/>
  <c r="G85" i="3"/>
  <c r="H85" i="3"/>
  <c r="I85" i="3"/>
  <c r="J85" i="3"/>
  <c r="K85" i="3"/>
  <c r="L85" i="3"/>
  <c r="G86" i="3"/>
  <c r="H86" i="3"/>
  <c r="I86" i="3"/>
  <c r="J86" i="3"/>
  <c r="K86" i="3"/>
  <c r="L86" i="3"/>
  <c r="G87" i="3"/>
  <c r="H87" i="3"/>
  <c r="I87" i="3"/>
  <c r="J87" i="3"/>
  <c r="K87" i="3"/>
  <c r="L87" i="3"/>
  <c r="G88" i="3"/>
  <c r="H88" i="3"/>
  <c r="I88" i="3"/>
  <c r="J88" i="3"/>
  <c r="K88" i="3"/>
  <c r="L88" i="3"/>
  <c r="G89" i="3"/>
  <c r="H89" i="3"/>
  <c r="I89" i="3"/>
  <c r="J89" i="3"/>
  <c r="K89" i="3"/>
  <c r="L89" i="3"/>
  <c r="G90" i="3"/>
  <c r="H90" i="3"/>
  <c r="I90" i="3"/>
  <c r="J90" i="3"/>
  <c r="K90" i="3"/>
  <c r="L90" i="3"/>
  <c r="G91" i="3"/>
  <c r="H91" i="3"/>
  <c r="I91" i="3"/>
  <c r="J91" i="3"/>
  <c r="K91" i="3"/>
  <c r="L91" i="3"/>
  <c r="G92" i="3"/>
  <c r="H92" i="3"/>
  <c r="I92" i="3"/>
  <c r="J92" i="3"/>
  <c r="K92" i="3"/>
  <c r="L92" i="3"/>
  <c r="G93" i="3"/>
  <c r="H93" i="3"/>
  <c r="I93" i="3"/>
  <c r="J93" i="3"/>
  <c r="K93" i="3"/>
  <c r="L93" i="3"/>
  <c r="G94" i="3"/>
  <c r="H94" i="3"/>
  <c r="I94" i="3"/>
  <c r="J94" i="3"/>
  <c r="K94" i="3"/>
  <c r="L94" i="3"/>
  <c r="G95" i="3"/>
  <c r="H95" i="3"/>
  <c r="I95" i="3"/>
  <c r="J95" i="3"/>
  <c r="K95" i="3"/>
  <c r="L95" i="3"/>
  <c r="G96" i="3"/>
  <c r="H96" i="3"/>
  <c r="I96" i="3"/>
  <c r="J96" i="3"/>
  <c r="K96" i="3"/>
  <c r="L96" i="3"/>
  <c r="G97" i="3"/>
  <c r="H97" i="3"/>
  <c r="I97" i="3"/>
  <c r="J97" i="3"/>
  <c r="K97" i="3"/>
  <c r="L97" i="3"/>
  <c r="G98" i="3"/>
  <c r="H98" i="3"/>
  <c r="I98" i="3"/>
  <c r="J98" i="3"/>
  <c r="K98" i="3"/>
  <c r="L98" i="3"/>
  <c r="G99" i="3"/>
  <c r="H99" i="3"/>
  <c r="I99" i="3"/>
  <c r="J99" i="3"/>
  <c r="K99" i="3"/>
  <c r="L99" i="3"/>
  <c r="G100" i="3"/>
  <c r="H100" i="3"/>
  <c r="I100" i="3"/>
  <c r="J100" i="3"/>
  <c r="K100" i="3"/>
  <c r="L100" i="3"/>
  <c r="G101" i="3"/>
  <c r="H101" i="3"/>
  <c r="I101" i="3"/>
  <c r="J101" i="3"/>
  <c r="K101" i="3"/>
  <c r="L101" i="3"/>
  <c r="G102" i="3"/>
  <c r="H102" i="3"/>
  <c r="I102" i="3"/>
  <c r="J102" i="3"/>
  <c r="K102" i="3"/>
  <c r="L102" i="3"/>
  <c r="G103" i="3"/>
  <c r="H103" i="3"/>
  <c r="I103" i="3"/>
  <c r="J103" i="3"/>
  <c r="K103" i="3"/>
  <c r="L103" i="3"/>
  <c r="G104" i="3"/>
  <c r="H104" i="3"/>
  <c r="I104" i="3"/>
  <c r="J104" i="3"/>
  <c r="K104" i="3"/>
  <c r="L104" i="3"/>
  <c r="G105" i="3"/>
  <c r="H105" i="3"/>
  <c r="I105" i="3"/>
  <c r="J105" i="3"/>
  <c r="K105" i="3"/>
  <c r="L105" i="3"/>
  <c r="G106" i="3"/>
  <c r="H106" i="3"/>
  <c r="I106" i="3"/>
  <c r="J106" i="3"/>
  <c r="K106" i="3"/>
  <c r="L106" i="3"/>
  <c r="G107" i="3"/>
  <c r="H107" i="3"/>
  <c r="I107" i="3"/>
  <c r="J107" i="3"/>
  <c r="K107" i="3"/>
  <c r="L107" i="3"/>
  <c r="G108" i="3"/>
  <c r="H108" i="3"/>
  <c r="I108" i="3"/>
  <c r="J108" i="3"/>
  <c r="K108" i="3"/>
  <c r="L108" i="3"/>
  <c r="G109" i="3"/>
  <c r="H109" i="3"/>
  <c r="I109" i="3"/>
  <c r="J109" i="3"/>
  <c r="K109" i="3"/>
  <c r="L109" i="3"/>
  <c r="G110" i="3"/>
  <c r="H110" i="3"/>
  <c r="I110" i="3"/>
  <c r="J110" i="3"/>
  <c r="K110" i="3"/>
  <c r="L110" i="3"/>
  <c r="G111" i="3"/>
  <c r="H111" i="3"/>
  <c r="I111" i="3"/>
  <c r="J111" i="3"/>
  <c r="K111" i="3"/>
  <c r="L111" i="3"/>
  <c r="G112" i="3"/>
  <c r="H112" i="3"/>
  <c r="I112" i="3"/>
  <c r="J112" i="3"/>
  <c r="K112" i="3"/>
  <c r="L112" i="3"/>
  <c r="G113" i="3"/>
  <c r="H113" i="3"/>
  <c r="I113" i="3"/>
  <c r="J113" i="3"/>
  <c r="K113" i="3"/>
  <c r="L113" i="3"/>
  <c r="G114" i="3"/>
  <c r="H114" i="3"/>
  <c r="I114" i="3"/>
  <c r="J114" i="3"/>
  <c r="K114" i="3"/>
  <c r="L114" i="3"/>
  <c r="G115" i="3"/>
  <c r="H115" i="3"/>
  <c r="I115" i="3"/>
  <c r="J115" i="3"/>
  <c r="K115" i="3"/>
  <c r="L115" i="3"/>
  <c r="G116" i="3"/>
  <c r="H116" i="3"/>
  <c r="I116" i="3"/>
  <c r="J116" i="3"/>
  <c r="K116" i="3"/>
  <c r="L116" i="3"/>
  <c r="G117" i="3"/>
  <c r="H117" i="3"/>
  <c r="I117" i="3"/>
  <c r="J117" i="3"/>
  <c r="K117" i="3"/>
  <c r="L117" i="3"/>
  <c r="G118" i="3"/>
  <c r="H118" i="3"/>
  <c r="I118" i="3"/>
  <c r="J118" i="3"/>
  <c r="K118" i="3"/>
  <c r="L118" i="3"/>
  <c r="G119" i="3"/>
  <c r="H119" i="3"/>
  <c r="I119" i="3"/>
  <c r="J119" i="3"/>
  <c r="K119" i="3"/>
  <c r="L119" i="3"/>
  <c r="G120" i="3"/>
  <c r="H120" i="3"/>
  <c r="I120" i="3"/>
  <c r="J120" i="3"/>
  <c r="K120" i="3"/>
  <c r="L120" i="3"/>
  <c r="G121" i="3"/>
  <c r="H121" i="3"/>
  <c r="I121" i="3"/>
  <c r="J121" i="3"/>
  <c r="K121" i="3"/>
  <c r="L121" i="3"/>
  <c r="G122" i="3"/>
  <c r="H122" i="3"/>
  <c r="I122" i="3"/>
  <c r="J122" i="3"/>
  <c r="K122" i="3"/>
  <c r="L122" i="3"/>
  <c r="G123" i="3"/>
  <c r="H123" i="3"/>
  <c r="I123" i="3"/>
  <c r="J123" i="3"/>
  <c r="K123" i="3"/>
  <c r="L123" i="3"/>
  <c r="G124" i="3"/>
  <c r="H124" i="3"/>
  <c r="I124" i="3"/>
  <c r="J124" i="3"/>
  <c r="K124" i="3"/>
  <c r="L124" i="3"/>
  <c r="G125" i="3"/>
  <c r="H125" i="3"/>
  <c r="I125" i="3"/>
  <c r="J125" i="3"/>
  <c r="K125" i="3"/>
  <c r="L125" i="3"/>
  <c r="G126" i="3"/>
  <c r="H126" i="3"/>
  <c r="I126" i="3"/>
  <c r="J126" i="3"/>
  <c r="K126" i="3"/>
  <c r="L126" i="3"/>
  <c r="G127" i="3"/>
  <c r="H127" i="3"/>
  <c r="I127" i="3"/>
  <c r="J127" i="3"/>
  <c r="K127" i="3"/>
  <c r="L127" i="3"/>
  <c r="G128" i="3"/>
  <c r="H128" i="3"/>
  <c r="I128" i="3"/>
  <c r="J128" i="3"/>
  <c r="K128" i="3"/>
  <c r="L128" i="3"/>
  <c r="G129" i="3"/>
  <c r="H129" i="3"/>
  <c r="I129" i="3"/>
  <c r="J129" i="3"/>
  <c r="K129" i="3"/>
  <c r="L129" i="3"/>
  <c r="G130" i="3"/>
  <c r="H130" i="3"/>
  <c r="I130" i="3"/>
  <c r="J130" i="3"/>
  <c r="K130" i="3"/>
  <c r="L130" i="3"/>
  <c r="G131" i="3"/>
  <c r="H131" i="3"/>
  <c r="I131" i="3"/>
  <c r="J131" i="3"/>
  <c r="K131" i="3"/>
  <c r="L131" i="3"/>
  <c r="G132" i="3"/>
  <c r="H132" i="3"/>
  <c r="I132" i="3"/>
  <c r="J132" i="3"/>
  <c r="K132" i="3"/>
  <c r="L132" i="3"/>
  <c r="G133" i="3"/>
  <c r="H133" i="3"/>
  <c r="I133" i="3"/>
  <c r="J133" i="3"/>
  <c r="K133" i="3"/>
  <c r="L133" i="3"/>
  <c r="G134" i="3"/>
  <c r="H134" i="3"/>
  <c r="I134" i="3"/>
  <c r="J134" i="3"/>
  <c r="K134" i="3"/>
  <c r="L134" i="3"/>
  <c r="G135" i="3"/>
  <c r="H135" i="3"/>
  <c r="I135" i="3"/>
  <c r="J135" i="3"/>
  <c r="K135" i="3"/>
  <c r="L135" i="3"/>
  <c r="G136" i="3"/>
  <c r="H136" i="3"/>
  <c r="I136" i="3"/>
  <c r="J136" i="3"/>
  <c r="K136" i="3"/>
  <c r="L136" i="3"/>
  <c r="G137" i="3"/>
  <c r="H137" i="3"/>
  <c r="I137" i="3"/>
  <c r="J137" i="3"/>
  <c r="K137" i="3"/>
  <c r="L137" i="3"/>
  <c r="G138" i="3"/>
  <c r="H138" i="3"/>
  <c r="I138" i="3"/>
  <c r="J138" i="3"/>
  <c r="K138" i="3"/>
  <c r="L138" i="3"/>
  <c r="G139" i="3"/>
  <c r="H139" i="3"/>
  <c r="I139" i="3"/>
  <c r="J139" i="3"/>
  <c r="K139" i="3"/>
  <c r="L139" i="3"/>
  <c r="G140" i="3"/>
  <c r="H140" i="3"/>
  <c r="I140" i="3"/>
  <c r="J140" i="3"/>
  <c r="K140" i="3"/>
  <c r="L140" i="3"/>
  <c r="G141" i="3"/>
  <c r="H141" i="3"/>
  <c r="I141" i="3"/>
  <c r="J141" i="3"/>
  <c r="K141" i="3"/>
  <c r="L141" i="3"/>
  <c r="G142" i="3"/>
  <c r="H142" i="3"/>
  <c r="I142" i="3"/>
  <c r="J142" i="3"/>
  <c r="K142" i="3"/>
  <c r="L142" i="3"/>
  <c r="G143" i="3"/>
  <c r="H143" i="3"/>
  <c r="I143" i="3"/>
  <c r="J143" i="3"/>
  <c r="K143" i="3"/>
  <c r="L143" i="3"/>
  <c r="G144" i="3"/>
  <c r="H144" i="3"/>
  <c r="I144" i="3"/>
  <c r="J144" i="3"/>
  <c r="K144" i="3"/>
  <c r="L144" i="3"/>
  <c r="G145" i="3"/>
  <c r="H145" i="3"/>
  <c r="I145" i="3"/>
  <c r="J145" i="3"/>
  <c r="K145" i="3"/>
  <c r="L145" i="3"/>
  <c r="G146" i="3"/>
  <c r="H146" i="3"/>
  <c r="I146" i="3"/>
  <c r="J146" i="3"/>
  <c r="K146" i="3"/>
  <c r="L146" i="3"/>
  <c r="G147" i="3"/>
  <c r="H147" i="3"/>
  <c r="I147" i="3"/>
  <c r="J147" i="3"/>
  <c r="K147" i="3"/>
  <c r="L147" i="3"/>
  <c r="G148" i="3"/>
  <c r="H148" i="3"/>
  <c r="I148" i="3"/>
  <c r="J148" i="3"/>
  <c r="K148" i="3"/>
  <c r="L148" i="3"/>
  <c r="G149" i="3"/>
  <c r="H149" i="3"/>
  <c r="I149" i="3"/>
  <c r="J149" i="3"/>
  <c r="K149" i="3"/>
  <c r="L149" i="3"/>
  <c r="G150" i="3"/>
  <c r="H150" i="3"/>
  <c r="I150" i="3"/>
  <c r="J150" i="3"/>
  <c r="K150" i="3"/>
  <c r="L150" i="3"/>
  <c r="G151" i="3"/>
  <c r="H151" i="3"/>
  <c r="I151" i="3"/>
  <c r="J151" i="3"/>
  <c r="K151" i="3"/>
  <c r="L151" i="3"/>
  <c r="G152" i="3"/>
  <c r="H152" i="3"/>
  <c r="I152" i="3"/>
  <c r="J152" i="3"/>
  <c r="K152" i="3"/>
  <c r="L152" i="3"/>
  <c r="G153" i="3"/>
  <c r="H153" i="3"/>
  <c r="I153" i="3"/>
  <c r="J153" i="3"/>
  <c r="K153" i="3"/>
  <c r="L153" i="3"/>
  <c r="G154" i="3"/>
  <c r="H154" i="3"/>
  <c r="I154" i="3"/>
  <c r="J154" i="3"/>
  <c r="K154" i="3"/>
  <c r="L154" i="3"/>
  <c r="G155" i="3"/>
  <c r="H155" i="3"/>
  <c r="I155" i="3"/>
  <c r="J155" i="3"/>
  <c r="K155" i="3"/>
  <c r="L155" i="3"/>
  <c r="G156" i="3"/>
  <c r="H156" i="3"/>
  <c r="I156" i="3"/>
  <c r="J156" i="3"/>
  <c r="K156" i="3"/>
  <c r="L156" i="3"/>
  <c r="G157" i="3"/>
  <c r="H157" i="3"/>
  <c r="I157" i="3"/>
  <c r="J157" i="3"/>
  <c r="K157" i="3"/>
  <c r="L157" i="3"/>
  <c r="G158" i="3"/>
  <c r="H158" i="3"/>
  <c r="I158" i="3"/>
  <c r="J158" i="3"/>
  <c r="K158" i="3"/>
  <c r="L158" i="3"/>
  <c r="G159" i="3"/>
  <c r="H159" i="3"/>
  <c r="I159" i="3"/>
  <c r="J159" i="3"/>
  <c r="K159" i="3"/>
  <c r="L159" i="3"/>
  <c r="G160" i="3"/>
  <c r="H160" i="3"/>
  <c r="I160" i="3"/>
  <c r="J160" i="3"/>
  <c r="K160" i="3"/>
  <c r="L160" i="3"/>
  <c r="G161" i="3"/>
  <c r="H161" i="3"/>
  <c r="I161" i="3"/>
  <c r="J161" i="3"/>
  <c r="K161" i="3"/>
  <c r="L161" i="3"/>
  <c r="G162" i="3"/>
  <c r="H162" i="3"/>
  <c r="I162" i="3"/>
  <c r="J162" i="3"/>
  <c r="K162" i="3"/>
  <c r="L162" i="3"/>
  <c r="G163" i="3"/>
  <c r="H163" i="3"/>
  <c r="I163" i="3"/>
  <c r="J163" i="3"/>
  <c r="K163" i="3"/>
  <c r="L163" i="3"/>
  <c r="G164" i="3"/>
  <c r="H164" i="3"/>
  <c r="I164" i="3"/>
  <c r="J164" i="3"/>
  <c r="K164" i="3"/>
  <c r="L164" i="3"/>
  <c r="G165" i="3"/>
  <c r="H165" i="3"/>
  <c r="I165" i="3"/>
  <c r="J165" i="3"/>
  <c r="K165" i="3"/>
  <c r="L165" i="3"/>
  <c r="G166" i="3"/>
  <c r="H166" i="3"/>
  <c r="I166" i="3"/>
  <c r="J166" i="3"/>
  <c r="K166" i="3"/>
  <c r="L166" i="3"/>
  <c r="G167" i="3"/>
  <c r="H167" i="3"/>
  <c r="I167" i="3"/>
  <c r="J167" i="3"/>
  <c r="K167" i="3"/>
  <c r="L167" i="3"/>
  <c r="G168" i="3"/>
  <c r="H168" i="3"/>
  <c r="I168" i="3"/>
  <c r="J168" i="3"/>
  <c r="K168" i="3"/>
  <c r="L168" i="3"/>
  <c r="G169" i="3"/>
  <c r="H169" i="3"/>
  <c r="I169" i="3"/>
  <c r="J169" i="3"/>
  <c r="K169" i="3"/>
  <c r="L169" i="3"/>
  <c r="G170" i="3"/>
  <c r="H170" i="3"/>
  <c r="I170" i="3"/>
  <c r="J170" i="3"/>
  <c r="K170" i="3"/>
  <c r="L170" i="3"/>
  <c r="G171" i="3"/>
  <c r="H171" i="3"/>
  <c r="I171" i="3"/>
  <c r="J171" i="3"/>
  <c r="K171" i="3"/>
  <c r="L171" i="3"/>
  <c r="G172" i="3"/>
  <c r="H172" i="3"/>
  <c r="I172" i="3"/>
  <c r="J172" i="3"/>
  <c r="K172" i="3"/>
  <c r="L172" i="3"/>
  <c r="G173" i="3"/>
  <c r="H173" i="3"/>
  <c r="I173" i="3"/>
  <c r="J173" i="3"/>
  <c r="K173" i="3"/>
  <c r="L173" i="3"/>
  <c r="G174" i="3"/>
  <c r="H174" i="3"/>
  <c r="I174" i="3"/>
  <c r="J174" i="3"/>
  <c r="K174" i="3"/>
  <c r="L174" i="3"/>
  <c r="G175" i="3"/>
  <c r="H175" i="3"/>
  <c r="I175" i="3"/>
  <c r="J175" i="3"/>
  <c r="K175" i="3"/>
  <c r="L175" i="3"/>
  <c r="G176" i="3"/>
  <c r="H176" i="3"/>
  <c r="I176" i="3"/>
  <c r="J176" i="3"/>
  <c r="K176" i="3"/>
  <c r="L176" i="3"/>
  <c r="G177" i="3"/>
  <c r="H177" i="3"/>
  <c r="I177" i="3"/>
  <c r="J177" i="3"/>
  <c r="K177" i="3"/>
  <c r="L177" i="3"/>
  <c r="G178" i="3"/>
  <c r="H178" i="3"/>
  <c r="I178" i="3"/>
  <c r="J178" i="3"/>
  <c r="K178" i="3"/>
  <c r="L178" i="3"/>
  <c r="G179" i="3"/>
  <c r="H179" i="3"/>
  <c r="I179" i="3"/>
  <c r="J179" i="3"/>
  <c r="K179" i="3"/>
  <c r="L179" i="3"/>
  <c r="G180" i="3"/>
  <c r="H180" i="3"/>
  <c r="I180" i="3"/>
  <c r="J180" i="3"/>
  <c r="K180" i="3"/>
  <c r="L180" i="3"/>
  <c r="G181" i="3"/>
  <c r="H181" i="3"/>
  <c r="I181" i="3"/>
  <c r="J181" i="3"/>
  <c r="K181" i="3"/>
  <c r="L181" i="3"/>
  <c r="G182" i="3"/>
  <c r="H182" i="3"/>
  <c r="I182" i="3"/>
  <c r="J182" i="3"/>
  <c r="K182" i="3"/>
  <c r="L182" i="3"/>
  <c r="G183" i="3"/>
  <c r="H183" i="3"/>
  <c r="I183" i="3"/>
  <c r="J183" i="3"/>
  <c r="K183" i="3"/>
  <c r="L183" i="3"/>
  <c r="G184" i="3"/>
  <c r="H184" i="3"/>
  <c r="I184" i="3"/>
  <c r="J184" i="3"/>
  <c r="K184" i="3"/>
  <c r="L184" i="3"/>
  <c r="G185" i="3"/>
  <c r="H185" i="3"/>
  <c r="I185" i="3"/>
  <c r="J185" i="3"/>
  <c r="K185" i="3"/>
  <c r="L185" i="3"/>
  <c r="G186" i="3"/>
  <c r="H186" i="3"/>
  <c r="I186" i="3"/>
  <c r="J186" i="3"/>
  <c r="K186" i="3"/>
  <c r="L186" i="3"/>
  <c r="G187" i="3"/>
  <c r="H187" i="3"/>
  <c r="I187" i="3"/>
  <c r="J187" i="3"/>
  <c r="K187" i="3"/>
  <c r="L187" i="3"/>
  <c r="G188" i="3"/>
  <c r="H188" i="3"/>
  <c r="I188" i="3"/>
  <c r="J188" i="3"/>
  <c r="K188" i="3"/>
  <c r="L188" i="3"/>
  <c r="G189" i="3"/>
  <c r="H189" i="3"/>
  <c r="I189" i="3"/>
  <c r="J189" i="3"/>
  <c r="K189" i="3"/>
  <c r="L189" i="3"/>
  <c r="G190" i="3"/>
  <c r="H190" i="3"/>
  <c r="I190" i="3"/>
  <c r="J190" i="3"/>
  <c r="K190" i="3"/>
  <c r="L190" i="3"/>
  <c r="G191" i="3"/>
  <c r="H191" i="3"/>
  <c r="I191" i="3"/>
  <c r="J191" i="3"/>
  <c r="K191" i="3"/>
  <c r="L191" i="3"/>
  <c r="G192" i="3"/>
  <c r="H192" i="3"/>
  <c r="I192" i="3"/>
  <c r="J192" i="3"/>
  <c r="K192" i="3"/>
  <c r="L192" i="3"/>
  <c r="G193" i="3"/>
  <c r="H193" i="3"/>
  <c r="I193" i="3"/>
  <c r="J193" i="3"/>
  <c r="K193" i="3"/>
  <c r="L193" i="3"/>
  <c r="G194" i="3"/>
  <c r="H194" i="3"/>
  <c r="I194" i="3"/>
  <c r="J194" i="3"/>
  <c r="K194" i="3"/>
  <c r="L194" i="3"/>
  <c r="G195" i="3"/>
  <c r="H195" i="3"/>
  <c r="I195" i="3"/>
  <c r="J195" i="3"/>
  <c r="K195" i="3"/>
  <c r="L195" i="3"/>
  <c r="G196" i="3"/>
  <c r="H196" i="3"/>
  <c r="I196" i="3"/>
  <c r="J196" i="3"/>
  <c r="K196" i="3"/>
  <c r="L196" i="3"/>
  <c r="G197" i="3"/>
  <c r="H197" i="3"/>
  <c r="I197" i="3"/>
  <c r="J197" i="3"/>
  <c r="K197" i="3"/>
  <c r="L197" i="3"/>
  <c r="G198" i="3"/>
  <c r="H198" i="3"/>
  <c r="I198" i="3"/>
  <c r="J198" i="3"/>
  <c r="K198" i="3"/>
  <c r="L198" i="3"/>
  <c r="G199" i="3"/>
  <c r="H199" i="3"/>
  <c r="I199" i="3"/>
  <c r="J199" i="3"/>
  <c r="K199" i="3"/>
  <c r="L199" i="3"/>
  <c r="G200" i="3"/>
  <c r="H200" i="3"/>
  <c r="I200" i="3"/>
  <c r="J200" i="3"/>
  <c r="K200" i="3"/>
  <c r="L200" i="3"/>
  <c r="G201" i="3"/>
  <c r="H201" i="3"/>
  <c r="I201" i="3"/>
  <c r="J201" i="3"/>
  <c r="K201" i="3"/>
  <c r="L201" i="3"/>
  <c r="G202" i="3"/>
  <c r="H202" i="3"/>
  <c r="I202" i="3"/>
  <c r="J202" i="3"/>
  <c r="K202" i="3"/>
  <c r="L202" i="3"/>
  <c r="G203" i="3"/>
  <c r="H203" i="3"/>
  <c r="I203" i="3"/>
  <c r="J203" i="3"/>
  <c r="K203" i="3"/>
  <c r="L203" i="3"/>
  <c r="G204" i="3"/>
  <c r="H204" i="3"/>
  <c r="I204" i="3"/>
  <c r="J204" i="3"/>
  <c r="K204" i="3"/>
  <c r="L204" i="3"/>
  <c r="G205" i="3"/>
  <c r="H205" i="3"/>
  <c r="I205" i="3"/>
  <c r="J205" i="3"/>
  <c r="K205" i="3"/>
  <c r="L205" i="3"/>
  <c r="G206" i="3"/>
  <c r="H206" i="3"/>
  <c r="I206" i="3"/>
  <c r="J206" i="3"/>
  <c r="K206" i="3"/>
  <c r="L206" i="3"/>
  <c r="G207" i="3"/>
  <c r="H207" i="3"/>
  <c r="I207" i="3"/>
  <c r="J207" i="3"/>
  <c r="K207" i="3"/>
  <c r="L207" i="3"/>
  <c r="G208" i="3"/>
  <c r="H208" i="3"/>
  <c r="I208" i="3"/>
  <c r="J208" i="3"/>
  <c r="K208" i="3"/>
  <c r="L208" i="3"/>
  <c r="G209" i="3"/>
  <c r="H209" i="3"/>
  <c r="I209" i="3"/>
  <c r="J209" i="3"/>
  <c r="K209" i="3"/>
  <c r="L209" i="3"/>
  <c r="G210" i="3"/>
  <c r="H210" i="3"/>
  <c r="I210" i="3"/>
  <c r="J210" i="3"/>
  <c r="K210" i="3"/>
  <c r="L210" i="3"/>
  <c r="G211" i="3"/>
  <c r="H211" i="3"/>
  <c r="I211" i="3"/>
  <c r="J211" i="3"/>
  <c r="K211" i="3"/>
  <c r="L211" i="3"/>
  <c r="G212" i="3"/>
  <c r="H212" i="3"/>
  <c r="I212" i="3"/>
  <c r="J212" i="3"/>
  <c r="K212" i="3"/>
  <c r="L212" i="3"/>
  <c r="G213" i="3"/>
  <c r="H213" i="3"/>
  <c r="I213" i="3"/>
  <c r="J213" i="3"/>
  <c r="K213" i="3"/>
  <c r="L213" i="3"/>
  <c r="G214" i="3"/>
  <c r="H214" i="3"/>
  <c r="I214" i="3"/>
  <c r="J214" i="3"/>
  <c r="K214" i="3"/>
  <c r="L214" i="3"/>
  <c r="G215" i="3"/>
  <c r="H215" i="3"/>
  <c r="I215" i="3"/>
  <c r="J215" i="3"/>
  <c r="K215" i="3"/>
  <c r="L215" i="3"/>
  <c r="G216" i="3"/>
  <c r="H216" i="3"/>
  <c r="I216" i="3"/>
  <c r="J216" i="3"/>
  <c r="K216" i="3"/>
  <c r="L216" i="3"/>
  <c r="G217" i="3"/>
  <c r="H217" i="3"/>
  <c r="I217" i="3"/>
  <c r="J217" i="3"/>
  <c r="K217" i="3"/>
  <c r="L217" i="3"/>
  <c r="G218" i="3"/>
  <c r="H218" i="3"/>
  <c r="I218" i="3"/>
  <c r="J218" i="3"/>
  <c r="K218" i="3"/>
  <c r="L218" i="3"/>
  <c r="G219" i="3"/>
  <c r="H219" i="3"/>
  <c r="I219" i="3"/>
  <c r="J219" i="3"/>
  <c r="K219" i="3"/>
  <c r="L219" i="3"/>
  <c r="G220" i="3"/>
  <c r="H220" i="3"/>
  <c r="I220" i="3"/>
  <c r="J220" i="3"/>
  <c r="K220" i="3"/>
  <c r="L220" i="3"/>
  <c r="G221" i="3"/>
  <c r="H221" i="3"/>
  <c r="I221" i="3"/>
  <c r="J221" i="3"/>
  <c r="K221" i="3"/>
  <c r="L221" i="3"/>
  <c r="G222" i="3"/>
  <c r="H222" i="3"/>
  <c r="I222" i="3"/>
  <c r="J222" i="3"/>
  <c r="K222" i="3"/>
  <c r="L222" i="3"/>
  <c r="G223" i="3"/>
  <c r="H223" i="3"/>
  <c r="I223" i="3"/>
  <c r="J223" i="3"/>
  <c r="K223" i="3"/>
  <c r="L223" i="3"/>
  <c r="G224" i="3"/>
  <c r="H224" i="3"/>
  <c r="I224" i="3"/>
  <c r="J224" i="3"/>
  <c r="K224" i="3"/>
  <c r="L224" i="3"/>
  <c r="G225" i="3"/>
  <c r="H225" i="3"/>
  <c r="I225" i="3"/>
  <c r="J225" i="3"/>
  <c r="K225" i="3"/>
  <c r="L225" i="3"/>
  <c r="G226" i="3"/>
  <c r="H226" i="3"/>
  <c r="I226" i="3"/>
  <c r="J226" i="3"/>
  <c r="K226" i="3"/>
  <c r="L226" i="3"/>
  <c r="G227" i="3"/>
  <c r="H227" i="3"/>
  <c r="I227" i="3"/>
  <c r="J227" i="3"/>
  <c r="K227" i="3"/>
  <c r="L227" i="3"/>
  <c r="G228" i="3"/>
  <c r="H228" i="3"/>
  <c r="I228" i="3"/>
  <c r="J228" i="3"/>
  <c r="K228" i="3"/>
  <c r="L228" i="3"/>
  <c r="G229" i="3"/>
  <c r="H229" i="3"/>
  <c r="I229" i="3"/>
  <c r="J229" i="3"/>
  <c r="K229" i="3"/>
  <c r="L229" i="3"/>
  <c r="G230" i="3"/>
  <c r="H230" i="3"/>
  <c r="I230" i="3"/>
  <c r="J230" i="3"/>
  <c r="K230" i="3"/>
  <c r="L230" i="3"/>
  <c r="G231" i="3"/>
  <c r="H231" i="3"/>
  <c r="I231" i="3"/>
  <c r="J231" i="3"/>
  <c r="K231" i="3"/>
  <c r="L231" i="3"/>
  <c r="G232" i="3"/>
  <c r="H232" i="3"/>
  <c r="I232" i="3"/>
  <c r="J232" i="3"/>
  <c r="K232" i="3"/>
  <c r="L232" i="3"/>
  <c r="G233" i="3"/>
  <c r="H233" i="3"/>
  <c r="I233" i="3"/>
  <c r="J233" i="3"/>
  <c r="K233" i="3"/>
  <c r="L233" i="3"/>
  <c r="G234" i="3"/>
  <c r="H234" i="3"/>
  <c r="I234" i="3"/>
  <c r="J234" i="3"/>
  <c r="K234" i="3"/>
  <c r="L234" i="3"/>
  <c r="G235" i="3"/>
  <c r="H235" i="3"/>
  <c r="I235" i="3"/>
  <c r="J235" i="3"/>
  <c r="K235" i="3"/>
  <c r="L235" i="3"/>
  <c r="G236" i="3"/>
  <c r="H236" i="3"/>
  <c r="I236" i="3"/>
  <c r="J236" i="3"/>
  <c r="K236" i="3"/>
  <c r="L236" i="3"/>
  <c r="G237" i="3"/>
  <c r="H237" i="3"/>
  <c r="I237" i="3"/>
  <c r="J237" i="3"/>
  <c r="K237" i="3"/>
  <c r="L237" i="3"/>
  <c r="G238" i="3"/>
  <c r="H238" i="3"/>
  <c r="I238" i="3"/>
  <c r="J238" i="3"/>
  <c r="K238" i="3"/>
  <c r="L238" i="3"/>
  <c r="G239" i="3"/>
  <c r="H239" i="3"/>
  <c r="I239" i="3"/>
  <c r="J239" i="3"/>
  <c r="K239" i="3"/>
  <c r="L239" i="3"/>
  <c r="G240" i="3"/>
  <c r="H240" i="3"/>
  <c r="I240" i="3"/>
  <c r="J240" i="3"/>
  <c r="K240" i="3"/>
  <c r="L240" i="3"/>
  <c r="G241" i="3"/>
  <c r="H241" i="3"/>
  <c r="I241" i="3"/>
  <c r="J241" i="3"/>
  <c r="K241" i="3"/>
  <c r="L241" i="3"/>
  <c r="G242" i="3"/>
  <c r="H242" i="3"/>
  <c r="I242" i="3"/>
  <c r="J242" i="3"/>
  <c r="K242" i="3"/>
  <c r="L242" i="3"/>
  <c r="G243" i="3"/>
  <c r="H243" i="3"/>
  <c r="I243" i="3"/>
  <c r="J243" i="3"/>
  <c r="K243" i="3"/>
  <c r="L243" i="3"/>
  <c r="G244" i="3"/>
  <c r="H244" i="3"/>
  <c r="I244" i="3"/>
  <c r="J244" i="3"/>
  <c r="K244" i="3"/>
  <c r="L244" i="3"/>
  <c r="G245" i="3"/>
  <c r="H245" i="3"/>
  <c r="I245" i="3"/>
  <c r="J245" i="3"/>
  <c r="K245" i="3"/>
  <c r="L245" i="3"/>
  <c r="G246" i="3"/>
  <c r="H246" i="3"/>
  <c r="I246" i="3"/>
  <c r="J246" i="3"/>
  <c r="K246" i="3"/>
  <c r="L246" i="3"/>
  <c r="G247" i="3"/>
  <c r="H247" i="3"/>
  <c r="I247" i="3"/>
  <c r="J247" i="3"/>
  <c r="K247" i="3"/>
  <c r="L247" i="3"/>
  <c r="G248" i="3"/>
  <c r="H248" i="3"/>
  <c r="I248" i="3"/>
  <c r="J248" i="3"/>
  <c r="K248" i="3"/>
  <c r="L248" i="3"/>
  <c r="G249" i="3"/>
  <c r="H249" i="3"/>
  <c r="I249" i="3"/>
  <c r="J249" i="3"/>
  <c r="K249" i="3"/>
  <c r="L249" i="3"/>
  <c r="G250" i="3"/>
  <c r="H250" i="3"/>
  <c r="I250" i="3"/>
  <c r="J250" i="3"/>
  <c r="K250" i="3"/>
  <c r="L250" i="3"/>
  <c r="G251" i="3"/>
  <c r="H251" i="3"/>
  <c r="I251" i="3"/>
  <c r="J251" i="3"/>
  <c r="K251" i="3"/>
  <c r="L251" i="3"/>
  <c r="G252" i="3"/>
  <c r="H252" i="3"/>
  <c r="I252" i="3"/>
  <c r="J252" i="3"/>
  <c r="K252" i="3"/>
  <c r="L252" i="3"/>
  <c r="G253" i="3"/>
  <c r="H253" i="3"/>
  <c r="I253" i="3"/>
  <c r="J253" i="3"/>
  <c r="K253" i="3"/>
  <c r="L253" i="3"/>
  <c r="G254" i="3"/>
  <c r="H254" i="3"/>
  <c r="I254" i="3"/>
  <c r="J254" i="3"/>
  <c r="K254" i="3"/>
  <c r="L254" i="3"/>
  <c r="G255" i="3"/>
  <c r="H255" i="3"/>
  <c r="I255" i="3"/>
  <c r="J255" i="3"/>
  <c r="K255" i="3"/>
  <c r="L255" i="3"/>
  <c r="G256" i="3"/>
  <c r="H256" i="3"/>
  <c r="I256" i="3"/>
  <c r="J256" i="3"/>
  <c r="K256" i="3"/>
  <c r="L256" i="3"/>
  <c r="G257" i="3"/>
  <c r="H257" i="3"/>
  <c r="I257" i="3"/>
  <c r="J257" i="3"/>
  <c r="K257" i="3"/>
  <c r="L257" i="3"/>
  <c r="G258" i="3"/>
  <c r="H258" i="3"/>
  <c r="I258" i="3"/>
  <c r="J258" i="3"/>
  <c r="K258" i="3"/>
  <c r="L258" i="3"/>
  <c r="G259" i="3"/>
  <c r="H259" i="3"/>
  <c r="I259" i="3"/>
  <c r="J259" i="3"/>
  <c r="K259" i="3"/>
  <c r="L259" i="3"/>
  <c r="G260" i="3"/>
  <c r="H260" i="3"/>
  <c r="I260" i="3"/>
  <c r="J260" i="3"/>
  <c r="K260" i="3"/>
  <c r="L260" i="3"/>
  <c r="G261" i="3"/>
  <c r="H261" i="3"/>
  <c r="I261" i="3"/>
  <c r="J261" i="3"/>
  <c r="K261" i="3"/>
  <c r="L261" i="3"/>
  <c r="G262" i="3"/>
  <c r="H262" i="3"/>
  <c r="I262" i="3"/>
  <c r="J262" i="3"/>
  <c r="K262" i="3"/>
  <c r="L262" i="3"/>
  <c r="G263" i="3"/>
  <c r="H263" i="3"/>
  <c r="I263" i="3"/>
  <c r="J263" i="3"/>
  <c r="K263" i="3"/>
  <c r="L263" i="3"/>
  <c r="G264" i="3"/>
  <c r="H264" i="3"/>
  <c r="I264" i="3"/>
  <c r="J264" i="3"/>
  <c r="K264" i="3"/>
  <c r="L264" i="3"/>
  <c r="G265" i="3"/>
  <c r="H265" i="3"/>
  <c r="I265" i="3"/>
  <c r="J265" i="3"/>
  <c r="K265" i="3"/>
  <c r="L265" i="3"/>
  <c r="G266" i="3"/>
  <c r="H266" i="3"/>
  <c r="I266" i="3"/>
  <c r="J266" i="3"/>
  <c r="K266" i="3"/>
  <c r="L266" i="3"/>
  <c r="G267" i="3"/>
  <c r="H267" i="3"/>
  <c r="I267" i="3"/>
  <c r="J267" i="3"/>
  <c r="K267" i="3"/>
  <c r="L267" i="3"/>
  <c r="G268" i="3"/>
  <c r="H268" i="3"/>
  <c r="I268" i="3"/>
  <c r="J268" i="3"/>
  <c r="K268" i="3"/>
  <c r="L268" i="3"/>
  <c r="G269" i="3"/>
  <c r="H269" i="3"/>
  <c r="I269" i="3"/>
  <c r="J269" i="3"/>
  <c r="K269" i="3"/>
  <c r="L269" i="3"/>
  <c r="G270" i="3"/>
  <c r="H270" i="3"/>
  <c r="I270" i="3"/>
  <c r="J270" i="3"/>
  <c r="K270" i="3"/>
  <c r="L270" i="3"/>
  <c r="G271" i="3"/>
  <c r="H271" i="3"/>
  <c r="I271" i="3"/>
  <c r="J271" i="3"/>
  <c r="K271" i="3"/>
  <c r="L271" i="3"/>
  <c r="G272" i="3"/>
  <c r="H272" i="3"/>
  <c r="I272" i="3"/>
  <c r="J272" i="3"/>
  <c r="K272" i="3"/>
  <c r="L272" i="3"/>
  <c r="G273" i="3"/>
  <c r="H273" i="3"/>
  <c r="I273" i="3"/>
  <c r="J273" i="3"/>
  <c r="K273" i="3"/>
  <c r="L273" i="3"/>
  <c r="G274" i="3"/>
  <c r="H274" i="3"/>
  <c r="I274" i="3"/>
  <c r="J274" i="3"/>
  <c r="K274" i="3"/>
  <c r="L274" i="3"/>
  <c r="G275" i="3"/>
  <c r="H275" i="3"/>
  <c r="I275" i="3"/>
  <c r="J275" i="3"/>
  <c r="K275" i="3"/>
  <c r="L275" i="3"/>
  <c r="G276" i="3"/>
  <c r="H276" i="3"/>
  <c r="I276" i="3"/>
  <c r="J276" i="3"/>
  <c r="K276" i="3"/>
  <c r="L276" i="3"/>
  <c r="G277" i="3"/>
  <c r="H277" i="3"/>
  <c r="I277" i="3"/>
  <c r="J277" i="3"/>
  <c r="K277" i="3"/>
  <c r="L277" i="3"/>
  <c r="G278" i="3"/>
  <c r="H278" i="3"/>
  <c r="I278" i="3"/>
  <c r="J278" i="3"/>
  <c r="K278" i="3"/>
  <c r="L278" i="3"/>
  <c r="G279" i="3"/>
  <c r="H279" i="3"/>
  <c r="I279" i="3"/>
  <c r="J279" i="3"/>
  <c r="K279" i="3"/>
  <c r="L279" i="3"/>
  <c r="G280" i="3"/>
  <c r="H280" i="3"/>
  <c r="I280" i="3"/>
  <c r="J280" i="3"/>
  <c r="K280" i="3"/>
  <c r="L280" i="3"/>
  <c r="G281" i="3"/>
  <c r="H281" i="3"/>
  <c r="I281" i="3"/>
  <c r="J281" i="3"/>
  <c r="K281" i="3"/>
  <c r="L281" i="3"/>
  <c r="G282" i="3"/>
  <c r="H282" i="3"/>
  <c r="I282" i="3"/>
  <c r="J282" i="3"/>
  <c r="K282" i="3"/>
  <c r="L282" i="3"/>
  <c r="G283" i="3"/>
  <c r="H283" i="3"/>
  <c r="I283" i="3"/>
  <c r="J283" i="3"/>
  <c r="K283" i="3"/>
  <c r="L283" i="3"/>
  <c r="G284" i="3"/>
  <c r="H284" i="3"/>
  <c r="I284" i="3"/>
  <c r="J284" i="3"/>
  <c r="K284" i="3"/>
  <c r="L284" i="3"/>
  <c r="G285" i="3"/>
  <c r="H285" i="3"/>
  <c r="I285" i="3"/>
  <c r="J285" i="3"/>
  <c r="K285" i="3"/>
  <c r="L285" i="3"/>
  <c r="G286" i="3"/>
  <c r="H286" i="3"/>
  <c r="I286" i="3"/>
  <c r="J286" i="3"/>
  <c r="K286" i="3"/>
  <c r="L286" i="3"/>
  <c r="G287" i="3"/>
  <c r="H287" i="3"/>
  <c r="I287" i="3"/>
  <c r="J287" i="3"/>
  <c r="K287" i="3"/>
  <c r="L287" i="3"/>
  <c r="G288" i="3"/>
  <c r="H288" i="3"/>
  <c r="I288" i="3"/>
  <c r="J288" i="3"/>
  <c r="K288" i="3"/>
  <c r="L288" i="3"/>
  <c r="G289" i="3"/>
  <c r="H289" i="3"/>
  <c r="I289" i="3"/>
  <c r="J289" i="3"/>
  <c r="K289" i="3"/>
  <c r="L289" i="3"/>
  <c r="G290" i="3"/>
  <c r="H290" i="3"/>
  <c r="I290" i="3"/>
  <c r="J290" i="3"/>
  <c r="K290" i="3"/>
  <c r="L290" i="3"/>
  <c r="G291" i="3"/>
  <c r="H291" i="3"/>
  <c r="I291" i="3"/>
  <c r="J291" i="3"/>
  <c r="K291" i="3"/>
  <c r="L291" i="3"/>
  <c r="G292" i="3"/>
  <c r="H292" i="3"/>
  <c r="I292" i="3"/>
  <c r="J292" i="3"/>
  <c r="K292" i="3"/>
  <c r="L292" i="3"/>
  <c r="G293" i="3"/>
  <c r="H293" i="3"/>
  <c r="I293" i="3"/>
  <c r="J293" i="3"/>
  <c r="K293" i="3"/>
  <c r="L293" i="3"/>
  <c r="G294" i="3"/>
  <c r="H294" i="3"/>
  <c r="I294" i="3"/>
  <c r="J294" i="3"/>
  <c r="K294" i="3"/>
  <c r="L294" i="3"/>
  <c r="G295" i="3"/>
  <c r="H295" i="3"/>
  <c r="I295" i="3"/>
  <c r="J295" i="3"/>
  <c r="K295" i="3"/>
  <c r="L295" i="3"/>
  <c r="G296" i="3"/>
  <c r="H296" i="3"/>
  <c r="I296" i="3"/>
  <c r="J296" i="3"/>
  <c r="K296" i="3"/>
  <c r="L296" i="3"/>
  <c r="G297" i="3"/>
  <c r="H297" i="3"/>
  <c r="I297" i="3"/>
  <c r="J297" i="3"/>
  <c r="K297" i="3"/>
  <c r="L297" i="3"/>
  <c r="G298" i="3"/>
  <c r="H298" i="3"/>
  <c r="I298" i="3"/>
  <c r="J298" i="3"/>
  <c r="K298" i="3"/>
  <c r="L298" i="3"/>
  <c r="G299" i="3"/>
  <c r="H299" i="3"/>
  <c r="I299" i="3"/>
  <c r="J299" i="3"/>
  <c r="K299" i="3"/>
  <c r="L299" i="3"/>
  <c r="G300" i="3"/>
  <c r="H300" i="3"/>
  <c r="I300" i="3"/>
  <c r="J300" i="3"/>
  <c r="K300" i="3"/>
  <c r="L300" i="3"/>
  <c r="G301" i="3"/>
  <c r="H301" i="3"/>
  <c r="I301" i="3"/>
  <c r="J301" i="3"/>
  <c r="K301" i="3"/>
  <c r="L301" i="3"/>
  <c r="G302" i="3"/>
  <c r="H302" i="3"/>
  <c r="I302" i="3"/>
  <c r="J302" i="3"/>
  <c r="K302" i="3"/>
  <c r="L302" i="3"/>
  <c r="G303" i="3"/>
  <c r="H303" i="3"/>
  <c r="I303" i="3"/>
  <c r="J303" i="3"/>
  <c r="K303" i="3"/>
  <c r="L303" i="3"/>
  <c r="G304" i="3"/>
  <c r="H304" i="3"/>
  <c r="I304" i="3"/>
  <c r="J304" i="3"/>
  <c r="K304" i="3"/>
  <c r="L304" i="3"/>
  <c r="G305" i="3"/>
  <c r="H305" i="3"/>
  <c r="I305" i="3"/>
  <c r="J305" i="3"/>
  <c r="K305" i="3"/>
  <c r="L305" i="3"/>
  <c r="G306" i="3"/>
  <c r="H306" i="3"/>
  <c r="I306" i="3"/>
  <c r="J306" i="3"/>
  <c r="K306" i="3"/>
  <c r="L306" i="3"/>
  <c r="G307" i="3"/>
  <c r="H307" i="3"/>
  <c r="I307" i="3"/>
  <c r="J307" i="3"/>
  <c r="K307" i="3"/>
  <c r="L307" i="3"/>
  <c r="G308" i="3"/>
  <c r="H308" i="3"/>
  <c r="I308" i="3"/>
  <c r="J308" i="3"/>
  <c r="K308" i="3"/>
  <c r="L308" i="3"/>
  <c r="G309" i="3"/>
  <c r="H309" i="3"/>
  <c r="I309" i="3"/>
  <c r="J309" i="3"/>
  <c r="K309" i="3"/>
  <c r="L309" i="3"/>
  <c r="G310" i="3"/>
  <c r="H310" i="3"/>
  <c r="I310" i="3"/>
  <c r="J310" i="3"/>
  <c r="K310" i="3"/>
  <c r="L310" i="3"/>
  <c r="G311" i="3"/>
  <c r="H311" i="3"/>
  <c r="I311" i="3"/>
  <c r="J311" i="3"/>
  <c r="K311" i="3"/>
  <c r="L311" i="3"/>
  <c r="G312" i="3"/>
  <c r="H312" i="3"/>
  <c r="I312" i="3"/>
  <c r="J312" i="3"/>
  <c r="K312" i="3"/>
  <c r="L312" i="3"/>
  <c r="G313" i="3"/>
  <c r="H313" i="3"/>
  <c r="I313" i="3"/>
  <c r="J313" i="3"/>
  <c r="K313" i="3"/>
  <c r="L313" i="3"/>
  <c r="G314" i="3"/>
  <c r="H314" i="3"/>
  <c r="I314" i="3"/>
  <c r="J314" i="3"/>
  <c r="K314" i="3"/>
  <c r="L314" i="3"/>
  <c r="G315" i="3"/>
  <c r="H315" i="3"/>
  <c r="I315" i="3"/>
  <c r="J315" i="3"/>
  <c r="K315" i="3"/>
  <c r="L315" i="3"/>
  <c r="G316" i="3"/>
  <c r="H316" i="3"/>
  <c r="I316" i="3"/>
  <c r="J316" i="3"/>
  <c r="K316" i="3"/>
  <c r="L316" i="3"/>
  <c r="G317" i="3"/>
  <c r="H317" i="3"/>
  <c r="I317" i="3"/>
  <c r="J317" i="3"/>
  <c r="K317" i="3"/>
  <c r="L317" i="3"/>
  <c r="G318" i="3"/>
  <c r="H318" i="3"/>
  <c r="I318" i="3"/>
  <c r="J318" i="3"/>
  <c r="K318" i="3"/>
  <c r="L318" i="3"/>
  <c r="G319" i="3"/>
  <c r="H319" i="3"/>
  <c r="I319" i="3"/>
  <c r="J319" i="3"/>
  <c r="K319" i="3"/>
  <c r="L319" i="3"/>
  <c r="G320" i="3"/>
  <c r="H320" i="3"/>
  <c r="I320" i="3"/>
  <c r="J320" i="3"/>
  <c r="K320" i="3"/>
  <c r="L320" i="3"/>
  <c r="G321" i="3"/>
  <c r="H321" i="3"/>
  <c r="I321" i="3"/>
  <c r="J321" i="3"/>
  <c r="K321" i="3"/>
  <c r="L321" i="3"/>
  <c r="G322" i="3"/>
  <c r="H322" i="3"/>
  <c r="I322" i="3"/>
  <c r="J322" i="3"/>
  <c r="K322" i="3"/>
  <c r="L322" i="3"/>
  <c r="G323" i="3"/>
  <c r="H323" i="3"/>
  <c r="I323" i="3"/>
  <c r="J323" i="3"/>
  <c r="K323" i="3"/>
  <c r="L323" i="3"/>
  <c r="G324" i="3"/>
  <c r="H324" i="3"/>
  <c r="I324" i="3"/>
  <c r="J324" i="3"/>
  <c r="K324" i="3"/>
  <c r="L324" i="3"/>
  <c r="G325" i="3"/>
  <c r="H325" i="3"/>
  <c r="I325" i="3"/>
  <c r="J325" i="3"/>
  <c r="K325" i="3"/>
  <c r="L325" i="3"/>
  <c r="G326" i="3"/>
  <c r="H326" i="3"/>
  <c r="I326" i="3"/>
  <c r="J326" i="3"/>
  <c r="K326" i="3"/>
  <c r="L326" i="3"/>
  <c r="G327" i="3"/>
  <c r="H327" i="3"/>
  <c r="I327" i="3"/>
  <c r="J327" i="3"/>
  <c r="K327" i="3"/>
  <c r="L327" i="3"/>
  <c r="G328" i="3"/>
  <c r="H328" i="3"/>
  <c r="I328" i="3"/>
  <c r="J328" i="3"/>
  <c r="K328" i="3"/>
  <c r="L328" i="3"/>
  <c r="G329" i="3"/>
  <c r="H329" i="3"/>
  <c r="I329" i="3"/>
  <c r="J329" i="3"/>
  <c r="K329" i="3"/>
  <c r="L329" i="3"/>
  <c r="G330" i="3"/>
  <c r="H330" i="3"/>
  <c r="I330" i="3"/>
  <c r="J330" i="3"/>
  <c r="K330" i="3"/>
  <c r="L330" i="3"/>
  <c r="G331" i="3"/>
  <c r="H331" i="3"/>
  <c r="I331" i="3"/>
  <c r="J331" i="3"/>
  <c r="K331" i="3"/>
  <c r="L331" i="3"/>
  <c r="G332" i="3"/>
  <c r="H332" i="3"/>
  <c r="I332" i="3"/>
  <c r="J332" i="3"/>
  <c r="K332" i="3"/>
  <c r="L332" i="3"/>
  <c r="G333" i="3"/>
  <c r="H333" i="3"/>
  <c r="I333" i="3"/>
  <c r="J333" i="3"/>
  <c r="K333" i="3"/>
  <c r="L333" i="3"/>
  <c r="G334" i="3"/>
  <c r="H334" i="3"/>
  <c r="I334" i="3"/>
  <c r="J334" i="3"/>
  <c r="K334" i="3"/>
  <c r="L334" i="3"/>
  <c r="G335" i="3"/>
  <c r="H335" i="3"/>
  <c r="I335" i="3"/>
  <c r="J335" i="3"/>
  <c r="K335" i="3"/>
  <c r="L335" i="3"/>
  <c r="G336" i="3"/>
  <c r="H336" i="3"/>
  <c r="I336" i="3"/>
  <c r="J336" i="3"/>
  <c r="K336" i="3"/>
  <c r="L336" i="3"/>
  <c r="G337" i="3"/>
  <c r="H337" i="3"/>
  <c r="I337" i="3"/>
  <c r="J337" i="3"/>
  <c r="K337" i="3"/>
  <c r="L337" i="3"/>
  <c r="G338" i="3"/>
  <c r="H338" i="3"/>
  <c r="I338" i="3"/>
  <c r="J338" i="3"/>
  <c r="K338" i="3"/>
  <c r="L338" i="3"/>
  <c r="G339" i="3"/>
  <c r="H339" i="3"/>
  <c r="I339" i="3"/>
  <c r="J339" i="3"/>
  <c r="K339" i="3"/>
  <c r="L339" i="3"/>
  <c r="G340" i="3"/>
  <c r="H340" i="3"/>
  <c r="I340" i="3"/>
  <c r="J340" i="3"/>
  <c r="K340" i="3"/>
  <c r="L340" i="3"/>
  <c r="G341" i="3"/>
  <c r="H341" i="3"/>
  <c r="I341" i="3"/>
  <c r="J341" i="3"/>
  <c r="K341" i="3"/>
  <c r="L341" i="3"/>
  <c r="G342" i="3"/>
  <c r="H342" i="3"/>
  <c r="I342" i="3"/>
  <c r="J342" i="3"/>
  <c r="K342" i="3"/>
  <c r="L342" i="3"/>
  <c r="G343" i="3"/>
  <c r="H343" i="3"/>
  <c r="I343" i="3"/>
  <c r="J343" i="3"/>
  <c r="K343" i="3"/>
  <c r="L343" i="3"/>
  <c r="G344" i="3"/>
  <c r="H344" i="3"/>
  <c r="I344" i="3"/>
  <c r="J344" i="3"/>
  <c r="K344" i="3"/>
  <c r="L344" i="3"/>
  <c r="G345" i="3"/>
  <c r="H345" i="3"/>
  <c r="I345" i="3"/>
  <c r="J345" i="3"/>
  <c r="K345" i="3"/>
  <c r="L345" i="3"/>
  <c r="G346" i="3"/>
  <c r="H346" i="3"/>
  <c r="I346" i="3"/>
  <c r="J346" i="3"/>
  <c r="K346" i="3"/>
  <c r="L346" i="3"/>
  <c r="G347" i="3"/>
  <c r="H347" i="3"/>
  <c r="I347" i="3"/>
  <c r="J347" i="3"/>
  <c r="K347" i="3"/>
  <c r="L347" i="3"/>
  <c r="G348" i="3"/>
  <c r="H348" i="3"/>
  <c r="I348" i="3"/>
  <c r="J348" i="3"/>
  <c r="K348" i="3"/>
  <c r="L348" i="3"/>
  <c r="G349" i="3"/>
  <c r="H349" i="3"/>
  <c r="I349" i="3"/>
  <c r="J349" i="3"/>
  <c r="K349" i="3"/>
  <c r="L349" i="3"/>
  <c r="G350" i="3"/>
  <c r="H350" i="3"/>
  <c r="I350" i="3"/>
  <c r="J350" i="3"/>
  <c r="K350" i="3"/>
  <c r="L350" i="3"/>
  <c r="G351" i="3"/>
  <c r="H351" i="3"/>
  <c r="I351" i="3"/>
  <c r="J351" i="3"/>
  <c r="K351" i="3"/>
  <c r="L351" i="3"/>
  <c r="G352" i="3"/>
  <c r="H352" i="3"/>
  <c r="I352" i="3"/>
  <c r="J352" i="3"/>
  <c r="K352" i="3"/>
  <c r="L352" i="3"/>
  <c r="G353" i="3"/>
  <c r="H353" i="3"/>
  <c r="I353" i="3"/>
  <c r="J353" i="3"/>
  <c r="K353" i="3"/>
  <c r="L353" i="3"/>
  <c r="G354" i="3"/>
  <c r="H354" i="3"/>
  <c r="I354" i="3"/>
  <c r="J354" i="3"/>
  <c r="K354" i="3"/>
  <c r="L354" i="3"/>
  <c r="G355" i="3"/>
  <c r="H355" i="3"/>
  <c r="I355" i="3"/>
  <c r="J355" i="3"/>
  <c r="K355" i="3"/>
  <c r="L355" i="3"/>
  <c r="G356" i="3"/>
  <c r="H356" i="3"/>
  <c r="I356" i="3"/>
  <c r="J356" i="3"/>
  <c r="K356" i="3"/>
  <c r="L356" i="3"/>
  <c r="G357" i="3"/>
  <c r="H357" i="3"/>
  <c r="I357" i="3"/>
  <c r="J357" i="3"/>
  <c r="K357" i="3"/>
  <c r="L357" i="3"/>
  <c r="G358" i="3"/>
  <c r="H358" i="3"/>
  <c r="I358" i="3"/>
  <c r="J358" i="3"/>
  <c r="K358" i="3"/>
  <c r="L358" i="3"/>
  <c r="G359" i="3"/>
  <c r="H359" i="3"/>
  <c r="I359" i="3"/>
  <c r="J359" i="3"/>
  <c r="K359" i="3"/>
  <c r="L359" i="3"/>
  <c r="G360" i="3"/>
  <c r="H360" i="3"/>
  <c r="I360" i="3"/>
  <c r="J360" i="3"/>
  <c r="K360" i="3"/>
  <c r="L360" i="3"/>
  <c r="G361" i="3"/>
  <c r="H361" i="3"/>
  <c r="I361" i="3"/>
  <c r="J361" i="3"/>
  <c r="K361" i="3"/>
  <c r="L361" i="3"/>
  <c r="G362" i="3"/>
  <c r="H362" i="3"/>
  <c r="I362" i="3"/>
  <c r="J362" i="3"/>
  <c r="K362" i="3"/>
  <c r="L362" i="3"/>
  <c r="G363" i="3"/>
  <c r="H363" i="3"/>
  <c r="I363" i="3"/>
  <c r="J363" i="3"/>
  <c r="K363" i="3"/>
  <c r="L363" i="3"/>
  <c r="G364" i="3"/>
  <c r="H364" i="3"/>
  <c r="I364" i="3"/>
  <c r="J364" i="3"/>
  <c r="K364" i="3"/>
  <c r="L364" i="3"/>
  <c r="G365" i="3"/>
  <c r="H365" i="3"/>
  <c r="I365" i="3"/>
  <c r="J365" i="3"/>
  <c r="K365" i="3"/>
  <c r="L365" i="3"/>
  <c r="G366" i="3"/>
  <c r="H366" i="3"/>
  <c r="I366" i="3"/>
  <c r="J366" i="3"/>
  <c r="K366" i="3"/>
  <c r="L366" i="3"/>
  <c r="G367" i="3"/>
  <c r="H367" i="3"/>
  <c r="I367" i="3"/>
  <c r="J367" i="3"/>
  <c r="K367" i="3"/>
  <c r="L367" i="3"/>
  <c r="G368" i="3"/>
  <c r="H368" i="3"/>
  <c r="I368" i="3"/>
  <c r="J368" i="3"/>
  <c r="K368" i="3"/>
  <c r="L368" i="3"/>
  <c r="G369" i="3"/>
  <c r="H369" i="3"/>
  <c r="I369" i="3"/>
  <c r="J369" i="3"/>
  <c r="K369" i="3"/>
  <c r="L369" i="3"/>
  <c r="G370" i="3"/>
  <c r="H370" i="3"/>
  <c r="I370" i="3"/>
  <c r="J370" i="3"/>
  <c r="K370" i="3"/>
  <c r="L370" i="3"/>
  <c r="G371" i="3"/>
  <c r="H371" i="3"/>
  <c r="I371" i="3"/>
  <c r="J371" i="3"/>
  <c r="K371" i="3"/>
  <c r="L371" i="3"/>
  <c r="G372" i="3"/>
  <c r="H372" i="3"/>
  <c r="I372" i="3"/>
  <c r="J372" i="3"/>
  <c r="K372" i="3"/>
  <c r="L372" i="3"/>
  <c r="G373" i="3"/>
  <c r="H373" i="3"/>
  <c r="I373" i="3"/>
  <c r="J373" i="3"/>
  <c r="K373" i="3"/>
  <c r="L373" i="3"/>
  <c r="G374" i="3"/>
  <c r="H374" i="3"/>
  <c r="I374" i="3"/>
  <c r="J374" i="3"/>
  <c r="K374" i="3"/>
  <c r="L374" i="3"/>
  <c r="G375" i="3"/>
  <c r="H375" i="3"/>
  <c r="I375" i="3"/>
  <c r="J375" i="3"/>
  <c r="K375" i="3"/>
  <c r="L375" i="3"/>
  <c r="G376" i="3"/>
  <c r="H376" i="3"/>
  <c r="I376" i="3"/>
  <c r="J376" i="3"/>
  <c r="K376" i="3"/>
  <c r="L376" i="3"/>
  <c r="G377" i="3"/>
  <c r="H377" i="3"/>
  <c r="I377" i="3"/>
  <c r="J377" i="3"/>
  <c r="K377" i="3"/>
  <c r="L377" i="3"/>
  <c r="G378" i="3"/>
  <c r="H378" i="3"/>
  <c r="I378" i="3"/>
  <c r="J378" i="3"/>
  <c r="K378" i="3"/>
  <c r="L378" i="3"/>
  <c r="G379" i="3"/>
  <c r="H379" i="3"/>
  <c r="I379" i="3"/>
  <c r="J379" i="3"/>
  <c r="K379" i="3"/>
  <c r="L379" i="3"/>
  <c r="G380" i="3"/>
  <c r="H380" i="3"/>
  <c r="I380" i="3"/>
  <c r="J380" i="3"/>
  <c r="K380" i="3"/>
  <c r="L380" i="3"/>
  <c r="G381" i="3"/>
  <c r="H381" i="3"/>
  <c r="I381" i="3"/>
  <c r="J381" i="3"/>
  <c r="K381" i="3"/>
  <c r="L381" i="3"/>
  <c r="G382" i="3"/>
  <c r="H382" i="3"/>
  <c r="I382" i="3"/>
  <c r="J382" i="3"/>
  <c r="K382" i="3"/>
  <c r="L382" i="3"/>
  <c r="G383" i="3"/>
  <c r="H383" i="3"/>
  <c r="I383" i="3"/>
  <c r="J383" i="3"/>
  <c r="K383" i="3"/>
  <c r="L383" i="3"/>
  <c r="G384" i="3"/>
  <c r="H384" i="3"/>
  <c r="I384" i="3"/>
  <c r="J384" i="3"/>
  <c r="K384" i="3"/>
  <c r="L384" i="3"/>
  <c r="G385" i="3"/>
  <c r="H385" i="3"/>
  <c r="I385" i="3"/>
  <c r="J385" i="3"/>
  <c r="K385" i="3"/>
  <c r="L385" i="3"/>
  <c r="G386" i="3"/>
  <c r="H386" i="3"/>
  <c r="I386" i="3"/>
  <c r="J386" i="3"/>
  <c r="K386" i="3"/>
  <c r="L386" i="3"/>
  <c r="G387" i="3"/>
  <c r="H387" i="3"/>
  <c r="I387" i="3"/>
  <c r="J387" i="3"/>
  <c r="K387" i="3"/>
  <c r="L387" i="3"/>
  <c r="G388" i="3"/>
  <c r="H388" i="3"/>
  <c r="I388" i="3"/>
  <c r="J388" i="3"/>
  <c r="K388" i="3"/>
  <c r="L388" i="3"/>
  <c r="G389" i="3"/>
  <c r="H389" i="3"/>
  <c r="I389" i="3"/>
  <c r="J389" i="3"/>
  <c r="K389" i="3"/>
  <c r="L389" i="3"/>
  <c r="G390" i="3"/>
  <c r="H390" i="3"/>
  <c r="I390" i="3"/>
  <c r="J390" i="3"/>
  <c r="K390" i="3"/>
  <c r="L390" i="3"/>
  <c r="G391" i="3"/>
  <c r="H391" i="3"/>
  <c r="I391" i="3"/>
  <c r="J391" i="3"/>
  <c r="K391" i="3"/>
  <c r="L391" i="3"/>
  <c r="G392" i="3"/>
  <c r="H392" i="3"/>
  <c r="I392" i="3"/>
  <c r="J392" i="3"/>
  <c r="K392" i="3"/>
  <c r="L392" i="3"/>
  <c r="G393" i="3"/>
  <c r="H393" i="3"/>
  <c r="I393" i="3"/>
  <c r="J393" i="3"/>
  <c r="K393" i="3"/>
  <c r="L393" i="3"/>
  <c r="G394" i="3"/>
  <c r="H394" i="3"/>
  <c r="I394" i="3"/>
  <c r="J394" i="3"/>
  <c r="K394" i="3"/>
  <c r="L394" i="3"/>
  <c r="G395" i="3"/>
  <c r="H395" i="3"/>
  <c r="I395" i="3"/>
  <c r="J395" i="3"/>
  <c r="K395" i="3"/>
  <c r="L395" i="3"/>
  <c r="G396" i="3"/>
  <c r="H396" i="3"/>
  <c r="I396" i="3"/>
  <c r="J396" i="3"/>
  <c r="K396" i="3"/>
  <c r="L396" i="3"/>
  <c r="G397" i="3"/>
  <c r="H397" i="3"/>
  <c r="I397" i="3"/>
  <c r="J397" i="3"/>
  <c r="K397" i="3"/>
  <c r="L397" i="3"/>
  <c r="G398" i="3"/>
  <c r="H398" i="3"/>
  <c r="I398" i="3"/>
  <c r="J398" i="3"/>
  <c r="K398" i="3"/>
  <c r="L398" i="3"/>
  <c r="G399" i="3"/>
  <c r="H399" i="3"/>
  <c r="I399" i="3"/>
  <c r="J399" i="3"/>
  <c r="K399" i="3"/>
  <c r="L399" i="3"/>
  <c r="G400" i="3"/>
  <c r="H400" i="3"/>
  <c r="I400" i="3"/>
  <c r="J400" i="3"/>
  <c r="K400" i="3"/>
  <c r="L400" i="3"/>
  <c r="G401" i="3"/>
  <c r="H401" i="3"/>
  <c r="I401" i="3"/>
  <c r="J401" i="3"/>
  <c r="K401" i="3"/>
  <c r="L401" i="3"/>
  <c r="G402" i="3"/>
  <c r="H402" i="3"/>
  <c r="I402" i="3"/>
  <c r="J402" i="3"/>
  <c r="K402" i="3"/>
  <c r="L402" i="3"/>
  <c r="G403" i="3"/>
  <c r="H403" i="3"/>
  <c r="I403" i="3"/>
  <c r="J403" i="3"/>
  <c r="K403" i="3"/>
  <c r="L403" i="3"/>
  <c r="G404" i="3"/>
  <c r="H404" i="3"/>
  <c r="I404" i="3"/>
  <c r="J404" i="3"/>
  <c r="K404" i="3"/>
  <c r="L404" i="3"/>
  <c r="G405" i="3"/>
  <c r="H405" i="3"/>
  <c r="I405" i="3"/>
  <c r="J405" i="3"/>
  <c r="K405" i="3"/>
  <c r="L405" i="3"/>
  <c r="G406" i="3"/>
  <c r="H406" i="3"/>
  <c r="I406" i="3"/>
  <c r="J406" i="3"/>
  <c r="K406" i="3"/>
  <c r="L406" i="3"/>
  <c r="G407" i="3"/>
  <c r="H407" i="3"/>
  <c r="I407" i="3"/>
  <c r="J407" i="3"/>
  <c r="K407" i="3"/>
  <c r="L407" i="3"/>
  <c r="G408" i="3"/>
  <c r="H408" i="3"/>
  <c r="I408" i="3"/>
  <c r="J408" i="3"/>
  <c r="K408" i="3"/>
  <c r="L408" i="3"/>
  <c r="G409" i="3"/>
  <c r="H409" i="3"/>
  <c r="I409" i="3"/>
  <c r="J409" i="3"/>
  <c r="K409" i="3"/>
  <c r="L409" i="3"/>
  <c r="G410" i="3"/>
  <c r="H410" i="3"/>
  <c r="I410" i="3"/>
  <c r="J410" i="3"/>
  <c r="K410" i="3"/>
  <c r="L410" i="3"/>
  <c r="G411" i="3"/>
  <c r="H411" i="3"/>
  <c r="I411" i="3"/>
  <c r="J411" i="3"/>
  <c r="K411" i="3"/>
  <c r="L411" i="3"/>
  <c r="G412" i="3"/>
  <c r="H412" i="3"/>
  <c r="I412" i="3"/>
  <c r="J412" i="3"/>
  <c r="K412" i="3"/>
  <c r="L412" i="3"/>
  <c r="G413" i="3"/>
  <c r="H413" i="3"/>
  <c r="I413" i="3"/>
  <c r="J413" i="3"/>
  <c r="K413" i="3"/>
  <c r="L413" i="3"/>
  <c r="G414" i="3"/>
  <c r="H414" i="3"/>
  <c r="I414" i="3"/>
  <c r="J414" i="3"/>
  <c r="K414" i="3"/>
  <c r="L414" i="3"/>
  <c r="G415" i="3"/>
  <c r="H415" i="3"/>
  <c r="I415" i="3"/>
  <c r="J415" i="3"/>
  <c r="K415" i="3"/>
  <c r="L415" i="3"/>
  <c r="G416" i="3"/>
  <c r="H416" i="3"/>
  <c r="I416" i="3"/>
  <c r="J416" i="3"/>
  <c r="K416" i="3"/>
  <c r="L416" i="3"/>
  <c r="G417" i="3"/>
  <c r="H417" i="3"/>
  <c r="I417" i="3"/>
  <c r="J417" i="3"/>
  <c r="K417" i="3"/>
  <c r="L417" i="3"/>
  <c r="G418" i="3"/>
  <c r="H418" i="3"/>
  <c r="I418" i="3"/>
  <c r="J418" i="3"/>
  <c r="K418" i="3"/>
  <c r="L418" i="3"/>
  <c r="G419" i="3"/>
  <c r="H419" i="3"/>
  <c r="I419" i="3"/>
  <c r="J419" i="3"/>
  <c r="K419" i="3"/>
  <c r="L419" i="3"/>
  <c r="G420" i="3"/>
  <c r="H420" i="3"/>
  <c r="I420" i="3"/>
  <c r="J420" i="3"/>
  <c r="K420" i="3"/>
  <c r="L420" i="3"/>
  <c r="G421" i="3"/>
  <c r="H421" i="3"/>
  <c r="I421" i="3"/>
  <c r="J421" i="3"/>
  <c r="K421" i="3"/>
  <c r="L421" i="3"/>
  <c r="G422" i="3"/>
  <c r="H422" i="3"/>
  <c r="I422" i="3"/>
  <c r="J422" i="3"/>
  <c r="K422" i="3"/>
  <c r="L422" i="3"/>
  <c r="G423" i="3"/>
  <c r="H423" i="3"/>
  <c r="I423" i="3"/>
  <c r="J423" i="3"/>
  <c r="K423" i="3"/>
  <c r="L423" i="3"/>
  <c r="G424" i="3"/>
  <c r="H424" i="3"/>
  <c r="I424" i="3"/>
  <c r="J424" i="3"/>
  <c r="K424" i="3"/>
  <c r="L424" i="3"/>
  <c r="G425" i="3"/>
  <c r="H425" i="3"/>
  <c r="I425" i="3"/>
  <c r="J425" i="3"/>
  <c r="K425" i="3"/>
  <c r="L425" i="3"/>
  <c r="G426" i="3"/>
  <c r="H426" i="3"/>
  <c r="I426" i="3"/>
  <c r="J426" i="3"/>
  <c r="K426" i="3"/>
  <c r="L426" i="3"/>
  <c r="G427" i="3"/>
  <c r="H427" i="3"/>
  <c r="I427" i="3"/>
  <c r="J427" i="3"/>
  <c r="K427" i="3"/>
  <c r="L427" i="3"/>
  <c r="G428" i="3"/>
  <c r="H428" i="3"/>
  <c r="I428" i="3"/>
  <c r="J428" i="3"/>
  <c r="K428" i="3"/>
  <c r="L428" i="3"/>
  <c r="G429" i="3"/>
  <c r="H429" i="3"/>
  <c r="I429" i="3"/>
  <c r="J429" i="3"/>
  <c r="K429" i="3"/>
  <c r="L429" i="3"/>
  <c r="G430" i="3"/>
  <c r="H430" i="3"/>
  <c r="I430" i="3"/>
  <c r="J430" i="3"/>
  <c r="K430" i="3"/>
  <c r="L430" i="3"/>
  <c r="G431" i="3"/>
  <c r="H431" i="3"/>
  <c r="I431" i="3"/>
  <c r="J431" i="3"/>
  <c r="K431" i="3"/>
  <c r="L431" i="3"/>
  <c r="G432" i="3"/>
  <c r="H432" i="3"/>
  <c r="I432" i="3"/>
  <c r="J432" i="3"/>
  <c r="K432" i="3"/>
  <c r="L432" i="3"/>
  <c r="G433" i="3"/>
  <c r="H433" i="3"/>
  <c r="I433" i="3"/>
  <c r="J433" i="3"/>
  <c r="K433" i="3"/>
  <c r="L433" i="3"/>
  <c r="G434" i="3"/>
  <c r="H434" i="3"/>
  <c r="I434" i="3"/>
  <c r="J434" i="3"/>
  <c r="K434" i="3"/>
  <c r="L434" i="3"/>
  <c r="G435" i="3"/>
  <c r="H435" i="3"/>
  <c r="I435" i="3"/>
  <c r="J435" i="3"/>
  <c r="K435" i="3"/>
  <c r="L435" i="3"/>
  <c r="G436" i="3"/>
  <c r="H436" i="3"/>
  <c r="I436" i="3"/>
  <c r="J436" i="3"/>
  <c r="K436" i="3"/>
  <c r="L436" i="3"/>
  <c r="G437" i="3"/>
  <c r="H437" i="3"/>
  <c r="I437" i="3"/>
  <c r="J437" i="3"/>
  <c r="K437" i="3"/>
  <c r="L437" i="3"/>
  <c r="G438" i="3"/>
  <c r="H438" i="3"/>
  <c r="I438" i="3"/>
  <c r="J438" i="3"/>
  <c r="K438" i="3"/>
  <c r="L438" i="3"/>
  <c r="G439" i="3"/>
  <c r="H439" i="3"/>
  <c r="I439" i="3"/>
  <c r="J439" i="3"/>
  <c r="K439" i="3"/>
  <c r="L439" i="3"/>
  <c r="G440" i="3"/>
  <c r="H440" i="3"/>
  <c r="I440" i="3"/>
  <c r="J440" i="3"/>
  <c r="K440" i="3"/>
  <c r="L440" i="3"/>
  <c r="G441" i="3"/>
  <c r="H441" i="3"/>
  <c r="I441" i="3"/>
  <c r="J441" i="3"/>
  <c r="K441" i="3"/>
  <c r="L441" i="3"/>
  <c r="G442" i="3"/>
  <c r="H442" i="3"/>
  <c r="I442" i="3"/>
  <c r="J442" i="3"/>
  <c r="K442" i="3"/>
  <c r="L442" i="3"/>
  <c r="G443" i="3"/>
  <c r="H443" i="3"/>
  <c r="I443" i="3"/>
  <c r="J443" i="3"/>
  <c r="K443" i="3"/>
  <c r="L443" i="3"/>
  <c r="G444" i="3"/>
  <c r="H444" i="3"/>
  <c r="I444" i="3"/>
  <c r="J444" i="3"/>
  <c r="K444" i="3"/>
  <c r="L444" i="3"/>
  <c r="G445" i="3"/>
  <c r="H445" i="3"/>
  <c r="I445" i="3"/>
  <c r="J445" i="3"/>
  <c r="K445" i="3"/>
  <c r="L445" i="3"/>
  <c r="G446" i="3"/>
  <c r="H446" i="3"/>
  <c r="I446" i="3"/>
  <c r="J446" i="3"/>
  <c r="K446" i="3"/>
  <c r="L446" i="3"/>
  <c r="G447" i="3"/>
  <c r="H447" i="3"/>
  <c r="I447" i="3"/>
  <c r="J447" i="3"/>
  <c r="K447" i="3"/>
  <c r="L447" i="3"/>
  <c r="G448" i="3"/>
  <c r="H448" i="3"/>
  <c r="I448" i="3"/>
  <c r="J448" i="3"/>
  <c r="K448" i="3"/>
  <c r="L448" i="3"/>
  <c r="G449" i="3"/>
  <c r="H449" i="3"/>
  <c r="I449" i="3"/>
  <c r="J449" i="3"/>
  <c r="K449" i="3"/>
  <c r="L449" i="3"/>
  <c r="G450" i="3"/>
  <c r="H450" i="3"/>
  <c r="I450" i="3"/>
  <c r="J450" i="3"/>
  <c r="K450" i="3"/>
  <c r="L450" i="3"/>
  <c r="G451" i="3"/>
  <c r="H451" i="3"/>
  <c r="I451" i="3"/>
  <c r="J451" i="3"/>
  <c r="K451" i="3"/>
  <c r="L451" i="3"/>
  <c r="G452" i="3"/>
  <c r="H452" i="3"/>
  <c r="I452" i="3"/>
  <c r="J452" i="3"/>
  <c r="K452" i="3"/>
  <c r="L452" i="3"/>
  <c r="G453" i="3"/>
  <c r="H453" i="3"/>
  <c r="I453" i="3"/>
  <c r="J453" i="3"/>
  <c r="K453" i="3"/>
  <c r="L453" i="3"/>
  <c r="G454" i="3"/>
  <c r="H454" i="3"/>
  <c r="I454" i="3"/>
  <c r="J454" i="3"/>
  <c r="K454" i="3"/>
  <c r="L454" i="3"/>
  <c r="G455" i="3"/>
  <c r="H455" i="3"/>
  <c r="I455" i="3"/>
  <c r="J455" i="3"/>
  <c r="K455" i="3"/>
  <c r="L455" i="3"/>
  <c r="G456" i="3"/>
  <c r="H456" i="3"/>
  <c r="I456" i="3"/>
  <c r="J456" i="3"/>
  <c r="K456" i="3"/>
  <c r="L456" i="3"/>
  <c r="G457" i="3"/>
  <c r="H457" i="3"/>
  <c r="I457" i="3"/>
  <c r="J457" i="3"/>
  <c r="K457" i="3"/>
  <c r="L457" i="3"/>
  <c r="G458" i="3"/>
  <c r="H458" i="3"/>
  <c r="I458" i="3"/>
  <c r="J458" i="3"/>
  <c r="K458" i="3"/>
  <c r="L458" i="3"/>
  <c r="G459" i="3"/>
  <c r="H459" i="3"/>
  <c r="I459" i="3"/>
  <c r="J459" i="3"/>
  <c r="K459" i="3"/>
  <c r="L459" i="3"/>
  <c r="G460" i="3"/>
  <c r="H460" i="3"/>
  <c r="I460" i="3"/>
  <c r="J460" i="3"/>
  <c r="K460" i="3"/>
  <c r="L460" i="3"/>
  <c r="G461" i="3"/>
  <c r="H461" i="3"/>
  <c r="I461" i="3"/>
  <c r="J461" i="3"/>
  <c r="K461" i="3"/>
  <c r="L461" i="3"/>
  <c r="G462" i="3"/>
  <c r="H462" i="3"/>
  <c r="I462" i="3"/>
  <c r="J462" i="3"/>
  <c r="K462" i="3"/>
  <c r="L462" i="3"/>
  <c r="G463" i="3"/>
  <c r="H463" i="3"/>
  <c r="I463" i="3"/>
  <c r="J463" i="3"/>
  <c r="K463" i="3"/>
  <c r="L463" i="3"/>
  <c r="G464" i="3"/>
  <c r="H464" i="3"/>
  <c r="I464" i="3"/>
  <c r="J464" i="3"/>
  <c r="K464" i="3"/>
  <c r="L464" i="3"/>
  <c r="G465" i="3"/>
  <c r="H465" i="3"/>
  <c r="I465" i="3"/>
  <c r="J465" i="3"/>
  <c r="K465" i="3"/>
  <c r="L465" i="3"/>
  <c r="G466" i="3"/>
  <c r="H466" i="3"/>
  <c r="I466" i="3"/>
  <c r="J466" i="3"/>
  <c r="K466" i="3"/>
  <c r="L466" i="3"/>
  <c r="G467" i="3"/>
  <c r="H467" i="3"/>
  <c r="I467" i="3"/>
  <c r="J467" i="3"/>
  <c r="K467" i="3"/>
  <c r="L467" i="3"/>
  <c r="G468" i="3"/>
  <c r="H468" i="3"/>
  <c r="I468" i="3"/>
  <c r="J468" i="3"/>
  <c r="K468" i="3"/>
  <c r="L468" i="3"/>
  <c r="G469" i="3"/>
  <c r="H469" i="3"/>
  <c r="I469" i="3"/>
  <c r="J469" i="3"/>
  <c r="K469" i="3"/>
  <c r="L469" i="3"/>
  <c r="G470" i="3"/>
  <c r="H470" i="3"/>
  <c r="I470" i="3"/>
  <c r="J470" i="3"/>
  <c r="K470" i="3"/>
  <c r="L470" i="3"/>
  <c r="G471" i="3"/>
  <c r="H471" i="3"/>
  <c r="I471" i="3"/>
  <c r="J471" i="3"/>
  <c r="K471" i="3"/>
  <c r="L471" i="3"/>
  <c r="G472" i="3"/>
  <c r="H472" i="3"/>
  <c r="I472" i="3"/>
  <c r="J472" i="3"/>
  <c r="K472" i="3"/>
  <c r="L472" i="3"/>
  <c r="G473" i="3"/>
  <c r="H473" i="3"/>
  <c r="I473" i="3"/>
  <c r="J473" i="3"/>
  <c r="K473" i="3"/>
  <c r="L473" i="3"/>
  <c r="G474" i="3"/>
  <c r="H474" i="3"/>
  <c r="I474" i="3"/>
  <c r="J474" i="3"/>
  <c r="K474" i="3"/>
  <c r="L474" i="3"/>
  <c r="G475" i="3"/>
  <c r="H475" i="3"/>
  <c r="I475" i="3"/>
  <c r="J475" i="3"/>
  <c r="K475" i="3"/>
  <c r="L475" i="3"/>
  <c r="G476" i="3"/>
  <c r="H476" i="3"/>
  <c r="I476" i="3"/>
  <c r="J476" i="3"/>
  <c r="K476" i="3"/>
  <c r="L476" i="3"/>
  <c r="G477" i="3"/>
  <c r="H477" i="3"/>
  <c r="I477" i="3"/>
  <c r="J477" i="3"/>
  <c r="K477" i="3"/>
  <c r="L477" i="3"/>
  <c r="G478" i="3"/>
  <c r="H478" i="3"/>
  <c r="I478" i="3"/>
  <c r="J478" i="3"/>
  <c r="K478" i="3"/>
  <c r="L478" i="3"/>
  <c r="G479" i="3"/>
  <c r="H479" i="3"/>
  <c r="I479" i="3"/>
  <c r="J479" i="3"/>
  <c r="K479" i="3"/>
  <c r="L479" i="3"/>
  <c r="G480" i="3"/>
  <c r="H480" i="3"/>
  <c r="I480" i="3"/>
  <c r="J480" i="3"/>
  <c r="K480" i="3"/>
  <c r="L480" i="3"/>
  <c r="G481" i="3"/>
  <c r="H481" i="3"/>
  <c r="I481" i="3"/>
  <c r="J481" i="3"/>
  <c r="K481" i="3"/>
  <c r="L481" i="3"/>
  <c r="G482" i="3"/>
  <c r="H482" i="3"/>
  <c r="I482" i="3"/>
  <c r="J482" i="3"/>
  <c r="K482" i="3"/>
  <c r="L482" i="3"/>
  <c r="G483" i="3"/>
  <c r="H483" i="3"/>
  <c r="I483" i="3"/>
  <c r="J483" i="3"/>
  <c r="K483" i="3"/>
  <c r="L483" i="3"/>
  <c r="G484" i="3"/>
  <c r="H484" i="3"/>
  <c r="I484" i="3"/>
  <c r="J484" i="3"/>
  <c r="K484" i="3"/>
  <c r="L484" i="3"/>
  <c r="G485" i="3"/>
  <c r="H485" i="3"/>
  <c r="I485" i="3"/>
  <c r="J485" i="3"/>
  <c r="K485" i="3"/>
  <c r="L485" i="3"/>
  <c r="G486" i="3"/>
  <c r="H486" i="3"/>
  <c r="I486" i="3"/>
  <c r="J486" i="3"/>
  <c r="K486" i="3"/>
  <c r="L486" i="3"/>
  <c r="G487" i="3"/>
  <c r="H487" i="3"/>
  <c r="I487" i="3"/>
  <c r="J487" i="3"/>
  <c r="K487" i="3"/>
  <c r="L487" i="3"/>
  <c r="G488" i="3"/>
  <c r="H488" i="3"/>
  <c r="I488" i="3"/>
  <c r="J488" i="3"/>
  <c r="K488" i="3"/>
  <c r="L488" i="3"/>
  <c r="G489" i="3"/>
  <c r="H489" i="3"/>
  <c r="I489" i="3"/>
  <c r="J489" i="3"/>
  <c r="K489" i="3"/>
  <c r="L489" i="3"/>
  <c r="G490" i="3"/>
  <c r="H490" i="3"/>
  <c r="I490" i="3"/>
  <c r="J490" i="3"/>
  <c r="K490" i="3"/>
  <c r="L490" i="3"/>
  <c r="G491" i="3"/>
  <c r="H491" i="3"/>
  <c r="I491" i="3"/>
  <c r="J491" i="3"/>
  <c r="K491" i="3"/>
  <c r="L491" i="3"/>
  <c r="G492" i="3"/>
  <c r="H492" i="3"/>
  <c r="I492" i="3"/>
  <c r="J492" i="3"/>
  <c r="K492" i="3"/>
  <c r="L492" i="3"/>
  <c r="G493" i="3"/>
  <c r="H493" i="3"/>
  <c r="I493" i="3"/>
  <c r="J493" i="3"/>
  <c r="K493" i="3"/>
  <c r="L493" i="3"/>
  <c r="G494" i="3"/>
  <c r="H494" i="3"/>
  <c r="I494" i="3"/>
  <c r="J494" i="3"/>
  <c r="K494" i="3"/>
  <c r="L494" i="3"/>
  <c r="G495" i="3"/>
  <c r="H495" i="3"/>
  <c r="I495" i="3"/>
  <c r="J495" i="3"/>
  <c r="K495" i="3"/>
  <c r="L495" i="3"/>
  <c r="G496" i="3"/>
  <c r="H496" i="3"/>
  <c r="I496" i="3"/>
  <c r="J496" i="3"/>
  <c r="K496" i="3"/>
  <c r="L496" i="3"/>
  <c r="G497" i="3"/>
  <c r="H497" i="3"/>
  <c r="I497" i="3"/>
  <c r="J497" i="3"/>
  <c r="K497" i="3"/>
  <c r="L497" i="3"/>
  <c r="G498" i="3"/>
  <c r="H498" i="3"/>
  <c r="I498" i="3"/>
  <c r="J498" i="3"/>
  <c r="K498" i="3"/>
  <c r="L498" i="3"/>
  <c r="G499" i="3"/>
  <c r="H499" i="3"/>
  <c r="I499" i="3"/>
  <c r="J499" i="3"/>
  <c r="K499" i="3"/>
  <c r="L499" i="3"/>
  <c r="G500" i="3"/>
  <c r="H500" i="3"/>
  <c r="I500" i="3"/>
  <c r="J500" i="3"/>
  <c r="K500" i="3"/>
  <c r="L500" i="3"/>
  <c r="G501" i="3"/>
  <c r="H501" i="3"/>
  <c r="I501" i="3"/>
  <c r="J501" i="3"/>
  <c r="K501" i="3"/>
  <c r="L501" i="3"/>
  <c r="G502" i="3"/>
  <c r="H502" i="3"/>
  <c r="I502" i="3"/>
  <c r="J502" i="3"/>
  <c r="K502" i="3"/>
  <c r="L502" i="3"/>
  <c r="G503" i="3"/>
  <c r="H503" i="3"/>
  <c r="I503" i="3"/>
  <c r="J503" i="3"/>
  <c r="K503" i="3"/>
  <c r="L503" i="3"/>
  <c r="H504" i="3"/>
  <c r="I504" i="3"/>
  <c r="J504" i="3"/>
  <c r="K504" i="3"/>
  <c r="L504" i="3"/>
  <c r="H505" i="3"/>
  <c r="I505" i="3"/>
  <c r="J505" i="3"/>
  <c r="K505" i="3"/>
  <c r="L505" i="3"/>
  <c r="H506" i="3"/>
  <c r="I506" i="3"/>
  <c r="J506" i="3"/>
  <c r="K506" i="3"/>
  <c r="L506" i="3"/>
  <c r="H507" i="3"/>
  <c r="I507" i="3"/>
  <c r="J507" i="3"/>
  <c r="K507" i="3"/>
  <c r="L507" i="3"/>
  <c r="H508" i="3"/>
  <c r="I508" i="3"/>
  <c r="J508" i="3"/>
  <c r="K508" i="3"/>
  <c r="L508" i="3"/>
  <c r="G509" i="3"/>
  <c r="H509" i="3"/>
  <c r="I509" i="3"/>
  <c r="J509" i="3"/>
  <c r="K509" i="3"/>
  <c r="L509" i="3"/>
  <c r="CB3" i="3"/>
  <c r="CB4" i="3"/>
  <c r="CB5" i="3"/>
  <c r="CB6" i="3"/>
  <c r="CB7" i="3"/>
  <c r="CB8" i="3"/>
  <c r="CA3" i="3"/>
  <c r="CA4" i="3"/>
  <c r="CA5" i="3"/>
  <c r="CA6" i="3"/>
  <c r="CA7" i="3"/>
  <c r="CA8" i="3"/>
  <c r="BZ3" i="3"/>
  <c r="BZ4" i="3"/>
  <c r="BZ5" i="3"/>
  <c r="BZ6" i="3"/>
  <c r="BZ7" i="3"/>
  <c r="BZ8" i="3"/>
  <c r="BY3" i="3"/>
  <c r="BY4" i="3"/>
  <c r="BY5" i="3"/>
  <c r="BY6" i="3"/>
  <c r="BY7" i="3"/>
  <c r="BY8" i="3"/>
  <c r="BX3" i="3"/>
  <c r="BX4" i="3"/>
  <c r="BX5" i="3"/>
  <c r="BX6" i="3"/>
  <c r="BX7" i="3"/>
  <c r="BX8" i="3"/>
  <c r="BW3" i="3"/>
  <c r="BW4" i="3"/>
  <c r="BW5" i="3"/>
  <c r="BW6" i="3"/>
  <c r="BW7" i="3"/>
  <c r="BW8" i="3"/>
  <c r="BV3" i="3"/>
  <c r="BV4" i="3"/>
  <c r="BV5" i="3"/>
  <c r="BV6" i="3"/>
  <c r="BV7" i="3"/>
  <c r="BV8" i="3"/>
  <c r="BU3" i="3"/>
  <c r="BU4" i="3"/>
  <c r="BU5" i="3"/>
  <c r="BU6" i="3"/>
  <c r="BU7" i="3"/>
  <c r="BU8" i="3"/>
  <c r="BT3" i="3"/>
  <c r="BT4" i="3"/>
  <c r="BT5" i="3"/>
  <c r="BT6" i="3"/>
  <c r="BT7" i="3"/>
  <c r="BT8" i="3"/>
  <c r="BS3" i="3"/>
  <c r="BS4" i="3"/>
  <c r="BS5" i="3"/>
  <c r="BS6" i="3"/>
  <c r="BS7" i="3"/>
  <c r="BS8" i="3"/>
  <c r="BR3" i="3"/>
  <c r="BR4" i="3"/>
  <c r="BR5" i="3"/>
  <c r="BR6" i="3"/>
  <c r="BR7" i="3"/>
  <c r="BR8" i="3"/>
  <c r="BQ3" i="3"/>
  <c r="BQ4" i="3"/>
  <c r="BQ5" i="3"/>
  <c r="BQ6" i="3"/>
  <c r="BQ7" i="3"/>
  <c r="BQ8" i="3"/>
  <c r="BP3" i="3"/>
  <c r="BP4" i="3"/>
  <c r="BP5" i="3"/>
  <c r="BP6" i="3"/>
  <c r="BP7" i="3"/>
  <c r="BP8" i="3"/>
  <c r="BO3" i="3"/>
  <c r="BO4" i="3"/>
  <c r="BO5" i="3"/>
  <c r="BO6" i="3"/>
  <c r="BO7" i="3"/>
  <c r="BO8" i="3"/>
  <c r="BN3" i="3"/>
  <c r="BN4" i="3"/>
  <c r="BN5" i="3"/>
  <c r="BN6" i="3"/>
  <c r="BN7" i="3"/>
  <c r="BN8" i="3"/>
  <c r="BM3" i="3"/>
  <c r="BM4" i="3"/>
  <c r="BM5" i="3"/>
  <c r="BM6" i="3"/>
  <c r="BM7" i="3"/>
  <c r="BM8" i="3"/>
  <c r="BL3" i="3"/>
  <c r="BL4" i="3"/>
  <c r="BL5" i="3"/>
  <c r="BL6" i="3"/>
  <c r="BL7" i="3"/>
  <c r="BL8" i="3"/>
  <c r="BK3" i="3"/>
  <c r="BK4" i="3"/>
  <c r="BK5" i="3"/>
  <c r="BK6" i="3"/>
  <c r="BK7" i="3"/>
  <c r="BK8" i="3"/>
  <c r="BJ3" i="3"/>
  <c r="BJ4" i="3"/>
  <c r="BJ5" i="3"/>
  <c r="BJ6" i="3"/>
  <c r="BJ7" i="3"/>
  <c r="BJ8" i="3"/>
  <c r="BI3" i="3"/>
  <c r="BI4" i="3"/>
  <c r="BI5" i="3"/>
  <c r="BI6" i="3"/>
  <c r="BI7" i="3"/>
  <c r="BI8" i="3"/>
  <c r="BH3" i="3"/>
  <c r="BH4" i="3"/>
  <c r="BH5" i="3"/>
  <c r="BH6" i="3"/>
  <c r="BH7" i="3"/>
  <c r="BH8" i="3"/>
  <c r="BG3" i="3"/>
  <c r="BG4" i="3"/>
  <c r="BG5" i="3"/>
  <c r="BG6" i="3"/>
  <c r="BG7" i="3"/>
  <c r="BG8" i="3"/>
  <c r="BF3" i="3"/>
  <c r="BF4" i="3"/>
  <c r="BF5" i="3"/>
  <c r="BF6" i="3"/>
  <c r="BF7" i="3"/>
  <c r="BF8" i="3"/>
  <c r="BE3" i="3"/>
  <c r="BE4" i="3"/>
  <c r="BE5" i="3"/>
  <c r="BE6" i="3"/>
  <c r="BE7" i="3"/>
  <c r="BE8" i="3"/>
  <c r="BD3" i="3"/>
  <c r="BD4" i="3"/>
  <c r="BD5" i="3"/>
  <c r="BD6" i="3"/>
  <c r="BD7" i="3"/>
  <c r="BD8" i="3"/>
  <c r="BC3" i="3"/>
  <c r="BC4" i="3"/>
  <c r="BC5" i="3"/>
  <c r="BC6" i="3"/>
  <c r="BC7" i="3"/>
  <c r="BC8" i="3"/>
  <c r="BB3" i="3"/>
  <c r="BB4" i="3"/>
  <c r="BB5" i="3"/>
  <c r="BB6" i="3"/>
  <c r="BB7" i="3"/>
  <c r="BB8" i="3"/>
  <c r="BA3" i="3"/>
  <c r="BA4" i="3"/>
  <c r="BA5" i="3"/>
  <c r="BA6" i="3"/>
  <c r="BA7" i="3"/>
  <c r="BA8" i="3"/>
  <c r="AZ3" i="3"/>
  <c r="AZ4" i="3"/>
  <c r="AZ5" i="3"/>
  <c r="AZ6" i="3"/>
  <c r="AZ7" i="3"/>
  <c r="AZ8" i="3"/>
  <c r="AY3" i="3"/>
  <c r="AY4" i="3"/>
  <c r="AY5" i="3"/>
  <c r="AY6" i="3"/>
  <c r="AY7" i="3"/>
  <c r="AY8" i="3"/>
  <c r="AX3" i="3"/>
  <c r="AX4" i="3"/>
  <c r="AX5" i="3"/>
  <c r="AX6" i="3"/>
  <c r="AX7" i="3"/>
  <c r="AX8" i="3"/>
  <c r="AW3" i="3"/>
  <c r="AW4" i="3"/>
  <c r="AW5" i="3"/>
  <c r="AW6" i="3"/>
  <c r="AW7" i="3"/>
  <c r="AW8" i="3"/>
  <c r="AV3" i="3"/>
  <c r="AV4" i="3"/>
  <c r="AV5" i="3"/>
  <c r="AV6" i="3"/>
  <c r="AV7" i="3"/>
  <c r="AV8" i="3"/>
  <c r="AU3" i="3"/>
  <c r="AU4" i="3"/>
  <c r="AU5" i="3"/>
  <c r="AU6" i="3"/>
  <c r="AU7" i="3"/>
  <c r="AU8" i="3"/>
  <c r="AT3" i="3"/>
  <c r="AT4" i="3"/>
  <c r="AT5" i="3"/>
  <c r="AT6" i="3"/>
  <c r="AT7" i="3"/>
  <c r="AT8" i="3"/>
  <c r="AS3" i="3"/>
  <c r="AS4" i="3"/>
  <c r="AS5" i="3"/>
  <c r="AS6" i="3"/>
  <c r="AS7" i="3"/>
  <c r="AS8" i="3"/>
  <c r="AR3" i="3"/>
  <c r="AR4" i="3"/>
  <c r="AR5" i="3"/>
  <c r="AR6" i="3"/>
  <c r="AR7" i="3"/>
  <c r="AR8" i="3"/>
  <c r="AQ3" i="3"/>
  <c r="AQ4" i="3"/>
  <c r="AQ5" i="3"/>
  <c r="AQ6" i="3"/>
  <c r="AQ7" i="3"/>
  <c r="AQ8" i="3"/>
  <c r="AP3" i="3"/>
  <c r="AP4" i="3"/>
  <c r="AP5" i="3"/>
  <c r="AP6" i="3"/>
  <c r="AP7" i="3"/>
  <c r="AP8" i="3"/>
  <c r="AO3" i="3"/>
  <c r="AO4" i="3"/>
  <c r="AO5" i="3"/>
  <c r="AO6" i="3"/>
  <c r="AO7" i="3"/>
  <c r="AO8" i="3"/>
  <c r="AN3" i="3"/>
  <c r="AN4" i="3"/>
  <c r="AN5" i="3"/>
  <c r="AN6" i="3"/>
  <c r="AN7" i="3"/>
  <c r="AN8" i="3"/>
  <c r="AM3" i="3"/>
  <c r="AM4" i="3"/>
  <c r="AM5" i="3"/>
  <c r="AM6" i="3"/>
  <c r="AM7" i="3"/>
  <c r="AM8" i="3"/>
  <c r="AL3" i="3"/>
  <c r="AL4" i="3"/>
  <c r="AL5" i="3"/>
  <c r="AL6" i="3"/>
  <c r="AL7" i="3"/>
  <c r="AL8" i="3"/>
  <c r="AK3" i="3"/>
  <c r="AK4" i="3"/>
  <c r="AK5" i="3"/>
  <c r="AK6" i="3"/>
  <c r="AK7" i="3"/>
  <c r="AK8" i="3"/>
  <c r="AJ3" i="3"/>
  <c r="AJ4" i="3"/>
  <c r="AJ5" i="3"/>
  <c r="AJ6" i="3"/>
  <c r="AJ7" i="3"/>
  <c r="AJ8" i="3"/>
  <c r="AI3" i="3"/>
  <c r="AI4" i="3"/>
  <c r="AI5" i="3"/>
  <c r="AI6" i="3"/>
  <c r="AI7" i="3"/>
  <c r="AI8" i="3"/>
  <c r="AH3" i="3"/>
  <c r="AH4" i="3"/>
  <c r="AH5" i="3"/>
  <c r="AH6" i="3"/>
  <c r="AH7" i="3"/>
  <c r="AH8" i="3"/>
  <c r="AG3" i="3"/>
  <c r="AG4" i="3"/>
  <c r="AG5" i="3"/>
  <c r="AG6" i="3"/>
  <c r="AG7" i="3"/>
  <c r="AG8" i="3"/>
  <c r="AF3" i="3"/>
  <c r="AF4" i="3"/>
  <c r="AF5" i="3"/>
  <c r="AF6" i="3"/>
  <c r="AF7" i="3"/>
  <c r="AF8" i="3"/>
  <c r="AE3" i="3"/>
  <c r="AE4" i="3"/>
  <c r="AE5" i="3"/>
  <c r="AE6" i="3"/>
  <c r="AE7" i="3"/>
  <c r="AE8" i="3"/>
  <c r="AD3" i="3"/>
  <c r="AD4" i="3"/>
  <c r="AD5" i="3"/>
  <c r="AD6" i="3"/>
  <c r="AD7" i="3"/>
  <c r="AD8" i="3"/>
  <c r="AC3" i="3"/>
  <c r="AC4" i="3"/>
  <c r="AC5" i="3"/>
  <c r="AC6" i="3"/>
  <c r="AC7" i="3"/>
  <c r="AC8" i="3"/>
  <c r="AB3" i="3"/>
  <c r="AB4" i="3"/>
  <c r="AB5" i="3"/>
  <c r="AB6" i="3"/>
  <c r="AB7" i="3"/>
  <c r="AB8" i="3"/>
  <c r="AA3" i="3"/>
  <c r="AA4" i="3"/>
  <c r="AA5" i="3"/>
  <c r="AA6" i="3"/>
  <c r="AA7" i="3"/>
  <c r="AA8" i="3"/>
  <c r="Z3" i="3"/>
  <c r="Z4" i="3"/>
  <c r="Z5" i="3"/>
  <c r="Z6" i="3"/>
  <c r="Z7" i="3"/>
  <c r="Z8" i="3"/>
  <c r="Y3" i="3"/>
  <c r="Y4" i="3"/>
  <c r="Y5" i="3"/>
  <c r="Y6" i="3"/>
  <c r="Y7" i="3"/>
  <c r="Y8" i="3"/>
  <c r="X3" i="3"/>
  <c r="X4" i="3"/>
  <c r="X5" i="3"/>
  <c r="X6" i="3"/>
  <c r="X7" i="3"/>
  <c r="X8" i="3"/>
  <c r="V8" i="3"/>
  <c r="U8" i="3"/>
  <c r="T8" i="3"/>
  <c r="S8" i="3"/>
  <c r="R8" i="3"/>
  <c r="Q8" i="3"/>
  <c r="N8" i="3"/>
  <c r="V7" i="3"/>
  <c r="U7" i="3"/>
  <c r="T7" i="3"/>
  <c r="S7" i="3"/>
  <c r="R7" i="3"/>
  <c r="Q7" i="3"/>
  <c r="O7" i="3"/>
  <c r="N7" i="3"/>
  <c r="V6" i="3"/>
  <c r="U6" i="3"/>
  <c r="T6" i="3"/>
  <c r="S6" i="3"/>
  <c r="R6" i="3"/>
  <c r="Q6" i="3"/>
  <c r="O6" i="3"/>
  <c r="N6" i="3"/>
  <c r="M6" i="3"/>
  <c r="V5" i="3"/>
  <c r="U5" i="3"/>
  <c r="T5" i="3"/>
  <c r="S5" i="3"/>
  <c r="R5" i="3"/>
  <c r="Q5" i="3"/>
  <c r="O5" i="3"/>
  <c r="N5" i="3"/>
  <c r="M5" i="3"/>
  <c r="V4" i="3"/>
  <c r="U4" i="3"/>
  <c r="T4" i="3"/>
  <c r="S4" i="3"/>
  <c r="R4" i="3"/>
  <c r="Q4" i="3"/>
  <c r="O4" i="3"/>
  <c r="N4" i="3"/>
  <c r="V3" i="3"/>
  <c r="U3" i="3"/>
  <c r="T3" i="3"/>
  <c r="S3" i="3"/>
  <c r="R3" i="3"/>
  <c r="Q3" i="3"/>
  <c r="O3" i="3"/>
  <c r="N3" i="3"/>
  <c r="W2" i="3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0" i="2"/>
  <c r="J290" i="2"/>
  <c r="I291" i="2"/>
  <c r="J291" i="2"/>
  <c r="I292" i="2"/>
  <c r="J292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0" i="2"/>
  <c r="J300" i="2"/>
  <c r="I301" i="2"/>
  <c r="J301" i="2"/>
  <c r="I302" i="2"/>
  <c r="J302" i="2"/>
  <c r="I303" i="2"/>
  <c r="J303" i="2"/>
  <c r="I304" i="2"/>
  <c r="J304" i="2"/>
  <c r="I305" i="2"/>
  <c r="J305" i="2"/>
  <c r="I306" i="2"/>
  <c r="J306" i="2"/>
  <c r="I307" i="2"/>
  <c r="J307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6" i="2"/>
  <c r="J316" i="2"/>
  <c r="I317" i="2"/>
  <c r="J317" i="2"/>
  <c r="I318" i="2"/>
  <c r="J318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6" i="2"/>
  <c r="J326" i="2"/>
  <c r="I327" i="2"/>
  <c r="J327" i="2"/>
  <c r="I328" i="2"/>
  <c r="J328" i="2"/>
  <c r="I329" i="2"/>
  <c r="J329" i="2"/>
  <c r="I330" i="2"/>
  <c r="J330" i="2"/>
  <c r="I331" i="2"/>
  <c r="J331" i="2"/>
  <c r="I332" i="2"/>
  <c r="J332" i="2"/>
  <c r="I333" i="2"/>
  <c r="J333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2" i="2"/>
  <c r="J342" i="2"/>
  <c r="I343" i="2"/>
  <c r="J343" i="2"/>
  <c r="I344" i="2"/>
  <c r="J344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68" i="2"/>
  <c r="J368" i="2"/>
  <c r="I369" i="2"/>
  <c r="J369" i="2"/>
  <c r="I370" i="2"/>
  <c r="J370" i="2"/>
  <c r="I371" i="2"/>
  <c r="J371" i="2"/>
  <c r="I372" i="2"/>
  <c r="J372" i="2"/>
  <c r="I373" i="2"/>
  <c r="J373" i="2"/>
  <c r="I374" i="2"/>
  <c r="J374" i="2"/>
  <c r="I375" i="2"/>
  <c r="J375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5" i="2"/>
  <c r="J385" i="2"/>
  <c r="I386" i="2"/>
  <c r="J386" i="2"/>
  <c r="I387" i="2"/>
  <c r="J387" i="2"/>
  <c r="I388" i="2"/>
  <c r="J388" i="2"/>
  <c r="I389" i="2"/>
  <c r="J389" i="2"/>
  <c r="I390" i="2"/>
  <c r="J390" i="2"/>
  <c r="I391" i="2"/>
  <c r="J391" i="2"/>
  <c r="I392" i="2"/>
  <c r="J392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413" i="2"/>
  <c r="J413" i="2"/>
  <c r="I414" i="2"/>
  <c r="J414" i="2"/>
  <c r="I415" i="2"/>
  <c r="J415" i="2"/>
  <c r="I416" i="2"/>
  <c r="J416" i="2"/>
  <c r="I417" i="2"/>
  <c r="J417" i="2"/>
  <c r="I418" i="2"/>
  <c r="J418" i="2"/>
  <c r="I419" i="2"/>
  <c r="J419" i="2"/>
  <c r="I420" i="2"/>
  <c r="J420" i="2"/>
  <c r="I421" i="2"/>
  <c r="J421" i="2"/>
  <c r="I422" i="2"/>
  <c r="J422" i="2"/>
  <c r="I423" i="2"/>
  <c r="J423" i="2"/>
  <c r="I424" i="2"/>
  <c r="J424" i="2"/>
  <c r="I425" i="2"/>
  <c r="J425" i="2"/>
  <c r="I426" i="2"/>
  <c r="J426" i="2"/>
  <c r="I427" i="2"/>
  <c r="J427" i="2"/>
  <c r="I428" i="2"/>
  <c r="J428" i="2"/>
  <c r="I429" i="2"/>
  <c r="J429" i="2"/>
  <c r="I430" i="2"/>
  <c r="J430" i="2"/>
  <c r="I431" i="2"/>
  <c r="J431" i="2"/>
  <c r="I432" i="2"/>
  <c r="J432" i="2"/>
  <c r="I433" i="2"/>
  <c r="J433" i="2"/>
  <c r="I434" i="2"/>
  <c r="J434" i="2"/>
  <c r="I435" i="2"/>
  <c r="J435" i="2"/>
  <c r="I436" i="2"/>
  <c r="J436" i="2"/>
  <c r="I437" i="2"/>
  <c r="J437" i="2"/>
  <c r="I438" i="2"/>
  <c r="J438" i="2"/>
  <c r="I439" i="2"/>
  <c r="J439" i="2"/>
  <c r="I440" i="2"/>
  <c r="J440" i="2"/>
  <c r="I441" i="2"/>
  <c r="J441" i="2"/>
  <c r="I442" i="2"/>
  <c r="J442" i="2"/>
  <c r="I443" i="2"/>
  <c r="J443" i="2"/>
  <c r="I444" i="2"/>
  <c r="J444" i="2"/>
  <c r="I445" i="2"/>
  <c r="J445" i="2"/>
  <c r="I446" i="2"/>
  <c r="J446" i="2"/>
  <c r="I447" i="2"/>
  <c r="J447" i="2"/>
  <c r="I448" i="2"/>
  <c r="J448" i="2"/>
  <c r="I449" i="2"/>
  <c r="J449" i="2"/>
  <c r="I450" i="2"/>
  <c r="J450" i="2"/>
  <c r="I451" i="2"/>
  <c r="J451" i="2"/>
  <c r="I452" i="2"/>
  <c r="J452" i="2"/>
  <c r="I453" i="2"/>
  <c r="J453" i="2"/>
  <c r="I454" i="2"/>
  <c r="J454" i="2"/>
  <c r="I455" i="2"/>
  <c r="J455" i="2"/>
  <c r="I456" i="2"/>
  <c r="J456" i="2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2" i="2"/>
  <c r="I2" i="2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J2" i="1"/>
  <c r="I2" i="1"/>
</calcChain>
</file>

<file path=xl/sharedStrings.xml><?xml version="1.0" encoding="utf-8"?>
<sst xmlns="http://schemas.openxmlformats.org/spreadsheetml/2006/main" count="8493" uniqueCount="522">
  <si>
    <t>1t2t</t>
  </si>
  <si>
    <t>1f2t</t>
  </si>
  <si>
    <t>1t2f</t>
  </si>
  <si>
    <t>1f2f</t>
  </si>
  <si>
    <t>test.BallonFactory</t>
  </si>
  <si>
    <t>1t3f4f</t>
  </si>
  <si>
    <t>1f2t3t5f6f</t>
  </si>
  <si>
    <t>1f2t3t5t</t>
  </si>
  <si>
    <t>1f2t3t5f6t</t>
  </si>
  <si>
    <t>1f2t3f4t5f6f</t>
  </si>
  <si>
    <t>1t3f4t5f6t</t>
  </si>
  <si>
    <t>1t3f4t5f6f</t>
  </si>
  <si>
    <t>1t3t5f6f</t>
  </si>
  <si>
    <t>1f2t3f4t5t</t>
  </si>
  <si>
    <t>1f2t3f4t5f6t</t>
  </si>
  <si>
    <t>1t3t5t</t>
  </si>
  <si>
    <t>1t3t5f6t</t>
  </si>
  <si>
    <t>1t3f4t5t</t>
  </si>
  <si>
    <t>1f2t3f4f</t>
  </si>
  <si>
    <t>1t</t>
  </si>
  <si>
    <t>1f2f3f4t</t>
  </si>
  <si>
    <t>1f2f3f4f</t>
  </si>
  <si>
    <t>1f2f3t</t>
  </si>
  <si>
    <t>1t5t7t</t>
  </si>
  <si>
    <t>1f2t3t4t</t>
  </si>
  <si>
    <t>1f2t3f</t>
  </si>
  <si>
    <t>1f2t3t4f</t>
  </si>
  <si>
    <t>1t5t7f8f10f</t>
  </si>
  <si>
    <t>1t5t7f8t10t</t>
  </si>
  <si>
    <t>1t5t7f8t10f</t>
  </si>
  <si>
    <t>1t5f</t>
  </si>
  <si>
    <t>1t5t7f8f10t</t>
  </si>
  <si>
    <t>test.Base64</t>
  </si>
  <si>
    <t>1f</t>
  </si>
  <si>
    <t>1t2f3f</t>
  </si>
  <si>
    <t>1t2f3t</t>
  </si>
  <si>
    <t>2f</t>
  </si>
  <si>
    <t>2t3f</t>
  </si>
  <si>
    <t>2t3t14f</t>
  </si>
  <si>
    <t>2t3t14t</t>
  </si>
  <si>
    <t>1t2t3t</t>
  </si>
  <si>
    <t>1t2t3f4f</t>
  </si>
  <si>
    <t>1t2t3f4t5t7f8f9f</t>
  </si>
  <si>
    <t>1t2t3f4t5f6f7f8t10f11t</t>
  </si>
  <si>
    <t>1t2t3f4t5f6f7t10t</t>
  </si>
  <si>
    <t>1t2t3f4t5t7t10f11t</t>
  </si>
  <si>
    <t>1t2t3f4t5t7f8t10f11f12f</t>
  </si>
  <si>
    <t>1t2t3f4t5t7f8t10t</t>
  </si>
  <si>
    <t>1t2t3f4t5t7t10f11f12f</t>
  </si>
  <si>
    <t>1t2t3f4t5f6f7f8t10f11f12f</t>
  </si>
  <si>
    <t>1t2t3f4t5f6f7f8f9t13f14t</t>
  </si>
  <si>
    <t>1t2t3f4t5t7t10f11f12t13t</t>
  </si>
  <si>
    <t>1t2t3f4t5f6f7t10f11f12f</t>
  </si>
  <si>
    <t>1t2t3f4t5t7f8t10f11f12t13t</t>
  </si>
  <si>
    <t>1t2t3f4t5t7t10f11f12t13f14f15t</t>
  </si>
  <si>
    <t>1t2t3f4t5t7t10f11f12t13f14t</t>
  </si>
  <si>
    <t>1t2t3f4t5t7f8f9t13f14f15t</t>
  </si>
  <si>
    <t>1t2t3f4t5f6f7f8t10f11f12t13f14t</t>
  </si>
  <si>
    <t>1t2t3f4t5t7f8t10f11f12t13f14f15t</t>
  </si>
  <si>
    <t>1t2t3f4t5t7f8t10f11f12t13f14t</t>
  </si>
  <si>
    <t>1t2t3f4t5f6f7f8t10f11f12t13t</t>
  </si>
  <si>
    <t>1t2t3f4t5f6t13t</t>
  </si>
  <si>
    <t>1t2t3f4t5f6f7f8t10f11f12t13f14f15t</t>
  </si>
  <si>
    <t>1t2t3f4t5t7f8f9t13f14t</t>
  </si>
  <si>
    <t>1t2t3f4t5f6f7f8f9t13f14f15t</t>
  </si>
  <si>
    <t>1t2t3f4t5f6t13f14f15t</t>
  </si>
  <si>
    <t>1t2t3f4t5f6f7f8f9f</t>
  </si>
  <si>
    <t>1t2t3f4t5t7f8t10f11t</t>
  </si>
  <si>
    <t>1t2t3f4t5t7t10t</t>
  </si>
  <si>
    <t>1t2t3f4t5f6f7f8t10t</t>
  </si>
  <si>
    <t>1t2t3f4t5f6f7t10f11f12t13f14t</t>
  </si>
  <si>
    <t>1t2t3f4t5f6f7t10f11f12t13t</t>
  </si>
  <si>
    <t>1t2t3f4t5f6f7t10f11f12t13f14f15t</t>
  </si>
  <si>
    <t>1t2t3f4t5f6t13f14t</t>
  </si>
  <si>
    <t>1t2t3f4t5f6f7f8f9t13t</t>
  </si>
  <si>
    <t>1t2t3f4t5f6f7t10f11t</t>
  </si>
  <si>
    <t>1t2t3f4t5t7f8f9t13t</t>
  </si>
  <si>
    <t>1t2t3f4t5f6f7f8f9t13f14f15f</t>
  </si>
  <si>
    <t>1t2t3f4t5t7f8f9t13f14f15f</t>
  </si>
  <si>
    <t>1t2t3f4t5f6f7t10f11f12t13f14f15f</t>
  </si>
  <si>
    <t>1t2t3f4t5t7f8t10f11f12t13f14f15f</t>
  </si>
  <si>
    <t>1t2t3f4t5f6t13f14f15f</t>
  </si>
  <si>
    <t>1t2t3f4t5f6f7f8t10f11f12t13f14f15f</t>
  </si>
  <si>
    <t>1t2t3f4t5t7t10f11f12t13f14f15f</t>
  </si>
  <si>
    <t>1t2t3f4t</t>
  </si>
  <si>
    <t>1t2t3f4f5t</t>
  </si>
  <si>
    <t>1t2t3f4f5f8t</t>
  </si>
  <si>
    <t>1t2t3f4f5f8f9f</t>
  </si>
  <si>
    <t>1t2t3f4f5f8f9t10f11f12t15t</t>
  </si>
  <si>
    <t>1t2t3f4f5f8f9t10t12f13f14f</t>
  </si>
  <si>
    <t>1t2t3f4f5f8f9t10t12t15t</t>
  </si>
  <si>
    <t>1t2t3f4f5f8f9t10f11t</t>
  </si>
  <si>
    <t>1t2t3f4f5f8f9t10f11f12f13t15f16t</t>
  </si>
  <si>
    <t>1t2t3f4f5f8f9t10f11f12f13t15f16f17f</t>
  </si>
  <si>
    <t>1t2t3f4f5f8f9t10t12t15f16t</t>
  </si>
  <si>
    <t>1t2t3f4f5f8f9t10f11f12t15f16t</t>
  </si>
  <si>
    <t>1t2t3f4f5f8f9t10f11f12t15f16f17t</t>
  </si>
  <si>
    <t>1t2t3f4f5f8f9t10f11f12t15f16f17f</t>
  </si>
  <si>
    <t>1t2t3f4f5f8f9t10t12t15f16f17f</t>
  </si>
  <si>
    <t>1t2t3f4f5f8f9t10t12f13t15f16f17t</t>
  </si>
  <si>
    <t>1t2t3f4f5f8f9t10f11f12f13t15t</t>
  </si>
  <si>
    <t>1t2t3f4f5f8f9t10t12f13t15f16t</t>
  </si>
  <si>
    <t>1t2t3f4f5f8f9t10t12f13t15t</t>
  </si>
  <si>
    <t>1t2t3f4f5f8f9t10f11f12f13t15f16f17t</t>
  </si>
  <si>
    <t>1t2t3f4f5f8f9t10t12t15f16f17t</t>
  </si>
  <si>
    <t>1t2t3f4f5f8f9t10f11f12f13f14t</t>
  </si>
  <si>
    <t>1t2t3f4f5f8f9t10t12f13t15f16f17f</t>
  </si>
  <si>
    <t>1t2t3f4f5f8f9t10f11f12f13f14f</t>
  </si>
  <si>
    <t>1t2t3f4f5f8f9t10t12f13f14t</t>
  </si>
  <si>
    <t>1f7t9t12t</t>
  </si>
  <si>
    <t>1t2f7f8f9t12t</t>
  </si>
  <si>
    <t>1f7t9f10f</t>
  </si>
  <si>
    <t>1t2f7t9f10f</t>
  </si>
  <si>
    <t>1t2f7f8f9f10f</t>
  </si>
  <si>
    <t>1f7f8f9f10f</t>
  </si>
  <si>
    <t>1t2f7f8t</t>
  </si>
  <si>
    <t>1t2f7t9f10t12t</t>
  </si>
  <si>
    <t>1t2f7t9t12f</t>
  </si>
  <si>
    <t>1f7f8f9t12t</t>
  </si>
  <si>
    <t>1t2f7t9f10t12f</t>
  </si>
  <si>
    <t>1t2f7t9t12t</t>
  </si>
  <si>
    <t>1f7f8f9t12f</t>
  </si>
  <si>
    <t>1f7t9f10t12t</t>
  </si>
  <si>
    <t>1f7f8f9f10t12t</t>
  </si>
  <si>
    <t>1t2f7f8f9f10t12f</t>
  </si>
  <si>
    <t>1t2f7f8f9t12f</t>
  </si>
  <si>
    <t>1f7t9t12f</t>
  </si>
  <si>
    <t>1t2f7f8f9f10t12t</t>
  </si>
  <si>
    <t>1f7t9f10t12f</t>
  </si>
  <si>
    <t>1f7f8t</t>
  </si>
  <si>
    <t>1f7f8f9f10t12f</t>
  </si>
  <si>
    <t>1t2t7t9f10f</t>
  </si>
  <si>
    <t>1t2t7t9f10t12t</t>
  </si>
  <si>
    <t>1t2t7t9t12t</t>
  </si>
  <si>
    <t>1t2t7f8f9t12t</t>
  </si>
  <si>
    <t>1t2t7t9f10t12f</t>
  </si>
  <si>
    <t>1t2t7f8t</t>
  </si>
  <si>
    <t>1t2t7t9t12f</t>
  </si>
  <si>
    <t>1t2t7f8f9f10t12t</t>
  </si>
  <si>
    <t>1t2t7f8f9f10f</t>
  </si>
  <si>
    <t>1t2t7f8f9f10t12f</t>
  </si>
  <si>
    <t>1t2t7f8f9t12f</t>
  </si>
  <si>
    <t>test.Class11</t>
  </si>
  <si>
    <t>1f7f</t>
  </si>
  <si>
    <t>1f7t</t>
  </si>
  <si>
    <t>2t</t>
  </si>
  <si>
    <t>1f3t40t</t>
  </si>
  <si>
    <t>1t3t40t</t>
  </si>
  <si>
    <t>1t3t40f41t52f</t>
  </si>
  <si>
    <t>1f3f4f40t</t>
  </si>
  <si>
    <t>1t3f4t13f40t</t>
  </si>
  <si>
    <t>1t3f4f40t</t>
  </si>
  <si>
    <t>1f3t40f41t52f</t>
  </si>
  <si>
    <t>1f3t40f41f</t>
  </si>
  <si>
    <t>1t3t40f41f</t>
  </si>
  <si>
    <t>1f3t40f41t52t</t>
  </si>
  <si>
    <t>1t3f4f40f41t52f</t>
  </si>
  <si>
    <t>1f3f4t13f40f41f</t>
  </si>
  <si>
    <t>1f3f4t13f40f41t52f</t>
  </si>
  <si>
    <t>1t3f4f40f41f</t>
  </si>
  <si>
    <t>1t3f4t13t40t</t>
  </si>
  <si>
    <t>1t3f4t13f40f41t52f</t>
  </si>
  <si>
    <t>1t3t40f41t52t</t>
  </si>
  <si>
    <t>1f3f4f40f41f</t>
  </si>
  <si>
    <t>1t3f4t13t40f41f</t>
  </si>
  <si>
    <t>1f3f4t13f40t</t>
  </si>
  <si>
    <t>1f3f4t13t40f41f</t>
  </si>
  <si>
    <t>1f3f4t13f40f41t52t</t>
  </si>
  <si>
    <t>1f3f4t13t40f41t52f</t>
  </si>
  <si>
    <t>1t3f4t13t40f41t52f</t>
  </si>
  <si>
    <t>1f3f4f40f41t52t</t>
  </si>
  <si>
    <t>1t3f4f40f41t52t</t>
  </si>
  <si>
    <t>1t3f4t13f40f41f</t>
  </si>
  <si>
    <t>1f3f4f40f41t52f</t>
  </si>
  <si>
    <t>1t3f4t13f40f41t52t</t>
  </si>
  <si>
    <t>1f3f4t13t40t</t>
  </si>
  <si>
    <t>1f3f4t13t40f41t52t</t>
  </si>
  <si>
    <t>1t3f4t13t40f41t52t</t>
  </si>
  <si>
    <t>1t2t4t7t14t21t28t</t>
  </si>
  <si>
    <t>1t2f4t7t14t21t28t</t>
  </si>
  <si>
    <t>1t2t4t7t14f</t>
  </si>
  <si>
    <t>1t2t4t7t14t21f</t>
  </si>
  <si>
    <t>1t2f4t7f</t>
  </si>
  <si>
    <t>1t2f4t7t14t21t28f</t>
  </si>
  <si>
    <t>1t2t4t7t14t21t28f</t>
  </si>
  <si>
    <t>1t2t4t7f</t>
  </si>
  <si>
    <t>1t2f4t7t14f</t>
  </si>
  <si>
    <t>1t2f4t7t14t21f</t>
  </si>
  <si>
    <t>1t2f4f</t>
  </si>
  <si>
    <t>1t2t4f</t>
  </si>
  <si>
    <t>1t2t6t11f12f13t</t>
  </si>
  <si>
    <t>1t2f6t11f12f13t</t>
  </si>
  <si>
    <t>1t2t6t11t</t>
  </si>
  <si>
    <t>1t2f6t11t</t>
  </si>
  <si>
    <t>1t2f6t11f12f13f</t>
  </si>
  <si>
    <t>1t2f6f11t</t>
  </si>
  <si>
    <t>1t2f6f11f12f13t</t>
  </si>
  <si>
    <t>1t2f6f11f12t</t>
  </si>
  <si>
    <t>1t2t6f11f12f13f</t>
  </si>
  <si>
    <t>1t2t6f11t</t>
  </si>
  <si>
    <t>1t2f6t11f12t</t>
  </si>
  <si>
    <t>1t2t6f11f12f13t</t>
  </si>
  <si>
    <t>1t2f6f11f12f13f</t>
  </si>
  <si>
    <t>1t2t6f11f12t</t>
  </si>
  <si>
    <t>1t2t6t11f12f13f</t>
  </si>
  <si>
    <t>1t2t6t11f12t</t>
  </si>
  <si>
    <t>test.Class13</t>
  </si>
  <si>
    <t>5f</t>
  </si>
  <si>
    <t>5t6f3t</t>
  </si>
  <si>
    <t>5t6t3f4t</t>
  </si>
  <si>
    <t>5t6f3f4t</t>
  </si>
  <si>
    <t>5t6t3t</t>
  </si>
  <si>
    <t>5t6t3f4f</t>
  </si>
  <si>
    <t>5t6f3f4f</t>
  </si>
  <si>
    <t>test.client</t>
  </si>
  <si>
    <t>6t35f36t</t>
  </si>
  <si>
    <t>6t35t</t>
  </si>
  <si>
    <t>6t35f36f37t</t>
  </si>
  <si>
    <t>6t35f36f37f38f39t</t>
  </si>
  <si>
    <t>6t35f36f37f38f39f40f41t</t>
  </si>
  <si>
    <t>6t35f36f37f38f39f40f41f42f43f44f45f46f47f48f</t>
  </si>
  <si>
    <t>6t35f36f37f38f39f40f41f42f43f44f45f46f47f48t</t>
  </si>
  <si>
    <t>6t35f36f37f38f39f40f41f42f43f44f45f46t</t>
  </si>
  <si>
    <t>6t35f36f37f38f39f40f41f42f43f44t</t>
  </si>
  <si>
    <t>6t35f36f37f38f39f40f41f42f43f44f45t</t>
  </si>
  <si>
    <t>6t35f36f37f38t</t>
  </si>
  <si>
    <t>6t35f36f37f38f39f40f41f42t</t>
  </si>
  <si>
    <t>6t35f36f37f38f39f40t</t>
  </si>
  <si>
    <t>6t35f36f37f38f39f40f41f42f43t</t>
  </si>
  <si>
    <t>6f</t>
  </si>
  <si>
    <t>46t</t>
  </si>
  <si>
    <t>46f57f</t>
  </si>
  <si>
    <t>46f57t</t>
  </si>
  <si>
    <t>1f2t9t10t</t>
  </si>
  <si>
    <t>1t9t10t</t>
  </si>
  <si>
    <t>1f2t9t10f</t>
  </si>
  <si>
    <t>1t9t10f</t>
  </si>
  <si>
    <t>1f2t9f</t>
  </si>
  <si>
    <t>1f2f9t10f</t>
  </si>
  <si>
    <t>1f2f9t10t</t>
  </si>
  <si>
    <t>1t9f</t>
  </si>
  <si>
    <t>1f2f9f</t>
  </si>
  <si>
    <t>7t</t>
  </si>
  <si>
    <t>7f</t>
  </si>
  <si>
    <t>1f2f3f4f5f6f</t>
  </si>
  <si>
    <t>1f2f3f4f5t</t>
  </si>
  <si>
    <t>1f2f3f4f5f6t</t>
  </si>
  <si>
    <t>test.GeoEngine</t>
  </si>
  <si>
    <t>1t7f</t>
  </si>
  <si>
    <t>1t7t</t>
  </si>
  <si>
    <t>2t3t4f</t>
  </si>
  <si>
    <t>2t3t4t7f8f</t>
  </si>
  <si>
    <t>2t3t4t7t</t>
  </si>
  <si>
    <t>2t3t4t7f8t</t>
  </si>
  <si>
    <t>1t2t5f6f</t>
  </si>
  <si>
    <t>1t2t5t</t>
  </si>
  <si>
    <t>1t2t5f6t10t11f</t>
  </si>
  <si>
    <t>1t2t5f6t10t11t12t</t>
  </si>
  <si>
    <t>1t2t5f6t10f</t>
  </si>
  <si>
    <t>1t2t5f6t10t11t12f13t</t>
  </si>
  <si>
    <t>1t2t5f6t10t11t12f13f14t</t>
  </si>
  <si>
    <t>1t2t5f6t10t11t12f13f14f</t>
  </si>
  <si>
    <t>1t2t4f5f</t>
  </si>
  <si>
    <t>1t2t4t</t>
  </si>
  <si>
    <t>1t2t4f5t</t>
  </si>
  <si>
    <t>1t2t4f5t6t8f9f</t>
  </si>
  <si>
    <t>1t2t4t6t8f9t</t>
  </si>
  <si>
    <t>1t2f3t4f5t6f7t8f9t</t>
  </si>
  <si>
    <t>1t2f3t4t6t8f9t</t>
  </si>
  <si>
    <t>1t2t4t6f7t8t</t>
  </si>
  <si>
    <t>1t2t4t6t8t</t>
  </si>
  <si>
    <t>1t2f3t4t6t8f9f</t>
  </si>
  <si>
    <t>1t2f3t4f5t6f7t8f9f</t>
  </si>
  <si>
    <t>1t2t4f5t6f7t8f9t</t>
  </si>
  <si>
    <t>1t2t4f5t6t8f9t</t>
  </si>
  <si>
    <t>1t2t4t6f7t8f9f</t>
  </si>
  <si>
    <t>1t2t4f5t6f7f</t>
  </si>
  <si>
    <t>1t2f3t4t6f7f</t>
  </si>
  <si>
    <t>1t2f3t4t6t8t</t>
  </si>
  <si>
    <t>1t2t4f5t6t8t</t>
  </si>
  <si>
    <t>1t2t4f5t6f7t8t</t>
  </si>
  <si>
    <t>1t2t4t6f7t8f9t</t>
  </si>
  <si>
    <t>1t2f3t4t6f7t8f9f</t>
  </si>
  <si>
    <t>1t2f3t4f5t6t8t</t>
  </si>
  <si>
    <t>1t2f3t4f5t6t8f9f</t>
  </si>
  <si>
    <t>1t2f3t4f5f</t>
  </si>
  <si>
    <t>1t2f3t4f5t6f7f</t>
  </si>
  <si>
    <t>1t2t4t6t8f9f</t>
  </si>
  <si>
    <t>1t2f3t4t6f7t8f9t</t>
  </si>
  <si>
    <t>1t2t4t6f7f</t>
  </si>
  <si>
    <t>1t2f3t4f5t6f7t8t</t>
  </si>
  <si>
    <t>1t2f3t4t6f7t8t</t>
  </si>
  <si>
    <t>1t2f3t4f5t6t8f9t</t>
  </si>
  <si>
    <t>1t2t4f5t6f7t8f9f</t>
  </si>
  <si>
    <t>test.FastBlurFilter</t>
  </si>
  <si>
    <t>test.ImageData</t>
  </si>
  <si>
    <t>5t7t8t10f</t>
  </si>
  <si>
    <t>5t7t8t10t11f</t>
  </si>
  <si>
    <t>5t7t8f</t>
  </si>
  <si>
    <t>5t7t8t10t11t12f</t>
  </si>
  <si>
    <t>5t7f</t>
  </si>
  <si>
    <t>5t7t8t10t11t12t13f</t>
  </si>
  <si>
    <t>7t8t15t20t27t</t>
  </si>
  <si>
    <t>7t8t15t20t27f</t>
  </si>
  <si>
    <t>7t8t15f</t>
  </si>
  <si>
    <t>7t8f</t>
  </si>
  <si>
    <t>7t8t15t20f</t>
  </si>
  <si>
    <t>7t8t15t20t27t30t33t36t</t>
  </si>
  <si>
    <t>7t8t15t20t27t30f</t>
  </si>
  <si>
    <t>7t8t15t20t27t30t33f</t>
  </si>
  <si>
    <t>7t8t15t20t27t30t33t36f</t>
  </si>
  <si>
    <t>1f2f3f4f5f</t>
  </si>
  <si>
    <t>2f3f4f5t7f</t>
  </si>
  <si>
    <t>2f3t7f</t>
  </si>
  <si>
    <t>2f3f4t7f</t>
  </si>
  <si>
    <t>2f3f4t7t</t>
  </si>
  <si>
    <t>2f3f4f5f7t</t>
  </si>
  <si>
    <t>2f3f4f5t7t</t>
  </si>
  <si>
    <t>2t7t</t>
  </si>
  <si>
    <t>2t7f</t>
  </si>
  <si>
    <t>2f3t7t</t>
  </si>
  <si>
    <t>2f3f4f5f7f</t>
  </si>
  <si>
    <t>5t7t8t10t11t12t13t</t>
  </si>
  <si>
    <t>5f6f</t>
  </si>
  <si>
    <t>5f6t</t>
  </si>
  <si>
    <t>5t7t8f9t</t>
  </si>
  <si>
    <t>5t7t8f9f</t>
  </si>
  <si>
    <t>7t8t13t17t24t</t>
  </si>
  <si>
    <t>7t8t13t17t24f</t>
  </si>
  <si>
    <t>7t8t13t17f</t>
  </si>
  <si>
    <t>7t8t13f</t>
  </si>
  <si>
    <t>7t8t13t17t24t27t30t33t</t>
  </si>
  <si>
    <t>7t8t13t17t24t27f</t>
  </si>
  <si>
    <t>7t8t13t17t24t27t30t33f</t>
  </si>
  <si>
    <t>7t8t13t17t24t27t30f</t>
  </si>
  <si>
    <t>1f2f3f</t>
  </si>
  <si>
    <t>1f2f3t34f35f36f37f38f</t>
  </si>
  <si>
    <t>1f2f3t34f35t37f38f</t>
  </si>
  <si>
    <t>1f2f3t34f35f36f37t</t>
  </si>
  <si>
    <t>1f2f3t34f35t37t</t>
  </si>
  <si>
    <t>1f2f3t34f35f36f37f38t</t>
  </si>
  <si>
    <t>1f2f3t34f35t37f38t</t>
  </si>
  <si>
    <t>1f2f3t34f35f36t</t>
  </si>
  <si>
    <t>1f2f3t34t</t>
  </si>
  <si>
    <t>test.QRCodeDataBlockReader</t>
  </si>
  <si>
    <t>1t3t6t</t>
  </si>
  <si>
    <t>1t3f</t>
  </si>
  <si>
    <t>1t3t6f</t>
  </si>
  <si>
    <t>test.StructurePanel</t>
  </si>
  <si>
    <t>1f2t4t</t>
  </si>
  <si>
    <t>1t5t7f</t>
  </si>
  <si>
    <t>1f2t4f</t>
  </si>
  <si>
    <t>1t5f6t</t>
  </si>
  <si>
    <t>1t5f6f</t>
  </si>
  <si>
    <t>test.WorldController</t>
  </si>
  <si>
    <t>1t7t13t19f</t>
  </si>
  <si>
    <t>1t7t13f</t>
  </si>
  <si>
    <t>1t7t13t19t</t>
  </si>
  <si>
    <t>test.TIFFFaxDecoder</t>
  </si>
  <si>
    <t>1t3t5t8t</t>
  </si>
  <si>
    <t>1t3t5f</t>
  </si>
  <si>
    <t>1t3t5t8f</t>
  </si>
  <si>
    <t>1t6t12t</t>
  </si>
  <si>
    <t>1f2f3f4t5t12t</t>
  </si>
  <si>
    <t>1t6f7t8f9f</t>
  </si>
  <si>
    <t>1f2f3t5t12t</t>
  </si>
  <si>
    <t>1f2f3t5t12f</t>
  </si>
  <si>
    <t>1f2f3t5f</t>
  </si>
  <si>
    <t>1f2t5t12t</t>
  </si>
  <si>
    <t>1t6f7t8f9t12t</t>
  </si>
  <si>
    <t>1f2f3f4t5f</t>
  </si>
  <si>
    <t>1f2t5t12f</t>
  </si>
  <si>
    <t>1t6f7t8t12t</t>
  </si>
  <si>
    <t>1t6f7f</t>
  </si>
  <si>
    <t>1f2f3f4t5t12f</t>
  </si>
  <si>
    <t>1f2t5f</t>
  </si>
  <si>
    <t>1t6f7t8t12f</t>
  </si>
  <si>
    <t>1t6t12f</t>
  </si>
  <si>
    <t>1t6f7t8f9t12f</t>
  </si>
  <si>
    <t>1t4t</t>
  </si>
  <si>
    <t>1f2f8t9f</t>
  </si>
  <si>
    <t>1f2t3f8t9f</t>
  </si>
  <si>
    <t>1f2f8t9t</t>
  </si>
  <si>
    <t>1f2t3f8t9t</t>
  </si>
  <si>
    <t>1f2t3t8t9f</t>
  </si>
  <si>
    <t>1t4f5t6f8f</t>
  </si>
  <si>
    <t>1f2f8f</t>
  </si>
  <si>
    <t>1f2t3f8f</t>
  </si>
  <si>
    <t>1f2t3t8f</t>
  </si>
  <si>
    <t>1t4f5f8t9f</t>
  </si>
  <si>
    <t>1f2t3t8t9t</t>
  </si>
  <si>
    <t>1t4f5f8f</t>
  </si>
  <si>
    <t>1t4f5t6t8t9t</t>
  </si>
  <si>
    <t>1t4f5t6f8t9f</t>
  </si>
  <si>
    <t>1t4f5f8t9t</t>
  </si>
  <si>
    <t>1t4f5t6t8f</t>
  </si>
  <si>
    <t>1t4f5t6f8t9t</t>
  </si>
  <si>
    <t>1t4f5t6t8t9f</t>
  </si>
  <si>
    <t>1t3t</t>
  </si>
  <si>
    <t>1f2f5f</t>
  </si>
  <si>
    <t>1f2f5t</t>
  </si>
  <si>
    <t>1t3f4f5f</t>
  </si>
  <si>
    <t>1t3f4f5t</t>
  </si>
  <si>
    <t>1f2t5t</t>
  </si>
  <si>
    <t>1t3f4t5f</t>
  </si>
  <si>
    <t>test.TIFFFaxEncoder</t>
  </si>
  <si>
    <t>2t5f</t>
  </si>
  <si>
    <t>2t5t</t>
  </si>
  <si>
    <t>2f3f</t>
  </si>
  <si>
    <t>2f3t4t</t>
  </si>
  <si>
    <t>2t3t4t</t>
  </si>
  <si>
    <t>2f3t4f</t>
  </si>
  <si>
    <t>class</t>
  </si>
  <si>
    <t>method</t>
  </si>
  <si>
    <t>path</t>
  </si>
  <si>
    <t>path id</t>
  </si>
  <si>
    <t>time full</t>
  </si>
  <si>
    <t>time c1</t>
  </si>
  <si>
    <t>inv f</t>
  </si>
  <si>
    <t>inv c1</t>
  </si>
  <si>
    <t>%  inv</t>
  </si>
  <si>
    <t>% time</t>
  </si>
  <si>
    <t>6t35f36f37f38f39f40f41f42f43f44f45f46f47t</t>
  </si>
  <si>
    <t>id</t>
  </si>
  <si>
    <t>under 20%</t>
  </si>
  <si>
    <t>under 40%</t>
  </si>
  <si>
    <t>under 60%</t>
  </si>
  <si>
    <t>under 80%</t>
  </si>
  <si>
    <t>at 100%</t>
  </si>
  <si>
    <t>over 100%</t>
  </si>
  <si>
    <t>% sat of full</t>
  </si>
  <si>
    <t>sat/unsat</t>
  </si>
  <si>
    <t>over 50% info</t>
  </si>
  <si>
    <t>total</t>
  </si>
  <si>
    <t>time % of full</t>
  </si>
  <si>
    <t>&gt;0 &lt;25</t>
  </si>
  <si>
    <t>&gt;=25 &lt; 50</t>
  </si>
  <si>
    <t>&gt;=50 &lt; 75</t>
  </si>
  <si>
    <t>&gt;=75 &lt; 100</t>
  </si>
  <si>
    <t>count 100%</t>
  </si>
  <si>
    <t>test.BallonFactory_1_</t>
  </si>
  <si>
    <t>test.BallonFactory_2_</t>
  </si>
  <si>
    <t>test.BallonFactory_6_</t>
  </si>
  <si>
    <t>test.BallonFactory_9_</t>
  </si>
  <si>
    <t>test.Base64_2_</t>
  </si>
  <si>
    <t>test.Base64_4_</t>
  </si>
  <si>
    <t>test.Base64_13_</t>
  </si>
  <si>
    <t>test.Base64_16_</t>
  </si>
  <si>
    <t>test.Base64_18_</t>
  </si>
  <si>
    <t>test.Base64_19_</t>
  </si>
  <si>
    <t>test.Base64_20_</t>
  </si>
  <si>
    <t>test.Class11_2_</t>
  </si>
  <si>
    <t>test.Class11_3_</t>
  </si>
  <si>
    <t>test.Class11_7_</t>
  </si>
  <si>
    <t>test.Class11_10_</t>
  </si>
  <si>
    <t>test.Class11_11_</t>
  </si>
  <si>
    <t>test.Class11_12_</t>
  </si>
  <si>
    <t>test.Class13_1_</t>
  </si>
  <si>
    <t>test.client_1_</t>
  </si>
  <si>
    <t>test.client_3_</t>
  </si>
  <si>
    <t>test.client_4_</t>
  </si>
  <si>
    <t>test.client_6_</t>
  </si>
  <si>
    <t>test.client_7_</t>
  </si>
  <si>
    <t>test.GeoEngine_3_</t>
  </si>
  <si>
    <t>test.GeoEngine_7_</t>
  </si>
  <si>
    <t>test.GeoEngine_8_</t>
  </si>
  <si>
    <t>test.GeoEngine_9_</t>
  </si>
  <si>
    <t>test.GeoEngine_10_</t>
  </si>
  <si>
    <t>test.FastBlurFilter_3_</t>
  </si>
  <si>
    <t>test.ImageData_2_</t>
  </si>
  <si>
    <t>test.ImageData_3_</t>
  </si>
  <si>
    <t>test.ImageData_4_</t>
  </si>
  <si>
    <t>test.ImageData_5_</t>
  </si>
  <si>
    <t>test.ImageData_6_</t>
  </si>
  <si>
    <t>test.ImageData_7_</t>
  </si>
  <si>
    <t>test.ImageData_8_</t>
  </si>
  <si>
    <t>test.ImageData_9_</t>
  </si>
  <si>
    <t>test.ImageData_11_</t>
  </si>
  <si>
    <t>test.ImageData_13_</t>
  </si>
  <si>
    <t>test.ImageData_14_</t>
  </si>
  <si>
    <t>test.ImageData_15_</t>
  </si>
  <si>
    <t>test.ImageData_16_</t>
  </si>
  <si>
    <t>test.ImageData_20_</t>
  </si>
  <si>
    <t>test.ImageData_21_</t>
  </si>
  <si>
    <t>test.QRCodeDataBlockReader_0_</t>
  </si>
  <si>
    <t>test.QRCodeDataBlockReader_1_</t>
  </si>
  <si>
    <t>test.StructurePanel_1_</t>
  </si>
  <si>
    <t>test.WorldController_1_</t>
  </si>
  <si>
    <t>test.TIFFFaxDecoder_5_</t>
  </si>
  <si>
    <t>test.TIFFFaxDecoder_7_</t>
  </si>
  <si>
    <t>test.TIFFFaxDecoder_9_</t>
  </si>
  <si>
    <t>test.TIFFFaxDecoder_10_</t>
  </si>
  <si>
    <t>test.TIFFFaxDecoder_11_</t>
  </si>
  <si>
    <t>test.TIFFFaxDecoder_12_</t>
  </si>
  <si>
    <t>test.TIFFFaxDecoder_13_</t>
  </si>
  <si>
    <t>test.TIFFFaxEncoder_2_</t>
  </si>
  <si>
    <t>test.TIFFFaxEncoder_6_</t>
  </si>
  <si>
    <t>test.TIFFFaxEncoder_8_</t>
  </si>
  <si>
    <t>RD</t>
  </si>
  <si>
    <t>C1</t>
  </si>
  <si>
    <t>% of inv</t>
  </si>
  <si>
    <t>C2</t>
  </si>
  <si>
    <t>VA on dom4 - medium</t>
  </si>
  <si>
    <t>paths</t>
  </si>
  <si>
    <t>sat/sat</t>
  </si>
  <si>
    <t>unsat/sat</t>
  </si>
  <si>
    <t>unsat/unsat</t>
  </si>
  <si>
    <t>max</t>
  </si>
  <si>
    <t>% of sat</t>
  </si>
  <si>
    <t>Class</t>
  </si>
  <si>
    <t>Method id</t>
  </si>
  <si>
    <t>Path</t>
  </si>
  <si>
    <t>Path Id</t>
  </si>
  <si>
    <t>Full time</t>
  </si>
  <si>
    <t>Path Time</t>
  </si>
  <si>
    <t>%</t>
  </si>
  <si>
    <t>Method</t>
  </si>
  <si>
    <t>PercOfCode</t>
  </si>
  <si>
    <t>Diff</t>
  </si>
  <si>
    <t>Paths</t>
  </si>
  <si>
    <t>test.InfTree</t>
  </si>
  <si>
    <t>test.TileRenderor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</si>
</sst>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2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9" fontId="0" fillId="0" borderId="0" xfId="0" applyNumberFormat="1"/>
    <xf numFmtId="1" fontId="0" fillId="0" borderId="0" xfId="0" applyNumberFormat="1"/>
    <xf numFmtId="0" fontId="3" fillId="0" borderId="0" xfId="0" applyFont="1"/>
    <xf numFmtId="0" fontId="0" fillId="2" borderId="0" xfId="0" applyFill="1"/>
    <xf numFmtId="0" fontId="0" fillId="0" borderId="0" xfId="0" applyFill="1"/>
  </cellXfs>
  <cellStyles count="2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A17" sqref="A17:XFD17"/>
    </sheetView>
  </sheetViews>
  <sheetFormatPr baseColWidth="10" defaultRowHeight="15" x14ac:dyDescent="0"/>
  <sheetData>
    <row r="1" spans="1:17">
      <c r="A1" t="s">
        <v>498</v>
      </c>
      <c r="J1" t="s">
        <v>502</v>
      </c>
    </row>
    <row r="2" spans="1:17">
      <c r="A2" t="s">
        <v>499</v>
      </c>
      <c r="J2" t="s">
        <v>499</v>
      </c>
    </row>
    <row r="3" spans="1:17">
      <c r="B3" t="s">
        <v>500</v>
      </c>
      <c r="K3" t="s">
        <v>430</v>
      </c>
    </row>
    <row r="4" spans="1:17">
      <c r="A4" t="s">
        <v>434</v>
      </c>
      <c r="B4">
        <v>0</v>
      </c>
      <c r="C4" t="s">
        <v>435</v>
      </c>
      <c r="D4" t="s">
        <v>436</v>
      </c>
      <c r="E4" t="s">
        <v>437</v>
      </c>
      <c r="F4" t="s">
        <v>438</v>
      </c>
      <c r="G4" t="s">
        <v>439</v>
      </c>
      <c r="J4" t="s">
        <v>434</v>
      </c>
      <c r="K4">
        <v>0</v>
      </c>
      <c r="L4" t="s">
        <v>435</v>
      </c>
      <c r="M4" t="s">
        <v>436</v>
      </c>
      <c r="N4" t="s">
        <v>437</v>
      </c>
      <c r="O4" t="s">
        <v>438</v>
      </c>
      <c r="P4" t="s">
        <v>439</v>
      </c>
    </row>
    <row r="5" spans="1:17">
      <c r="A5" t="s">
        <v>424</v>
      </c>
      <c r="B5">
        <v>50</v>
      </c>
      <c r="C5">
        <v>8</v>
      </c>
      <c r="D5">
        <v>0</v>
      </c>
      <c r="E5">
        <v>0</v>
      </c>
      <c r="F5">
        <v>0</v>
      </c>
      <c r="G5">
        <v>0</v>
      </c>
      <c r="H5">
        <f>SUM(C5:G5)</f>
        <v>8</v>
      </c>
      <c r="J5" t="s">
        <v>424</v>
      </c>
      <c r="K5">
        <v>27</v>
      </c>
      <c r="L5">
        <v>21</v>
      </c>
      <c r="M5">
        <v>4</v>
      </c>
      <c r="N5">
        <v>5</v>
      </c>
      <c r="O5">
        <v>1</v>
      </c>
      <c r="P5">
        <v>0</v>
      </c>
      <c r="Q5">
        <f>P5/58</f>
        <v>0</v>
      </c>
    </row>
    <row r="6" spans="1:17">
      <c r="A6" t="s">
        <v>425</v>
      </c>
      <c r="B6">
        <v>46</v>
      </c>
      <c r="C6">
        <v>10</v>
      </c>
      <c r="D6">
        <v>2</v>
      </c>
      <c r="E6">
        <v>0</v>
      </c>
      <c r="F6">
        <v>0</v>
      </c>
      <c r="G6">
        <v>0</v>
      </c>
      <c r="H6">
        <f t="shared" ref="H6:H10" si="0">SUM(C6:G6)</f>
        <v>12</v>
      </c>
      <c r="J6" t="s">
        <v>425</v>
      </c>
      <c r="K6">
        <v>17</v>
      </c>
      <c r="L6">
        <v>17</v>
      </c>
      <c r="M6">
        <v>8</v>
      </c>
      <c r="N6">
        <v>8</v>
      </c>
      <c r="O6">
        <v>3</v>
      </c>
      <c r="P6">
        <v>5</v>
      </c>
      <c r="Q6">
        <f t="shared" ref="Q6:Q10" si="1">P6/58</f>
        <v>8.6206896551724144E-2</v>
      </c>
    </row>
    <row r="7" spans="1:17">
      <c r="A7" t="s">
        <v>426</v>
      </c>
      <c r="B7">
        <v>39</v>
      </c>
      <c r="C7">
        <v>8</v>
      </c>
      <c r="D7">
        <v>2</v>
      </c>
      <c r="E7">
        <v>4</v>
      </c>
      <c r="F7">
        <v>2</v>
      </c>
      <c r="G7">
        <v>3</v>
      </c>
      <c r="H7">
        <f t="shared" si="0"/>
        <v>19</v>
      </c>
      <c r="J7" t="s">
        <v>426</v>
      </c>
      <c r="K7">
        <v>11</v>
      </c>
      <c r="L7">
        <v>11</v>
      </c>
      <c r="M7">
        <v>10</v>
      </c>
      <c r="N7">
        <v>10</v>
      </c>
      <c r="O7">
        <v>3</v>
      </c>
      <c r="P7">
        <v>13</v>
      </c>
      <c r="Q7">
        <f t="shared" si="1"/>
        <v>0.22413793103448276</v>
      </c>
    </row>
    <row r="8" spans="1:17">
      <c r="A8" t="s">
        <v>427</v>
      </c>
      <c r="B8">
        <v>30</v>
      </c>
      <c r="C8">
        <v>16</v>
      </c>
      <c r="D8">
        <v>1</v>
      </c>
      <c r="E8">
        <v>3</v>
      </c>
      <c r="F8">
        <v>1</v>
      </c>
      <c r="G8">
        <v>7</v>
      </c>
      <c r="H8">
        <f>SUM(C8:G8)</f>
        <v>28</v>
      </c>
      <c r="J8" t="s">
        <v>427</v>
      </c>
      <c r="K8">
        <v>7</v>
      </c>
      <c r="L8">
        <v>5</v>
      </c>
      <c r="M8">
        <v>6</v>
      </c>
      <c r="N8">
        <v>9</v>
      </c>
      <c r="O8">
        <v>8</v>
      </c>
      <c r="P8">
        <v>23</v>
      </c>
      <c r="Q8">
        <f t="shared" si="1"/>
        <v>0.39655172413793105</v>
      </c>
    </row>
    <row r="9" spans="1:17">
      <c r="A9" t="s">
        <v>428</v>
      </c>
      <c r="B9">
        <v>23</v>
      </c>
      <c r="C9">
        <v>12</v>
      </c>
      <c r="D9">
        <v>8</v>
      </c>
      <c r="E9">
        <v>5</v>
      </c>
      <c r="F9">
        <v>0</v>
      </c>
      <c r="G9">
        <v>10</v>
      </c>
      <c r="H9">
        <f t="shared" si="0"/>
        <v>35</v>
      </c>
      <c r="J9" t="s">
        <v>428</v>
      </c>
      <c r="K9">
        <v>0</v>
      </c>
      <c r="L9">
        <v>0</v>
      </c>
      <c r="M9">
        <v>0</v>
      </c>
      <c r="N9">
        <v>0</v>
      </c>
      <c r="O9">
        <v>1</v>
      </c>
      <c r="P9">
        <v>57</v>
      </c>
      <c r="Q9">
        <f t="shared" si="1"/>
        <v>0.98275862068965514</v>
      </c>
    </row>
    <row r="10" spans="1:17">
      <c r="A10" t="s">
        <v>429</v>
      </c>
      <c r="B10">
        <v>0</v>
      </c>
      <c r="C10">
        <v>0</v>
      </c>
      <c r="D10">
        <v>0</v>
      </c>
      <c r="E10">
        <v>0</v>
      </c>
      <c r="F10">
        <v>0</v>
      </c>
      <c r="G10">
        <v>58</v>
      </c>
      <c r="H10">
        <f t="shared" si="0"/>
        <v>58</v>
      </c>
      <c r="J10" t="s">
        <v>429</v>
      </c>
      <c r="K10">
        <v>0</v>
      </c>
      <c r="L10">
        <v>0</v>
      </c>
      <c r="M10">
        <v>0</v>
      </c>
      <c r="N10">
        <v>0</v>
      </c>
      <c r="O10">
        <v>0</v>
      </c>
      <c r="P10">
        <v>58</v>
      </c>
      <c r="Q10">
        <f t="shared" si="1"/>
        <v>1</v>
      </c>
    </row>
    <row r="12" spans="1:17">
      <c r="A12" t="s">
        <v>501</v>
      </c>
      <c r="J12" t="s">
        <v>501</v>
      </c>
    </row>
    <row r="13" spans="1:17">
      <c r="B13" t="s">
        <v>500</v>
      </c>
      <c r="K13" t="s">
        <v>430</v>
      </c>
    </row>
    <row r="14" spans="1:17">
      <c r="A14" t="s">
        <v>434</v>
      </c>
      <c r="B14">
        <v>0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J14" t="s">
        <v>434</v>
      </c>
      <c r="K14">
        <v>0</v>
      </c>
      <c r="L14" t="s">
        <v>435</v>
      </c>
      <c r="M14" t="s">
        <v>436</v>
      </c>
      <c r="N14" t="s">
        <v>437</v>
      </c>
      <c r="O14" t="s">
        <v>438</v>
      </c>
      <c r="P14" t="s">
        <v>439</v>
      </c>
    </row>
    <row r="15" spans="1:17">
      <c r="A15" t="s">
        <v>424</v>
      </c>
      <c r="B15">
        <v>44</v>
      </c>
      <c r="C15">
        <v>10</v>
      </c>
      <c r="D15">
        <v>2</v>
      </c>
      <c r="E15">
        <v>2</v>
      </c>
      <c r="F15">
        <v>0</v>
      </c>
      <c r="G15">
        <v>0</v>
      </c>
      <c r="H15" s="4">
        <f>G15/58</f>
        <v>0</v>
      </c>
      <c r="J15" t="s">
        <v>424</v>
      </c>
      <c r="K15">
        <v>26</v>
      </c>
      <c r="L15">
        <v>22</v>
      </c>
      <c r="M15">
        <v>5</v>
      </c>
      <c r="N15">
        <v>4</v>
      </c>
      <c r="O15">
        <v>1</v>
      </c>
      <c r="P15">
        <v>0</v>
      </c>
      <c r="Q15">
        <f>P15/58</f>
        <v>0</v>
      </c>
    </row>
    <row r="16" spans="1:17">
      <c r="A16" t="s">
        <v>425</v>
      </c>
      <c r="B16">
        <v>28</v>
      </c>
      <c r="C16">
        <v>12</v>
      </c>
      <c r="D16">
        <v>9</v>
      </c>
      <c r="E16">
        <v>1</v>
      </c>
      <c r="F16">
        <v>2</v>
      </c>
      <c r="G16">
        <v>6</v>
      </c>
      <c r="H16" s="4">
        <f t="shared" ref="H16:H20" si="2">G16/58</f>
        <v>0.10344827586206896</v>
      </c>
      <c r="J16" t="s">
        <v>425</v>
      </c>
      <c r="K16">
        <v>16</v>
      </c>
      <c r="L16">
        <v>16</v>
      </c>
      <c r="M16">
        <v>9</v>
      </c>
      <c r="N16">
        <v>9</v>
      </c>
      <c r="O16">
        <v>4</v>
      </c>
      <c r="P16">
        <v>4</v>
      </c>
      <c r="Q16">
        <f t="shared" ref="Q16:Q20" si="3">P16/58</f>
        <v>6.8965517241379309E-2</v>
      </c>
    </row>
    <row r="17" spans="1:17">
      <c r="A17" t="s">
        <v>426</v>
      </c>
      <c r="B17">
        <v>20</v>
      </c>
      <c r="C17">
        <v>10</v>
      </c>
      <c r="D17">
        <v>7</v>
      </c>
      <c r="E17">
        <v>5</v>
      </c>
      <c r="F17">
        <v>4</v>
      </c>
      <c r="G17">
        <v>12</v>
      </c>
      <c r="H17" s="4">
        <f t="shared" si="2"/>
        <v>0.20689655172413793</v>
      </c>
      <c r="J17" t="s">
        <v>426</v>
      </c>
      <c r="K17">
        <v>11</v>
      </c>
      <c r="L17">
        <v>9</v>
      </c>
      <c r="M17">
        <v>11</v>
      </c>
      <c r="N17">
        <v>11</v>
      </c>
      <c r="O17">
        <v>3</v>
      </c>
      <c r="P17">
        <v>13</v>
      </c>
      <c r="Q17">
        <f t="shared" si="3"/>
        <v>0.22413793103448276</v>
      </c>
    </row>
    <row r="18" spans="1:17">
      <c r="A18" t="s">
        <v>427</v>
      </c>
      <c r="B18">
        <v>13</v>
      </c>
      <c r="C18">
        <v>7</v>
      </c>
      <c r="D18">
        <v>4</v>
      </c>
      <c r="E18">
        <v>6</v>
      </c>
      <c r="F18">
        <v>3</v>
      </c>
      <c r="G18">
        <v>25</v>
      </c>
      <c r="H18" s="4">
        <f t="shared" si="2"/>
        <v>0.43103448275862066</v>
      </c>
      <c r="J18" t="s">
        <v>427</v>
      </c>
      <c r="K18">
        <v>7</v>
      </c>
      <c r="L18">
        <v>4</v>
      </c>
      <c r="M18">
        <v>6</v>
      </c>
      <c r="N18">
        <v>9</v>
      </c>
      <c r="O18">
        <v>10</v>
      </c>
      <c r="P18">
        <v>22</v>
      </c>
      <c r="Q18">
        <f t="shared" si="3"/>
        <v>0.37931034482758619</v>
      </c>
    </row>
    <row r="19" spans="1:17">
      <c r="A19" t="s">
        <v>428</v>
      </c>
      <c r="B19">
        <v>0</v>
      </c>
      <c r="C19">
        <v>1</v>
      </c>
      <c r="D19">
        <v>0</v>
      </c>
      <c r="E19">
        <v>0</v>
      </c>
      <c r="F19">
        <v>2</v>
      </c>
      <c r="G19">
        <v>55</v>
      </c>
      <c r="H19" s="4">
        <f t="shared" si="2"/>
        <v>0.94827586206896552</v>
      </c>
      <c r="J19" t="s">
        <v>428</v>
      </c>
      <c r="K19">
        <v>0</v>
      </c>
      <c r="L19">
        <v>0</v>
      </c>
      <c r="M19">
        <v>0</v>
      </c>
      <c r="N19">
        <v>0</v>
      </c>
      <c r="O19">
        <v>0</v>
      </c>
      <c r="P19">
        <v>58</v>
      </c>
      <c r="Q19">
        <f t="shared" si="3"/>
        <v>1</v>
      </c>
    </row>
    <row r="20" spans="1:17">
      <c r="A20" t="s">
        <v>429</v>
      </c>
      <c r="B20">
        <v>0</v>
      </c>
      <c r="C20">
        <v>0</v>
      </c>
      <c r="D20">
        <v>0</v>
      </c>
      <c r="E20">
        <v>0</v>
      </c>
      <c r="F20">
        <v>0</v>
      </c>
      <c r="G20">
        <v>58</v>
      </c>
      <c r="H20" s="4">
        <f t="shared" si="2"/>
        <v>1</v>
      </c>
      <c r="J20" t="s">
        <v>429</v>
      </c>
      <c r="K20">
        <v>0</v>
      </c>
      <c r="L20">
        <v>0</v>
      </c>
      <c r="M20">
        <v>0</v>
      </c>
      <c r="N20">
        <v>0</v>
      </c>
      <c r="O20">
        <v>0</v>
      </c>
      <c r="P20">
        <v>58</v>
      </c>
      <c r="Q20">
        <f t="shared" si="3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" sqref="F2"/>
    </sheetView>
  </sheetViews>
  <sheetFormatPr baseColWidth="10" defaultRowHeight="15" x14ac:dyDescent="0"/>
  <cols>
    <col min="1" max="1" width="20" customWidth="1"/>
  </cols>
  <sheetData>
    <row r="1" spans="1:10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419</v>
      </c>
      <c r="H1" t="s">
        <v>418</v>
      </c>
      <c r="I1" t="s">
        <v>421</v>
      </c>
      <c r="J1" t="s">
        <v>420</v>
      </c>
    </row>
    <row r="2" spans="1:10">
      <c r="A2" t="s">
        <v>4</v>
      </c>
      <c r="B2">
        <v>1</v>
      </c>
      <c r="C2" t="s">
        <v>0</v>
      </c>
      <c r="D2">
        <v>1</v>
      </c>
      <c r="E2">
        <v>15</v>
      </c>
      <c r="F2">
        <v>29</v>
      </c>
      <c r="G2">
        <v>2446</v>
      </c>
      <c r="H2">
        <v>2518</v>
      </c>
      <c r="I2" s="1">
        <f>F2/E2</f>
        <v>1.9333333333333333</v>
      </c>
      <c r="J2" s="1">
        <f>G2/H2</f>
        <v>0.97140587768069897</v>
      </c>
    </row>
    <row r="3" spans="1:10">
      <c r="A3" t="s">
        <v>4</v>
      </c>
      <c r="B3">
        <v>1</v>
      </c>
      <c r="C3" t="s">
        <v>3</v>
      </c>
      <c r="D3">
        <v>2</v>
      </c>
      <c r="E3">
        <v>15</v>
      </c>
      <c r="F3">
        <v>30.666665999999999</v>
      </c>
      <c r="G3">
        <v>2518</v>
      </c>
      <c r="H3">
        <v>2518</v>
      </c>
      <c r="I3" s="1">
        <f t="shared" ref="I3:I66" si="0">F3/E3</f>
        <v>2.0444444000000002</v>
      </c>
      <c r="J3" s="1">
        <f t="shared" ref="J3:J66" si="1">G3/H3</f>
        <v>1</v>
      </c>
    </row>
    <row r="4" spans="1:10">
      <c r="A4" t="s">
        <v>4</v>
      </c>
      <c r="B4">
        <v>1</v>
      </c>
      <c r="C4" t="s">
        <v>2</v>
      </c>
      <c r="D4">
        <v>3</v>
      </c>
      <c r="E4">
        <v>15</v>
      </c>
      <c r="F4">
        <v>32</v>
      </c>
      <c r="G4">
        <v>2518</v>
      </c>
      <c r="H4">
        <v>2518</v>
      </c>
      <c r="I4" s="1">
        <f t="shared" si="0"/>
        <v>2.1333333333333333</v>
      </c>
      <c r="J4" s="1">
        <f t="shared" si="1"/>
        <v>1</v>
      </c>
    </row>
    <row r="5" spans="1:10">
      <c r="A5" t="s">
        <v>4</v>
      </c>
      <c r="B5">
        <v>1</v>
      </c>
      <c r="C5" t="s">
        <v>1</v>
      </c>
      <c r="D5">
        <v>4</v>
      </c>
      <c r="E5">
        <v>15</v>
      </c>
      <c r="F5">
        <v>48.666668000000001</v>
      </c>
      <c r="G5">
        <v>2518</v>
      </c>
      <c r="H5">
        <v>2518</v>
      </c>
      <c r="I5" s="1">
        <f t="shared" si="0"/>
        <v>3.2444445333333336</v>
      </c>
      <c r="J5" s="1">
        <f t="shared" si="1"/>
        <v>1</v>
      </c>
    </row>
    <row r="6" spans="1:10">
      <c r="A6" t="s">
        <v>4</v>
      </c>
      <c r="B6">
        <v>2</v>
      </c>
      <c r="C6" t="s">
        <v>3</v>
      </c>
      <c r="D6">
        <v>1</v>
      </c>
      <c r="E6">
        <v>6</v>
      </c>
      <c r="F6">
        <v>7.3333335000000002</v>
      </c>
      <c r="G6">
        <v>232</v>
      </c>
      <c r="H6">
        <v>1238</v>
      </c>
      <c r="I6" s="1">
        <f t="shared" si="0"/>
        <v>1.22222225</v>
      </c>
      <c r="J6" s="1">
        <f t="shared" si="1"/>
        <v>0.18739903069466882</v>
      </c>
    </row>
    <row r="7" spans="1:10">
      <c r="A7" t="s">
        <v>4</v>
      </c>
      <c r="B7">
        <v>2</v>
      </c>
      <c r="C7" t="s">
        <v>5</v>
      </c>
      <c r="D7">
        <v>2</v>
      </c>
      <c r="E7">
        <v>6</v>
      </c>
      <c r="F7">
        <v>8</v>
      </c>
      <c r="G7">
        <v>512</v>
      </c>
      <c r="H7">
        <v>1238</v>
      </c>
      <c r="I7" s="1">
        <f t="shared" si="0"/>
        <v>1.3333333333333333</v>
      </c>
      <c r="J7" s="1">
        <f t="shared" si="1"/>
        <v>0.41357027463651053</v>
      </c>
    </row>
    <row r="8" spans="1:10">
      <c r="A8" t="s">
        <v>4</v>
      </c>
      <c r="B8">
        <v>2</v>
      </c>
      <c r="C8" t="s">
        <v>6</v>
      </c>
      <c r="D8">
        <v>3</v>
      </c>
      <c r="E8">
        <v>6</v>
      </c>
      <c r="F8">
        <v>9.3333329999999997</v>
      </c>
      <c r="G8">
        <v>829</v>
      </c>
      <c r="H8">
        <v>1238</v>
      </c>
      <c r="I8" s="1">
        <f t="shared" si="0"/>
        <v>1.5555554999999999</v>
      </c>
      <c r="J8" s="1">
        <f t="shared" si="1"/>
        <v>0.6696284329563813</v>
      </c>
    </row>
    <row r="9" spans="1:10">
      <c r="A9" t="s">
        <v>4</v>
      </c>
      <c r="B9">
        <v>2</v>
      </c>
      <c r="C9" t="s">
        <v>11</v>
      </c>
      <c r="D9">
        <v>4</v>
      </c>
      <c r="E9">
        <v>6</v>
      </c>
      <c r="F9">
        <v>9.6666670000000003</v>
      </c>
      <c r="G9">
        <v>841</v>
      </c>
      <c r="H9">
        <v>1238</v>
      </c>
      <c r="I9" s="1">
        <f t="shared" si="0"/>
        <v>1.6111111666666666</v>
      </c>
      <c r="J9" s="1">
        <f t="shared" si="1"/>
        <v>0.67932148626817446</v>
      </c>
    </row>
    <row r="10" spans="1:10">
      <c r="A10" t="s">
        <v>4</v>
      </c>
      <c r="B10">
        <v>2</v>
      </c>
      <c r="C10" t="s">
        <v>18</v>
      </c>
      <c r="D10">
        <v>5</v>
      </c>
      <c r="E10">
        <v>6</v>
      </c>
      <c r="F10">
        <v>9.6667670000000001</v>
      </c>
      <c r="G10">
        <v>847</v>
      </c>
      <c r="H10">
        <v>1238</v>
      </c>
      <c r="I10" s="1">
        <f t="shared" si="0"/>
        <v>1.6111278333333334</v>
      </c>
      <c r="J10" s="1">
        <f t="shared" si="1"/>
        <v>0.68416801292407103</v>
      </c>
    </row>
    <row r="11" spans="1:10">
      <c r="A11" t="s">
        <v>4</v>
      </c>
      <c r="B11">
        <v>2</v>
      </c>
      <c r="C11" t="s">
        <v>7</v>
      </c>
      <c r="D11">
        <v>6</v>
      </c>
      <c r="E11">
        <v>6</v>
      </c>
      <c r="F11">
        <v>10</v>
      </c>
      <c r="G11">
        <v>1214</v>
      </c>
      <c r="H11">
        <v>1238</v>
      </c>
      <c r="I11" s="1">
        <f t="shared" si="0"/>
        <v>1.6666666666666667</v>
      </c>
      <c r="J11" s="1">
        <f t="shared" si="1"/>
        <v>0.98061389337641358</v>
      </c>
    </row>
    <row r="12" spans="1:10">
      <c r="A12" t="s">
        <v>4</v>
      </c>
      <c r="B12">
        <v>2</v>
      </c>
      <c r="C12" t="s">
        <v>15</v>
      </c>
      <c r="D12">
        <v>7</v>
      </c>
      <c r="E12">
        <v>6</v>
      </c>
      <c r="F12">
        <v>10.333333</v>
      </c>
      <c r="G12">
        <v>1214</v>
      </c>
      <c r="H12">
        <v>1238</v>
      </c>
      <c r="I12" s="1">
        <f t="shared" si="0"/>
        <v>1.7222221666666666</v>
      </c>
      <c r="J12" s="1">
        <f t="shared" si="1"/>
        <v>0.98061389337641358</v>
      </c>
    </row>
    <row r="13" spans="1:10">
      <c r="A13" t="s">
        <v>4</v>
      </c>
      <c r="B13">
        <v>2</v>
      </c>
      <c r="C13" t="s">
        <v>9</v>
      </c>
      <c r="D13">
        <v>8</v>
      </c>
      <c r="E13">
        <v>6</v>
      </c>
      <c r="F13">
        <v>10.666667</v>
      </c>
      <c r="G13">
        <v>1214</v>
      </c>
      <c r="H13">
        <v>1238</v>
      </c>
      <c r="I13" s="1">
        <f t="shared" si="0"/>
        <v>1.7777778333333334</v>
      </c>
      <c r="J13" s="1">
        <f t="shared" si="1"/>
        <v>0.98061389337641358</v>
      </c>
    </row>
    <row r="14" spans="1:10">
      <c r="A14" t="s">
        <v>4</v>
      </c>
      <c r="B14">
        <v>2</v>
      </c>
      <c r="C14" t="s">
        <v>12</v>
      </c>
      <c r="D14">
        <v>9</v>
      </c>
      <c r="E14">
        <v>6</v>
      </c>
      <c r="F14">
        <v>10.666767</v>
      </c>
      <c r="G14">
        <v>1214</v>
      </c>
      <c r="H14">
        <v>1238</v>
      </c>
      <c r="I14" s="1">
        <f t="shared" si="0"/>
        <v>1.7777944999999999</v>
      </c>
      <c r="J14" s="1">
        <f t="shared" si="1"/>
        <v>0.98061389337641358</v>
      </c>
    </row>
    <row r="15" spans="1:10">
      <c r="A15" t="s">
        <v>4</v>
      </c>
      <c r="B15">
        <v>2</v>
      </c>
      <c r="C15" t="s">
        <v>8</v>
      </c>
      <c r="D15">
        <v>10</v>
      </c>
      <c r="E15">
        <v>6</v>
      </c>
      <c r="F15">
        <v>11</v>
      </c>
      <c r="G15">
        <v>1226</v>
      </c>
      <c r="H15">
        <v>1238</v>
      </c>
      <c r="I15" s="1">
        <f t="shared" si="0"/>
        <v>1.8333333333333333</v>
      </c>
      <c r="J15" s="1">
        <f t="shared" si="1"/>
        <v>0.99030694668820674</v>
      </c>
    </row>
    <row r="16" spans="1:10">
      <c r="A16" t="s">
        <v>4</v>
      </c>
      <c r="B16">
        <v>2</v>
      </c>
      <c r="C16" t="s">
        <v>17</v>
      </c>
      <c r="D16">
        <v>11</v>
      </c>
      <c r="E16">
        <v>6</v>
      </c>
      <c r="F16">
        <v>11.0001</v>
      </c>
      <c r="G16">
        <v>1238</v>
      </c>
      <c r="H16">
        <v>1238</v>
      </c>
      <c r="I16" s="1">
        <f t="shared" si="0"/>
        <v>1.83335</v>
      </c>
      <c r="J16" s="1">
        <f t="shared" si="1"/>
        <v>1</v>
      </c>
    </row>
    <row r="17" spans="1:10">
      <c r="A17" t="s">
        <v>4</v>
      </c>
      <c r="B17">
        <v>2</v>
      </c>
      <c r="C17" t="s">
        <v>10</v>
      </c>
      <c r="D17">
        <v>12</v>
      </c>
      <c r="E17">
        <v>6</v>
      </c>
      <c r="F17">
        <v>11.333333</v>
      </c>
      <c r="G17">
        <v>1238</v>
      </c>
      <c r="H17">
        <v>1238</v>
      </c>
      <c r="I17" s="1">
        <f t="shared" si="0"/>
        <v>1.8888888333333334</v>
      </c>
      <c r="J17" s="1">
        <f t="shared" si="1"/>
        <v>1</v>
      </c>
    </row>
    <row r="18" spans="1:10">
      <c r="A18" t="s">
        <v>4</v>
      </c>
      <c r="B18">
        <v>2</v>
      </c>
      <c r="C18" t="s">
        <v>14</v>
      </c>
      <c r="D18">
        <v>13</v>
      </c>
      <c r="E18">
        <v>6</v>
      </c>
      <c r="F18">
        <v>11.333432999999999</v>
      </c>
      <c r="G18">
        <v>1238</v>
      </c>
      <c r="H18">
        <v>1238</v>
      </c>
      <c r="I18" s="1">
        <f t="shared" si="0"/>
        <v>1.8889054999999999</v>
      </c>
      <c r="J18" s="1">
        <f t="shared" si="1"/>
        <v>1</v>
      </c>
    </row>
    <row r="19" spans="1:10">
      <c r="A19" t="s">
        <v>4</v>
      </c>
      <c r="B19">
        <v>2</v>
      </c>
      <c r="C19" t="s">
        <v>13</v>
      </c>
      <c r="D19">
        <v>14</v>
      </c>
      <c r="E19">
        <v>6</v>
      </c>
      <c r="F19">
        <v>11.666667</v>
      </c>
      <c r="G19">
        <v>1238</v>
      </c>
      <c r="H19">
        <v>1238</v>
      </c>
      <c r="I19" s="1">
        <f t="shared" si="0"/>
        <v>1.9444445000000001</v>
      </c>
      <c r="J19" s="1">
        <f t="shared" si="1"/>
        <v>1</v>
      </c>
    </row>
    <row r="20" spans="1:10">
      <c r="A20" t="s">
        <v>4</v>
      </c>
      <c r="B20">
        <v>2</v>
      </c>
      <c r="C20" t="s">
        <v>16</v>
      </c>
      <c r="D20">
        <v>15</v>
      </c>
      <c r="E20">
        <v>6</v>
      </c>
      <c r="F20">
        <v>11.666767</v>
      </c>
      <c r="G20">
        <v>1238</v>
      </c>
      <c r="H20">
        <v>1238</v>
      </c>
      <c r="I20" s="1">
        <f t="shared" si="0"/>
        <v>1.9444611666666667</v>
      </c>
      <c r="J20" s="1">
        <f t="shared" si="1"/>
        <v>1</v>
      </c>
    </row>
    <row r="21" spans="1:10">
      <c r="A21" t="s">
        <v>4</v>
      </c>
      <c r="B21">
        <v>6</v>
      </c>
      <c r="C21" t="s">
        <v>19</v>
      </c>
      <c r="D21">
        <v>1</v>
      </c>
      <c r="E21">
        <v>2</v>
      </c>
      <c r="F21">
        <v>3</v>
      </c>
      <c r="G21">
        <v>14</v>
      </c>
      <c r="H21">
        <v>80</v>
      </c>
      <c r="I21" s="1">
        <f t="shared" si="0"/>
        <v>1.5</v>
      </c>
      <c r="J21" s="1">
        <f t="shared" si="1"/>
        <v>0.17499999999999999</v>
      </c>
    </row>
    <row r="22" spans="1:10">
      <c r="A22" t="s">
        <v>4</v>
      </c>
      <c r="B22">
        <v>6</v>
      </c>
      <c r="C22" t="s">
        <v>1</v>
      </c>
      <c r="D22">
        <v>2</v>
      </c>
      <c r="E22">
        <v>2</v>
      </c>
      <c r="F22">
        <v>3.6666666999999999</v>
      </c>
      <c r="G22">
        <v>24</v>
      </c>
      <c r="H22">
        <v>80</v>
      </c>
      <c r="I22" s="1">
        <f t="shared" si="0"/>
        <v>1.83333335</v>
      </c>
      <c r="J22" s="1">
        <f t="shared" si="1"/>
        <v>0.3</v>
      </c>
    </row>
    <row r="23" spans="1:10">
      <c r="A23" t="s">
        <v>4</v>
      </c>
      <c r="B23">
        <v>6</v>
      </c>
      <c r="C23" t="s">
        <v>20</v>
      </c>
      <c r="D23">
        <v>3</v>
      </c>
      <c r="E23">
        <v>2</v>
      </c>
      <c r="F23">
        <v>4</v>
      </c>
      <c r="G23">
        <v>71</v>
      </c>
      <c r="H23">
        <v>80</v>
      </c>
      <c r="I23" s="1">
        <f t="shared" si="0"/>
        <v>2</v>
      </c>
      <c r="J23" s="1">
        <f t="shared" si="1"/>
        <v>0.88749999999999996</v>
      </c>
    </row>
    <row r="24" spans="1:10">
      <c r="A24" t="s">
        <v>4</v>
      </c>
      <c r="B24">
        <v>6</v>
      </c>
      <c r="C24" t="s">
        <v>21</v>
      </c>
      <c r="D24">
        <v>4</v>
      </c>
      <c r="E24">
        <v>2</v>
      </c>
      <c r="F24">
        <v>4.0000999999999998</v>
      </c>
      <c r="G24">
        <v>80</v>
      </c>
      <c r="H24">
        <v>80</v>
      </c>
      <c r="I24" s="1">
        <f t="shared" si="0"/>
        <v>2.0000499999999999</v>
      </c>
      <c r="J24" s="1">
        <f t="shared" si="1"/>
        <v>1</v>
      </c>
    </row>
    <row r="25" spans="1:10">
      <c r="A25" t="s">
        <v>4</v>
      </c>
      <c r="B25">
        <v>6</v>
      </c>
      <c r="C25" t="s">
        <v>22</v>
      </c>
      <c r="D25">
        <v>5</v>
      </c>
      <c r="E25">
        <v>2</v>
      </c>
      <c r="F25">
        <v>4.0002003000000004</v>
      </c>
      <c r="G25">
        <v>80</v>
      </c>
      <c r="H25">
        <v>80</v>
      </c>
      <c r="I25" s="1">
        <f t="shared" si="0"/>
        <v>2.0001001500000002</v>
      </c>
      <c r="J25" s="1">
        <f t="shared" si="1"/>
        <v>1</v>
      </c>
    </row>
    <row r="26" spans="1:10">
      <c r="A26" t="s">
        <v>4</v>
      </c>
      <c r="B26">
        <v>9</v>
      </c>
      <c r="C26" t="s">
        <v>23</v>
      </c>
      <c r="D26">
        <v>1</v>
      </c>
      <c r="E26">
        <v>14.666667</v>
      </c>
      <c r="F26">
        <v>9.3333329999999997</v>
      </c>
      <c r="G26">
        <v>131</v>
      </c>
      <c r="H26">
        <v>5239</v>
      </c>
      <c r="I26" s="1">
        <f t="shared" si="0"/>
        <v>0.63636359917355456</v>
      </c>
      <c r="J26" s="1">
        <f t="shared" si="1"/>
        <v>2.500477190303493E-2</v>
      </c>
    </row>
    <row r="27" spans="1:10">
      <c r="A27" t="s">
        <v>4</v>
      </c>
      <c r="B27">
        <v>9</v>
      </c>
      <c r="C27" t="s">
        <v>3</v>
      </c>
      <c r="D27">
        <v>2</v>
      </c>
      <c r="E27">
        <v>14.666667</v>
      </c>
      <c r="F27">
        <v>11.333333</v>
      </c>
      <c r="G27">
        <v>499</v>
      </c>
      <c r="H27">
        <v>5239</v>
      </c>
      <c r="I27" s="1">
        <f t="shared" si="0"/>
        <v>0.77272723243801744</v>
      </c>
      <c r="J27" s="1">
        <f t="shared" si="1"/>
        <v>9.524718457720939E-2</v>
      </c>
    </row>
    <row r="28" spans="1:10">
      <c r="A28" t="s">
        <v>4</v>
      </c>
      <c r="B28">
        <v>9</v>
      </c>
      <c r="C28" t="s">
        <v>24</v>
      </c>
      <c r="D28">
        <v>3</v>
      </c>
      <c r="E28">
        <v>14.666667</v>
      </c>
      <c r="F28">
        <v>11.666667</v>
      </c>
      <c r="G28">
        <v>718</v>
      </c>
      <c r="H28">
        <v>5239</v>
      </c>
      <c r="I28" s="1">
        <f t="shared" si="0"/>
        <v>0.79545455010330568</v>
      </c>
      <c r="J28" s="1">
        <f t="shared" si="1"/>
        <v>0.1370490551631991</v>
      </c>
    </row>
    <row r="29" spans="1:10">
      <c r="A29" t="s">
        <v>4</v>
      </c>
      <c r="B29">
        <v>9</v>
      </c>
      <c r="C29" t="s">
        <v>25</v>
      </c>
      <c r="D29">
        <v>4</v>
      </c>
      <c r="E29">
        <v>14.666667</v>
      </c>
      <c r="F29">
        <v>12</v>
      </c>
      <c r="G29">
        <v>953</v>
      </c>
      <c r="H29">
        <v>5239</v>
      </c>
      <c r="I29" s="1">
        <f t="shared" si="0"/>
        <v>0.81818179958677728</v>
      </c>
      <c r="J29" s="1">
        <f t="shared" si="1"/>
        <v>0.1819049436915442</v>
      </c>
    </row>
    <row r="30" spans="1:10">
      <c r="A30" t="s">
        <v>4</v>
      </c>
      <c r="B30">
        <v>9</v>
      </c>
      <c r="C30" t="s">
        <v>26</v>
      </c>
      <c r="D30">
        <v>5</v>
      </c>
      <c r="E30">
        <v>14.666667</v>
      </c>
      <c r="F30">
        <v>12.0001</v>
      </c>
      <c r="G30">
        <v>1210</v>
      </c>
      <c r="H30">
        <v>5239</v>
      </c>
      <c r="I30" s="1">
        <f t="shared" si="0"/>
        <v>0.81818861776844043</v>
      </c>
      <c r="J30" s="1">
        <f t="shared" si="1"/>
        <v>0.23096010689062799</v>
      </c>
    </row>
    <row r="31" spans="1:10">
      <c r="A31" t="s">
        <v>4</v>
      </c>
      <c r="B31">
        <v>9</v>
      </c>
      <c r="C31" t="s">
        <v>27</v>
      </c>
      <c r="D31">
        <v>6</v>
      </c>
      <c r="E31">
        <v>14.666667</v>
      </c>
      <c r="F31">
        <v>15.666667</v>
      </c>
      <c r="G31">
        <v>2501</v>
      </c>
      <c r="H31">
        <v>5239</v>
      </c>
      <c r="I31" s="1">
        <f t="shared" si="0"/>
        <v>1.0681818166322314</v>
      </c>
      <c r="J31" s="1">
        <f t="shared" si="1"/>
        <v>0.47738117961443022</v>
      </c>
    </row>
    <row r="32" spans="1:10">
      <c r="A32" t="s">
        <v>4</v>
      </c>
      <c r="B32">
        <v>9</v>
      </c>
      <c r="C32" t="s">
        <v>30</v>
      </c>
      <c r="D32">
        <v>7</v>
      </c>
      <c r="E32">
        <v>14.666667</v>
      </c>
      <c r="F32">
        <v>16</v>
      </c>
      <c r="G32">
        <v>3546</v>
      </c>
      <c r="H32">
        <v>5239</v>
      </c>
      <c r="I32" s="1">
        <f t="shared" si="0"/>
        <v>1.090909066115703</v>
      </c>
      <c r="J32" s="1">
        <f t="shared" si="1"/>
        <v>0.67684672647451805</v>
      </c>
    </row>
    <row r="33" spans="1:10">
      <c r="A33" t="s">
        <v>4</v>
      </c>
      <c r="B33">
        <v>9</v>
      </c>
      <c r="C33" t="s">
        <v>28</v>
      </c>
      <c r="D33">
        <v>8</v>
      </c>
      <c r="E33">
        <v>14.666667</v>
      </c>
      <c r="F33">
        <v>16.333334000000001</v>
      </c>
      <c r="G33">
        <v>4973</v>
      </c>
      <c r="H33">
        <v>5239</v>
      </c>
      <c r="I33" s="1">
        <f t="shared" si="0"/>
        <v>1.1136363837809913</v>
      </c>
      <c r="J33" s="1">
        <f t="shared" si="1"/>
        <v>0.94922695170834126</v>
      </c>
    </row>
    <row r="34" spans="1:10">
      <c r="A34" t="s">
        <v>4</v>
      </c>
      <c r="B34">
        <v>9</v>
      </c>
      <c r="C34" t="s">
        <v>31</v>
      </c>
      <c r="D34">
        <v>9</v>
      </c>
      <c r="E34">
        <v>14.666667</v>
      </c>
      <c r="F34">
        <v>16.333432999999999</v>
      </c>
      <c r="G34">
        <v>5039</v>
      </c>
      <c r="H34">
        <v>5239</v>
      </c>
      <c r="I34" s="1">
        <f t="shared" si="0"/>
        <v>1.1136431337808379</v>
      </c>
      <c r="J34" s="1">
        <f t="shared" si="1"/>
        <v>0.96182477572055736</v>
      </c>
    </row>
    <row r="35" spans="1:10">
      <c r="A35" t="s">
        <v>4</v>
      </c>
      <c r="B35">
        <v>9</v>
      </c>
      <c r="C35" t="s">
        <v>29</v>
      </c>
      <c r="D35">
        <v>10</v>
      </c>
      <c r="E35">
        <v>14.666667</v>
      </c>
      <c r="F35">
        <v>17.333334000000001</v>
      </c>
      <c r="G35">
        <v>5239</v>
      </c>
      <c r="H35">
        <v>5239</v>
      </c>
      <c r="I35" s="1">
        <f t="shared" si="0"/>
        <v>1.1818182004132227</v>
      </c>
      <c r="J35" s="1">
        <f t="shared" si="1"/>
        <v>1</v>
      </c>
    </row>
    <row r="36" spans="1:10">
      <c r="A36" t="s">
        <v>32</v>
      </c>
      <c r="B36">
        <v>2</v>
      </c>
      <c r="C36" t="s">
        <v>33</v>
      </c>
      <c r="D36">
        <v>1</v>
      </c>
      <c r="E36">
        <v>3.3333333000000001</v>
      </c>
      <c r="F36">
        <v>4.3333335000000002</v>
      </c>
      <c r="G36">
        <v>41</v>
      </c>
      <c r="H36">
        <v>364</v>
      </c>
      <c r="I36" s="1">
        <f t="shared" si="0"/>
        <v>1.3000000630000006</v>
      </c>
      <c r="J36" s="1">
        <f t="shared" si="1"/>
        <v>0.11263736263736264</v>
      </c>
    </row>
    <row r="37" spans="1:10">
      <c r="A37" t="s">
        <v>32</v>
      </c>
      <c r="B37">
        <v>2</v>
      </c>
      <c r="C37" t="s">
        <v>34</v>
      </c>
      <c r="D37">
        <v>2</v>
      </c>
      <c r="E37">
        <v>3.3333333000000001</v>
      </c>
      <c r="F37">
        <v>5.6666664999999998</v>
      </c>
      <c r="G37">
        <v>139</v>
      </c>
      <c r="H37">
        <v>364</v>
      </c>
      <c r="I37" s="1">
        <f t="shared" si="0"/>
        <v>1.6999999669999997</v>
      </c>
      <c r="J37" s="1">
        <f t="shared" si="1"/>
        <v>0.38186813186813184</v>
      </c>
    </row>
    <row r="38" spans="1:10">
      <c r="A38" t="s">
        <v>32</v>
      </c>
      <c r="B38">
        <v>2</v>
      </c>
      <c r="C38" t="s">
        <v>0</v>
      </c>
      <c r="D38">
        <v>3</v>
      </c>
      <c r="E38">
        <v>3.3333333000000001</v>
      </c>
      <c r="F38">
        <v>6.3333335000000002</v>
      </c>
      <c r="G38">
        <v>312</v>
      </c>
      <c r="H38">
        <v>364</v>
      </c>
      <c r="I38" s="1">
        <f t="shared" si="0"/>
        <v>1.9000000690000007</v>
      </c>
      <c r="J38" s="1">
        <f t="shared" si="1"/>
        <v>0.8571428571428571</v>
      </c>
    </row>
    <row r="39" spans="1:10">
      <c r="A39" t="s">
        <v>32</v>
      </c>
      <c r="B39">
        <v>2</v>
      </c>
      <c r="C39" t="s">
        <v>35</v>
      </c>
      <c r="D39">
        <v>4</v>
      </c>
      <c r="E39">
        <v>3.3333333000000001</v>
      </c>
      <c r="F39">
        <v>8</v>
      </c>
      <c r="G39">
        <v>364</v>
      </c>
      <c r="H39">
        <v>364</v>
      </c>
      <c r="I39" s="1">
        <f t="shared" si="0"/>
        <v>2.4000000240000001</v>
      </c>
      <c r="J39" s="1">
        <f t="shared" si="1"/>
        <v>1</v>
      </c>
    </row>
    <row r="40" spans="1:10">
      <c r="A40" t="s">
        <v>32</v>
      </c>
      <c r="B40">
        <v>4</v>
      </c>
      <c r="C40" t="s">
        <v>33</v>
      </c>
      <c r="D40">
        <v>1</v>
      </c>
      <c r="E40">
        <v>3.6666666999999999</v>
      </c>
      <c r="F40">
        <v>5</v>
      </c>
      <c r="G40">
        <v>41</v>
      </c>
      <c r="H40">
        <v>364</v>
      </c>
      <c r="I40" s="1">
        <f t="shared" si="0"/>
        <v>1.3636363512396696</v>
      </c>
      <c r="J40" s="1">
        <f t="shared" si="1"/>
        <v>0.11263736263736264</v>
      </c>
    </row>
    <row r="41" spans="1:10">
      <c r="A41" t="s">
        <v>32</v>
      </c>
      <c r="B41">
        <v>4</v>
      </c>
      <c r="C41" t="s">
        <v>34</v>
      </c>
      <c r="D41">
        <v>2</v>
      </c>
      <c r="E41">
        <v>3.6666666999999999</v>
      </c>
      <c r="F41">
        <v>5.6666664999999998</v>
      </c>
      <c r="G41">
        <v>139</v>
      </c>
      <c r="H41">
        <v>364</v>
      </c>
      <c r="I41" s="1">
        <f t="shared" si="0"/>
        <v>1.5454544859504138</v>
      </c>
      <c r="J41" s="1">
        <f t="shared" si="1"/>
        <v>0.38186813186813184</v>
      </c>
    </row>
    <row r="42" spans="1:10">
      <c r="A42" t="s">
        <v>32</v>
      </c>
      <c r="B42">
        <v>4</v>
      </c>
      <c r="C42" t="s">
        <v>0</v>
      </c>
      <c r="D42">
        <v>3</v>
      </c>
      <c r="E42">
        <v>3.6666666999999999</v>
      </c>
      <c r="F42">
        <v>7</v>
      </c>
      <c r="G42">
        <v>312</v>
      </c>
      <c r="H42">
        <v>364</v>
      </c>
      <c r="I42" s="1">
        <f t="shared" si="0"/>
        <v>1.9090908917355374</v>
      </c>
      <c r="J42" s="1">
        <f t="shared" si="1"/>
        <v>0.8571428571428571</v>
      </c>
    </row>
    <row r="43" spans="1:10">
      <c r="A43" t="s">
        <v>32</v>
      </c>
      <c r="B43">
        <v>4</v>
      </c>
      <c r="C43" t="s">
        <v>35</v>
      </c>
      <c r="D43">
        <v>4</v>
      </c>
      <c r="E43">
        <v>3.6666666999999999</v>
      </c>
      <c r="F43">
        <v>7.6666664999999998</v>
      </c>
      <c r="G43">
        <v>364</v>
      </c>
      <c r="H43">
        <v>364</v>
      </c>
      <c r="I43" s="1">
        <f t="shared" si="0"/>
        <v>2.0909090264462815</v>
      </c>
      <c r="J43" s="1">
        <f t="shared" si="1"/>
        <v>1</v>
      </c>
    </row>
    <row r="44" spans="1:10">
      <c r="A44" t="s">
        <v>32</v>
      </c>
      <c r="B44">
        <v>13</v>
      </c>
      <c r="C44" t="s">
        <v>21</v>
      </c>
      <c r="D44">
        <v>1</v>
      </c>
      <c r="E44">
        <v>2</v>
      </c>
      <c r="F44">
        <v>2.3333333000000001</v>
      </c>
      <c r="G44">
        <v>5</v>
      </c>
      <c r="H44">
        <v>6</v>
      </c>
      <c r="I44" s="1">
        <f t="shared" si="0"/>
        <v>1.16666665</v>
      </c>
      <c r="J44" s="1">
        <f t="shared" si="1"/>
        <v>0.83333333333333337</v>
      </c>
    </row>
    <row r="45" spans="1:10">
      <c r="A45" t="s">
        <v>32</v>
      </c>
      <c r="B45">
        <v>13</v>
      </c>
      <c r="C45" t="s">
        <v>1</v>
      </c>
      <c r="D45">
        <v>2</v>
      </c>
      <c r="E45">
        <v>2</v>
      </c>
      <c r="F45">
        <v>2.6666666999999999</v>
      </c>
      <c r="G45">
        <v>6</v>
      </c>
      <c r="H45">
        <v>6</v>
      </c>
      <c r="I45" s="1">
        <f t="shared" si="0"/>
        <v>1.33333335</v>
      </c>
      <c r="J45" s="1">
        <f t="shared" si="1"/>
        <v>1</v>
      </c>
    </row>
    <row r="46" spans="1:10">
      <c r="A46" t="s">
        <v>32</v>
      </c>
      <c r="B46">
        <v>13</v>
      </c>
      <c r="C46" t="s">
        <v>19</v>
      </c>
      <c r="D46">
        <v>3</v>
      </c>
      <c r="E46">
        <v>2</v>
      </c>
      <c r="F46">
        <v>2.6667665999999999</v>
      </c>
      <c r="G46">
        <v>6</v>
      </c>
      <c r="H46">
        <v>6</v>
      </c>
      <c r="I46" s="1">
        <f t="shared" si="0"/>
        <v>1.3333832999999999</v>
      </c>
      <c r="J46" s="1">
        <f t="shared" si="1"/>
        <v>1</v>
      </c>
    </row>
    <row r="47" spans="1:10">
      <c r="A47" t="s">
        <v>32</v>
      </c>
      <c r="B47">
        <v>13</v>
      </c>
      <c r="C47" t="s">
        <v>22</v>
      </c>
      <c r="D47">
        <v>4</v>
      </c>
      <c r="E47">
        <v>2</v>
      </c>
      <c r="F47">
        <v>2.6668664999999998</v>
      </c>
      <c r="G47">
        <v>6</v>
      </c>
      <c r="H47">
        <v>6</v>
      </c>
      <c r="I47" s="1">
        <f t="shared" si="0"/>
        <v>1.3334332499999999</v>
      </c>
      <c r="J47" s="1">
        <f t="shared" si="1"/>
        <v>1</v>
      </c>
    </row>
    <row r="48" spans="1:10">
      <c r="A48" t="s">
        <v>32</v>
      </c>
      <c r="B48">
        <v>13</v>
      </c>
      <c r="C48" t="s">
        <v>20</v>
      </c>
      <c r="D48">
        <v>5</v>
      </c>
      <c r="E48">
        <v>2</v>
      </c>
      <c r="F48">
        <v>3</v>
      </c>
      <c r="G48">
        <v>6</v>
      </c>
      <c r="H48">
        <v>6</v>
      </c>
      <c r="I48" s="1">
        <f t="shared" si="0"/>
        <v>1.5</v>
      </c>
      <c r="J48" s="1">
        <f t="shared" si="1"/>
        <v>1</v>
      </c>
    </row>
    <row r="49" spans="1:10">
      <c r="A49" t="s">
        <v>32</v>
      </c>
      <c r="B49">
        <v>16</v>
      </c>
      <c r="C49" t="s">
        <v>36</v>
      </c>
      <c r="D49">
        <v>1</v>
      </c>
      <c r="E49">
        <v>45.333331999999999</v>
      </c>
      <c r="F49">
        <v>9</v>
      </c>
      <c r="G49">
        <v>9</v>
      </c>
      <c r="H49">
        <v>19454</v>
      </c>
      <c r="I49" s="1">
        <f t="shared" si="0"/>
        <v>0.19852941760380641</v>
      </c>
      <c r="J49" s="1">
        <f t="shared" si="1"/>
        <v>4.6262979335869232E-4</v>
      </c>
    </row>
    <row r="50" spans="1:10">
      <c r="A50" t="s">
        <v>32</v>
      </c>
      <c r="B50">
        <v>16</v>
      </c>
      <c r="C50" t="s">
        <v>37</v>
      </c>
      <c r="D50">
        <v>2</v>
      </c>
      <c r="E50">
        <v>45.333331999999999</v>
      </c>
      <c r="F50">
        <v>9.3333329999999997</v>
      </c>
      <c r="G50">
        <v>22</v>
      </c>
      <c r="H50">
        <v>19454</v>
      </c>
      <c r="I50" s="1">
        <f t="shared" si="0"/>
        <v>0.20588235164359858</v>
      </c>
      <c r="J50" s="1">
        <f t="shared" si="1"/>
        <v>1.1308728282101368E-3</v>
      </c>
    </row>
    <row r="51" spans="1:10">
      <c r="A51" t="s">
        <v>32</v>
      </c>
      <c r="B51">
        <v>16</v>
      </c>
      <c r="C51" t="s">
        <v>38</v>
      </c>
      <c r="D51">
        <v>3</v>
      </c>
      <c r="E51">
        <v>45.333331999999999</v>
      </c>
      <c r="F51">
        <v>82.333336000000003</v>
      </c>
      <c r="G51">
        <v>14267</v>
      </c>
      <c r="H51">
        <v>19454</v>
      </c>
      <c r="I51" s="1">
        <f t="shared" si="0"/>
        <v>1.8161765828287231</v>
      </c>
      <c r="J51" s="1">
        <f t="shared" si="1"/>
        <v>0.73337102909427365</v>
      </c>
    </row>
    <row r="52" spans="1:10">
      <c r="A52" t="s">
        <v>32</v>
      </c>
      <c r="B52">
        <v>16</v>
      </c>
      <c r="C52" t="s">
        <v>39</v>
      </c>
      <c r="D52">
        <v>4</v>
      </c>
      <c r="E52">
        <v>45.333331999999999</v>
      </c>
      <c r="F52">
        <v>87.333336000000003</v>
      </c>
      <c r="G52">
        <v>19454</v>
      </c>
      <c r="H52">
        <v>19454</v>
      </c>
      <c r="I52" s="1">
        <f t="shared" si="0"/>
        <v>1.9264707037197266</v>
      </c>
      <c r="J52" s="1">
        <f t="shared" si="1"/>
        <v>1</v>
      </c>
    </row>
    <row r="53" spans="1:10">
      <c r="A53" t="s">
        <v>32</v>
      </c>
      <c r="B53">
        <v>18</v>
      </c>
      <c r="C53" t="s">
        <v>2</v>
      </c>
      <c r="D53">
        <v>1</v>
      </c>
      <c r="E53">
        <v>46.333331999999999</v>
      </c>
      <c r="F53">
        <v>8</v>
      </c>
      <c r="G53">
        <v>22</v>
      </c>
      <c r="H53">
        <v>9280</v>
      </c>
      <c r="I53" s="1">
        <f t="shared" si="0"/>
        <v>0.1726618754722842</v>
      </c>
      <c r="J53" s="1">
        <f t="shared" si="1"/>
        <v>2.3706896551724138E-3</v>
      </c>
    </row>
    <row r="54" spans="1:10">
      <c r="A54" t="s">
        <v>32</v>
      </c>
      <c r="B54">
        <v>18</v>
      </c>
      <c r="C54" t="s">
        <v>33</v>
      </c>
      <c r="D54">
        <v>2</v>
      </c>
      <c r="E54">
        <v>46.333331999999999</v>
      </c>
      <c r="F54">
        <v>8.0000999999999998</v>
      </c>
      <c r="G54">
        <v>33</v>
      </c>
      <c r="H54">
        <v>9280</v>
      </c>
      <c r="I54" s="1">
        <f t="shared" si="0"/>
        <v>0.17266403374572759</v>
      </c>
      <c r="J54" s="1">
        <f t="shared" si="1"/>
        <v>3.5560344827586209E-3</v>
      </c>
    </row>
    <row r="55" spans="1:10">
      <c r="A55" t="s">
        <v>32</v>
      </c>
      <c r="B55">
        <v>18</v>
      </c>
      <c r="C55" t="s">
        <v>40</v>
      </c>
      <c r="D55">
        <v>3</v>
      </c>
      <c r="E55">
        <v>46.333331999999999</v>
      </c>
      <c r="F55">
        <v>9.6666670000000003</v>
      </c>
      <c r="G55">
        <v>159</v>
      </c>
      <c r="H55">
        <v>9280</v>
      </c>
      <c r="I55" s="1">
        <f t="shared" si="0"/>
        <v>0.20863310672325489</v>
      </c>
      <c r="J55" s="1">
        <f t="shared" si="1"/>
        <v>1.7133620689655172E-2</v>
      </c>
    </row>
    <row r="56" spans="1:10">
      <c r="A56" t="s">
        <v>32</v>
      </c>
      <c r="B56">
        <v>18</v>
      </c>
      <c r="C56" t="s">
        <v>41</v>
      </c>
      <c r="D56">
        <v>4</v>
      </c>
      <c r="E56">
        <v>46.333331999999999</v>
      </c>
      <c r="F56">
        <v>11</v>
      </c>
      <c r="G56">
        <v>246</v>
      </c>
      <c r="H56">
        <v>9280</v>
      </c>
      <c r="I56" s="1">
        <f t="shared" si="0"/>
        <v>0.23741007877439077</v>
      </c>
      <c r="J56" s="1">
        <f t="shared" si="1"/>
        <v>2.6508620689655173E-2</v>
      </c>
    </row>
    <row r="57" spans="1:10">
      <c r="A57" t="s">
        <v>32</v>
      </c>
      <c r="B57">
        <v>18</v>
      </c>
      <c r="C57" t="s">
        <v>42</v>
      </c>
      <c r="D57">
        <v>5</v>
      </c>
      <c r="E57">
        <v>46.333331999999999</v>
      </c>
      <c r="F57">
        <v>12.666667</v>
      </c>
      <c r="G57">
        <v>680</v>
      </c>
      <c r="H57">
        <v>9280</v>
      </c>
      <c r="I57" s="1">
        <f t="shared" si="0"/>
        <v>0.27338131002536148</v>
      </c>
      <c r="J57" s="1">
        <f t="shared" si="1"/>
        <v>7.3275862068965511E-2</v>
      </c>
    </row>
    <row r="58" spans="1:10">
      <c r="A58" t="s">
        <v>32</v>
      </c>
      <c r="B58">
        <v>18</v>
      </c>
      <c r="C58" t="s">
        <v>68</v>
      </c>
      <c r="D58">
        <v>6</v>
      </c>
      <c r="E58">
        <v>46.333331999999999</v>
      </c>
      <c r="F58">
        <v>12.666767</v>
      </c>
      <c r="G58">
        <v>816</v>
      </c>
      <c r="H58">
        <v>9280</v>
      </c>
      <c r="I58" s="1">
        <f t="shared" si="0"/>
        <v>0.27338346829880483</v>
      </c>
      <c r="J58" s="1">
        <f t="shared" si="1"/>
        <v>8.7931034482758616E-2</v>
      </c>
    </row>
    <row r="59" spans="1:10">
      <c r="A59" t="s">
        <v>32</v>
      </c>
      <c r="B59">
        <v>18</v>
      </c>
      <c r="C59" t="s">
        <v>43</v>
      </c>
      <c r="D59">
        <v>7</v>
      </c>
      <c r="E59">
        <v>46.333331999999999</v>
      </c>
      <c r="F59">
        <v>13.333333</v>
      </c>
      <c r="G59">
        <v>943</v>
      </c>
      <c r="H59">
        <v>9280</v>
      </c>
      <c r="I59" s="1">
        <f t="shared" si="0"/>
        <v>0.28776978525956215</v>
      </c>
      <c r="J59" s="1">
        <f t="shared" si="1"/>
        <v>0.10161637931034483</v>
      </c>
    </row>
    <row r="60" spans="1:10">
      <c r="A60" t="s">
        <v>32</v>
      </c>
      <c r="B60">
        <v>18</v>
      </c>
      <c r="C60" t="s">
        <v>66</v>
      </c>
      <c r="D60">
        <v>8</v>
      </c>
      <c r="E60">
        <v>46.333331999999999</v>
      </c>
      <c r="F60">
        <v>13.333432999999999</v>
      </c>
      <c r="G60">
        <v>948</v>
      </c>
      <c r="H60">
        <v>9280</v>
      </c>
      <c r="I60" s="1">
        <f t="shared" si="0"/>
        <v>0.28777194353300556</v>
      </c>
      <c r="J60" s="1">
        <f t="shared" si="1"/>
        <v>0.1021551724137931</v>
      </c>
    </row>
    <row r="61" spans="1:10">
      <c r="A61" t="s">
        <v>32</v>
      </c>
      <c r="B61">
        <v>18</v>
      </c>
      <c r="C61" t="s">
        <v>45</v>
      </c>
      <c r="D61">
        <v>9</v>
      </c>
      <c r="E61">
        <v>46.333331999999999</v>
      </c>
      <c r="F61">
        <v>13.666667</v>
      </c>
      <c r="G61">
        <v>948</v>
      </c>
      <c r="H61">
        <v>9280</v>
      </c>
      <c r="I61" s="1">
        <f t="shared" si="0"/>
        <v>0.294964044459397</v>
      </c>
      <c r="J61" s="1">
        <f t="shared" si="1"/>
        <v>0.1021551724137931</v>
      </c>
    </row>
    <row r="62" spans="1:10">
      <c r="A62" t="s">
        <v>32</v>
      </c>
      <c r="B62">
        <v>18</v>
      </c>
      <c r="C62" t="s">
        <v>44</v>
      </c>
      <c r="D62">
        <v>10</v>
      </c>
      <c r="E62">
        <v>46.333331999999999</v>
      </c>
      <c r="F62">
        <v>13.666767</v>
      </c>
      <c r="G62">
        <v>948</v>
      </c>
      <c r="H62">
        <v>9280</v>
      </c>
      <c r="I62" s="1">
        <f t="shared" si="0"/>
        <v>0.29496620273284035</v>
      </c>
      <c r="J62" s="1">
        <f t="shared" si="1"/>
        <v>0.1021551724137931</v>
      </c>
    </row>
    <row r="63" spans="1:10">
      <c r="A63" t="s">
        <v>32</v>
      </c>
      <c r="B63">
        <v>18</v>
      </c>
      <c r="C63" t="s">
        <v>67</v>
      </c>
      <c r="D63">
        <v>11</v>
      </c>
      <c r="E63">
        <v>46.333331999999999</v>
      </c>
      <c r="F63">
        <v>13.666867</v>
      </c>
      <c r="G63">
        <v>948</v>
      </c>
      <c r="H63">
        <v>9280</v>
      </c>
      <c r="I63" s="1">
        <f t="shared" si="0"/>
        <v>0.29496836100628376</v>
      </c>
      <c r="J63" s="1">
        <f t="shared" si="1"/>
        <v>0.1021551724137931</v>
      </c>
    </row>
    <row r="64" spans="1:10">
      <c r="A64" t="s">
        <v>32</v>
      </c>
      <c r="B64">
        <v>18</v>
      </c>
      <c r="C64" t="s">
        <v>69</v>
      </c>
      <c r="D64">
        <v>12</v>
      </c>
      <c r="E64">
        <v>46.333331999999999</v>
      </c>
      <c r="F64">
        <v>13.666967</v>
      </c>
      <c r="G64">
        <v>948</v>
      </c>
      <c r="H64">
        <v>9280</v>
      </c>
      <c r="I64" s="1">
        <f t="shared" si="0"/>
        <v>0.29497051927972717</v>
      </c>
      <c r="J64" s="1">
        <f t="shared" si="1"/>
        <v>0.1021551724137931</v>
      </c>
    </row>
    <row r="65" spans="1:10">
      <c r="A65" t="s">
        <v>32</v>
      </c>
      <c r="B65">
        <v>18</v>
      </c>
      <c r="C65" t="s">
        <v>47</v>
      </c>
      <c r="D65">
        <v>13</v>
      </c>
      <c r="E65">
        <v>46.333331999999999</v>
      </c>
      <c r="F65">
        <v>14</v>
      </c>
      <c r="G65">
        <v>948</v>
      </c>
      <c r="H65">
        <v>9280</v>
      </c>
      <c r="I65" s="1">
        <f t="shared" si="0"/>
        <v>0.30215828207649731</v>
      </c>
      <c r="J65" s="1">
        <f t="shared" si="1"/>
        <v>0.1021551724137931</v>
      </c>
    </row>
    <row r="66" spans="1:10">
      <c r="A66" t="s">
        <v>32</v>
      </c>
      <c r="B66">
        <v>18</v>
      </c>
      <c r="C66" t="s">
        <v>49</v>
      </c>
      <c r="D66">
        <v>14</v>
      </c>
      <c r="E66">
        <v>46.333331999999999</v>
      </c>
      <c r="F66">
        <v>14.0001</v>
      </c>
      <c r="G66">
        <v>1175</v>
      </c>
      <c r="H66">
        <v>9280</v>
      </c>
      <c r="I66" s="1">
        <f t="shared" si="0"/>
        <v>0.30216044034994072</v>
      </c>
      <c r="J66" s="1">
        <f t="shared" si="1"/>
        <v>0.12661637931034483</v>
      </c>
    </row>
    <row r="67" spans="1:10">
      <c r="A67" t="s">
        <v>32</v>
      </c>
      <c r="B67">
        <v>18</v>
      </c>
      <c r="C67" t="s">
        <v>48</v>
      </c>
      <c r="D67">
        <v>15</v>
      </c>
      <c r="E67">
        <v>46.333331999999999</v>
      </c>
      <c r="F67">
        <v>14.333333</v>
      </c>
      <c r="G67">
        <v>1175</v>
      </c>
      <c r="H67">
        <v>9280</v>
      </c>
      <c r="I67" s="1">
        <f t="shared" ref="I67:I130" si="2">F67/E67</f>
        <v>0.30935251969359767</v>
      </c>
      <c r="J67" s="1">
        <f t="shared" ref="J67:J130" si="3">G67/H67</f>
        <v>0.12661637931034483</v>
      </c>
    </row>
    <row r="68" spans="1:10">
      <c r="A68" t="s">
        <v>32</v>
      </c>
      <c r="B68">
        <v>18</v>
      </c>
      <c r="C68" t="s">
        <v>52</v>
      </c>
      <c r="D68">
        <v>16</v>
      </c>
      <c r="E68">
        <v>46.333331999999999</v>
      </c>
      <c r="F68">
        <v>14.333432999999999</v>
      </c>
      <c r="G68">
        <v>1175</v>
      </c>
      <c r="H68">
        <v>9280</v>
      </c>
      <c r="I68" s="1">
        <f t="shared" si="2"/>
        <v>0.30935467796704108</v>
      </c>
      <c r="J68" s="1">
        <f t="shared" si="3"/>
        <v>0.12661637931034483</v>
      </c>
    </row>
    <row r="69" spans="1:10">
      <c r="A69" t="s">
        <v>32</v>
      </c>
      <c r="B69">
        <v>18</v>
      </c>
      <c r="C69" t="s">
        <v>46</v>
      </c>
      <c r="D69">
        <v>17</v>
      </c>
      <c r="E69">
        <v>46.333331999999999</v>
      </c>
      <c r="F69">
        <v>14.666667</v>
      </c>
      <c r="G69">
        <v>1175</v>
      </c>
      <c r="H69">
        <v>9280</v>
      </c>
      <c r="I69" s="1">
        <f t="shared" si="2"/>
        <v>0.31654677889343252</v>
      </c>
      <c r="J69" s="1">
        <f t="shared" si="3"/>
        <v>0.12661637931034483</v>
      </c>
    </row>
    <row r="70" spans="1:10">
      <c r="A70" t="s">
        <v>32</v>
      </c>
      <c r="B70">
        <v>18</v>
      </c>
      <c r="C70" t="s">
        <v>75</v>
      </c>
      <c r="D70">
        <v>18</v>
      </c>
      <c r="E70">
        <v>46.333331999999999</v>
      </c>
      <c r="F70">
        <v>15</v>
      </c>
      <c r="G70">
        <v>1175</v>
      </c>
      <c r="H70">
        <v>9280</v>
      </c>
      <c r="I70" s="1">
        <f t="shared" si="2"/>
        <v>0.32374101651053289</v>
      </c>
      <c r="J70" s="1">
        <f t="shared" si="3"/>
        <v>0.12661637931034483</v>
      </c>
    </row>
    <row r="71" spans="1:10">
      <c r="A71" t="s">
        <v>32</v>
      </c>
      <c r="B71">
        <v>18</v>
      </c>
      <c r="C71" t="s">
        <v>76</v>
      </c>
      <c r="D71">
        <v>19</v>
      </c>
      <c r="E71">
        <v>46.333331999999999</v>
      </c>
      <c r="F71">
        <v>15.666667</v>
      </c>
      <c r="G71">
        <v>1961</v>
      </c>
      <c r="H71">
        <v>9280</v>
      </c>
      <c r="I71" s="1">
        <f t="shared" si="2"/>
        <v>0.33812951332746805</v>
      </c>
      <c r="J71" s="1">
        <f t="shared" si="3"/>
        <v>0.2113146551724138</v>
      </c>
    </row>
    <row r="72" spans="1:10">
      <c r="A72" t="s">
        <v>32</v>
      </c>
      <c r="B72">
        <v>18</v>
      </c>
      <c r="C72" t="s">
        <v>63</v>
      </c>
      <c r="D72">
        <v>20</v>
      </c>
      <c r="E72">
        <v>46.333331999999999</v>
      </c>
      <c r="F72">
        <v>16</v>
      </c>
      <c r="G72">
        <v>2188</v>
      </c>
      <c r="H72">
        <v>9280</v>
      </c>
      <c r="I72" s="1">
        <f t="shared" si="2"/>
        <v>0.34532375094456841</v>
      </c>
      <c r="J72" s="1">
        <f t="shared" si="3"/>
        <v>0.23577586206896553</v>
      </c>
    </row>
    <row r="73" spans="1:10">
      <c r="A73" t="s">
        <v>32</v>
      </c>
      <c r="B73">
        <v>18</v>
      </c>
      <c r="C73" t="s">
        <v>50</v>
      </c>
      <c r="D73">
        <v>21</v>
      </c>
      <c r="E73">
        <v>46.333331999999999</v>
      </c>
      <c r="F73">
        <v>17</v>
      </c>
      <c r="G73">
        <v>2215</v>
      </c>
      <c r="H73">
        <v>9280</v>
      </c>
      <c r="I73" s="1">
        <f t="shared" si="2"/>
        <v>0.36690648537860393</v>
      </c>
      <c r="J73" s="1">
        <f t="shared" si="3"/>
        <v>0.23868534482758622</v>
      </c>
    </row>
    <row r="74" spans="1:10">
      <c r="A74" t="s">
        <v>32</v>
      </c>
      <c r="B74">
        <v>18</v>
      </c>
      <c r="C74" t="s">
        <v>51</v>
      </c>
      <c r="D74">
        <v>22</v>
      </c>
      <c r="E74">
        <v>46.333331999999999</v>
      </c>
      <c r="F74">
        <v>17.666665999999999</v>
      </c>
      <c r="G74">
        <v>3060</v>
      </c>
      <c r="H74">
        <v>9280</v>
      </c>
      <c r="I74" s="1">
        <f t="shared" si="2"/>
        <v>0.3812949606128046</v>
      </c>
      <c r="J74" s="1">
        <f t="shared" si="3"/>
        <v>0.32974137931034481</v>
      </c>
    </row>
    <row r="75" spans="1:10">
      <c r="A75" t="s">
        <v>32</v>
      </c>
      <c r="B75">
        <v>18</v>
      </c>
      <c r="C75" t="s">
        <v>56</v>
      </c>
      <c r="D75">
        <v>23</v>
      </c>
      <c r="E75">
        <v>46.333331999999999</v>
      </c>
      <c r="F75">
        <v>17.666765000000002</v>
      </c>
      <c r="G75">
        <v>3307</v>
      </c>
      <c r="H75">
        <v>9280</v>
      </c>
      <c r="I75" s="1">
        <f t="shared" si="2"/>
        <v>0.38129709730351363</v>
      </c>
      <c r="J75" s="1">
        <f t="shared" si="3"/>
        <v>0.35635775862068964</v>
      </c>
    </row>
    <row r="76" spans="1:10">
      <c r="A76" t="s">
        <v>32</v>
      </c>
      <c r="B76">
        <v>18</v>
      </c>
      <c r="C76" t="s">
        <v>53</v>
      </c>
      <c r="D76">
        <v>24</v>
      </c>
      <c r="E76">
        <v>46.333331999999999</v>
      </c>
      <c r="F76">
        <v>18.333334000000001</v>
      </c>
      <c r="G76">
        <v>3323</v>
      </c>
      <c r="H76">
        <v>9280</v>
      </c>
      <c r="I76" s="1">
        <f t="shared" si="2"/>
        <v>0.39568347901247425</v>
      </c>
      <c r="J76" s="1">
        <f t="shared" si="3"/>
        <v>0.35808189655172412</v>
      </c>
    </row>
    <row r="77" spans="1:10">
      <c r="A77" t="s">
        <v>32</v>
      </c>
      <c r="B77">
        <v>18</v>
      </c>
      <c r="C77" t="s">
        <v>61</v>
      </c>
      <c r="D77">
        <v>25</v>
      </c>
      <c r="E77">
        <v>46.333331999999999</v>
      </c>
      <c r="F77">
        <v>18.333432999999999</v>
      </c>
      <c r="G77">
        <v>4487</v>
      </c>
      <c r="H77">
        <v>9280</v>
      </c>
      <c r="I77" s="1">
        <f t="shared" si="2"/>
        <v>0.39568561570318317</v>
      </c>
      <c r="J77" s="1">
        <f t="shared" si="3"/>
        <v>0.48351293103448278</v>
      </c>
    </row>
    <row r="78" spans="1:10">
      <c r="A78" t="s">
        <v>32</v>
      </c>
      <c r="B78">
        <v>18</v>
      </c>
      <c r="C78" t="s">
        <v>70</v>
      </c>
      <c r="D78">
        <v>26</v>
      </c>
      <c r="E78">
        <v>46.333331999999999</v>
      </c>
      <c r="F78">
        <v>18.333532000000002</v>
      </c>
      <c r="G78">
        <v>4588</v>
      </c>
      <c r="H78">
        <v>9280</v>
      </c>
      <c r="I78" s="1">
        <f t="shared" si="2"/>
        <v>0.3956877523938922</v>
      </c>
      <c r="J78" s="1">
        <f t="shared" si="3"/>
        <v>0.49439655172413793</v>
      </c>
    </row>
    <row r="79" spans="1:10">
      <c r="A79" t="s">
        <v>32</v>
      </c>
      <c r="B79">
        <v>18</v>
      </c>
      <c r="C79" t="s">
        <v>55</v>
      </c>
      <c r="D79">
        <v>27</v>
      </c>
      <c r="E79">
        <v>46.333331999999999</v>
      </c>
      <c r="F79">
        <v>18.666665999999999</v>
      </c>
      <c r="G79">
        <v>4588</v>
      </c>
      <c r="H79">
        <v>9280</v>
      </c>
      <c r="I79" s="1">
        <f t="shared" si="2"/>
        <v>0.40287769504684012</v>
      </c>
      <c r="J79" s="1">
        <f t="shared" si="3"/>
        <v>0.49439655172413793</v>
      </c>
    </row>
    <row r="80" spans="1:10">
      <c r="A80" t="s">
        <v>32</v>
      </c>
      <c r="B80">
        <v>18</v>
      </c>
      <c r="C80" t="s">
        <v>64</v>
      </c>
      <c r="D80">
        <v>28</v>
      </c>
      <c r="E80">
        <v>46.333331999999999</v>
      </c>
      <c r="F80">
        <v>18.666765000000002</v>
      </c>
      <c r="G80">
        <v>4593</v>
      </c>
      <c r="H80">
        <v>9280</v>
      </c>
      <c r="I80" s="1">
        <f t="shared" si="2"/>
        <v>0.40287983173754915</v>
      </c>
      <c r="J80" s="1">
        <f t="shared" si="3"/>
        <v>0.49493534482758622</v>
      </c>
    </row>
    <row r="81" spans="1:10">
      <c r="A81" t="s">
        <v>32</v>
      </c>
      <c r="B81">
        <v>18</v>
      </c>
      <c r="C81" t="s">
        <v>73</v>
      </c>
      <c r="D81">
        <v>29</v>
      </c>
      <c r="E81">
        <v>46.333331999999999</v>
      </c>
      <c r="F81">
        <v>18.666864</v>
      </c>
      <c r="G81">
        <v>4693</v>
      </c>
      <c r="H81">
        <v>9280</v>
      </c>
      <c r="I81" s="1">
        <f t="shared" si="2"/>
        <v>0.40288196842825813</v>
      </c>
      <c r="J81" s="1">
        <f t="shared" si="3"/>
        <v>0.50571120689655169</v>
      </c>
    </row>
    <row r="82" spans="1:10">
      <c r="A82" t="s">
        <v>32</v>
      </c>
      <c r="B82">
        <v>18</v>
      </c>
      <c r="C82" t="s">
        <v>74</v>
      </c>
      <c r="D82">
        <v>30</v>
      </c>
      <c r="E82">
        <v>46.333331999999999</v>
      </c>
      <c r="F82">
        <v>18.666964</v>
      </c>
      <c r="G82">
        <v>4693</v>
      </c>
      <c r="H82">
        <v>9280</v>
      </c>
      <c r="I82" s="1">
        <f t="shared" si="2"/>
        <v>0.40288412670170148</v>
      </c>
      <c r="J82" s="1">
        <f t="shared" si="3"/>
        <v>0.50571120689655169</v>
      </c>
    </row>
    <row r="83" spans="1:10">
      <c r="A83" t="s">
        <v>32</v>
      </c>
      <c r="B83">
        <v>18</v>
      </c>
      <c r="C83" t="s">
        <v>54</v>
      </c>
      <c r="D83">
        <v>31</v>
      </c>
      <c r="E83">
        <v>46.333331999999999</v>
      </c>
      <c r="F83">
        <v>19</v>
      </c>
      <c r="G83">
        <v>4778</v>
      </c>
      <c r="H83">
        <v>9280</v>
      </c>
      <c r="I83" s="1">
        <f t="shared" si="2"/>
        <v>0.41007195424667497</v>
      </c>
      <c r="J83" s="1">
        <f t="shared" si="3"/>
        <v>0.51487068965517246</v>
      </c>
    </row>
    <row r="84" spans="1:10">
      <c r="A84" t="s">
        <v>32</v>
      </c>
      <c r="B84">
        <v>18</v>
      </c>
      <c r="C84" t="s">
        <v>59</v>
      </c>
      <c r="D84">
        <v>32</v>
      </c>
      <c r="E84">
        <v>46.333331999999999</v>
      </c>
      <c r="F84">
        <v>19.333334000000001</v>
      </c>
      <c r="G84">
        <v>4778</v>
      </c>
      <c r="H84">
        <v>9280</v>
      </c>
      <c r="I84" s="1">
        <f t="shared" si="2"/>
        <v>0.41726621344650977</v>
      </c>
      <c r="J84" s="1">
        <f t="shared" si="3"/>
        <v>0.51487068965517246</v>
      </c>
    </row>
    <row r="85" spans="1:10">
      <c r="A85" t="s">
        <v>32</v>
      </c>
      <c r="B85">
        <v>18</v>
      </c>
      <c r="C85" t="s">
        <v>72</v>
      </c>
      <c r="D85">
        <v>33</v>
      </c>
      <c r="E85">
        <v>46.333331999999999</v>
      </c>
      <c r="F85">
        <v>19.333432999999999</v>
      </c>
      <c r="G85">
        <v>4778</v>
      </c>
      <c r="H85">
        <v>9280</v>
      </c>
      <c r="I85" s="1">
        <f t="shared" si="2"/>
        <v>0.41726835013721869</v>
      </c>
      <c r="J85" s="1">
        <f t="shared" si="3"/>
        <v>0.51487068965517246</v>
      </c>
    </row>
    <row r="86" spans="1:10">
      <c r="A86" t="s">
        <v>32</v>
      </c>
      <c r="B86">
        <v>18</v>
      </c>
      <c r="C86" t="s">
        <v>57</v>
      </c>
      <c r="D86">
        <v>34</v>
      </c>
      <c r="E86">
        <v>46.333331999999999</v>
      </c>
      <c r="F86">
        <v>20</v>
      </c>
      <c r="G86">
        <v>4778</v>
      </c>
      <c r="H86">
        <v>9280</v>
      </c>
      <c r="I86" s="1">
        <f t="shared" si="2"/>
        <v>0.4316546886807105</v>
      </c>
      <c r="J86" s="1">
        <f t="shared" si="3"/>
        <v>0.51487068965517246</v>
      </c>
    </row>
    <row r="87" spans="1:10">
      <c r="A87" t="s">
        <v>32</v>
      </c>
      <c r="B87">
        <v>18</v>
      </c>
      <c r="C87" t="s">
        <v>60</v>
      </c>
      <c r="D87">
        <v>35</v>
      </c>
      <c r="E87">
        <v>46.333331999999999</v>
      </c>
      <c r="F87">
        <v>20.333334000000001</v>
      </c>
      <c r="G87">
        <v>4778</v>
      </c>
      <c r="H87">
        <v>9280</v>
      </c>
      <c r="I87" s="1">
        <f t="shared" si="2"/>
        <v>0.43884894788054529</v>
      </c>
      <c r="J87" s="1">
        <f t="shared" si="3"/>
        <v>0.51487068965517246</v>
      </c>
    </row>
    <row r="88" spans="1:10">
      <c r="A88" t="s">
        <v>32</v>
      </c>
      <c r="B88">
        <v>18</v>
      </c>
      <c r="C88" t="s">
        <v>65</v>
      </c>
      <c r="D88">
        <v>36</v>
      </c>
      <c r="E88">
        <v>46.333331999999999</v>
      </c>
      <c r="F88">
        <v>20.333432999999999</v>
      </c>
      <c r="G88">
        <v>4878</v>
      </c>
      <c r="H88">
        <v>9280</v>
      </c>
      <c r="I88" s="1">
        <f t="shared" si="2"/>
        <v>0.43885108457125421</v>
      </c>
      <c r="J88" s="1">
        <f t="shared" si="3"/>
        <v>0.52564655172413788</v>
      </c>
    </row>
    <row r="89" spans="1:10">
      <c r="A89" t="s">
        <v>32</v>
      </c>
      <c r="B89">
        <v>18</v>
      </c>
      <c r="C89" t="s">
        <v>71</v>
      </c>
      <c r="D89">
        <v>37</v>
      </c>
      <c r="E89">
        <v>46.333331999999999</v>
      </c>
      <c r="F89">
        <v>20.333532000000002</v>
      </c>
      <c r="G89">
        <v>4878</v>
      </c>
      <c r="H89">
        <v>9280</v>
      </c>
      <c r="I89" s="1">
        <f t="shared" si="2"/>
        <v>0.43885322126196324</v>
      </c>
      <c r="J89" s="1">
        <f t="shared" si="3"/>
        <v>0.52564655172413788</v>
      </c>
    </row>
    <row r="90" spans="1:10">
      <c r="A90" t="s">
        <v>32</v>
      </c>
      <c r="B90">
        <v>18</v>
      </c>
      <c r="C90" t="s">
        <v>58</v>
      </c>
      <c r="D90">
        <v>38</v>
      </c>
      <c r="E90">
        <v>46.333331999999999</v>
      </c>
      <c r="F90">
        <v>21</v>
      </c>
      <c r="G90">
        <v>4878</v>
      </c>
      <c r="H90">
        <v>9280</v>
      </c>
      <c r="I90" s="1">
        <f t="shared" si="2"/>
        <v>0.45323742311474602</v>
      </c>
      <c r="J90" s="1">
        <f t="shared" si="3"/>
        <v>0.52564655172413788</v>
      </c>
    </row>
    <row r="91" spans="1:10">
      <c r="A91" t="s">
        <v>32</v>
      </c>
      <c r="B91">
        <v>18</v>
      </c>
      <c r="C91" t="s">
        <v>62</v>
      </c>
      <c r="D91">
        <v>39</v>
      </c>
      <c r="E91">
        <v>46.333331999999999</v>
      </c>
      <c r="F91">
        <v>21.666665999999999</v>
      </c>
      <c r="G91">
        <v>4878</v>
      </c>
      <c r="H91">
        <v>9280</v>
      </c>
      <c r="I91" s="1">
        <f t="shared" si="2"/>
        <v>0.46762589834894669</v>
      </c>
      <c r="J91" s="1">
        <f t="shared" si="3"/>
        <v>0.52564655172413788</v>
      </c>
    </row>
    <row r="92" spans="1:10">
      <c r="A92" t="s">
        <v>32</v>
      </c>
      <c r="B92">
        <v>18</v>
      </c>
      <c r="C92" t="s">
        <v>77</v>
      </c>
      <c r="D92">
        <v>40</v>
      </c>
      <c r="E92">
        <v>46.333331999999999</v>
      </c>
      <c r="F92">
        <v>56</v>
      </c>
      <c r="G92">
        <v>8059</v>
      </c>
      <c r="H92">
        <v>9280</v>
      </c>
      <c r="I92" s="1">
        <f t="shared" si="2"/>
        <v>1.2086331283059892</v>
      </c>
      <c r="J92" s="1">
        <f t="shared" si="3"/>
        <v>0.86842672413793098</v>
      </c>
    </row>
    <row r="93" spans="1:10">
      <c r="A93" t="s">
        <v>32</v>
      </c>
      <c r="B93">
        <v>18</v>
      </c>
      <c r="C93" t="s">
        <v>78</v>
      </c>
      <c r="D93">
        <v>41</v>
      </c>
      <c r="E93">
        <v>46.333331999999999</v>
      </c>
      <c r="F93">
        <v>58.333331999999999</v>
      </c>
      <c r="G93">
        <v>8059</v>
      </c>
      <c r="H93">
        <v>9280</v>
      </c>
      <c r="I93" s="1">
        <f t="shared" si="2"/>
        <v>1.2589928132084263</v>
      </c>
      <c r="J93" s="1">
        <f t="shared" si="3"/>
        <v>0.86842672413793098</v>
      </c>
    </row>
    <row r="94" spans="1:10">
      <c r="A94" t="s">
        <v>32</v>
      </c>
      <c r="B94">
        <v>18</v>
      </c>
      <c r="C94" t="s">
        <v>80</v>
      </c>
      <c r="D94">
        <v>42</v>
      </c>
      <c r="E94">
        <v>46.333331999999999</v>
      </c>
      <c r="F94">
        <v>60</v>
      </c>
      <c r="G94">
        <v>8620</v>
      </c>
      <c r="H94">
        <v>9280</v>
      </c>
      <c r="I94" s="1">
        <f t="shared" si="2"/>
        <v>1.2949640660421315</v>
      </c>
      <c r="J94" s="1">
        <f t="shared" si="3"/>
        <v>0.92887931034482762</v>
      </c>
    </row>
    <row r="95" spans="1:10">
      <c r="A95" t="s">
        <v>32</v>
      </c>
      <c r="B95">
        <v>18</v>
      </c>
      <c r="C95" t="s">
        <v>79</v>
      </c>
      <c r="D95">
        <v>43</v>
      </c>
      <c r="E95">
        <v>46.333331999999999</v>
      </c>
      <c r="F95">
        <v>61</v>
      </c>
      <c r="G95">
        <v>8620</v>
      </c>
      <c r="H95">
        <v>9280</v>
      </c>
      <c r="I95" s="1">
        <f t="shared" si="2"/>
        <v>1.3165468004761669</v>
      </c>
      <c r="J95" s="1">
        <f t="shared" si="3"/>
        <v>0.92887931034482762</v>
      </c>
    </row>
    <row r="96" spans="1:10">
      <c r="A96" t="s">
        <v>32</v>
      </c>
      <c r="B96">
        <v>18</v>
      </c>
      <c r="C96" t="s">
        <v>81</v>
      </c>
      <c r="D96">
        <v>44</v>
      </c>
      <c r="E96">
        <v>46.333331999999999</v>
      </c>
      <c r="F96">
        <v>61.333331999999999</v>
      </c>
      <c r="G96">
        <v>9280</v>
      </c>
      <c r="H96">
        <v>9280</v>
      </c>
      <c r="I96" s="1">
        <f t="shared" si="2"/>
        <v>1.3237410165105328</v>
      </c>
      <c r="J96" s="1">
        <f t="shared" si="3"/>
        <v>1</v>
      </c>
    </row>
    <row r="97" spans="1:10">
      <c r="A97" t="s">
        <v>32</v>
      </c>
      <c r="B97">
        <v>18</v>
      </c>
      <c r="C97" t="s">
        <v>82</v>
      </c>
      <c r="D97">
        <v>45</v>
      </c>
      <c r="E97">
        <v>46.333331999999999</v>
      </c>
      <c r="F97">
        <v>66.333336000000003</v>
      </c>
      <c r="G97">
        <v>9280</v>
      </c>
      <c r="H97">
        <v>9280</v>
      </c>
      <c r="I97" s="1">
        <f t="shared" si="2"/>
        <v>1.4316547750116484</v>
      </c>
      <c r="J97" s="1">
        <f t="shared" si="3"/>
        <v>1</v>
      </c>
    </row>
    <row r="98" spans="1:10">
      <c r="A98" t="s">
        <v>32</v>
      </c>
      <c r="B98">
        <v>18</v>
      </c>
      <c r="C98" t="s">
        <v>83</v>
      </c>
      <c r="D98">
        <v>46</v>
      </c>
      <c r="E98">
        <v>46.333331999999999</v>
      </c>
      <c r="F98">
        <v>68.666663999999997</v>
      </c>
      <c r="G98">
        <v>9280</v>
      </c>
      <c r="H98">
        <v>9280</v>
      </c>
      <c r="I98" s="1">
        <f t="shared" si="2"/>
        <v>1.4820143735831475</v>
      </c>
      <c r="J98" s="1">
        <f t="shared" si="3"/>
        <v>1</v>
      </c>
    </row>
    <row r="99" spans="1:10">
      <c r="A99" t="s">
        <v>32</v>
      </c>
      <c r="B99">
        <v>19</v>
      </c>
      <c r="C99" t="s">
        <v>2</v>
      </c>
      <c r="D99">
        <v>1</v>
      </c>
      <c r="E99">
        <v>50</v>
      </c>
      <c r="F99">
        <v>8</v>
      </c>
      <c r="G99">
        <v>24</v>
      </c>
      <c r="H99">
        <v>9183</v>
      </c>
      <c r="I99" s="1">
        <f t="shared" si="2"/>
        <v>0.16</v>
      </c>
      <c r="J99" s="1">
        <f t="shared" si="3"/>
        <v>2.6135249918327343E-3</v>
      </c>
    </row>
    <row r="100" spans="1:10">
      <c r="A100" t="s">
        <v>32</v>
      </c>
      <c r="B100">
        <v>19</v>
      </c>
      <c r="C100" t="s">
        <v>33</v>
      </c>
      <c r="D100">
        <v>2</v>
      </c>
      <c r="E100">
        <v>50</v>
      </c>
      <c r="F100">
        <v>8.0000999999999998</v>
      </c>
      <c r="G100">
        <v>38</v>
      </c>
      <c r="H100">
        <v>9183</v>
      </c>
      <c r="I100" s="1">
        <f t="shared" si="2"/>
        <v>0.16000200000000001</v>
      </c>
      <c r="J100" s="1">
        <f t="shared" si="3"/>
        <v>4.138081237068496E-3</v>
      </c>
    </row>
    <row r="101" spans="1:10">
      <c r="A101" t="s">
        <v>32</v>
      </c>
      <c r="B101">
        <v>19</v>
      </c>
      <c r="C101" t="s">
        <v>84</v>
      </c>
      <c r="D101">
        <v>3</v>
      </c>
      <c r="E101">
        <v>50</v>
      </c>
      <c r="F101">
        <v>22</v>
      </c>
      <c r="G101">
        <v>3718</v>
      </c>
      <c r="H101">
        <v>9183</v>
      </c>
      <c r="I101" s="1">
        <f t="shared" si="2"/>
        <v>0.44</v>
      </c>
      <c r="J101" s="1">
        <f t="shared" si="3"/>
        <v>0.40487857998475446</v>
      </c>
    </row>
    <row r="102" spans="1:10">
      <c r="A102" t="s">
        <v>32</v>
      </c>
      <c r="B102">
        <v>19</v>
      </c>
      <c r="C102" t="s">
        <v>40</v>
      </c>
      <c r="D102">
        <v>4</v>
      </c>
      <c r="E102">
        <v>50</v>
      </c>
      <c r="F102">
        <v>22.0001</v>
      </c>
      <c r="G102">
        <v>3718</v>
      </c>
      <c r="H102">
        <v>9183</v>
      </c>
      <c r="I102" s="1">
        <f t="shared" si="2"/>
        <v>0.440002</v>
      </c>
      <c r="J102" s="1">
        <f t="shared" si="3"/>
        <v>0.40487857998475446</v>
      </c>
    </row>
    <row r="103" spans="1:10">
      <c r="A103" t="s">
        <v>32</v>
      </c>
      <c r="B103">
        <v>19</v>
      </c>
      <c r="C103" t="s">
        <v>85</v>
      </c>
      <c r="D103">
        <v>5</v>
      </c>
      <c r="E103">
        <v>50</v>
      </c>
      <c r="F103">
        <v>22.666665999999999</v>
      </c>
      <c r="G103">
        <v>3860</v>
      </c>
      <c r="H103">
        <v>9183</v>
      </c>
      <c r="I103" s="1">
        <f t="shared" si="2"/>
        <v>0.45333331999999998</v>
      </c>
      <c r="J103" s="1">
        <f t="shared" si="3"/>
        <v>0.42034193618643145</v>
      </c>
    </row>
    <row r="104" spans="1:10">
      <c r="A104" t="s">
        <v>32</v>
      </c>
      <c r="B104">
        <v>19</v>
      </c>
      <c r="C104" t="s">
        <v>86</v>
      </c>
      <c r="D104">
        <v>6</v>
      </c>
      <c r="E104">
        <v>50</v>
      </c>
      <c r="F104">
        <v>26.333334000000001</v>
      </c>
      <c r="G104">
        <v>6303</v>
      </c>
      <c r="H104">
        <v>9183</v>
      </c>
      <c r="I104" s="1">
        <f t="shared" si="2"/>
        <v>0.52666668000000005</v>
      </c>
      <c r="J104" s="1">
        <f t="shared" si="3"/>
        <v>0.68637700098007193</v>
      </c>
    </row>
    <row r="105" spans="1:10">
      <c r="A105" t="s">
        <v>32</v>
      </c>
      <c r="B105">
        <v>19</v>
      </c>
      <c r="C105" t="s">
        <v>87</v>
      </c>
      <c r="D105">
        <v>7</v>
      </c>
      <c r="E105">
        <v>50</v>
      </c>
      <c r="F105">
        <v>27.333334000000001</v>
      </c>
      <c r="G105">
        <v>6483</v>
      </c>
      <c r="H105">
        <v>9183</v>
      </c>
      <c r="I105" s="1">
        <f t="shared" si="2"/>
        <v>0.54666667999999996</v>
      </c>
      <c r="J105" s="1">
        <f t="shared" si="3"/>
        <v>0.70597843841881736</v>
      </c>
    </row>
    <row r="106" spans="1:10">
      <c r="A106" t="s">
        <v>32</v>
      </c>
      <c r="B106">
        <v>19</v>
      </c>
      <c r="C106" t="s">
        <v>90</v>
      </c>
      <c r="D106">
        <v>8</v>
      </c>
      <c r="E106">
        <v>50</v>
      </c>
      <c r="F106">
        <v>31</v>
      </c>
      <c r="G106">
        <v>7095</v>
      </c>
      <c r="H106">
        <v>9183</v>
      </c>
      <c r="I106" s="1">
        <f t="shared" si="2"/>
        <v>0.62</v>
      </c>
      <c r="J106" s="1">
        <f t="shared" si="3"/>
        <v>0.77262332571055214</v>
      </c>
    </row>
    <row r="107" spans="1:10">
      <c r="A107" t="s">
        <v>32</v>
      </c>
      <c r="B107">
        <v>19</v>
      </c>
      <c r="C107" t="s">
        <v>98</v>
      </c>
      <c r="D107">
        <v>9</v>
      </c>
      <c r="E107">
        <v>50</v>
      </c>
      <c r="F107">
        <v>31.0001</v>
      </c>
      <c r="G107">
        <v>7419</v>
      </c>
      <c r="H107">
        <v>9183</v>
      </c>
      <c r="I107" s="1">
        <f t="shared" si="2"/>
        <v>0.62000199999999994</v>
      </c>
      <c r="J107" s="1">
        <f t="shared" si="3"/>
        <v>0.80790591310029403</v>
      </c>
    </row>
    <row r="108" spans="1:10">
      <c r="A108" t="s">
        <v>32</v>
      </c>
      <c r="B108">
        <v>19</v>
      </c>
      <c r="C108" t="s">
        <v>88</v>
      </c>
      <c r="D108">
        <v>10</v>
      </c>
      <c r="E108">
        <v>50</v>
      </c>
      <c r="F108">
        <v>31.333334000000001</v>
      </c>
      <c r="G108">
        <v>7491</v>
      </c>
      <c r="H108">
        <v>9183</v>
      </c>
      <c r="I108" s="1">
        <f t="shared" si="2"/>
        <v>0.62666668000000003</v>
      </c>
      <c r="J108" s="1">
        <f t="shared" si="3"/>
        <v>0.8157464880757922</v>
      </c>
    </row>
    <row r="109" spans="1:10">
      <c r="A109" t="s">
        <v>32</v>
      </c>
      <c r="B109">
        <v>19</v>
      </c>
      <c r="C109" t="s">
        <v>102</v>
      </c>
      <c r="D109">
        <v>11</v>
      </c>
      <c r="E109">
        <v>50</v>
      </c>
      <c r="F109">
        <v>31.333432999999999</v>
      </c>
      <c r="G109">
        <v>7563</v>
      </c>
      <c r="H109">
        <v>9183</v>
      </c>
      <c r="I109" s="1">
        <f t="shared" si="2"/>
        <v>0.62666865999999999</v>
      </c>
      <c r="J109" s="1">
        <f t="shared" si="3"/>
        <v>0.82358706305129048</v>
      </c>
    </row>
    <row r="110" spans="1:10">
      <c r="A110" t="s">
        <v>32</v>
      </c>
      <c r="B110">
        <v>19</v>
      </c>
      <c r="C110" t="s">
        <v>100</v>
      </c>
      <c r="D110">
        <v>12</v>
      </c>
      <c r="E110">
        <v>50</v>
      </c>
      <c r="F110">
        <v>31.666665999999999</v>
      </c>
      <c r="G110">
        <v>7563</v>
      </c>
      <c r="H110">
        <v>9183</v>
      </c>
      <c r="I110" s="1">
        <f t="shared" si="2"/>
        <v>0.63333331999999998</v>
      </c>
      <c r="J110" s="1">
        <f t="shared" si="3"/>
        <v>0.82358706305129048</v>
      </c>
    </row>
    <row r="111" spans="1:10">
      <c r="A111" t="s">
        <v>32</v>
      </c>
      <c r="B111">
        <v>19</v>
      </c>
      <c r="C111" t="s">
        <v>106</v>
      </c>
      <c r="D111">
        <v>13</v>
      </c>
      <c r="E111">
        <v>50</v>
      </c>
      <c r="F111">
        <v>31.666765000000002</v>
      </c>
      <c r="G111">
        <v>7563</v>
      </c>
      <c r="H111">
        <v>9183</v>
      </c>
      <c r="I111" s="1">
        <f t="shared" si="2"/>
        <v>0.63333530000000005</v>
      </c>
      <c r="J111" s="1">
        <f t="shared" si="3"/>
        <v>0.82358706305129048</v>
      </c>
    </row>
    <row r="112" spans="1:10">
      <c r="A112" t="s">
        <v>32</v>
      </c>
      <c r="B112">
        <v>19</v>
      </c>
      <c r="C112" t="s">
        <v>89</v>
      </c>
      <c r="D112">
        <v>14</v>
      </c>
      <c r="E112">
        <v>50</v>
      </c>
      <c r="F112">
        <v>32</v>
      </c>
      <c r="G112">
        <v>7743</v>
      </c>
      <c r="H112">
        <v>9183</v>
      </c>
      <c r="I112" s="1">
        <f t="shared" si="2"/>
        <v>0.64</v>
      </c>
      <c r="J112" s="1">
        <f t="shared" si="3"/>
        <v>0.84318850049003591</v>
      </c>
    </row>
    <row r="113" spans="1:10">
      <c r="A113" t="s">
        <v>32</v>
      </c>
      <c r="B113">
        <v>19</v>
      </c>
      <c r="C113" t="s">
        <v>107</v>
      </c>
      <c r="D113">
        <v>15</v>
      </c>
      <c r="E113">
        <v>50</v>
      </c>
      <c r="F113">
        <v>32.000100000000003</v>
      </c>
      <c r="G113">
        <v>7743</v>
      </c>
      <c r="H113">
        <v>9183</v>
      </c>
      <c r="I113" s="1">
        <f t="shared" si="2"/>
        <v>0.64000200000000007</v>
      </c>
      <c r="J113" s="1">
        <f t="shared" si="3"/>
        <v>0.84318850049003591</v>
      </c>
    </row>
    <row r="114" spans="1:10">
      <c r="A114" t="s">
        <v>32</v>
      </c>
      <c r="B114">
        <v>19</v>
      </c>
      <c r="C114" t="s">
        <v>92</v>
      </c>
      <c r="D114">
        <v>16</v>
      </c>
      <c r="E114">
        <v>50</v>
      </c>
      <c r="F114">
        <v>32.333331999999999</v>
      </c>
      <c r="G114">
        <v>7743</v>
      </c>
      <c r="H114">
        <v>9183</v>
      </c>
      <c r="I114" s="1">
        <f t="shared" si="2"/>
        <v>0.64666663999999996</v>
      </c>
      <c r="J114" s="1">
        <f t="shared" si="3"/>
        <v>0.84318850049003591</v>
      </c>
    </row>
    <row r="115" spans="1:10">
      <c r="A115" t="s">
        <v>32</v>
      </c>
      <c r="B115">
        <v>19</v>
      </c>
      <c r="C115" t="s">
        <v>93</v>
      </c>
      <c r="D115">
        <v>17</v>
      </c>
      <c r="E115">
        <v>50</v>
      </c>
      <c r="F115">
        <v>32.33343</v>
      </c>
      <c r="G115">
        <v>7743</v>
      </c>
      <c r="H115">
        <v>9183</v>
      </c>
      <c r="I115" s="1">
        <f t="shared" si="2"/>
        <v>0.64666860000000004</v>
      </c>
      <c r="J115" s="1">
        <f t="shared" si="3"/>
        <v>0.84318850049003591</v>
      </c>
    </row>
    <row r="116" spans="1:10">
      <c r="A116" t="s">
        <v>32</v>
      </c>
      <c r="B116">
        <v>19</v>
      </c>
      <c r="C116" t="s">
        <v>94</v>
      </c>
      <c r="D116">
        <v>18</v>
      </c>
      <c r="E116">
        <v>50</v>
      </c>
      <c r="F116">
        <v>32.666668000000001</v>
      </c>
      <c r="G116">
        <v>7743</v>
      </c>
      <c r="H116">
        <v>9183</v>
      </c>
      <c r="I116" s="1">
        <f t="shared" si="2"/>
        <v>0.65333335999999997</v>
      </c>
      <c r="J116" s="1">
        <f t="shared" si="3"/>
        <v>0.84318850049003591</v>
      </c>
    </row>
    <row r="117" spans="1:10">
      <c r="A117" t="s">
        <v>32</v>
      </c>
      <c r="B117">
        <v>19</v>
      </c>
      <c r="C117" t="s">
        <v>96</v>
      </c>
      <c r="D117">
        <v>19</v>
      </c>
      <c r="E117">
        <v>50</v>
      </c>
      <c r="F117">
        <v>34</v>
      </c>
      <c r="G117">
        <v>8247</v>
      </c>
      <c r="H117">
        <v>9183</v>
      </c>
      <c r="I117" s="1">
        <f t="shared" si="2"/>
        <v>0.68</v>
      </c>
      <c r="J117" s="1">
        <f t="shared" si="3"/>
        <v>0.89807252531852333</v>
      </c>
    </row>
    <row r="118" spans="1:10">
      <c r="A118" t="s">
        <v>32</v>
      </c>
      <c r="B118">
        <v>19</v>
      </c>
      <c r="C118" t="s">
        <v>101</v>
      </c>
      <c r="D118">
        <v>20</v>
      </c>
      <c r="E118">
        <v>50</v>
      </c>
      <c r="F118">
        <v>34.000100000000003</v>
      </c>
      <c r="G118">
        <v>8247</v>
      </c>
      <c r="H118">
        <v>9183</v>
      </c>
      <c r="I118" s="1">
        <f t="shared" si="2"/>
        <v>0.68000200000000011</v>
      </c>
      <c r="J118" s="1">
        <f t="shared" si="3"/>
        <v>0.89807252531852333</v>
      </c>
    </row>
    <row r="119" spans="1:10">
      <c r="A119" t="s">
        <v>32</v>
      </c>
      <c r="B119">
        <v>19</v>
      </c>
      <c r="C119" t="s">
        <v>91</v>
      </c>
      <c r="D119">
        <v>21</v>
      </c>
      <c r="E119">
        <v>50</v>
      </c>
      <c r="F119">
        <v>34.333331999999999</v>
      </c>
      <c r="G119">
        <v>8967</v>
      </c>
      <c r="H119">
        <v>9183</v>
      </c>
      <c r="I119" s="1">
        <f t="shared" si="2"/>
        <v>0.68666663999999999</v>
      </c>
      <c r="J119" s="1">
        <f t="shared" si="3"/>
        <v>0.97647827507350538</v>
      </c>
    </row>
    <row r="120" spans="1:10">
      <c r="A120" t="s">
        <v>32</v>
      </c>
      <c r="B120">
        <v>19</v>
      </c>
      <c r="C120" t="s">
        <v>95</v>
      </c>
      <c r="D120">
        <v>22</v>
      </c>
      <c r="E120">
        <v>50</v>
      </c>
      <c r="F120">
        <v>34.33343</v>
      </c>
      <c r="G120">
        <v>8967</v>
      </c>
      <c r="H120">
        <v>9183</v>
      </c>
      <c r="I120" s="1">
        <f t="shared" si="2"/>
        <v>0.68666859999999996</v>
      </c>
      <c r="J120" s="1">
        <f t="shared" si="3"/>
        <v>0.97647827507350538</v>
      </c>
    </row>
    <row r="121" spans="1:10">
      <c r="A121" t="s">
        <v>32</v>
      </c>
      <c r="B121">
        <v>19</v>
      </c>
      <c r="C121" t="s">
        <v>99</v>
      </c>
      <c r="D121">
        <v>23</v>
      </c>
      <c r="E121">
        <v>50</v>
      </c>
      <c r="F121">
        <v>35.333331999999999</v>
      </c>
      <c r="G121">
        <v>8967</v>
      </c>
      <c r="H121">
        <v>9183</v>
      </c>
      <c r="I121" s="1">
        <f t="shared" si="2"/>
        <v>0.70666664000000001</v>
      </c>
      <c r="J121" s="1">
        <f t="shared" si="3"/>
        <v>0.97647827507350538</v>
      </c>
    </row>
    <row r="122" spans="1:10">
      <c r="A122" t="s">
        <v>32</v>
      </c>
      <c r="B122">
        <v>19</v>
      </c>
      <c r="C122" t="s">
        <v>97</v>
      </c>
      <c r="D122">
        <v>24</v>
      </c>
      <c r="E122">
        <v>50</v>
      </c>
      <c r="F122">
        <v>35.666668000000001</v>
      </c>
      <c r="G122">
        <v>8967</v>
      </c>
      <c r="H122">
        <v>9183</v>
      </c>
      <c r="I122" s="1">
        <f t="shared" si="2"/>
        <v>0.71333336000000003</v>
      </c>
      <c r="J122" s="1">
        <f t="shared" si="3"/>
        <v>0.97647827507350538</v>
      </c>
    </row>
    <row r="123" spans="1:10">
      <c r="A123" t="s">
        <v>32</v>
      </c>
      <c r="B123">
        <v>19</v>
      </c>
      <c r="C123" t="s">
        <v>105</v>
      </c>
      <c r="D123">
        <v>25</v>
      </c>
      <c r="E123">
        <v>50</v>
      </c>
      <c r="F123">
        <v>35.666767</v>
      </c>
      <c r="G123">
        <v>9183</v>
      </c>
      <c r="H123">
        <v>9183</v>
      </c>
      <c r="I123" s="1">
        <f t="shared" si="2"/>
        <v>0.71333533999999998</v>
      </c>
      <c r="J123" s="1">
        <f t="shared" si="3"/>
        <v>1</v>
      </c>
    </row>
    <row r="124" spans="1:10">
      <c r="A124" t="s">
        <v>32</v>
      </c>
      <c r="B124">
        <v>19</v>
      </c>
      <c r="C124" t="s">
        <v>104</v>
      </c>
      <c r="D124">
        <v>26</v>
      </c>
      <c r="E124">
        <v>50</v>
      </c>
      <c r="F124">
        <v>37</v>
      </c>
      <c r="G124">
        <v>9183</v>
      </c>
      <c r="H124">
        <v>9183</v>
      </c>
      <c r="I124" s="1">
        <f t="shared" si="2"/>
        <v>0.74</v>
      </c>
      <c r="J124" s="1">
        <f t="shared" si="3"/>
        <v>1</v>
      </c>
    </row>
    <row r="125" spans="1:10">
      <c r="A125" t="s">
        <v>32</v>
      </c>
      <c r="B125">
        <v>19</v>
      </c>
      <c r="C125" t="s">
        <v>103</v>
      </c>
      <c r="D125">
        <v>27</v>
      </c>
      <c r="E125">
        <v>50</v>
      </c>
      <c r="F125">
        <v>38</v>
      </c>
      <c r="G125">
        <v>9183</v>
      </c>
      <c r="H125">
        <v>9183</v>
      </c>
      <c r="I125" s="1">
        <f t="shared" si="2"/>
        <v>0.76</v>
      </c>
      <c r="J125" s="1">
        <f t="shared" si="3"/>
        <v>1</v>
      </c>
    </row>
    <row r="126" spans="1:10">
      <c r="A126" t="s">
        <v>32</v>
      </c>
      <c r="B126">
        <v>19</v>
      </c>
      <c r="C126" t="s">
        <v>108</v>
      </c>
      <c r="D126">
        <v>28</v>
      </c>
      <c r="E126">
        <v>50</v>
      </c>
      <c r="F126">
        <v>47.666668000000001</v>
      </c>
      <c r="G126">
        <v>9183</v>
      </c>
      <c r="H126">
        <v>9183</v>
      </c>
      <c r="I126" s="1">
        <f t="shared" si="2"/>
        <v>0.95333336000000002</v>
      </c>
      <c r="J126" s="1">
        <f t="shared" si="3"/>
        <v>1</v>
      </c>
    </row>
    <row r="127" spans="1:10">
      <c r="A127" t="s">
        <v>32</v>
      </c>
      <c r="B127">
        <v>20</v>
      </c>
      <c r="C127" t="s">
        <v>109</v>
      </c>
      <c r="D127">
        <v>1</v>
      </c>
      <c r="E127">
        <v>21.666665999999999</v>
      </c>
      <c r="F127">
        <v>10.666667</v>
      </c>
      <c r="G127">
        <v>444</v>
      </c>
      <c r="H127">
        <v>2731</v>
      </c>
      <c r="I127" s="1">
        <f t="shared" si="2"/>
        <v>0.49230772284023766</v>
      </c>
      <c r="J127" s="1">
        <f t="shared" si="3"/>
        <v>0.16257781032588794</v>
      </c>
    </row>
    <row r="128" spans="1:10">
      <c r="A128" t="s">
        <v>32</v>
      </c>
      <c r="B128">
        <v>20</v>
      </c>
      <c r="C128" t="s">
        <v>120</v>
      </c>
      <c r="D128">
        <v>2</v>
      </c>
      <c r="E128">
        <v>21.666665999999999</v>
      </c>
      <c r="F128">
        <v>11.333333</v>
      </c>
      <c r="G128">
        <v>674</v>
      </c>
      <c r="H128">
        <v>2731</v>
      </c>
      <c r="I128" s="1">
        <f t="shared" si="2"/>
        <v>0.52307692378698223</v>
      </c>
      <c r="J128" s="1">
        <f t="shared" si="3"/>
        <v>0.2467960454046137</v>
      </c>
    </row>
    <row r="129" spans="1:10">
      <c r="A129" t="s">
        <v>32</v>
      </c>
      <c r="B129">
        <v>20</v>
      </c>
      <c r="C129" t="s">
        <v>122</v>
      </c>
      <c r="D129">
        <v>3</v>
      </c>
      <c r="E129">
        <v>21.666665999999999</v>
      </c>
      <c r="F129">
        <v>11.333432999999999</v>
      </c>
      <c r="G129">
        <v>724</v>
      </c>
      <c r="H129">
        <v>2731</v>
      </c>
      <c r="I129" s="1">
        <f t="shared" si="2"/>
        <v>0.52308153917173961</v>
      </c>
      <c r="J129" s="1">
        <f t="shared" si="3"/>
        <v>0.26510435737824972</v>
      </c>
    </row>
    <row r="130" spans="1:10">
      <c r="A130" t="s">
        <v>32</v>
      </c>
      <c r="B130">
        <v>20</v>
      </c>
      <c r="C130" t="s">
        <v>123</v>
      </c>
      <c r="D130">
        <v>4</v>
      </c>
      <c r="E130">
        <v>21.666665999999999</v>
      </c>
      <c r="F130">
        <v>11.666667</v>
      </c>
      <c r="G130">
        <v>776</v>
      </c>
      <c r="H130">
        <v>2731</v>
      </c>
      <c r="I130" s="1">
        <f t="shared" si="2"/>
        <v>0.53846157041420217</v>
      </c>
      <c r="J130" s="1">
        <f t="shared" si="3"/>
        <v>0.28414500183083119</v>
      </c>
    </row>
    <row r="131" spans="1:10">
      <c r="A131" t="s">
        <v>32</v>
      </c>
      <c r="B131">
        <v>20</v>
      </c>
      <c r="C131" t="s">
        <v>111</v>
      </c>
      <c r="D131">
        <v>5</v>
      </c>
      <c r="E131">
        <v>21.666665999999999</v>
      </c>
      <c r="F131">
        <v>12</v>
      </c>
      <c r="G131">
        <v>1083</v>
      </c>
      <c r="H131">
        <v>2731</v>
      </c>
      <c r="I131" s="1">
        <f t="shared" ref="I131:I194" si="4">F131/E131</f>
        <v>0.55384617088757448</v>
      </c>
      <c r="J131" s="1">
        <f t="shared" ref="J131:J194" si="5">G131/H131</f>
        <v>0.39655803734895645</v>
      </c>
    </row>
    <row r="132" spans="1:10">
      <c r="A132" t="s">
        <v>32</v>
      </c>
      <c r="B132">
        <v>20</v>
      </c>
      <c r="C132" t="s">
        <v>110</v>
      </c>
      <c r="D132">
        <v>6</v>
      </c>
      <c r="E132">
        <v>21.666665999999999</v>
      </c>
      <c r="F132">
        <v>12.0001</v>
      </c>
      <c r="G132">
        <v>1093</v>
      </c>
      <c r="H132">
        <v>2731</v>
      </c>
      <c r="I132" s="1">
        <f t="shared" si="4"/>
        <v>0.55385078627233186</v>
      </c>
      <c r="J132" s="1">
        <f t="shared" si="5"/>
        <v>0.40021969974368365</v>
      </c>
    </row>
    <row r="133" spans="1:10">
      <c r="A133" t="s">
        <v>32</v>
      </c>
      <c r="B133">
        <v>20</v>
      </c>
      <c r="C133" t="s">
        <v>114</v>
      </c>
      <c r="D133">
        <v>7</v>
      </c>
      <c r="E133">
        <v>21.666665999999999</v>
      </c>
      <c r="F133">
        <v>12.0002</v>
      </c>
      <c r="G133">
        <v>1105</v>
      </c>
      <c r="H133">
        <v>2731</v>
      </c>
      <c r="I133" s="1">
        <f t="shared" si="4"/>
        <v>0.55385540165708924</v>
      </c>
      <c r="J133" s="1">
        <f t="shared" si="5"/>
        <v>0.4046136946173563</v>
      </c>
    </row>
    <row r="134" spans="1:10">
      <c r="A134" t="s">
        <v>32</v>
      </c>
      <c r="B134">
        <v>20</v>
      </c>
      <c r="C134" t="s">
        <v>118</v>
      </c>
      <c r="D134">
        <v>8</v>
      </c>
      <c r="E134">
        <v>21.666665999999999</v>
      </c>
      <c r="F134">
        <v>12.000299999999999</v>
      </c>
      <c r="G134">
        <v>1105</v>
      </c>
      <c r="H134">
        <v>2731</v>
      </c>
      <c r="I134" s="1">
        <f t="shared" si="4"/>
        <v>0.55386001704184662</v>
      </c>
      <c r="J134" s="1">
        <f t="shared" si="5"/>
        <v>0.4046136946173563</v>
      </c>
    </row>
    <row r="135" spans="1:10">
      <c r="A135" t="s">
        <v>32</v>
      </c>
      <c r="B135">
        <v>20</v>
      </c>
      <c r="C135" t="s">
        <v>128</v>
      </c>
      <c r="D135">
        <v>9</v>
      </c>
      <c r="E135">
        <v>21.666665999999999</v>
      </c>
      <c r="F135">
        <v>12.333333</v>
      </c>
      <c r="G135">
        <v>1797</v>
      </c>
      <c r="H135">
        <v>2731</v>
      </c>
      <c r="I135" s="1">
        <f t="shared" si="4"/>
        <v>0.5692307713609468</v>
      </c>
      <c r="J135" s="1">
        <f t="shared" si="5"/>
        <v>0.65800073233247891</v>
      </c>
    </row>
    <row r="136" spans="1:10">
      <c r="A136" t="s">
        <v>32</v>
      </c>
      <c r="B136">
        <v>20</v>
      </c>
      <c r="C136" t="s">
        <v>129</v>
      </c>
      <c r="D136">
        <v>10</v>
      </c>
      <c r="E136">
        <v>21.666665999999999</v>
      </c>
      <c r="F136">
        <v>12.333432999999999</v>
      </c>
      <c r="G136">
        <v>2429</v>
      </c>
      <c r="H136">
        <v>2731</v>
      </c>
      <c r="I136" s="1">
        <f t="shared" si="4"/>
        <v>0.56923538674570417</v>
      </c>
      <c r="J136" s="1">
        <f t="shared" si="5"/>
        <v>0.8894177956792384</v>
      </c>
    </row>
    <row r="137" spans="1:10">
      <c r="A137" t="s">
        <v>32</v>
      </c>
      <c r="B137">
        <v>20</v>
      </c>
      <c r="C137" t="s">
        <v>112</v>
      </c>
      <c r="D137">
        <v>11</v>
      </c>
      <c r="E137">
        <v>21.666665999999999</v>
      </c>
      <c r="F137">
        <v>12.666667</v>
      </c>
      <c r="G137">
        <v>2499</v>
      </c>
      <c r="H137">
        <v>2731</v>
      </c>
      <c r="I137" s="1">
        <f t="shared" si="4"/>
        <v>0.58461541798816674</v>
      </c>
      <c r="J137" s="1">
        <f t="shared" si="5"/>
        <v>0.91504943244232884</v>
      </c>
    </row>
    <row r="138" spans="1:10">
      <c r="A138" t="s">
        <v>32</v>
      </c>
      <c r="B138">
        <v>20</v>
      </c>
      <c r="C138" t="s">
        <v>126</v>
      </c>
      <c r="D138">
        <v>12</v>
      </c>
      <c r="E138">
        <v>21.666665999999999</v>
      </c>
      <c r="F138">
        <v>12.666767</v>
      </c>
      <c r="G138">
        <v>2499</v>
      </c>
      <c r="H138">
        <v>2731</v>
      </c>
      <c r="I138" s="1">
        <f t="shared" si="4"/>
        <v>0.58462003337292412</v>
      </c>
      <c r="J138" s="1">
        <f t="shared" si="5"/>
        <v>0.91504943244232884</v>
      </c>
    </row>
    <row r="139" spans="1:10">
      <c r="A139" t="s">
        <v>32</v>
      </c>
      <c r="B139">
        <v>20</v>
      </c>
      <c r="C139" t="s">
        <v>113</v>
      </c>
      <c r="D139">
        <v>13</v>
      </c>
      <c r="E139">
        <v>21.666665999999999</v>
      </c>
      <c r="F139">
        <v>13</v>
      </c>
      <c r="G139">
        <v>2499</v>
      </c>
      <c r="H139">
        <v>2731</v>
      </c>
      <c r="I139" s="1">
        <f t="shared" si="4"/>
        <v>0.60000001846153905</v>
      </c>
      <c r="J139" s="1">
        <f t="shared" si="5"/>
        <v>0.91504943244232884</v>
      </c>
    </row>
    <row r="140" spans="1:10">
      <c r="A140" t="s">
        <v>32</v>
      </c>
      <c r="B140">
        <v>20</v>
      </c>
      <c r="C140" t="s">
        <v>116</v>
      </c>
      <c r="D140">
        <v>14</v>
      </c>
      <c r="E140">
        <v>21.666665999999999</v>
      </c>
      <c r="F140">
        <v>13.0001</v>
      </c>
      <c r="G140">
        <v>2499</v>
      </c>
      <c r="H140">
        <v>2731</v>
      </c>
      <c r="I140" s="1">
        <f t="shared" si="4"/>
        <v>0.60000463384629643</v>
      </c>
      <c r="J140" s="1">
        <f t="shared" si="5"/>
        <v>0.91504943244232884</v>
      </c>
    </row>
    <row r="141" spans="1:10">
      <c r="A141" t="s">
        <v>32</v>
      </c>
      <c r="B141">
        <v>20</v>
      </c>
      <c r="C141" t="s">
        <v>121</v>
      </c>
      <c r="D141">
        <v>15</v>
      </c>
      <c r="E141">
        <v>21.666665999999999</v>
      </c>
      <c r="F141">
        <v>13.333333</v>
      </c>
      <c r="G141">
        <v>2521</v>
      </c>
      <c r="H141">
        <v>2731</v>
      </c>
      <c r="I141" s="1">
        <f t="shared" si="4"/>
        <v>0.61538461893491136</v>
      </c>
      <c r="J141" s="1">
        <f t="shared" si="5"/>
        <v>0.92310508971072869</v>
      </c>
    </row>
    <row r="142" spans="1:10">
      <c r="A142" t="s">
        <v>32</v>
      </c>
      <c r="B142">
        <v>20</v>
      </c>
      <c r="C142" t="s">
        <v>127</v>
      </c>
      <c r="D142">
        <v>16</v>
      </c>
      <c r="E142">
        <v>21.666665999999999</v>
      </c>
      <c r="F142">
        <v>13.333432999999999</v>
      </c>
      <c r="G142">
        <v>2521</v>
      </c>
      <c r="H142">
        <v>2731</v>
      </c>
      <c r="I142" s="1">
        <f t="shared" si="4"/>
        <v>0.61538923431966874</v>
      </c>
      <c r="J142" s="1">
        <f t="shared" si="5"/>
        <v>0.92310508971072869</v>
      </c>
    </row>
    <row r="143" spans="1:10">
      <c r="A143" t="s">
        <v>32</v>
      </c>
      <c r="B143">
        <v>20</v>
      </c>
      <c r="C143" t="s">
        <v>115</v>
      </c>
      <c r="D143">
        <v>17</v>
      </c>
      <c r="E143">
        <v>21.666665999999999</v>
      </c>
      <c r="F143">
        <v>13.666667</v>
      </c>
      <c r="G143">
        <v>2621</v>
      </c>
      <c r="H143">
        <v>2731</v>
      </c>
      <c r="I143" s="1">
        <f t="shared" si="4"/>
        <v>0.63076926556213131</v>
      </c>
      <c r="J143" s="1">
        <f t="shared" si="5"/>
        <v>0.95972171365800074</v>
      </c>
    </row>
    <row r="144" spans="1:10">
      <c r="A144" t="s">
        <v>32</v>
      </c>
      <c r="B144">
        <v>20</v>
      </c>
      <c r="C144" t="s">
        <v>130</v>
      </c>
      <c r="D144">
        <v>18</v>
      </c>
      <c r="E144">
        <v>21.666665999999999</v>
      </c>
      <c r="F144">
        <v>14</v>
      </c>
      <c r="G144">
        <v>2621</v>
      </c>
      <c r="H144">
        <v>2731</v>
      </c>
      <c r="I144" s="1">
        <f t="shared" si="4"/>
        <v>0.64615386603550362</v>
      </c>
      <c r="J144" s="1">
        <f t="shared" si="5"/>
        <v>0.95972171365800074</v>
      </c>
    </row>
    <row r="145" spans="1:10">
      <c r="A145" t="s">
        <v>32</v>
      </c>
      <c r="B145">
        <v>20</v>
      </c>
      <c r="C145" t="s">
        <v>124</v>
      </c>
      <c r="D145">
        <v>19</v>
      </c>
      <c r="E145">
        <v>21.666665999999999</v>
      </c>
      <c r="F145">
        <v>14.333333</v>
      </c>
      <c r="G145">
        <v>2731</v>
      </c>
      <c r="H145">
        <v>2731</v>
      </c>
      <c r="I145" s="1">
        <f t="shared" si="4"/>
        <v>0.66153846650887593</v>
      </c>
      <c r="J145" s="1">
        <f t="shared" si="5"/>
        <v>1</v>
      </c>
    </row>
    <row r="146" spans="1:10">
      <c r="A146" t="s">
        <v>32</v>
      </c>
      <c r="B146">
        <v>20</v>
      </c>
      <c r="C146" t="s">
        <v>125</v>
      </c>
      <c r="D146">
        <v>20</v>
      </c>
      <c r="E146">
        <v>21.666665999999999</v>
      </c>
      <c r="F146">
        <v>14.666667</v>
      </c>
      <c r="G146">
        <v>2731</v>
      </c>
      <c r="H146">
        <v>2731</v>
      </c>
      <c r="I146" s="1">
        <f t="shared" si="4"/>
        <v>0.67692311313609588</v>
      </c>
      <c r="J146" s="1">
        <f t="shared" si="5"/>
        <v>1</v>
      </c>
    </row>
    <row r="147" spans="1:10">
      <c r="A147" t="s">
        <v>32</v>
      </c>
      <c r="B147">
        <v>20</v>
      </c>
      <c r="C147" t="s">
        <v>117</v>
      </c>
      <c r="D147">
        <v>21</v>
      </c>
      <c r="E147">
        <v>21.666665999999999</v>
      </c>
      <c r="F147">
        <v>15</v>
      </c>
      <c r="G147">
        <v>2731</v>
      </c>
      <c r="H147">
        <v>2731</v>
      </c>
      <c r="I147" s="1">
        <f t="shared" si="4"/>
        <v>0.69230771360946808</v>
      </c>
      <c r="J147" s="1">
        <f t="shared" si="5"/>
        <v>1</v>
      </c>
    </row>
    <row r="148" spans="1:10">
      <c r="A148" t="s">
        <v>32</v>
      </c>
      <c r="B148">
        <v>20</v>
      </c>
      <c r="C148" t="s">
        <v>119</v>
      </c>
      <c r="D148">
        <v>22</v>
      </c>
      <c r="E148">
        <v>21.666665999999999</v>
      </c>
      <c r="F148">
        <v>15.333333</v>
      </c>
      <c r="G148">
        <v>2731</v>
      </c>
      <c r="H148">
        <v>2731</v>
      </c>
      <c r="I148" s="1">
        <f t="shared" si="4"/>
        <v>0.70769231408284039</v>
      </c>
      <c r="J148" s="1">
        <f t="shared" si="5"/>
        <v>1</v>
      </c>
    </row>
    <row r="149" spans="1:10">
      <c r="A149" t="s">
        <v>32</v>
      </c>
      <c r="B149">
        <v>20</v>
      </c>
      <c r="C149" t="s">
        <v>134</v>
      </c>
      <c r="D149">
        <v>23</v>
      </c>
      <c r="E149">
        <v>21.666665999999999</v>
      </c>
      <c r="F149">
        <v>25.333334000000001</v>
      </c>
      <c r="G149">
        <v>5029</v>
      </c>
      <c r="H149">
        <v>6785</v>
      </c>
      <c r="I149" s="1">
        <f t="shared" si="4"/>
        <v>1.1692308359763335</v>
      </c>
      <c r="J149" s="1">
        <f t="shared" si="5"/>
        <v>0.74119380987472361</v>
      </c>
    </row>
    <row r="150" spans="1:10">
      <c r="A150" t="s">
        <v>32</v>
      </c>
      <c r="B150">
        <v>20</v>
      </c>
      <c r="C150" t="s">
        <v>133</v>
      </c>
      <c r="D150">
        <v>24</v>
      </c>
      <c r="E150">
        <v>21.666665999999999</v>
      </c>
      <c r="F150">
        <v>25.666665999999999</v>
      </c>
      <c r="G150">
        <v>5029</v>
      </c>
      <c r="H150">
        <v>6785</v>
      </c>
      <c r="I150" s="1">
        <f t="shared" si="4"/>
        <v>1.1846153902958583</v>
      </c>
      <c r="J150" s="1">
        <f t="shared" si="5"/>
        <v>0.74119380987472361</v>
      </c>
    </row>
    <row r="151" spans="1:10">
      <c r="A151" t="s">
        <v>32</v>
      </c>
      <c r="B151">
        <v>20</v>
      </c>
      <c r="C151" t="s">
        <v>131</v>
      </c>
      <c r="D151">
        <v>25</v>
      </c>
      <c r="E151">
        <v>21.666665999999999</v>
      </c>
      <c r="F151">
        <v>25.666765000000002</v>
      </c>
      <c r="G151">
        <v>5407</v>
      </c>
      <c r="H151">
        <v>6785</v>
      </c>
      <c r="I151" s="1">
        <f t="shared" si="4"/>
        <v>1.1846199595267681</v>
      </c>
      <c r="J151" s="1">
        <f t="shared" si="5"/>
        <v>0.79690493736182755</v>
      </c>
    </row>
    <row r="152" spans="1:10">
      <c r="A152" t="s">
        <v>32</v>
      </c>
      <c r="B152">
        <v>20</v>
      </c>
      <c r="C152" t="s">
        <v>132</v>
      </c>
      <c r="D152">
        <v>26</v>
      </c>
      <c r="E152">
        <v>21.666665999999999</v>
      </c>
      <c r="F152">
        <v>25.666864</v>
      </c>
      <c r="G152">
        <v>5407</v>
      </c>
      <c r="H152">
        <v>6785</v>
      </c>
      <c r="I152" s="1">
        <f t="shared" si="4"/>
        <v>1.1846245287576778</v>
      </c>
      <c r="J152" s="1">
        <f t="shared" si="5"/>
        <v>0.79690493736182755</v>
      </c>
    </row>
    <row r="153" spans="1:10">
      <c r="A153" t="s">
        <v>32</v>
      </c>
      <c r="B153">
        <v>20</v>
      </c>
      <c r="C153" t="s">
        <v>136</v>
      </c>
      <c r="D153">
        <v>27</v>
      </c>
      <c r="E153">
        <v>21.666665999999999</v>
      </c>
      <c r="F153">
        <v>27.666665999999999</v>
      </c>
      <c r="G153">
        <v>5947</v>
      </c>
      <c r="H153">
        <v>6785</v>
      </c>
      <c r="I153" s="1">
        <f t="shared" si="4"/>
        <v>1.2769230854437872</v>
      </c>
      <c r="J153" s="1">
        <f t="shared" si="5"/>
        <v>0.8764922623434046</v>
      </c>
    </row>
    <row r="154" spans="1:10">
      <c r="A154" t="s">
        <v>32</v>
      </c>
      <c r="B154">
        <v>20</v>
      </c>
      <c r="C154" t="s">
        <v>138</v>
      </c>
      <c r="D154">
        <v>28</v>
      </c>
      <c r="E154">
        <v>21.666665999999999</v>
      </c>
      <c r="F154">
        <v>27.666765000000002</v>
      </c>
      <c r="G154">
        <v>5947</v>
      </c>
      <c r="H154">
        <v>6785</v>
      </c>
      <c r="I154" s="1">
        <f t="shared" si="4"/>
        <v>1.2769276546746973</v>
      </c>
      <c r="J154" s="1">
        <f t="shared" si="5"/>
        <v>0.8764922623434046</v>
      </c>
    </row>
    <row r="155" spans="1:10">
      <c r="A155" t="s">
        <v>32</v>
      </c>
      <c r="B155">
        <v>20</v>
      </c>
      <c r="C155" t="s">
        <v>135</v>
      </c>
      <c r="D155">
        <v>29</v>
      </c>
      <c r="E155">
        <v>21.666665999999999</v>
      </c>
      <c r="F155">
        <v>28</v>
      </c>
      <c r="G155">
        <v>6541</v>
      </c>
      <c r="H155">
        <v>6785</v>
      </c>
      <c r="I155" s="1">
        <f t="shared" si="4"/>
        <v>1.2923077320710072</v>
      </c>
      <c r="J155" s="1">
        <f t="shared" si="5"/>
        <v>0.96403831982313926</v>
      </c>
    </row>
    <row r="156" spans="1:10">
      <c r="A156" t="s">
        <v>32</v>
      </c>
      <c r="B156">
        <v>20</v>
      </c>
      <c r="C156" t="s">
        <v>139</v>
      </c>
      <c r="D156">
        <v>30</v>
      </c>
      <c r="E156">
        <v>21.666665999999999</v>
      </c>
      <c r="F156">
        <v>28.333334000000001</v>
      </c>
      <c r="G156">
        <v>6541</v>
      </c>
      <c r="H156">
        <v>6785</v>
      </c>
      <c r="I156" s="1">
        <f t="shared" si="4"/>
        <v>1.3076923786982271</v>
      </c>
      <c r="J156" s="1">
        <f t="shared" si="5"/>
        <v>0.96403831982313926</v>
      </c>
    </row>
    <row r="157" spans="1:10">
      <c r="A157" t="s">
        <v>32</v>
      </c>
      <c r="B157">
        <v>20</v>
      </c>
      <c r="C157" t="s">
        <v>141</v>
      </c>
      <c r="D157">
        <v>31</v>
      </c>
      <c r="E157">
        <v>21.666665999999999</v>
      </c>
      <c r="F157">
        <v>28.666665999999999</v>
      </c>
      <c r="G157">
        <v>6541</v>
      </c>
      <c r="H157">
        <v>6785</v>
      </c>
      <c r="I157" s="1">
        <f t="shared" si="4"/>
        <v>1.3230769330177519</v>
      </c>
      <c r="J157" s="1">
        <f t="shared" si="5"/>
        <v>0.96403831982313926</v>
      </c>
    </row>
    <row r="158" spans="1:10">
      <c r="A158" t="s">
        <v>32</v>
      </c>
      <c r="B158">
        <v>20</v>
      </c>
      <c r="C158" t="s">
        <v>137</v>
      </c>
      <c r="D158">
        <v>32</v>
      </c>
      <c r="E158">
        <v>21.666665999999999</v>
      </c>
      <c r="F158">
        <v>29.333334000000001</v>
      </c>
      <c r="G158">
        <v>6541</v>
      </c>
      <c r="H158">
        <v>6785</v>
      </c>
      <c r="I158" s="1">
        <f t="shared" si="4"/>
        <v>1.3538462262721918</v>
      </c>
      <c r="J158" s="1">
        <f t="shared" si="5"/>
        <v>0.96403831982313926</v>
      </c>
    </row>
    <row r="159" spans="1:10">
      <c r="A159" t="s">
        <v>32</v>
      </c>
      <c r="B159">
        <v>20</v>
      </c>
      <c r="C159" t="s">
        <v>140</v>
      </c>
      <c r="D159">
        <v>33</v>
      </c>
      <c r="E159">
        <v>21.666665999999999</v>
      </c>
      <c r="F159">
        <v>30.666665999999999</v>
      </c>
      <c r="G159">
        <v>6541</v>
      </c>
      <c r="H159">
        <v>6785</v>
      </c>
      <c r="I159" s="1">
        <f t="shared" si="4"/>
        <v>1.4153846281656808</v>
      </c>
      <c r="J159" s="1">
        <f t="shared" si="5"/>
        <v>0.96403831982313926</v>
      </c>
    </row>
    <row r="160" spans="1:10">
      <c r="A160" t="s">
        <v>142</v>
      </c>
      <c r="B160">
        <v>2</v>
      </c>
      <c r="C160" t="s">
        <v>19</v>
      </c>
      <c r="D160">
        <v>1</v>
      </c>
      <c r="E160">
        <v>14</v>
      </c>
      <c r="F160">
        <v>8.6666670000000003</v>
      </c>
      <c r="G160">
        <v>77</v>
      </c>
      <c r="H160">
        <v>4152</v>
      </c>
      <c r="I160" s="1">
        <f t="shared" si="4"/>
        <v>0.61904764285714287</v>
      </c>
      <c r="J160" s="1">
        <f t="shared" si="5"/>
        <v>1.8545279383429671E-2</v>
      </c>
    </row>
    <row r="161" spans="1:10">
      <c r="A161" t="s">
        <v>142</v>
      </c>
      <c r="B161">
        <v>2</v>
      </c>
      <c r="C161" t="s">
        <v>143</v>
      </c>
      <c r="D161">
        <v>2</v>
      </c>
      <c r="E161">
        <v>14</v>
      </c>
      <c r="F161">
        <v>27.666665999999999</v>
      </c>
      <c r="G161">
        <v>4152</v>
      </c>
      <c r="H161">
        <v>4152</v>
      </c>
      <c r="I161" s="1">
        <f t="shared" si="4"/>
        <v>1.9761904285714285</v>
      </c>
      <c r="J161" s="1">
        <f t="shared" si="5"/>
        <v>1</v>
      </c>
    </row>
    <row r="162" spans="1:10">
      <c r="A162" t="s">
        <v>142</v>
      </c>
      <c r="B162">
        <v>2</v>
      </c>
      <c r="C162" t="s">
        <v>144</v>
      </c>
      <c r="D162">
        <v>3</v>
      </c>
      <c r="E162">
        <v>14</v>
      </c>
      <c r="F162">
        <v>28</v>
      </c>
      <c r="G162">
        <v>4152</v>
      </c>
      <c r="H162">
        <v>4152</v>
      </c>
      <c r="I162" s="1">
        <f t="shared" si="4"/>
        <v>2</v>
      </c>
      <c r="J162" s="1">
        <f t="shared" si="5"/>
        <v>1</v>
      </c>
    </row>
    <row r="163" spans="1:10">
      <c r="A163" t="s">
        <v>142</v>
      </c>
      <c r="B163">
        <v>3</v>
      </c>
      <c r="C163" t="s">
        <v>145</v>
      </c>
      <c r="D163">
        <v>1</v>
      </c>
      <c r="E163">
        <v>6.6666664999999998</v>
      </c>
      <c r="F163">
        <v>14</v>
      </c>
      <c r="G163">
        <v>534</v>
      </c>
      <c r="H163">
        <v>548</v>
      </c>
      <c r="I163" s="1">
        <f t="shared" si="4"/>
        <v>2.1000000525000013</v>
      </c>
      <c r="J163" s="1">
        <f t="shared" si="5"/>
        <v>0.97445255474452552</v>
      </c>
    </row>
    <row r="164" spans="1:10">
      <c r="A164" t="s">
        <v>142</v>
      </c>
      <c r="B164">
        <v>3</v>
      </c>
      <c r="C164" t="s">
        <v>36</v>
      </c>
      <c r="D164">
        <v>2</v>
      </c>
      <c r="E164">
        <v>6.6666664999999998</v>
      </c>
      <c r="F164">
        <v>14.333333</v>
      </c>
      <c r="G164">
        <v>548</v>
      </c>
      <c r="H164">
        <v>548</v>
      </c>
      <c r="I164" s="1">
        <f t="shared" si="4"/>
        <v>2.1500000037500002</v>
      </c>
      <c r="J164" s="1">
        <f t="shared" si="5"/>
        <v>1</v>
      </c>
    </row>
    <row r="165" spans="1:10">
      <c r="A165" t="s">
        <v>142</v>
      </c>
      <c r="B165">
        <v>7</v>
      </c>
      <c r="C165" t="s">
        <v>145</v>
      </c>
      <c r="D165">
        <v>1</v>
      </c>
      <c r="E165">
        <v>6.6666664999999998</v>
      </c>
      <c r="F165">
        <v>14</v>
      </c>
      <c r="G165">
        <v>499</v>
      </c>
      <c r="H165">
        <v>512</v>
      </c>
      <c r="I165" s="1">
        <f t="shared" si="4"/>
        <v>2.1000000525000013</v>
      </c>
      <c r="J165" s="1">
        <f t="shared" si="5"/>
        <v>0.974609375</v>
      </c>
    </row>
    <row r="166" spans="1:10">
      <c r="A166" t="s">
        <v>142</v>
      </c>
      <c r="B166">
        <v>7</v>
      </c>
      <c r="C166" t="s">
        <v>36</v>
      </c>
      <c r="D166">
        <v>2</v>
      </c>
      <c r="E166">
        <v>6.6666664999999998</v>
      </c>
      <c r="F166">
        <v>16.666665999999999</v>
      </c>
      <c r="G166">
        <v>512</v>
      </c>
      <c r="H166">
        <v>512</v>
      </c>
      <c r="I166" s="1">
        <f t="shared" si="4"/>
        <v>2.4999999624999991</v>
      </c>
      <c r="J166" s="1">
        <f t="shared" si="5"/>
        <v>1</v>
      </c>
    </row>
    <row r="167" spans="1:10">
      <c r="A167" t="s">
        <v>142</v>
      </c>
      <c r="B167">
        <v>10</v>
      </c>
      <c r="C167" t="s">
        <v>147</v>
      </c>
      <c r="D167">
        <v>1</v>
      </c>
      <c r="E167">
        <v>55</v>
      </c>
      <c r="F167">
        <v>16.666665999999999</v>
      </c>
      <c r="G167">
        <v>1144</v>
      </c>
      <c r="H167">
        <v>13706</v>
      </c>
      <c r="I167" s="1">
        <f t="shared" si="4"/>
        <v>0.30303029090909089</v>
      </c>
      <c r="J167" s="1">
        <f t="shared" si="5"/>
        <v>8.3467094703049763E-2</v>
      </c>
    </row>
    <row r="168" spans="1:10">
      <c r="A168" t="s">
        <v>142</v>
      </c>
      <c r="B168">
        <v>10</v>
      </c>
      <c r="C168" t="s">
        <v>146</v>
      </c>
      <c r="D168">
        <v>2</v>
      </c>
      <c r="E168">
        <v>55</v>
      </c>
      <c r="F168">
        <v>17.333334000000001</v>
      </c>
      <c r="G168">
        <v>1160</v>
      </c>
      <c r="H168">
        <v>13706</v>
      </c>
      <c r="I168" s="1">
        <f t="shared" si="4"/>
        <v>0.31515152727272727</v>
      </c>
      <c r="J168" s="1">
        <f t="shared" si="5"/>
        <v>8.4634466656938565E-2</v>
      </c>
    </row>
    <row r="169" spans="1:10">
      <c r="A169" t="s">
        <v>142</v>
      </c>
      <c r="B169">
        <v>10</v>
      </c>
      <c r="C169" t="s">
        <v>148</v>
      </c>
      <c r="D169">
        <v>3</v>
      </c>
      <c r="E169">
        <v>55</v>
      </c>
      <c r="F169">
        <v>20.333334000000001</v>
      </c>
      <c r="G169">
        <v>2219</v>
      </c>
      <c r="H169">
        <v>13706</v>
      </c>
      <c r="I169" s="1">
        <f t="shared" si="4"/>
        <v>0.36969698181818184</v>
      </c>
      <c r="J169" s="1">
        <f t="shared" si="5"/>
        <v>0.16189989785495404</v>
      </c>
    </row>
    <row r="170" spans="1:10">
      <c r="A170" t="s">
        <v>142</v>
      </c>
      <c r="B170">
        <v>10</v>
      </c>
      <c r="C170" t="s">
        <v>154</v>
      </c>
      <c r="D170">
        <v>4</v>
      </c>
      <c r="E170">
        <v>55</v>
      </c>
      <c r="F170">
        <v>20.666665999999999</v>
      </c>
      <c r="G170">
        <v>3224</v>
      </c>
      <c r="H170">
        <v>13706</v>
      </c>
      <c r="I170" s="1">
        <f t="shared" si="4"/>
        <v>0.37575756363636365</v>
      </c>
      <c r="J170" s="1">
        <f t="shared" si="5"/>
        <v>0.23522544870859477</v>
      </c>
    </row>
    <row r="171" spans="1:10">
      <c r="A171" t="s">
        <v>142</v>
      </c>
      <c r="B171">
        <v>10</v>
      </c>
      <c r="C171" t="s">
        <v>149</v>
      </c>
      <c r="D171">
        <v>5</v>
      </c>
      <c r="E171">
        <v>55</v>
      </c>
      <c r="F171">
        <v>21</v>
      </c>
      <c r="G171">
        <v>4129</v>
      </c>
      <c r="H171">
        <v>13706</v>
      </c>
      <c r="I171" s="1">
        <f t="shared" si="4"/>
        <v>0.38181818181818183</v>
      </c>
      <c r="J171" s="1">
        <f t="shared" si="5"/>
        <v>0.30125492485043048</v>
      </c>
    </row>
    <row r="172" spans="1:10">
      <c r="A172" t="s">
        <v>142</v>
      </c>
      <c r="B172">
        <v>10</v>
      </c>
      <c r="C172" t="s">
        <v>151</v>
      </c>
      <c r="D172">
        <v>6</v>
      </c>
      <c r="E172">
        <v>55</v>
      </c>
      <c r="F172">
        <v>21.666665999999999</v>
      </c>
      <c r="G172">
        <v>4129</v>
      </c>
      <c r="H172">
        <v>13706</v>
      </c>
      <c r="I172" s="1">
        <f t="shared" si="4"/>
        <v>0.39393938181818183</v>
      </c>
      <c r="J172" s="1">
        <f t="shared" si="5"/>
        <v>0.30125492485043048</v>
      </c>
    </row>
    <row r="173" spans="1:10">
      <c r="A173" t="s">
        <v>142</v>
      </c>
      <c r="B173">
        <v>10</v>
      </c>
      <c r="C173" t="s">
        <v>150</v>
      </c>
      <c r="D173">
        <v>7</v>
      </c>
      <c r="E173">
        <v>55</v>
      </c>
      <c r="F173">
        <v>22</v>
      </c>
      <c r="G173">
        <v>5035</v>
      </c>
      <c r="H173">
        <v>13706</v>
      </c>
      <c r="I173" s="1">
        <f t="shared" si="4"/>
        <v>0.4</v>
      </c>
      <c r="J173" s="1">
        <f t="shared" si="5"/>
        <v>0.36735736173938421</v>
      </c>
    </row>
    <row r="174" spans="1:10">
      <c r="A174" t="s">
        <v>142</v>
      </c>
      <c r="B174">
        <v>10</v>
      </c>
      <c r="C174" t="s">
        <v>153</v>
      </c>
      <c r="D174">
        <v>8</v>
      </c>
      <c r="E174">
        <v>55</v>
      </c>
      <c r="F174">
        <v>23</v>
      </c>
      <c r="G174">
        <v>5035</v>
      </c>
      <c r="H174">
        <v>13706</v>
      </c>
      <c r="I174" s="1">
        <f t="shared" si="4"/>
        <v>0.41818181818181815</v>
      </c>
      <c r="J174" s="1">
        <f t="shared" si="5"/>
        <v>0.36735736173938421</v>
      </c>
    </row>
    <row r="175" spans="1:10">
      <c r="A175" t="s">
        <v>142</v>
      </c>
      <c r="B175">
        <v>10</v>
      </c>
      <c r="C175" t="s">
        <v>152</v>
      </c>
      <c r="D175">
        <v>9</v>
      </c>
      <c r="E175">
        <v>55</v>
      </c>
      <c r="F175">
        <v>23.0001</v>
      </c>
      <c r="G175">
        <v>5035</v>
      </c>
      <c r="H175">
        <v>13706</v>
      </c>
      <c r="I175" s="1">
        <f t="shared" si="4"/>
        <v>0.41818363636363637</v>
      </c>
      <c r="J175" s="1">
        <f t="shared" si="5"/>
        <v>0.36735736173938421</v>
      </c>
    </row>
    <row r="176" spans="1:10">
      <c r="A176" t="s">
        <v>142</v>
      </c>
      <c r="B176">
        <v>10</v>
      </c>
      <c r="C176" t="s">
        <v>155</v>
      </c>
      <c r="D176">
        <v>10</v>
      </c>
      <c r="E176">
        <v>55</v>
      </c>
      <c r="F176">
        <v>25</v>
      </c>
      <c r="G176">
        <v>7143</v>
      </c>
      <c r="H176">
        <v>13706</v>
      </c>
      <c r="I176" s="1">
        <f t="shared" si="4"/>
        <v>0.45454545454545453</v>
      </c>
      <c r="J176" s="1">
        <f t="shared" si="5"/>
        <v>0.52115861666423469</v>
      </c>
    </row>
    <row r="177" spans="1:10">
      <c r="A177" t="s">
        <v>142</v>
      </c>
      <c r="B177">
        <v>10</v>
      </c>
      <c r="C177" t="s">
        <v>161</v>
      </c>
      <c r="D177">
        <v>11</v>
      </c>
      <c r="E177">
        <v>55</v>
      </c>
      <c r="F177">
        <v>26</v>
      </c>
      <c r="G177">
        <v>7451</v>
      </c>
      <c r="H177">
        <v>13706</v>
      </c>
      <c r="I177" s="1">
        <f t="shared" si="4"/>
        <v>0.47272727272727272</v>
      </c>
      <c r="J177" s="1">
        <f t="shared" si="5"/>
        <v>0.54363052677659418</v>
      </c>
    </row>
    <row r="178" spans="1:10">
      <c r="A178" t="s">
        <v>142</v>
      </c>
      <c r="B178">
        <v>10</v>
      </c>
      <c r="C178" t="s">
        <v>175</v>
      </c>
      <c r="D178">
        <v>12</v>
      </c>
      <c r="E178">
        <v>55</v>
      </c>
      <c r="F178">
        <v>26.0001</v>
      </c>
      <c r="G178">
        <v>9262</v>
      </c>
      <c r="H178">
        <v>13706</v>
      </c>
      <c r="I178" s="1">
        <f t="shared" si="4"/>
        <v>0.47272909090909093</v>
      </c>
      <c r="J178" s="1">
        <f t="shared" si="5"/>
        <v>0.6757624398073836</v>
      </c>
    </row>
    <row r="179" spans="1:10">
      <c r="A179" t="s">
        <v>142</v>
      </c>
      <c r="B179">
        <v>10</v>
      </c>
      <c r="C179" t="s">
        <v>173</v>
      </c>
      <c r="D179">
        <v>13</v>
      </c>
      <c r="E179">
        <v>55</v>
      </c>
      <c r="F179">
        <v>26.333334000000001</v>
      </c>
      <c r="G179">
        <v>9570</v>
      </c>
      <c r="H179">
        <v>13706</v>
      </c>
      <c r="I179" s="1">
        <f t="shared" si="4"/>
        <v>0.47878789090909091</v>
      </c>
      <c r="J179" s="1">
        <f t="shared" si="5"/>
        <v>0.6982343499197432</v>
      </c>
    </row>
    <row r="180" spans="1:10">
      <c r="A180" t="s">
        <v>142</v>
      </c>
      <c r="B180">
        <v>10</v>
      </c>
      <c r="C180" t="s">
        <v>157</v>
      </c>
      <c r="D180">
        <v>14</v>
      </c>
      <c r="E180">
        <v>55</v>
      </c>
      <c r="F180">
        <v>26.666665999999999</v>
      </c>
      <c r="G180">
        <v>9856</v>
      </c>
      <c r="H180">
        <v>13706</v>
      </c>
      <c r="I180" s="1">
        <f t="shared" si="4"/>
        <v>0.48484847272727272</v>
      </c>
      <c r="J180" s="1">
        <f t="shared" si="5"/>
        <v>0.7191011235955056</v>
      </c>
    </row>
    <row r="181" spans="1:10">
      <c r="A181" t="s">
        <v>142</v>
      </c>
      <c r="B181">
        <v>10</v>
      </c>
      <c r="C181" t="s">
        <v>160</v>
      </c>
      <c r="D181">
        <v>15</v>
      </c>
      <c r="E181">
        <v>55</v>
      </c>
      <c r="F181">
        <v>26.666765000000002</v>
      </c>
      <c r="G181">
        <v>9856</v>
      </c>
      <c r="H181">
        <v>13706</v>
      </c>
      <c r="I181" s="1">
        <f t="shared" si="4"/>
        <v>0.48485027272727277</v>
      </c>
      <c r="J181" s="1">
        <f t="shared" si="5"/>
        <v>0.7191011235955056</v>
      </c>
    </row>
    <row r="182" spans="1:10">
      <c r="A182" t="s">
        <v>142</v>
      </c>
      <c r="B182">
        <v>10</v>
      </c>
      <c r="C182" t="s">
        <v>159</v>
      </c>
      <c r="D182">
        <v>16</v>
      </c>
      <c r="E182">
        <v>55</v>
      </c>
      <c r="F182">
        <v>27</v>
      </c>
      <c r="G182">
        <v>10142</v>
      </c>
      <c r="H182">
        <v>13706</v>
      </c>
      <c r="I182" s="1">
        <f t="shared" si="4"/>
        <v>0.49090909090909091</v>
      </c>
      <c r="J182" s="1">
        <f t="shared" si="5"/>
        <v>0.7399678972712681</v>
      </c>
    </row>
    <row r="183" spans="1:10">
      <c r="A183" t="s">
        <v>142</v>
      </c>
      <c r="B183">
        <v>10</v>
      </c>
      <c r="C183" t="s">
        <v>158</v>
      </c>
      <c r="D183">
        <v>17</v>
      </c>
      <c r="E183">
        <v>55</v>
      </c>
      <c r="F183">
        <v>27.0001</v>
      </c>
      <c r="G183">
        <v>10142</v>
      </c>
      <c r="H183">
        <v>13706</v>
      </c>
      <c r="I183" s="1">
        <f t="shared" si="4"/>
        <v>0.49091090909090906</v>
      </c>
      <c r="J183" s="1">
        <f t="shared" si="5"/>
        <v>0.7399678972712681</v>
      </c>
    </row>
    <row r="184" spans="1:10">
      <c r="A184" t="s">
        <v>142</v>
      </c>
      <c r="B184">
        <v>10</v>
      </c>
      <c r="C184" t="s">
        <v>156</v>
      </c>
      <c r="D184">
        <v>18</v>
      </c>
      <c r="E184">
        <v>55</v>
      </c>
      <c r="F184">
        <v>27.000198000000001</v>
      </c>
      <c r="G184">
        <v>10142</v>
      </c>
      <c r="H184">
        <v>13706</v>
      </c>
      <c r="I184" s="1">
        <f t="shared" si="4"/>
        <v>0.49091269090909095</v>
      </c>
      <c r="J184" s="1">
        <f t="shared" si="5"/>
        <v>0.7399678972712681</v>
      </c>
    </row>
    <row r="185" spans="1:10">
      <c r="A185" t="s">
        <v>142</v>
      </c>
      <c r="B185">
        <v>10</v>
      </c>
      <c r="C185" t="s">
        <v>162</v>
      </c>
      <c r="D185">
        <v>19</v>
      </c>
      <c r="E185">
        <v>55</v>
      </c>
      <c r="F185">
        <v>28.333334000000001</v>
      </c>
      <c r="G185">
        <v>10142</v>
      </c>
      <c r="H185">
        <v>13706</v>
      </c>
      <c r="I185" s="1">
        <f t="shared" si="4"/>
        <v>0.51515152727272728</v>
      </c>
      <c r="J185" s="1">
        <f t="shared" si="5"/>
        <v>0.7399678972712681</v>
      </c>
    </row>
    <row r="186" spans="1:10">
      <c r="A186" t="s">
        <v>142</v>
      </c>
      <c r="B186">
        <v>10</v>
      </c>
      <c r="C186" t="s">
        <v>172</v>
      </c>
      <c r="D186">
        <v>20</v>
      </c>
      <c r="E186">
        <v>55</v>
      </c>
      <c r="F186">
        <v>29</v>
      </c>
      <c r="G186">
        <v>10142</v>
      </c>
      <c r="H186">
        <v>13706</v>
      </c>
      <c r="I186" s="1">
        <f t="shared" si="4"/>
        <v>0.52727272727272723</v>
      </c>
      <c r="J186" s="1">
        <f t="shared" si="5"/>
        <v>0.7399678972712681</v>
      </c>
    </row>
    <row r="187" spans="1:10">
      <c r="A187" t="s">
        <v>142</v>
      </c>
      <c r="B187">
        <v>10</v>
      </c>
      <c r="C187" t="s">
        <v>164</v>
      </c>
      <c r="D187">
        <v>21</v>
      </c>
      <c r="E187">
        <v>55</v>
      </c>
      <c r="F187">
        <v>29.666665999999999</v>
      </c>
      <c r="G187">
        <v>10736</v>
      </c>
      <c r="H187">
        <v>13706</v>
      </c>
      <c r="I187" s="1">
        <f t="shared" si="4"/>
        <v>0.53939392727272728</v>
      </c>
      <c r="J187" s="1">
        <f t="shared" si="5"/>
        <v>0.78330658105938999</v>
      </c>
    </row>
    <row r="188" spans="1:10">
      <c r="A188" t="s">
        <v>142</v>
      </c>
      <c r="B188">
        <v>10</v>
      </c>
      <c r="C188" t="s">
        <v>163</v>
      </c>
      <c r="D188">
        <v>22</v>
      </c>
      <c r="E188">
        <v>55</v>
      </c>
      <c r="F188">
        <v>29.666765000000002</v>
      </c>
      <c r="G188">
        <v>10736</v>
      </c>
      <c r="H188">
        <v>13706</v>
      </c>
      <c r="I188" s="1">
        <f t="shared" si="4"/>
        <v>0.53939572727272733</v>
      </c>
      <c r="J188" s="1">
        <f t="shared" si="5"/>
        <v>0.78330658105938999</v>
      </c>
    </row>
    <row r="189" spans="1:10">
      <c r="A189" t="s">
        <v>142</v>
      </c>
      <c r="B189">
        <v>10</v>
      </c>
      <c r="C189" t="s">
        <v>165</v>
      </c>
      <c r="D189">
        <v>23</v>
      </c>
      <c r="E189">
        <v>55</v>
      </c>
      <c r="F189">
        <v>30</v>
      </c>
      <c r="G189">
        <v>10736</v>
      </c>
      <c r="H189">
        <v>13706</v>
      </c>
      <c r="I189" s="1">
        <f t="shared" si="4"/>
        <v>0.54545454545454541</v>
      </c>
      <c r="J189" s="1">
        <f t="shared" si="5"/>
        <v>0.78330658105938999</v>
      </c>
    </row>
    <row r="190" spans="1:10">
      <c r="A190" t="s">
        <v>142</v>
      </c>
      <c r="B190">
        <v>10</v>
      </c>
      <c r="C190" t="s">
        <v>168</v>
      </c>
      <c r="D190">
        <v>24</v>
      </c>
      <c r="E190">
        <v>55</v>
      </c>
      <c r="F190">
        <v>31</v>
      </c>
      <c r="G190">
        <v>11330</v>
      </c>
      <c r="H190">
        <v>13706</v>
      </c>
      <c r="I190" s="1">
        <f t="shared" si="4"/>
        <v>0.5636363636363636</v>
      </c>
      <c r="J190" s="1">
        <f t="shared" si="5"/>
        <v>0.826645264847512</v>
      </c>
    </row>
    <row r="191" spans="1:10">
      <c r="A191" t="s">
        <v>142</v>
      </c>
      <c r="B191">
        <v>10</v>
      </c>
      <c r="C191" t="s">
        <v>167</v>
      </c>
      <c r="D191">
        <v>25</v>
      </c>
      <c r="E191">
        <v>55</v>
      </c>
      <c r="F191">
        <v>31.666665999999999</v>
      </c>
      <c r="G191">
        <v>11924</v>
      </c>
      <c r="H191">
        <v>13706</v>
      </c>
      <c r="I191" s="1">
        <f t="shared" si="4"/>
        <v>0.57575756363636366</v>
      </c>
      <c r="J191" s="1">
        <f t="shared" si="5"/>
        <v>0.869983948635634</v>
      </c>
    </row>
    <row r="192" spans="1:10">
      <c r="A192" t="s">
        <v>142</v>
      </c>
      <c r="B192">
        <v>10</v>
      </c>
      <c r="C192" t="s">
        <v>166</v>
      </c>
      <c r="D192">
        <v>26</v>
      </c>
      <c r="E192">
        <v>55</v>
      </c>
      <c r="F192">
        <v>32</v>
      </c>
      <c r="G192">
        <v>11924</v>
      </c>
      <c r="H192">
        <v>13706</v>
      </c>
      <c r="I192" s="1">
        <f t="shared" si="4"/>
        <v>0.58181818181818179</v>
      </c>
      <c r="J192" s="1">
        <f t="shared" si="5"/>
        <v>0.869983948635634</v>
      </c>
    </row>
    <row r="193" spans="1:10">
      <c r="A193" t="s">
        <v>142</v>
      </c>
      <c r="B193">
        <v>10</v>
      </c>
      <c r="C193" t="s">
        <v>169</v>
      </c>
      <c r="D193">
        <v>27</v>
      </c>
      <c r="E193">
        <v>55</v>
      </c>
      <c r="F193">
        <v>32.000100000000003</v>
      </c>
      <c r="G193">
        <v>11924</v>
      </c>
      <c r="H193">
        <v>13706</v>
      </c>
      <c r="I193" s="1">
        <f t="shared" si="4"/>
        <v>0.58182000000000011</v>
      </c>
      <c r="J193" s="1">
        <f t="shared" si="5"/>
        <v>0.869983948635634</v>
      </c>
    </row>
    <row r="194" spans="1:10">
      <c r="A194" t="s">
        <v>142</v>
      </c>
      <c r="B194">
        <v>10</v>
      </c>
      <c r="C194" t="s">
        <v>170</v>
      </c>
      <c r="D194">
        <v>28</v>
      </c>
      <c r="E194">
        <v>55</v>
      </c>
      <c r="F194">
        <v>34</v>
      </c>
      <c r="G194">
        <v>12518</v>
      </c>
      <c r="H194">
        <v>13706</v>
      </c>
      <c r="I194" s="1">
        <f t="shared" si="4"/>
        <v>0.61818181818181817</v>
      </c>
      <c r="J194" s="1">
        <f t="shared" si="5"/>
        <v>0.913322632423756</v>
      </c>
    </row>
    <row r="195" spans="1:10">
      <c r="A195" t="s">
        <v>142</v>
      </c>
      <c r="B195">
        <v>10</v>
      </c>
      <c r="C195" t="s">
        <v>171</v>
      </c>
      <c r="D195">
        <v>29</v>
      </c>
      <c r="E195">
        <v>55</v>
      </c>
      <c r="F195">
        <v>34.666668000000001</v>
      </c>
      <c r="G195">
        <v>12518</v>
      </c>
      <c r="H195">
        <v>13706</v>
      </c>
      <c r="I195" s="1">
        <f t="shared" ref="I195:I258" si="6">F195/E195</f>
        <v>0.63030305454545454</v>
      </c>
      <c r="J195" s="1">
        <f t="shared" ref="J195:J258" si="7">G195/H195</f>
        <v>0.913322632423756</v>
      </c>
    </row>
    <row r="196" spans="1:10">
      <c r="A196" t="s">
        <v>142</v>
      </c>
      <c r="B196">
        <v>10</v>
      </c>
      <c r="C196" t="s">
        <v>174</v>
      </c>
      <c r="D196">
        <v>30</v>
      </c>
      <c r="E196">
        <v>55</v>
      </c>
      <c r="F196">
        <v>35</v>
      </c>
      <c r="G196">
        <v>12518</v>
      </c>
      <c r="H196">
        <v>13706</v>
      </c>
      <c r="I196" s="1">
        <f t="shared" si="6"/>
        <v>0.63636363636363635</v>
      </c>
      <c r="J196" s="1">
        <f t="shared" si="7"/>
        <v>0.913322632423756</v>
      </c>
    </row>
    <row r="197" spans="1:10">
      <c r="A197" t="s">
        <v>142</v>
      </c>
      <c r="B197">
        <v>10</v>
      </c>
      <c r="C197" t="s">
        <v>177</v>
      </c>
      <c r="D197">
        <v>31</v>
      </c>
      <c r="E197">
        <v>55</v>
      </c>
      <c r="F197">
        <v>38</v>
      </c>
      <c r="G197">
        <v>13706</v>
      </c>
      <c r="H197">
        <v>13706</v>
      </c>
      <c r="I197" s="1">
        <f t="shared" si="6"/>
        <v>0.69090909090909092</v>
      </c>
      <c r="J197" s="1">
        <f t="shared" si="7"/>
        <v>1</v>
      </c>
    </row>
    <row r="198" spans="1:10">
      <c r="A198" t="s">
        <v>142</v>
      </c>
      <c r="B198">
        <v>10</v>
      </c>
      <c r="C198" t="s">
        <v>176</v>
      </c>
      <c r="D198">
        <v>32</v>
      </c>
      <c r="E198">
        <v>55</v>
      </c>
      <c r="F198">
        <v>39</v>
      </c>
      <c r="G198">
        <v>13706</v>
      </c>
      <c r="H198">
        <v>13706</v>
      </c>
      <c r="I198" s="1">
        <f t="shared" si="6"/>
        <v>0.70909090909090911</v>
      </c>
      <c r="J198" s="1">
        <f t="shared" si="7"/>
        <v>1</v>
      </c>
    </row>
    <row r="199" spans="1:10">
      <c r="A199" t="s">
        <v>142</v>
      </c>
      <c r="B199">
        <v>11</v>
      </c>
      <c r="C199" t="s">
        <v>33</v>
      </c>
      <c r="D199">
        <v>1</v>
      </c>
      <c r="E199">
        <v>15.666667</v>
      </c>
      <c r="F199">
        <v>7.3333335000000002</v>
      </c>
      <c r="G199">
        <v>62</v>
      </c>
      <c r="H199">
        <v>4445</v>
      </c>
      <c r="I199" s="1">
        <f t="shared" si="6"/>
        <v>0.468085107062019</v>
      </c>
      <c r="J199" s="1">
        <f t="shared" si="7"/>
        <v>1.3948256467941508E-2</v>
      </c>
    </row>
    <row r="200" spans="1:10">
      <c r="A200" t="s">
        <v>142</v>
      </c>
      <c r="B200">
        <v>11</v>
      </c>
      <c r="C200" t="s">
        <v>179</v>
      </c>
      <c r="D200">
        <v>2</v>
      </c>
      <c r="E200">
        <v>15.666667</v>
      </c>
      <c r="F200">
        <v>15.666667</v>
      </c>
      <c r="G200">
        <v>1333</v>
      </c>
      <c r="H200">
        <v>4445</v>
      </c>
      <c r="I200" s="1">
        <f t="shared" si="6"/>
        <v>1</v>
      </c>
      <c r="J200" s="1">
        <f t="shared" si="7"/>
        <v>0.29988751406074243</v>
      </c>
    </row>
    <row r="201" spans="1:10">
      <c r="A201" t="s">
        <v>142</v>
      </c>
      <c r="B201">
        <v>11</v>
      </c>
      <c r="C201" t="s">
        <v>178</v>
      </c>
      <c r="D201">
        <v>3</v>
      </c>
      <c r="E201">
        <v>15.666667</v>
      </c>
      <c r="F201">
        <v>15.666767</v>
      </c>
      <c r="G201">
        <v>1333</v>
      </c>
      <c r="H201">
        <v>4445</v>
      </c>
      <c r="I201" s="1">
        <f t="shared" si="6"/>
        <v>1.0000063829785877</v>
      </c>
      <c r="J201" s="1">
        <f t="shared" si="7"/>
        <v>0.29988751406074243</v>
      </c>
    </row>
    <row r="202" spans="1:10">
      <c r="A202" t="s">
        <v>142</v>
      </c>
      <c r="B202">
        <v>11</v>
      </c>
      <c r="C202" t="s">
        <v>183</v>
      </c>
      <c r="D202">
        <v>4</v>
      </c>
      <c r="E202">
        <v>15.666667</v>
      </c>
      <c r="F202">
        <v>18</v>
      </c>
      <c r="G202">
        <v>2107</v>
      </c>
      <c r="H202">
        <v>4445</v>
      </c>
      <c r="I202" s="1">
        <f t="shared" si="6"/>
        <v>1.148936145767316</v>
      </c>
      <c r="J202" s="1">
        <f t="shared" si="7"/>
        <v>0.47401574803149604</v>
      </c>
    </row>
    <row r="203" spans="1:10">
      <c r="A203" t="s">
        <v>142</v>
      </c>
      <c r="B203">
        <v>11</v>
      </c>
      <c r="C203" t="s">
        <v>180</v>
      </c>
      <c r="D203">
        <v>5</v>
      </c>
      <c r="E203">
        <v>15.666667</v>
      </c>
      <c r="F203">
        <v>18.666665999999999</v>
      </c>
      <c r="G203">
        <v>2881</v>
      </c>
      <c r="H203">
        <v>4445</v>
      </c>
      <c r="I203" s="1">
        <f t="shared" si="6"/>
        <v>1.1914892937981001</v>
      </c>
      <c r="J203" s="1">
        <f t="shared" si="7"/>
        <v>0.64814398200224976</v>
      </c>
    </row>
    <row r="204" spans="1:10">
      <c r="A204" t="s">
        <v>142</v>
      </c>
      <c r="B204">
        <v>11</v>
      </c>
      <c r="C204" t="s">
        <v>186</v>
      </c>
      <c r="D204">
        <v>6</v>
      </c>
      <c r="E204">
        <v>15.666667</v>
      </c>
      <c r="F204">
        <v>19</v>
      </c>
      <c r="G204">
        <v>2881</v>
      </c>
      <c r="H204">
        <v>4445</v>
      </c>
      <c r="I204" s="1">
        <f t="shared" si="6"/>
        <v>1.212765931643278</v>
      </c>
      <c r="J204" s="1">
        <f t="shared" si="7"/>
        <v>0.64814398200224976</v>
      </c>
    </row>
    <row r="205" spans="1:10">
      <c r="A205" t="s">
        <v>142</v>
      </c>
      <c r="B205">
        <v>11</v>
      </c>
      <c r="C205" t="s">
        <v>187</v>
      </c>
      <c r="D205">
        <v>7</v>
      </c>
      <c r="E205">
        <v>15.666667</v>
      </c>
      <c r="F205">
        <v>19.0001</v>
      </c>
      <c r="G205">
        <v>3655</v>
      </c>
      <c r="H205">
        <v>4445</v>
      </c>
      <c r="I205" s="1">
        <f t="shared" si="6"/>
        <v>1.2127723146218656</v>
      </c>
      <c r="J205" s="1">
        <f t="shared" si="7"/>
        <v>0.82227221597300337</v>
      </c>
    </row>
    <row r="206" spans="1:10">
      <c r="A206" t="s">
        <v>142</v>
      </c>
      <c r="B206">
        <v>11</v>
      </c>
      <c r="C206" t="s">
        <v>181</v>
      </c>
      <c r="D206">
        <v>8</v>
      </c>
      <c r="E206">
        <v>15.666667</v>
      </c>
      <c r="F206">
        <v>19.333334000000001</v>
      </c>
      <c r="G206">
        <v>3655</v>
      </c>
      <c r="H206">
        <v>4445</v>
      </c>
      <c r="I206" s="1">
        <f t="shared" si="6"/>
        <v>1.234042569488456</v>
      </c>
      <c r="J206" s="1">
        <f t="shared" si="7"/>
        <v>0.82227221597300337</v>
      </c>
    </row>
    <row r="207" spans="1:10">
      <c r="A207" t="s">
        <v>142</v>
      </c>
      <c r="B207">
        <v>11</v>
      </c>
      <c r="C207" t="s">
        <v>182</v>
      </c>
      <c r="D207">
        <v>9</v>
      </c>
      <c r="E207">
        <v>15.666667</v>
      </c>
      <c r="F207">
        <v>19.333432999999999</v>
      </c>
      <c r="G207">
        <v>4429</v>
      </c>
      <c r="H207">
        <v>4445</v>
      </c>
      <c r="I207" s="1">
        <f t="shared" si="6"/>
        <v>1.2340488886372576</v>
      </c>
      <c r="J207" s="1">
        <f t="shared" si="7"/>
        <v>0.99640044994375698</v>
      </c>
    </row>
    <row r="208" spans="1:10">
      <c r="A208" t="s">
        <v>142</v>
      </c>
      <c r="B208">
        <v>11</v>
      </c>
      <c r="C208" t="s">
        <v>185</v>
      </c>
      <c r="D208">
        <v>10</v>
      </c>
      <c r="E208">
        <v>15.666667</v>
      </c>
      <c r="F208">
        <v>19.666665999999999</v>
      </c>
      <c r="G208">
        <v>4429</v>
      </c>
      <c r="H208">
        <v>4445</v>
      </c>
      <c r="I208" s="1">
        <f t="shared" si="6"/>
        <v>1.2553190796740621</v>
      </c>
      <c r="J208" s="1">
        <f t="shared" si="7"/>
        <v>0.99640044994375698</v>
      </c>
    </row>
    <row r="209" spans="1:10">
      <c r="A209" t="s">
        <v>142</v>
      </c>
      <c r="B209">
        <v>11</v>
      </c>
      <c r="C209" t="s">
        <v>184</v>
      </c>
      <c r="D209">
        <v>11</v>
      </c>
      <c r="E209">
        <v>15.666667</v>
      </c>
      <c r="F209">
        <v>20</v>
      </c>
      <c r="G209">
        <v>4429</v>
      </c>
      <c r="H209">
        <v>4445</v>
      </c>
      <c r="I209" s="1">
        <f t="shared" si="6"/>
        <v>1.2765957175192399</v>
      </c>
      <c r="J209" s="1">
        <f t="shared" si="7"/>
        <v>0.99640044994375698</v>
      </c>
    </row>
    <row r="210" spans="1:10">
      <c r="A210" t="s">
        <v>142</v>
      </c>
      <c r="B210">
        <v>11</v>
      </c>
      <c r="C210" t="s">
        <v>188</v>
      </c>
      <c r="D210">
        <v>12</v>
      </c>
      <c r="E210">
        <v>15.666667</v>
      </c>
      <c r="F210">
        <v>29.333334000000001</v>
      </c>
      <c r="G210">
        <v>4445</v>
      </c>
      <c r="H210">
        <v>4445</v>
      </c>
      <c r="I210" s="1">
        <f t="shared" si="6"/>
        <v>1.872340428248076</v>
      </c>
      <c r="J210" s="1">
        <f t="shared" si="7"/>
        <v>1</v>
      </c>
    </row>
    <row r="211" spans="1:10">
      <c r="A211" t="s">
        <v>142</v>
      </c>
      <c r="B211">
        <v>11</v>
      </c>
      <c r="C211" t="s">
        <v>189</v>
      </c>
      <c r="D211">
        <v>13</v>
      </c>
      <c r="E211">
        <v>15.666667</v>
      </c>
      <c r="F211">
        <v>30.666665999999999</v>
      </c>
      <c r="G211">
        <v>4445</v>
      </c>
      <c r="H211">
        <v>4445</v>
      </c>
      <c r="I211" s="1">
        <f t="shared" si="6"/>
        <v>1.9574467243096441</v>
      </c>
      <c r="J211" s="1">
        <f t="shared" si="7"/>
        <v>1</v>
      </c>
    </row>
    <row r="212" spans="1:10">
      <c r="A212" t="s">
        <v>142</v>
      </c>
      <c r="B212">
        <v>12</v>
      </c>
      <c r="C212" t="s">
        <v>33</v>
      </c>
      <c r="D212">
        <v>1</v>
      </c>
      <c r="E212">
        <v>9</v>
      </c>
      <c r="F212">
        <v>6</v>
      </c>
      <c r="G212">
        <v>74</v>
      </c>
      <c r="H212">
        <v>2334</v>
      </c>
      <c r="I212" s="1">
        <f t="shared" si="6"/>
        <v>0.66666666666666663</v>
      </c>
      <c r="J212" s="1">
        <f t="shared" si="7"/>
        <v>3.1705227077977724E-2</v>
      </c>
    </row>
    <row r="213" spans="1:10">
      <c r="A213" t="s">
        <v>142</v>
      </c>
      <c r="B213">
        <v>12</v>
      </c>
      <c r="C213" t="s">
        <v>190</v>
      </c>
      <c r="D213">
        <v>2</v>
      </c>
      <c r="E213">
        <v>9</v>
      </c>
      <c r="F213">
        <v>12.666667</v>
      </c>
      <c r="G213">
        <v>1044</v>
      </c>
      <c r="H213">
        <v>2334</v>
      </c>
      <c r="I213" s="1">
        <f t="shared" si="6"/>
        <v>1.4074074444444444</v>
      </c>
      <c r="J213" s="1">
        <f t="shared" si="7"/>
        <v>0.4473007712082262</v>
      </c>
    </row>
    <row r="214" spans="1:10">
      <c r="A214" t="s">
        <v>142</v>
      </c>
      <c r="B214">
        <v>12</v>
      </c>
      <c r="C214" t="s">
        <v>191</v>
      </c>
      <c r="D214">
        <v>3</v>
      </c>
      <c r="E214">
        <v>9</v>
      </c>
      <c r="F214">
        <v>13</v>
      </c>
      <c r="G214">
        <v>1096</v>
      </c>
      <c r="H214">
        <v>2334</v>
      </c>
      <c r="I214" s="1">
        <f t="shared" si="6"/>
        <v>1.4444444444444444</v>
      </c>
      <c r="J214" s="1">
        <f t="shared" si="7"/>
        <v>0.46958011996572407</v>
      </c>
    </row>
    <row r="215" spans="1:10">
      <c r="A215" t="s">
        <v>142</v>
      </c>
      <c r="B215">
        <v>12</v>
      </c>
      <c r="C215" t="s">
        <v>192</v>
      </c>
      <c r="D215">
        <v>4</v>
      </c>
      <c r="E215">
        <v>9</v>
      </c>
      <c r="F215">
        <v>13.0001</v>
      </c>
      <c r="G215">
        <v>1096</v>
      </c>
      <c r="H215">
        <v>2334</v>
      </c>
      <c r="I215" s="1">
        <f t="shared" si="6"/>
        <v>1.4444555555555556</v>
      </c>
      <c r="J215" s="1">
        <f t="shared" si="7"/>
        <v>0.46958011996572407</v>
      </c>
    </row>
    <row r="216" spans="1:10">
      <c r="A216" t="s">
        <v>142</v>
      </c>
      <c r="B216">
        <v>12</v>
      </c>
      <c r="C216" t="s">
        <v>193</v>
      </c>
      <c r="D216">
        <v>5</v>
      </c>
      <c r="E216">
        <v>9</v>
      </c>
      <c r="F216">
        <v>13.0002</v>
      </c>
      <c r="G216">
        <v>1096</v>
      </c>
      <c r="H216">
        <v>2334</v>
      </c>
      <c r="I216" s="1">
        <f t="shared" si="6"/>
        <v>1.4444666666666666</v>
      </c>
      <c r="J216" s="1">
        <f t="shared" si="7"/>
        <v>0.46958011996572407</v>
      </c>
    </row>
    <row r="217" spans="1:10">
      <c r="A217" t="s">
        <v>142</v>
      </c>
      <c r="B217">
        <v>12</v>
      </c>
      <c r="C217" t="s">
        <v>200</v>
      </c>
      <c r="D217">
        <v>6</v>
      </c>
      <c r="E217">
        <v>9</v>
      </c>
      <c r="F217">
        <v>13.000299999999999</v>
      </c>
      <c r="G217">
        <v>1096</v>
      </c>
      <c r="H217">
        <v>2334</v>
      </c>
      <c r="I217" s="1">
        <f t="shared" si="6"/>
        <v>1.4444777777777777</v>
      </c>
      <c r="J217" s="1">
        <f t="shared" si="7"/>
        <v>0.46958011996572407</v>
      </c>
    </row>
    <row r="218" spans="1:10">
      <c r="A218" t="s">
        <v>142</v>
      </c>
      <c r="B218">
        <v>12</v>
      </c>
      <c r="C218" t="s">
        <v>205</v>
      </c>
      <c r="D218">
        <v>7</v>
      </c>
      <c r="E218">
        <v>9</v>
      </c>
      <c r="F218">
        <v>13.000401</v>
      </c>
      <c r="G218">
        <v>1096</v>
      </c>
      <c r="H218">
        <v>2334</v>
      </c>
      <c r="I218" s="1">
        <f t="shared" si="6"/>
        <v>1.4444889999999999</v>
      </c>
      <c r="J218" s="1">
        <f t="shared" si="7"/>
        <v>0.46958011996572407</v>
      </c>
    </row>
    <row r="219" spans="1:10">
      <c r="A219" t="s">
        <v>142</v>
      </c>
      <c r="B219">
        <v>12</v>
      </c>
      <c r="C219" t="s">
        <v>201</v>
      </c>
      <c r="D219">
        <v>8</v>
      </c>
      <c r="E219">
        <v>9</v>
      </c>
      <c r="F219">
        <v>15.333333</v>
      </c>
      <c r="G219">
        <v>1687</v>
      </c>
      <c r="H219">
        <v>2334</v>
      </c>
      <c r="I219" s="1">
        <f t="shared" si="6"/>
        <v>1.7037036666666667</v>
      </c>
      <c r="J219" s="1">
        <f t="shared" si="7"/>
        <v>0.72279348757497863</v>
      </c>
    </row>
    <row r="220" spans="1:10">
      <c r="A220" t="s">
        <v>142</v>
      </c>
      <c r="B220">
        <v>12</v>
      </c>
      <c r="C220" t="s">
        <v>195</v>
      </c>
      <c r="D220">
        <v>9</v>
      </c>
      <c r="E220">
        <v>9</v>
      </c>
      <c r="F220">
        <v>15.666667</v>
      </c>
      <c r="G220">
        <v>1687</v>
      </c>
      <c r="H220">
        <v>2334</v>
      </c>
      <c r="I220" s="1">
        <f t="shared" si="6"/>
        <v>1.7407407777777779</v>
      </c>
      <c r="J220" s="1">
        <f t="shared" si="7"/>
        <v>0.72279348757497863</v>
      </c>
    </row>
    <row r="221" spans="1:10">
      <c r="A221" t="s">
        <v>142</v>
      </c>
      <c r="B221">
        <v>12</v>
      </c>
      <c r="C221" t="s">
        <v>199</v>
      </c>
      <c r="D221">
        <v>10</v>
      </c>
      <c r="E221">
        <v>9</v>
      </c>
      <c r="F221">
        <v>15.666767</v>
      </c>
      <c r="G221">
        <v>1687</v>
      </c>
      <c r="H221">
        <v>2334</v>
      </c>
      <c r="I221" s="1">
        <f t="shared" si="6"/>
        <v>1.7407518888888889</v>
      </c>
      <c r="J221" s="1">
        <f t="shared" si="7"/>
        <v>0.72279348757497863</v>
      </c>
    </row>
    <row r="222" spans="1:10">
      <c r="A222" t="s">
        <v>142</v>
      </c>
      <c r="B222">
        <v>12</v>
      </c>
      <c r="C222" t="s">
        <v>194</v>
      </c>
      <c r="D222">
        <v>11</v>
      </c>
      <c r="E222">
        <v>9</v>
      </c>
      <c r="F222">
        <v>15.666867</v>
      </c>
      <c r="G222">
        <v>2226</v>
      </c>
      <c r="H222">
        <v>2334</v>
      </c>
      <c r="I222" s="1">
        <f t="shared" si="6"/>
        <v>1.7407630000000001</v>
      </c>
      <c r="J222" s="1">
        <f t="shared" si="7"/>
        <v>0.95372750642673521</v>
      </c>
    </row>
    <row r="223" spans="1:10">
      <c r="A223" t="s">
        <v>142</v>
      </c>
      <c r="B223">
        <v>12</v>
      </c>
      <c r="C223" t="s">
        <v>196</v>
      </c>
      <c r="D223">
        <v>12</v>
      </c>
      <c r="E223">
        <v>9</v>
      </c>
      <c r="F223">
        <v>15.666967</v>
      </c>
      <c r="G223">
        <v>2226</v>
      </c>
      <c r="H223">
        <v>2334</v>
      </c>
      <c r="I223" s="1">
        <f t="shared" si="6"/>
        <v>1.740774111111111</v>
      </c>
      <c r="J223" s="1">
        <f t="shared" si="7"/>
        <v>0.95372750642673521</v>
      </c>
    </row>
    <row r="224" spans="1:10">
      <c r="A224" t="s">
        <v>142</v>
      </c>
      <c r="B224">
        <v>12</v>
      </c>
      <c r="C224" t="s">
        <v>197</v>
      </c>
      <c r="D224">
        <v>13</v>
      </c>
      <c r="E224">
        <v>9</v>
      </c>
      <c r="F224">
        <v>16</v>
      </c>
      <c r="G224">
        <v>2226</v>
      </c>
      <c r="H224">
        <v>2334</v>
      </c>
      <c r="I224" s="1">
        <f t="shared" si="6"/>
        <v>1.7777777777777777</v>
      </c>
      <c r="J224" s="1">
        <f t="shared" si="7"/>
        <v>0.95372750642673521</v>
      </c>
    </row>
    <row r="225" spans="1:10">
      <c r="A225" t="s">
        <v>142</v>
      </c>
      <c r="B225">
        <v>12</v>
      </c>
      <c r="C225" t="s">
        <v>203</v>
      </c>
      <c r="D225">
        <v>14</v>
      </c>
      <c r="E225">
        <v>9</v>
      </c>
      <c r="F225">
        <v>16.333334000000001</v>
      </c>
      <c r="G225">
        <v>2226</v>
      </c>
      <c r="H225">
        <v>2334</v>
      </c>
      <c r="I225" s="1">
        <f t="shared" si="6"/>
        <v>1.8148148888888889</v>
      </c>
      <c r="J225" s="1">
        <f t="shared" si="7"/>
        <v>0.95372750642673521</v>
      </c>
    </row>
    <row r="226" spans="1:10">
      <c r="A226" t="s">
        <v>142</v>
      </c>
      <c r="B226">
        <v>12</v>
      </c>
      <c r="C226" t="s">
        <v>204</v>
      </c>
      <c r="D226">
        <v>15</v>
      </c>
      <c r="E226">
        <v>9</v>
      </c>
      <c r="F226">
        <v>16.333432999999999</v>
      </c>
      <c r="G226">
        <v>2226</v>
      </c>
      <c r="H226">
        <v>2334</v>
      </c>
      <c r="I226" s="1">
        <f t="shared" si="6"/>
        <v>1.8148258888888888</v>
      </c>
      <c r="J226" s="1">
        <f t="shared" si="7"/>
        <v>0.95372750642673521</v>
      </c>
    </row>
    <row r="227" spans="1:10">
      <c r="A227" t="s">
        <v>142</v>
      </c>
      <c r="B227">
        <v>12</v>
      </c>
      <c r="C227" t="s">
        <v>198</v>
      </c>
      <c r="D227">
        <v>16</v>
      </c>
      <c r="E227">
        <v>9</v>
      </c>
      <c r="F227">
        <v>18.333334000000001</v>
      </c>
      <c r="G227">
        <v>2334</v>
      </c>
      <c r="H227">
        <v>2334</v>
      </c>
      <c r="I227" s="1">
        <f t="shared" si="6"/>
        <v>2.0370371111111112</v>
      </c>
      <c r="J227" s="1">
        <f t="shared" si="7"/>
        <v>1</v>
      </c>
    </row>
    <row r="228" spans="1:10">
      <c r="A228" t="s">
        <v>142</v>
      </c>
      <c r="B228">
        <v>12</v>
      </c>
      <c r="C228" t="s">
        <v>202</v>
      </c>
      <c r="D228">
        <v>17</v>
      </c>
      <c r="E228">
        <v>9</v>
      </c>
      <c r="F228">
        <v>20.333334000000001</v>
      </c>
      <c r="G228">
        <v>2334</v>
      </c>
      <c r="H228">
        <v>2334</v>
      </c>
      <c r="I228" s="1">
        <f t="shared" si="6"/>
        <v>2.2592593333333335</v>
      </c>
      <c r="J228" s="1">
        <f t="shared" si="7"/>
        <v>1</v>
      </c>
    </row>
    <row r="229" spans="1:10">
      <c r="A229" t="s">
        <v>206</v>
      </c>
      <c r="B229">
        <v>1</v>
      </c>
      <c r="C229" t="s">
        <v>207</v>
      </c>
      <c r="D229">
        <v>1</v>
      </c>
      <c r="E229">
        <v>67.333336000000003</v>
      </c>
      <c r="F229">
        <v>45.666668000000001</v>
      </c>
      <c r="G229">
        <v>1541</v>
      </c>
      <c r="H229">
        <v>2435</v>
      </c>
      <c r="I229" s="1">
        <f t="shared" si="6"/>
        <v>0.67821781472404696</v>
      </c>
      <c r="J229" s="1">
        <f t="shared" si="7"/>
        <v>0.63285420944558524</v>
      </c>
    </row>
    <row r="230" spans="1:10">
      <c r="A230" t="s">
        <v>206</v>
      </c>
      <c r="B230">
        <v>1</v>
      </c>
      <c r="C230" t="s">
        <v>208</v>
      </c>
      <c r="D230">
        <v>2</v>
      </c>
      <c r="E230">
        <v>67.333336000000003</v>
      </c>
      <c r="F230">
        <v>49.333331999999999</v>
      </c>
      <c r="G230">
        <v>2151</v>
      </c>
      <c r="H230">
        <v>2435</v>
      </c>
      <c r="I230" s="1">
        <f t="shared" si="6"/>
        <v>0.73267321850799128</v>
      </c>
      <c r="J230" s="1">
        <f t="shared" si="7"/>
        <v>0.88336755646817244</v>
      </c>
    </row>
    <row r="231" spans="1:10">
      <c r="A231" t="s">
        <v>206</v>
      </c>
      <c r="B231">
        <v>1</v>
      </c>
      <c r="C231" t="s">
        <v>209</v>
      </c>
      <c r="D231">
        <v>3</v>
      </c>
      <c r="E231">
        <v>67.333336000000003</v>
      </c>
      <c r="F231">
        <v>51.666668000000001</v>
      </c>
      <c r="G231">
        <v>2429</v>
      </c>
      <c r="H231">
        <v>2435</v>
      </c>
      <c r="I231" s="1">
        <f t="shared" si="6"/>
        <v>0.76732672208607045</v>
      </c>
      <c r="J231" s="1">
        <f>G231/H231</f>
        <v>0.99753593429158116</v>
      </c>
    </row>
    <row r="232" spans="1:10">
      <c r="A232" t="s">
        <v>206</v>
      </c>
      <c r="B232">
        <v>1</v>
      </c>
      <c r="C232" t="s">
        <v>210</v>
      </c>
      <c r="D232">
        <v>4</v>
      </c>
      <c r="E232">
        <v>67.333336000000003</v>
      </c>
      <c r="F232">
        <v>52</v>
      </c>
      <c r="G232">
        <v>2429</v>
      </c>
      <c r="H232">
        <v>2435</v>
      </c>
      <c r="I232" s="1">
        <f t="shared" si="6"/>
        <v>0.77227719713753673</v>
      </c>
      <c r="J232" s="1">
        <f t="shared" si="7"/>
        <v>0.99753593429158116</v>
      </c>
    </row>
    <row r="233" spans="1:10">
      <c r="A233" t="s">
        <v>206</v>
      </c>
      <c r="B233">
        <v>1</v>
      </c>
      <c r="C233" t="s">
        <v>211</v>
      </c>
      <c r="D233">
        <v>5</v>
      </c>
      <c r="E233">
        <v>67.333336000000003</v>
      </c>
      <c r="F233">
        <v>52.666668000000001</v>
      </c>
      <c r="G233">
        <v>2429</v>
      </c>
      <c r="H233">
        <v>2435</v>
      </c>
      <c r="I233" s="1">
        <f t="shared" si="6"/>
        <v>0.78217820664640769</v>
      </c>
      <c r="J233" s="1">
        <f t="shared" si="7"/>
        <v>0.99753593429158116</v>
      </c>
    </row>
    <row r="234" spans="1:10">
      <c r="A234" t="s">
        <v>206</v>
      </c>
      <c r="B234">
        <v>1</v>
      </c>
      <c r="C234" t="s">
        <v>213</v>
      </c>
      <c r="D234">
        <v>6</v>
      </c>
      <c r="E234">
        <v>67.333336000000003</v>
      </c>
      <c r="F234">
        <v>58</v>
      </c>
      <c r="G234">
        <v>2435</v>
      </c>
      <c r="H234">
        <v>2435</v>
      </c>
      <c r="I234" s="1">
        <f t="shared" si="6"/>
        <v>0.86138610449956021</v>
      </c>
      <c r="J234" s="1">
        <f t="shared" si="7"/>
        <v>1</v>
      </c>
    </row>
    <row r="235" spans="1:10">
      <c r="A235" t="s">
        <v>206</v>
      </c>
      <c r="B235">
        <v>1</v>
      </c>
      <c r="C235" t="s">
        <v>212</v>
      </c>
      <c r="D235">
        <v>7</v>
      </c>
      <c r="E235">
        <v>67.333336000000003</v>
      </c>
      <c r="F235">
        <v>65.333336000000003</v>
      </c>
      <c r="G235">
        <v>2435</v>
      </c>
      <c r="H235">
        <v>2435</v>
      </c>
      <c r="I235" s="1">
        <f t="shared" si="6"/>
        <v>0.97029703087932551</v>
      </c>
      <c r="J235" s="1">
        <f t="shared" si="7"/>
        <v>1</v>
      </c>
    </row>
    <row r="236" spans="1:10">
      <c r="A236" t="s">
        <v>214</v>
      </c>
      <c r="B236">
        <v>1</v>
      </c>
      <c r="C236" t="s">
        <v>215</v>
      </c>
      <c r="D236">
        <v>1</v>
      </c>
      <c r="E236">
        <v>15</v>
      </c>
      <c r="F236">
        <v>10</v>
      </c>
      <c r="G236">
        <v>231</v>
      </c>
      <c r="H236">
        <v>3217</v>
      </c>
      <c r="I236" s="1">
        <f t="shared" si="6"/>
        <v>0.66666666666666663</v>
      </c>
      <c r="J236" s="1">
        <f t="shared" si="7"/>
        <v>7.1806030463164444E-2</v>
      </c>
    </row>
    <row r="237" spans="1:10">
      <c r="A237" t="s">
        <v>214</v>
      </c>
      <c r="B237">
        <v>1</v>
      </c>
      <c r="C237" t="s">
        <v>216</v>
      </c>
      <c r="D237">
        <v>2</v>
      </c>
      <c r="E237">
        <v>15</v>
      </c>
      <c r="F237">
        <v>10.0001</v>
      </c>
      <c r="G237">
        <v>231</v>
      </c>
      <c r="H237">
        <v>3217</v>
      </c>
      <c r="I237" s="1">
        <f t="shared" si="6"/>
        <v>0.66667333333333334</v>
      </c>
      <c r="J237" s="1">
        <f t="shared" si="7"/>
        <v>7.1806030463164444E-2</v>
      </c>
    </row>
    <row r="238" spans="1:10">
      <c r="A238" t="s">
        <v>214</v>
      </c>
      <c r="B238">
        <v>1</v>
      </c>
      <c r="C238" t="s">
        <v>217</v>
      </c>
      <c r="D238">
        <v>3</v>
      </c>
      <c r="E238">
        <v>15</v>
      </c>
      <c r="F238">
        <v>12.333333</v>
      </c>
      <c r="G238">
        <v>622</v>
      </c>
      <c r="H238">
        <v>3217</v>
      </c>
      <c r="I238" s="1">
        <f t="shared" si="6"/>
        <v>0.82222220000000001</v>
      </c>
      <c r="J238" s="1">
        <f t="shared" si="7"/>
        <v>0.19334783960211377</v>
      </c>
    </row>
    <row r="239" spans="1:10">
      <c r="A239" t="s">
        <v>214</v>
      </c>
      <c r="B239">
        <v>1</v>
      </c>
      <c r="C239" t="s">
        <v>221</v>
      </c>
      <c r="D239">
        <v>4</v>
      </c>
      <c r="E239">
        <v>15</v>
      </c>
      <c r="F239">
        <v>12.333432999999999</v>
      </c>
      <c r="G239">
        <v>812</v>
      </c>
      <c r="H239">
        <v>3217</v>
      </c>
      <c r="I239" s="1">
        <f t="shared" si="6"/>
        <v>0.82222886666666661</v>
      </c>
      <c r="J239" s="1">
        <f t="shared" si="7"/>
        <v>0.25240907677960833</v>
      </c>
    </row>
    <row r="240" spans="1:10">
      <c r="A240" t="s">
        <v>214</v>
      </c>
      <c r="B240">
        <v>1</v>
      </c>
      <c r="C240" t="s">
        <v>218</v>
      </c>
      <c r="D240">
        <v>5</v>
      </c>
      <c r="E240">
        <v>15</v>
      </c>
      <c r="F240">
        <v>12.666667</v>
      </c>
      <c r="G240">
        <v>812</v>
      </c>
      <c r="H240">
        <v>3217</v>
      </c>
      <c r="I240" s="1">
        <f t="shared" si="6"/>
        <v>0.84444446666666673</v>
      </c>
      <c r="J240" s="1">
        <f t="shared" si="7"/>
        <v>0.25240907677960833</v>
      </c>
    </row>
    <row r="241" spans="1:10">
      <c r="A241" t="s">
        <v>214</v>
      </c>
      <c r="B241">
        <v>1</v>
      </c>
      <c r="C241" t="s">
        <v>227</v>
      </c>
      <c r="D241">
        <v>6</v>
      </c>
      <c r="E241">
        <v>15</v>
      </c>
      <c r="F241">
        <v>12.666767</v>
      </c>
      <c r="G241">
        <v>812</v>
      </c>
      <c r="H241">
        <v>3217</v>
      </c>
      <c r="I241" s="1">
        <f t="shared" si="6"/>
        <v>0.84445113333333333</v>
      </c>
      <c r="J241" s="1">
        <f t="shared" si="7"/>
        <v>0.25240907677960833</v>
      </c>
    </row>
    <row r="242" spans="1:10">
      <c r="A242" t="s">
        <v>214</v>
      </c>
      <c r="B242">
        <v>1</v>
      </c>
      <c r="C242" t="s">
        <v>226</v>
      </c>
      <c r="D242">
        <v>7</v>
      </c>
      <c r="E242">
        <v>15</v>
      </c>
      <c r="F242">
        <v>13</v>
      </c>
      <c r="G242">
        <v>812</v>
      </c>
      <c r="H242">
        <v>3217</v>
      </c>
      <c r="I242" s="1">
        <f t="shared" si="6"/>
        <v>0.8666666666666667</v>
      </c>
      <c r="J242" s="1">
        <f t="shared" si="7"/>
        <v>0.25240907677960833</v>
      </c>
    </row>
    <row r="243" spans="1:10">
      <c r="A243" t="s">
        <v>214</v>
      </c>
      <c r="B243">
        <v>1</v>
      </c>
      <c r="C243" t="s">
        <v>219</v>
      </c>
      <c r="D243">
        <v>8</v>
      </c>
      <c r="E243">
        <v>15</v>
      </c>
      <c r="F243">
        <v>13.0001</v>
      </c>
      <c r="G243">
        <v>812</v>
      </c>
      <c r="H243">
        <v>3217</v>
      </c>
      <c r="I243" s="1">
        <f t="shared" si="6"/>
        <v>0.8666733333333333</v>
      </c>
      <c r="J243" s="1">
        <f t="shared" si="7"/>
        <v>0.25240907677960833</v>
      </c>
    </row>
    <row r="244" spans="1:10">
      <c r="A244" t="s">
        <v>214</v>
      </c>
      <c r="B244">
        <v>1</v>
      </c>
      <c r="C244" t="s">
        <v>422</v>
      </c>
      <c r="D244">
        <v>9</v>
      </c>
      <c r="E244">
        <v>15</v>
      </c>
      <c r="F244">
        <v>13.0002</v>
      </c>
      <c r="G244">
        <v>812</v>
      </c>
      <c r="H244">
        <v>3217</v>
      </c>
      <c r="I244" s="1">
        <f t="shared" si="6"/>
        <v>0.86668000000000001</v>
      </c>
      <c r="J244" s="1">
        <f t="shared" si="7"/>
        <v>0.25240907677960833</v>
      </c>
    </row>
    <row r="245" spans="1:10">
      <c r="A245" t="s">
        <v>214</v>
      </c>
      <c r="B245">
        <v>1</v>
      </c>
      <c r="C245" t="s">
        <v>220</v>
      </c>
      <c r="D245">
        <v>10</v>
      </c>
      <c r="E245">
        <v>15</v>
      </c>
      <c r="F245">
        <v>13.333333</v>
      </c>
      <c r="G245">
        <v>812</v>
      </c>
      <c r="H245">
        <v>3217</v>
      </c>
      <c r="I245" s="1">
        <f t="shared" si="6"/>
        <v>0.88888886666666667</v>
      </c>
      <c r="J245" s="1">
        <f t="shared" si="7"/>
        <v>0.25240907677960833</v>
      </c>
    </row>
    <row r="246" spans="1:10">
      <c r="A246" t="s">
        <v>214</v>
      </c>
      <c r="B246">
        <v>1</v>
      </c>
      <c r="C246" t="s">
        <v>222</v>
      </c>
      <c r="D246">
        <v>11</v>
      </c>
      <c r="E246">
        <v>15</v>
      </c>
      <c r="F246">
        <v>13.333432999999999</v>
      </c>
      <c r="G246">
        <v>812</v>
      </c>
      <c r="H246">
        <v>3217</v>
      </c>
      <c r="I246" s="1">
        <f t="shared" si="6"/>
        <v>0.88889553333333327</v>
      </c>
      <c r="J246" s="1">
        <f t="shared" si="7"/>
        <v>0.25240907677960833</v>
      </c>
    </row>
    <row r="247" spans="1:10">
      <c r="A247" t="s">
        <v>214</v>
      </c>
      <c r="B247">
        <v>1</v>
      </c>
      <c r="C247" t="s">
        <v>225</v>
      </c>
      <c r="D247">
        <v>12</v>
      </c>
      <c r="E247">
        <v>15</v>
      </c>
      <c r="F247">
        <v>13.333532999999999</v>
      </c>
      <c r="G247">
        <v>812</v>
      </c>
      <c r="H247">
        <v>3217</v>
      </c>
      <c r="I247" s="1">
        <f t="shared" si="6"/>
        <v>0.88890219999999998</v>
      </c>
      <c r="J247" s="1">
        <f t="shared" si="7"/>
        <v>0.25240907677960833</v>
      </c>
    </row>
    <row r="248" spans="1:10">
      <c r="A248" t="s">
        <v>214</v>
      </c>
      <c r="B248">
        <v>1</v>
      </c>
      <c r="C248" t="s">
        <v>223</v>
      </c>
      <c r="D248">
        <v>13</v>
      </c>
      <c r="E248">
        <v>15</v>
      </c>
      <c r="F248">
        <v>13.666667</v>
      </c>
      <c r="G248">
        <v>812</v>
      </c>
      <c r="H248">
        <v>3217</v>
      </c>
      <c r="I248" s="1">
        <f t="shared" si="6"/>
        <v>0.91111113333333338</v>
      </c>
      <c r="J248" s="1">
        <f t="shared" si="7"/>
        <v>0.25240907677960833</v>
      </c>
    </row>
    <row r="249" spans="1:10">
      <c r="A249" t="s">
        <v>214</v>
      </c>
      <c r="B249">
        <v>1</v>
      </c>
      <c r="C249" t="s">
        <v>228</v>
      </c>
      <c r="D249">
        <v>14</v>
      </c>
      <c r="E249">
        <v>15</v>
      </c>
      <c r="F249">
        <v>14</v>
      </c>
      <c r="G249">
        <v>812</v>
      </c>
      <c r="H249">
        <v>3217</v>
      </c>
      <c r="I249" s="1">
        <f t="shared" si="6"/>
        <v>0.93333333333333335</v>
      </c>
      <c r="J249" s="1">
        <f t="shared" si="7"/>
        <v>0.25240907677960833</v>
      </c>
    </row>
    <row r="250" spans="1:10">
      <c r="A250" t="s">
        <v>214</v>
      </c>
      <c r="B250">
        <v>1</v>
      </c>
      <c r="C250" t="s">
        <v>224</v>
      </c>
      <c r="D250">
        <v>15</v>
      </c>
      <c r="E250">
        <v>15</v>
      </c>
      <c r="F250">
        <v>15.333333</v>
      </c>
      <c r="G250">
        <v>812</v>
      </c>
      <c r="H250">
        <v>3217</v>
      </c>
      <c r="I250" s="1">
        <f t="shared" si="6"/>
        <v>1.0222222000000001</v>
      </c>
      <c r="J250" s="1">
        <f t="shared" si="7"/>
        <v>0.25240907677960833</v>
      </c>
    </row>
    <row r="251" spans="1:10">
      <c r="A251" t="s">
        <v>214</v>
      </c>
      <c r="B251">
        <v>1</v>
      </c>
      <c r="C251" t="s">
        <v>229</v>
      </c>
      <c r="D251">
        <v>16</v>
      </c>
      <c r="E251">
        <v>15</v>
      </c>
      <c r="F251">
        <v>24.666665999999999</v>
      </c>
      <c r="G251">
        <v>3217</v>
      </c>
      <c r="H251">
        <v>3217</v>
      </c>
      <c r="I251" s="1">
        <f t="shared" si="6"/>
        <v>1.6444444</v>
      </c>
      <c r="J251" s="1">
        <f t="shared" si="7"/>
        <v>1</v>
      </c>
    </row>
    <row r="252" spans="1:10">
      <c r="A252" t="s">
        <v>214</v>
      </c>
      <c r="B252">
        <v>3</v>
      </c>
      <c r="C252" t="s">
        <v>230</v>
      </c>
      <c r="D252">
        <v>1</v>
      </c>
      <c r="E252">
        <v>425</v>
      </c>
      <c r="F252">
        <v>696.66669999999999</v>
      </c>
      <c r="G252">
        <v>59686</v>
      </c>
      <c r="H252">
        <v>66782</v>
      </c>
      <c r="I252" s="1">
        <f t="shared" si="6"/>
        <v>1.6392157647058823</v>
      </c>
      <c r="J252" s="1">
        <f t="shared" si="7"/>
        <v>0.89374382318588841</v>
      </c>
    </row>
    <row r="253" spans="1:10">
      <c r="A253" t="s">
        <v>214</v>
      </c>
      <c r="B253">
        <v>3</v>
      </c>
      <c r="C253" t="s">
        <v>231</v>
      </c>
      <c r="D253">
        <v>2</v>
      </c>
      <c r="E253">
        <v>425</v>
      </c>
      <c r="F253">
        <v>726</v>
      </c>
      <c r="G253">
        <v>66282</v>
      </c>
      <c r="H253">
        <v>66782</v>
      </c>
      <c r="I253" s="1">
        <f t="shared" si="6"/>
        <v>1.7082352941176471</v>
      </c>
      <c r="J253" s="1">
        <f t="shared" si="7"/>
        <v>0.99251295259201577</v>
      </c>
    </row>
    <row r="254" spans="1:10">
      <c r="A254" t="s">
        <v>214</v>
      </c>
      <c r="B254">
        <v>3</v>
      </c>
      <c r="C254" t="s">
        <v>232</v>
      </c>
      <c r="D254">
        <v>3</v>
      </c>
      <c r="E254">
        <v>425</v>
      </c>
      <c r="F254">
        <v>758</v>
      </c>
      <c r="G254">
        <v>66782</v>
      </c>
      <c r="H254">
        <v>66782</v>
      </c>
      <c r="I254" s="1">
        <f t="shared" si="6"/>
        <v>1.7835294117647058</v>
      </c>
      <c r="J254" s="1">
        <f t="shared" si="7"/>
        <v>1</v>
      </c>
    </row>
    <row r="255" spans="1:10">
      <c r="A255" t="s">
        <v>214</v>
      </c>
      <c r="B255">
        <v>4</v>
      </c>
      <c r="C255" t="s">
        <v>233</v>
      </c>
      <c r="D255">
        <v>1</v>
      </c>
      <c r="E255">
        <v>23</v>
      </c>
      <c r="F255">
        <v>37.333331999999999</v>
      </c>
      <c r="G255">
        <v>4498</v>
      </c>
      <c r="H255">
        <v>5310</v>
      </c>
      <c r="I255" s="1">
        <f t="shared" si="6"/>
        <v>1.6231883478260869</v>
      </c>
      <c r="J255" s="1">
        <f t="shared" si="7"/>
        <v>0.8470809792843691</v>
      </c>
    </row>
    <row r="256" spans="1:10">
      <c r="A256" t="s">
        <v>214</v>
      </c>
      <c r="B256">
        <v>4</v>
      </c>
      <c r="C256" t="s">
        <v>234</v>
      </c>
      <c r="D256">
        <v>2</v>
      </c>
      <c r="E256">
        <v>23</v>
      </c>
      <c r="F256">
        <v>39</v>
      </c>
      <c r="G256">
        <v>4498</v>
      </c>
      <c r="H256">
        <v>5310</v>
      </c>
      <c r="I256" s="1">
        <f t="shared" si="6"/>
        <v>1.6956521739130435</v>
      </c>
      <c r="J256" s="1">
        <f t="shared" si="7"/>
        <v>0.8470809792843691</v>
      </c>
    </row>
    <row r="257" spans="1:10">
      <c r="A257" t="s">
        <v>214</v>
      </c>
      <c r="B257">
        <v>4</v>
      </c>
      <c r="C257" t="s">
        <v>235</v>
      </c>
      <c r="D257">
        <v>3</v>
      </c>
      <c r="E257">
        <v>23</v>
      </c>
      <c r="F257">
        <v>39.666668000000001</v>
      </c>
      <c r="G257">
        <v>4764</v>
      </c>
      <c r="H257">
        <v>5310</v>
      </c>
      <c r="I257" s="1">
        <f t="shared" si="6"/>
        <v>1.7246377391304348</v>
      </c>
      <c r="J257" s="1">
        <f t="shared" si="7"/>
        <v>0.89717514124293785</v>
      </c>
    </row>
    <row r="258" spans="1:10">
      <c r="A258" t="s">
        <v>214</v>
      </c>
      <c r="B258">
        <v>4</v>
      </c>
      <c r="C258" t="s">
        <v>236</v>
      </c>
      <c r="D258">
        <v>4</v>
      </c>
      <c r="E258">
        <v>23</v>
      </c>
      <c r="F258">
        <v>40.333331999999999</v>
      </c>
      <c r="G258">
        <v>4764</v>
      </c>
      <c r="H258">
        <v>5310</v>
      </c>
      <c r="I258" s="1">
        <f t="shared" si="6"/>
        <v>1.7536231304347825</v>
      </c>
      <c r="J258" s="1">
        <f t="shared" si="7"/>
        <v>0.89717514124293785</v>
      </c>
    </row>
    <row r="259" spans="1:10">
      <c r="A259" t="s">
        <v>214</v>
      </c>
      <c r="B259">
        <v>4</v>
      </c>
      <c r="C259" t="s">
        <v>239</v>
      </c>
      <c r="D259">
        <v>5</v>
      </c>
      <c r="E259">
        <v>23</v>
      </c>
      <c r="F259">
        <v>40.33343</v>
      </c>
      <c r="G259">
        <v>5032</v>
      </c>
      <c r="H259">
        <v>5310</v>
      </c>
      <c r="I259" s="1">
        <f t="shared" ref="I259:I322" si="8">F259/E259</f>
        <v>1.7536273913043479</v>
      </c>
      <c r="J259" s="1">
        <f t="shared" ref="J259:J322" si="9">G259/H259</f>
        <v>0.94764595103578153</v>
      </c>
    </row>
    <row r="260" spans="1:10">
      <c r="A260" t="s">
        <v>214</v>
      </c>
      <c r="B260">
        <v>4</v>
      </c>
      <c r="C260" t="s">
        <v>237</v>
      </c>
      <c r="D260">
        <v>6</v>
      </c>
      <c r="E260">
        <v>23</v>
      </c>
      <c r="F260">
        <v>41</v>
      </c>
      <c r="G260">
        <v>5294</v>
      </c>
      <c r="H260">
        <v>5310</v>
      </c>
      <c r="I260" s="1">
        <f t="shared" si="8"/>
        <v>1.7826086956521738</v>
      </c>
      <c r="J260" s="1">
        <f t="shared" si="9"/>
        <v>0.99698681732580041</v>
      </c>
    </row>
    <row r="261" spans="1:10">
      <c r="A261" t="s">
        <v>214</v>
      </c>
      <c r="B261">
        <v>4</v>
      </c>
      <c r="C261" t="s">
        <v>238</v>
      </c>
      <c r="D261">
        <v>7</v>
      </c>
      <c r="E261">
        <v>23</v>
      </c>
      <c r="F261">
        <v>41.000100000000003</v>
      </c>
      <c r="G261">
        <v>5302</v>
      </c>
      <c r="H261">
        <v>5310</v>
      </c>
      <c r="I261" s="1">
        <f t="shared" si="8"/>
        <v>1.782613043478261</v>
      </c>
      <c r="J261" s="1">
        <f t="shared" si="9"/>
        <v>0.99849340866290015</v>
      </c>
    </row>
    <row r="262" spans="1:10">
      <c r="A262" t="s">
        <v>214</v>
      </c>
      <c r="B262">
        <v>4</v>
      </c>
      <c r="C262" t="s">
        <v>240</v>
      </c>
      <c r="D262">
        <v>8</v>
      </c>
      <c r="E262">
        <v>23</v>
      </c>
      <c r="F262">
        <v>42</v>
      </c>
      <c r="G262">
        <v>5302</v>
      </c>
      <c r="H262">
        <v>5310</v>
      </c>
      <c r="I262" s="1">
        <f t="shared" si="8"/>
        <v>1.826086956521739</v>
      </c>
      <c r="J262" s="1">
        <f t="shared" si="9"/>
        <v>0.99849340866290015</v>
      </c>
    </row>
    <row r="263" spans="1:10">
      <c r="A263" t="s">
        <v>214</v>
      </c>
      <c r="B263">
        <v>4</v>
      </c>
      <c r="C263" t="s">
        <v>241</v>
      </c>
      <c r="D263">
        <v>9</v>
      </c>
      <c r="E263">
        <v>23</v>
      </c>
      <c r="F263">
        <v>47.666668000000001</v>
      </c>
      <c r="G263">
        <v>5310</v>
      </c>
      <c r="H263">
        <v>5310</v>
      </c>
      <c r="I263" s="1">
        <f t="shared" si="8"/>
        <v>2.0724638260869566</v>
      </c>
      <c r="J263" s="1">
        <f t="shared" si="9"/>
        <v>1</v>
      </c>
    </row>
    <row r="264" spans="1:10">
      <c r="A264" t="s">
        <v>214</v>
      </c>
      <c r="B264">
        <v>6</v>
      </c>
      <c r="C264" t="s">
        <v>242</v>
      </c>
      <c r="D264">
        <v>1</v>
      </c>
      <c r="E264">
        <v>25.666665999999999</v>
      </c>
      <c r="F264">
        <v>32.333331999999999</v>
      </c>
      <c r="G264">
        <v>1815</v>
      </c>
      <c r="H264">
        <v>2939</v>
      </c>
      <c r="I264" s="1">
        <f t="shared" si="8"/>
        <v>1.2597402405127336</v>
      </c>
      <c r="J264" s="1">
        <f t="shared" si="9"/>
        <v>0.6175569921742089</v>
      </c>
    </row>
    <row r="265" spans="1:10">
      <c r="A265" t="s">
        <v>214</v>
      </c>
      <c r="B265">
        <v>6</v>
      </c>
      <c r="C265" t="s">
        <v>243</v>
      </c>
      <c r="D265">
        <v>2</v>
      </c>
      <c r="E265">
        <v>25.666665999999999</v>
      </c>
      <c r="F265">
        <v>34.666668000000001</v>
      </c>
      <c r="G265">
        <v>2939</v>
      </c>
      <c r="H265">
        <v>2939</v>
      </c>
      <c r="I265" s="1">
        <f t="shared" si="8"/>
        <v>1.3506494376792062</v>
      </c>
      <c r="J265" s="1">
        <f t="shared" si="9"/>
        <v>1</v>
      </c>
    </row>
    <row r="266" spans="1:10">
      <c r="A266" t="s">
        <v>214</v>
      </c>
      <c r="B266">
        <v>7</v>
      </c>
      <c r="C266" t="s">
        <v>19</v>
      </c>
      <c r="D266">
        <v>1</v>
      </c>
      <c r="E266">
        <v>6.6666664999999998</v>
      </c>
      <c r="F266">
        <v>6.6666664999999998</v>
      </c>
      <c r="G266">
        <v>90</v>
      </c>
      <c r="H266">
        <v>1070</v>
      </c>
      <c r="I266" s="1">
        <f t="shared" si="8"/>
        <v>1</v>
      </c>
      <c r="J266" s="1">
        <f t="shared" si="9"/>
        <v>8.4112149532710276E-2</v>
      </c>
    </row>
    <row r="267" spans="1:10">
      <c r="A267" t="s">
        <v>214</v>
      </c>
      <c r="B267">
        <v>7</v>
      </c>
      <c r="C267" t="s">
        <v>22</v>
      </c>
      <c r="D267">
        <v>2</v>
      </c>
      <c r="E267">
        <v>6.6666664999999998</v>
      </c>
      <c r="F267">
        <v>6.6667665999999999</v>
      </c>
      <c r="G267">
        <v>114</v>
      </c>
      <c r="H267">
        <v>1070</v>
      </c>
      <c r="I267" s="1">
        <f t="shared" si="8"/>
        <v>1.0000150150003755</v>
      </c>
      <c r="J267" s="1">
        <f t="shared" si="9"/>
        <v>0.10654205607476636</v>
      </c>
    </row>
    <row r="268" spans="1:10">
      <c r="A268" t="s">
        <v>214</v>
      </c>
      <c r="B268">
        <v>7</v>
      </c>
      <c r="C268" t="s">
        <v>20</v>
      </c>
      <c r="D268">
        <v>3</v>
      </c>
      <c r="E268">
        <v>6.6666664999999998</v>
      </c>
      <c r="F268">
        <v>7</v>
      </c>
      <c r="G268">
        <v>126</v>
      </c>
      <c r="H268">
        <v>1070</v>
      </c>
      <c r="I268" s="1">
        <f t="shared" si="8"/>
        <v>1.0500000262500007</v>
      </c>
      <c r="J268" s="1">
        <f t="shared" si="9"/>
        <v>0.11775700934579439</v>
      </c>
    </row>
    <row r="269" spans="1:10">
      <c r="A269" t="s">
        <v>214</v>
      </c>
      <c r="B269">
        <v>7</v>
      </c>
      <c r="C269" t="s">
        <v>244</v>
      </c>
      <c r="D269">
        <v>4</v>
      </c>
      <c r="E269">
        <v>6.6666664999999998</v>
      </c>
      <c r="F269">
        <v>7.6666664999999998</v>
      </c>
      <c r="G269">
        <v>162</v>
      </c>
      <c r="H269">
        <v>1070</v>
      </c>
      <c r="I269" s="1">
        <f t="shared" si="8"/>
        <v>1.15000000375</v>
      </c>
      <c r="J269" s="1">
        <f t="shared" si="9"/>
        <v>0.15140186915887852</v>
      </c>
    </row>
    <row r="270" spans="1:10">
      <c r="A270" t="s">
        <v>214</v>
      </c>
      <c r="B270">
        <v>7</v>
      </c>
      <c r="C270" t="s">
        <v>1</v>
      </c>
      <c r="D270">
        <v>5</v>
      </c>
      <c r="E270">
        <v>6.6666664999999998</v>
      </c>
      <c r="F270">
        <v>8</v>
      </c>
      <c r="G270">
        <v>162</v>
      </c>
      <c r="H270">
        <v>1070</v>
      </c>
      <c r="I270" s="1">
        <f t="shared" si="8"/>
        <v>1.2000000300000009</v>
      </c>
      <c r="J270" s="1">
        <f t="shared" si="9"/>
        <v>0.15140186915887852</v>
      </c>
    </row>
    <row r="271" spans="1:10">
      <c r="A271" t="s">
        <v>214</v>
      </c>
      <c r="B271">
        <v>7</v>
      </c>
      <c r="C271" t="s">
        <v>245</v>
      </c>
      <c r="D271">
        <v>6</v>
      </c>
      <c r="E271">
        <v>6.6666664999999998</v>
      </c>
      <c r="F271">
        <v>13.333333</v>
      </c>
      <c r="G271">
        <v>1070</v>
      </c>
      <c r="H271">
        <v>1070</v>
      </c>
      <c r="I271" s="1">
        <f t="shared" si="8"/>
        <v>2</v>
      </c>
      <c r="J271" s="1">
        <f t="shared" si="9"/>
        <v>1</v>
      </c>
    </row>
    <row r="272" spans="1:10">
      <c r="A272" t="s">
        <v>214</v>
      </c>
      <c r="B272">
        <v>7</v>
      </c>
      <c r="C272" t="s">
        <v>246</v>
      </c>
      <c r="D272">
        <v>7</v>
      </c>
      <c r="E272">
        <v>6.6666664999999998</v>
      </c>
      <c r="F272">
        <v>14.333333</v>
      </c>
      <c r="G272">
        <v>1070</v>
      </c>
      <c r="H272">
        <v>1070</v>
      </c>
      <c r="I272" s="1">
        <f t="shared" si="8"/>
        <v>2.1500000037500002</v>
      </c>
      <c r="J272" s="1">
        <f t="shared" si="9"/>
        <v>1</v>
      </c>
    </row>
    <row r="273" spans="1:10">
      <c r="A273" t="s">
        <v>247</v>
      </c>
      <c r="B273">
        <v>3</v>
      </c>
      <c r="C273" t="s">
        <v>33</v>
      </c>
      <c r="D273">
        <v>1</v>
      </c>
      <c r="E273">
        <v>11.666667</v>
      </c>
      <c r="F273">
        <v>7</v>
      </c>
      <c r="G273">
        <v>104</v>
      </c>
      <c r="H273">
        <v>2355</v>
      </c>
      <c r="I273" s="1">
        <f t="shared" si="8"/>
        <v>0.59999998285714329</v>
      </c>
      <c r="J273" s="1">
        <f t="shared" si="9"/>
        <v>4.4161358811040337E-2</v>
      </c>
    </row>
    <row r="274" spans="1:10">
      <c r="A274" t="s">
        <v>247</v>
      </c>
      <c r="B274">
        <v>3</v>
      </c>
      <c r="C274" t="s">
        <v>249</v>
      </c>
      <c r="D274">
        <v>2</v>
      </c>
      <c r="E274">
        <v>11.666667</v>
      </c>
      <c r="F274">
        <v>18</v>
      </c>
      <c r="G274">
        <v>1655</v>
      </c>
      <c r="H274">
        <v>2355</v>
      </c>
      <c r="I274" s="1">
        <f t="shared" si="8"/>
        <v>1.5428570987755115</v>
      </c>
      <c r="J274" s="1">
        <f t="shared" si="9"/>
        <v>0.70276008492568998</v>
      </c>
    </row>
    <row r="275" spans="1:10">
      <c r="A275" t="s">
        <v>247</v>
      </c>
      <c r="B275">
        <v>3</v>
      </c>
      <c r="C275" t="s">
        <v>248</v>
      </c>
      <c r="D275">
        <v>3</v>
      </c>
      <c r="E275">
        <v>11.666667</v>
      </c>
      <c r="F275">
        <v>18.0001</v>
      </c>
      <c r="G275">
        <v>2355</v>
      </c>
      <c r="H275">
        <v>2355</v>
      </c>
      <c r="I275" s="1">
        <f t="shared" si="8"/>
        <v>1.5428656702038379</v>
      </c>
      <c r="J275" s="1">
        <f t="shared" si="9"/>
        <v>1</v>
      </c>
    </row>
    <row r="276" spans="1:10">
      <c r="A276" t="s">
        <v>247</v>
      </c>
      <c r="B276">
        <v>7</v>
      </c>
      <c r="C276" t="s">
        <v>36</v>
      </c>
      <c r="D276">
        <v>1</v>
      </c>
      <c r="E276">
        <v>13</v>
      </c>
      <c r="F276">
        <v>8.6666670000000003</v>
      </c>
      <c r="G276">
        <v>313</v>
      </c>
      <c r="H276">
        <v>3264</v>
      </c>
      <c r="I276" s="1">
        <f t="shared" si="8"/>
        <v>0.66666669230769238</v>
      </c>
      <c r="J276" s="1">
        <f t="shared" si="9"/>
        <v>9.5894607843137261E-2</v>
      </c>
    </row>
    <row r="277" spans="1:10">
      <c r="A277" t="s">
        <v>247</v>
      </c>
      <c r="B277">
        <v>7</v>
      </c>
      <c r="C277" t="s">
        <v>37</v>
      </c>
      <c r="D277">
        <v>2</v>
      </c>
      <c r="E277">
        <v>13</v>
      </c>
      <c r="F277">
        <v>9.3333329999999997</v>
      </c>
      <c r="G277">
        <v>401</v>
      </c>
      <c r="H277">
        <v>3264</v>
      </c>
      <c r="I277" s="1">
        <f t="shared" si="8"/>
        <v>0.71794869230769232</v>
      </c>
      <c r="J277" s="1">
        <f t="shared" si="9"/>
        <v>0.12285539215686274</v>
      </c>
    </row>
    <row r="278" spans="1:10">
      <c r="A278" t="s">
        <v>247</v>
      </c>
      <c r="B278">
        <v>7</v>
      </c>
      <c r="C278" t="s">
        <v>250</v>
      </c>
      <c r="D278">
        <v>3</v>
      </c>
      <c r="E278">
        <v>13</v>
      </c>
      <c r="F278">
        <v>11</v>
      </c>
      <c r="G278">
        <v>967</v>
      </c>
      <c r="H278">
        <v>3264</v>
      </c>
      <c r="I278" s="1">
        <f t="shared" si="8"/>
        <v>0.84615384615384615</v>
      </c>
      <c r="J278" s="1">
        <f t="shared" si="9"/>
        <v>0.29626225490196079</v>
      </c>
    </row>
    <row r="279" spans="1:10">
      <c r="A279" t="s">
        <v>247</v>
      </c>
      <c r="B279">
        <v>7</v>
      </c>
      <c r="C279" t="s">
        <v>252</v>
      </c>
      <c r="D279">
        <v>4</v>
      </c>
      <c r="E279">
        <v>13</v>
      </c>
      <c r="F279">
        <v>14</v>
      </c>
      <c r="G279">
        <v>2004</v>
      </c>
      <c r="H279">
        <v>3264</v>
      </c>
      <c r="I279" s="1">
        <f t="shared" si="8"/>
        <v>1.0769230769230769</v>
      </c>
      <c r="J279" s="1">
        <f t="shared" si="9"/>
        <v>0.61397058823529416</v>
      </c>
    </row>
    <row r="280" spans="1:10">
      <c r="A280" t="s">
        <v>247</v>
      </c>
      <c r="B280">
        <v>7</v>
      </c>
      <c r="C280" t="s">
        <v>251</v>
      </c>
      <c r="D280">
        <v>5</v>
      </c>
      <c r="E280">
        <v>13</v>
      </c>
      <c r="F280">
        <v>14.0001</v>
      </c>
      <c r="G280">
        <v>2038</v>
      </c>
      <c r="H280">
        <v>3264</v>
      </c>
      <c r="I280" s="1">
        <f t="shared" si="8"/>
        <v>1.0769307692307692</v>
      </c>
      <c r="J280" s="1">
        <f t="shared" si="9"/>
        <v>0.62438725490196079</v>
      </c>
    </row>
    <row r="281" spans="1:10">
      <c r="A281" t="s">
        <v>247</v>
      </c>
      <c r="B281">
        <v>7</v>
      </c>
      <c r="C281" t="s">
        <v>253</v>
      </c>
      <c r="D281">
        <v>6</v>
      </c>
      <c r="E281">
        <v>13</v>
      </c>
      <c r="F281">
        <v>20</v>
      </c>
      <c r="G281">
        <v>3264</v>
      </c>
      <c r="H281">
        <v>3264</v>
      </c>
      <c r="I281" s="1">
        <f t="shared" si="8"/>
        <v>1.5384615384615385</v>
      </c>
      <c r="J281" s="1">
        <f t="shared" si="9"/>
        <v>1</v>
      </c>
    </row>
    <row r="282" spans="1:10">
      <c r="A282" t="s">
        <v>247</v>
      </c>
      <c r="B282">
        <v>8</v>
      </c>
      <c r="C282" t="s">
        <v>33</v>
      </c>
      <c r="D282">
        <v>1</v>
      </c>
      <c r="E282">
        <v>14.666667</v>
      </c>
      <c r="F282">
        <v>8</v>
      </c>
      <c r="G282">
        <v>141</v>
      </c>
      <c r="H282">
        <v>3505</v>
      </c>
      <c r="I282" s="1">
        <f t="shared" si="8"/>
        <v>0.54545453305785152</v>
      </c>
      <c r="J282" s="1">
        <f t="shared" si="9"/>
        <v>4.0228245363766048E-2</v>
      </c>
    </row>
    <row r="283" spans="1:10">
      <c r="A283" t="s">
        <v>247</v>
      </c>
      <c r="B283">
        <v>8</v>
      </c>
      <c r="C283" t="s">
        <v>34</v>
      </c>
      <c r="D283">
        <v>2</v>
      </c>
      <c r="E283">
        <v>14.666667</v>
      </c>
      <c r="F283">
        <v>9.6666670000000003</v>
      </c>
      <c r="G283">
        <v>498</v>
      </c>
      <c r="H283">
        <v>3505</v>
      </c>
      <c r="I283" s="1">
        <f t="shared" si="8"/>
        <v>0.6590909168388428</v>
      </c>
      <c r="J283" s="1">
        <f t="shared" si="9"/>
        <v>0.14208273894436518</v>
      </c>
    </row>
    <row r="284" spans="1:10">
      <c r="A284" t="s">
        <v>247</v>
      </c>
      <c r="B284">
        <v>8</v>
      </c>
      <c r="C284" t="s">
        <v>35</v>
      </c>
      <c r="D284">
        <v>3</v>
      </c>
      <c r="E284">
        <v>14.666667</v>
      </c>
      <c r="F284">
        <v>10</v>
      </c>
      <c r="G284">
        <v>616</v>
      </c>
      <c r="H284">
        <v>3505</v>
      </c>
      <c r="I284" s="1">
        <f t="shared" si="8"/>
        <v>0.6818181663223144</v>
      </c>
      <c r="J284" s="1">
        <f t="shared" si="9"/>
        <v>0.17574893009985734</v>
      </c>
    </row>
    <row r="285" spans="1:10">
      <c r="A285" t="s">
        <v>247</v>
      </c>
      <c r="B285">
        <v>8</v>
      </c>
      <c r="C285" t="s">
        <v>255</v>
      </c>
      <c r="D285">
        <v>4</v>
      </c>
      <c r="E285">
        <v>14.666667</v>
      </c>
      <c r="F285">
        <v>13</v>
      </c>
      <c r="G285">
        <v>1291</v>
      </c>
      <c r="H285">
        <v>3505</v>
      </c>
      <c r="I285" s="1">
        <f t="shared" si="8"/>
        <v>0.88636361621900872</v>
      </c>
      <c r="J285" s="1">
        <f t="shared" si="9"/>
        <v>0.36833095577746078</v>
      </c>
    </row>
    <row r="286" spans="1:10">
      <c r="A286" t="s">
        <v>247</v>
      </c>
      <c r="B286">
        <v>8</v>
      </c>
      <c r="C286" t="s">
        <v>254</v>
      </c>
      <c r="D286">
        <v>5</v>
      </c>
      <c r="E286">
        <v>14.666667</v>
      </c>
      <c r="F286">
        <v>13.333333</v>
      </c>
      <c r="G286">
        <v>1315</v>
      </c>
      <c r="H286">
        <v>3505</v>
      </c>
      <c r="I286" s="1">
        <f t="shared" si="8"/>
        <v>0.90909086570248032</v>
      </c>
      <c r="J286" s="1">
        <f t="shared" si="9"/>
        <v>0.37517831669044222</v>
      </c>
    </row>
    <row r="287" spans="1:10">
      <c r="A287" t="s">
        <v>247</v>
      </c>
      <c r="B287">
        <v>8</v>
      </c>
      <c r="C287" t="s">
        <v>256</v>
      </c>
      <c r="D287">
        <v>6</v>
      </c>
      <c r="E287">
        <v>14.666667</v>
      </c>
      <c r="F287">
        <v>18.333334000000001</v>
      </c>
      <c r="G287">
        <v>2632</v>
      </c>
      <c r="H287">
        <v>3505</v>
      </c>
      <c r="I287" s="1">
        <f t="shared" si="8"/>
        <v>1.2500000170454542</v>
      </c>
      <c r="J287" s="1">
        <f t="shared" si="9"/>
        <v>0.75092724679029954</v>
      </c>
    </row>
    <row r="288" spans="1:10">
      <c r="A288" t="s">
        <v>247</v>
      </c>
      <c r="B288">
        <v>8</v>
      </c>
      <c r="C288" t="s">
        <v>257</v>
      </c>
      <c r="D288">
        <v>7</v>
      </c>
      <c r="E288">
        <v>14.666667</v>
      </c>
      <c r="F288">
        <v>19.666665999999999</v>
      </c>
      <c r="G288">
        <v>2722</v>
      </c>
      <c r="H288">
        <v>3505</v>
      </c>
      <c r="I288" s="1">
        <f t="shared" si="8"/>
        <v>1.3409090149793406</v>
      </c>
      <c r="J288" s="1">
        <f t="shared" si="9"/>
        <v>0.77660485021398007</v>
      </c>
    </row>
    <row r="289" spans="1:10">
      <c r="A289" t="s">
        <v>247</v>
      </c>
      <c r="B289">
        <v>8</v>
      </c>
      <c r="C289" t="s">
        <v>258</v>
      </c>
      <c r="D289">
        <v>8</v>
      </c>
      <c r="E289">
        <v>14.666667</v>
      </c>
      <c r="F289">
        <v>20.666665999999999</v>
      </c>
      <c r="G289">
        <v>2766</v>
      </c>
      <c r="H289">
        <v>3505</v>
      </c>
      <c r="I289" s="1">
        <f t="shared" si="8"/>
        <v>1.409090831611572</v>
      </c>
      <c r="J289" s="1">
        <f t="shared" si="9"/>
        <v>0.78915834522111272</v>
      </c>
    </row>
    <row r="290" spans="1:10">
      <c r="A290" t="s">
        <v>247</v>
      </c>
      <c r="B290">
        <v>8</v>
      </c>
      <c r="C290" t="s">
        <v>259</v>
      </c>
      <c r="D290">
        <v>9</v>
      </c>
      <c r="E290">
        <v>14.666667</v>
      </c>
      <c r="F290">
        <v>22.333334000000001</v>
      </c>
      <c r="G290">
        <v>3000</v>
      </c>
      <c r="H290">
        <v>3505</v>
      </c>
      <c r="I290" s="1">
        <f t="shared" si="8"/>
        <v>1.5227272835743799</v>
      </c>
      <c r="J290" s="1">
        <f t="shared" si="9"/>
        <v>0.85592011412268187</v>
      </c>
    </row>
    <row r="291" spans="1:10">
      <c r="A291" t="s">
        <v>247</v>
      </c>
      <c r="B291">
        <v>8</v>
      </c>
      <c r="C291" t="s">
        <v>261</v>
      </c>
      <c r="D291">
        <v>10</v>
      </c>
      <c r="E291">
        <v>14.666667</v>
      </c>
      <c r="F291">
        <v>22.666665999999999</v>
      </c>
      <c r="G291">
        <v>3197</v>
      </c>
      <c r="H291">
        <v>3505</v>
      </c>
      <c r="I291" s="1">
        <f t="shared" si="8"/>
        <v>1.5454544648760349</v>
      </c>
      <c r="J291" s="1">
        <f t="shared" si="9"/>
        <v>0.91212553495007131</v>
      </c>
    </row>
    <row r="292" spans="1:10">
      <c r="A292" t="s">
        <v>247</v>
      </c>
      <c r="B292">
        <v>8</v>
      </c>
      <c r="C292" t="s">
        <v>260</v>
      </c>
      <c r="D292">
        <v>11</v>
      </c>
      <c r="E292">
        <v>14.666667</v>
      </c>
      <c r="F292">
        <v>24.666665999999999</v>
      </c>
      <c r="G292">
        <v>3505</v>
      </c>
      <c r="H292">
        <v>3505</v>
      </c>
      <c r="I292" s="1">
        <f t="shared" si="8"/>
        <v>1.6818180981404978</v>
      </c>
      <c r="J292" s="1">
        <f t="shared" si="9"/>
        <v>1</v>
      </c>
    </row>
    <row r="293" spans="1:10">
      <c r="A293" t="s">
        <v>247</v>
      </c>
      <c r="B293">
        <v>9</v>
      </c>
      <c r="C293" t="s">
        <v>33</v>
      </c>
      <c r="D293">
        <v>1</v>
      </c>
      <c r="E293">
        <v>9.6666670000000003</v>
      </c>
      <c r="F293">
        <v>6.3333335000000002</v>
      </c>
      <c r="G293">
        <v>91</v>
      </c>
      <c r="H293">
        <v>1675</v>
      </c>
      <c r="I293" s="1">
        <f t="shared" si="8"/>
        <v>0.65517240844233071</v>
      </c>
      <c r="J293" s="1">
        <f t="shared" si="9"/>
        <v>5.4328358208955221E-2</v>
      </c>
    </row>
    <row r="294" spans="1:10">
      <c r="A294" t="s">
        <v>247</v>
      </c>
      <c r="B294">
        <v>9</v>
      </c>
      <c r="C294" t="s">
        <v>2</v>
      </c>
      <c r="D294">
        <v>2</v>
      </c>
      <c r="E294">
        <v>9.6666670000000003</v>
      </c>
      <c r="F294">
        <v>7.3333335000000002</v>
      </c>
      <c r="G294">
        <v>275</v>
      </c>
      <c r="H294">
        <v>1675</v>
      </c>
      <c r="I294" s="1">
        <f t="shared" si="8"/>
        <v>0.75862068073721789</v>
      </c>
      <c r="J294" s="1">
        <f t="shared" si="9"/>
        <v>0.16417910447761194</v>
      </c>
    </row>
    <row r="295" spans="1:10">
      <c r="A295" t="s">
        <v>247</v>
      </c>
      <c r="B295">
        <v>9</v>
      </c>
      <c r="C295" t="s">
        <v>262</v>
      </c>
      <c r="D295">
        <v>3</v>
      </c>
      <c r="E295">
        <v>9.6666670000000003</v>
      </c>
      <c r="F295">
        <v>11</v>
      </c>
      <c r="G295">
        <v>887</v>
      </c>
      <c r="H295">
        <v>1675</v>
      </c>
      <c r="I295" s="1">
        <f t="shared" si="8"/>
        <v>1.1379309952437588</v>
      </c>
      <c r="J295" s="1">
        <f t="shared" si="9"/>
        <v>0.52955223880597013</v>
      </c>
    </row>
    <row r="296" spans="1:10">
      <c r="A296" t="s">
        <v>247</v>
      </c>
      <c r="B296">
        <v>9</v>
      </c>
      <c r="C296" t="s">
        <v>263</v>
      </c>
      <c r="D296">
        <v>4</v>
      </c>
      <c r="E296">
        <v>9.6666670000000003</v>
      </c>
      <c r="F296">
        <v>11.666667</v>
      </c>
      <c r="G296">
        <v>887</v>
      </c>
      <c r="H296">
        <v>1675</v>
      </c>
      <c r="I296" s="1">
        <f t="shared" si="8"/>
        <v>1.2068965445897744</v>
      </c>
      <c r="J296" s="1">
        <f t="shared" si="9"/>
        <v>0.52955223880597013</v>
      </c>
    </row>
    <row r="297" spans="1:10">
      <c r="A297" t="s">
        <v>247</v>
      </c>
      <c r="B297">
        <v>9</v>
      </c>
      <c r="C297" t="s">
        <v>264</v>
      </c>
      <c r="D297">
        <v>5</v>
      </c>
      <c r="E297">
        <v>9.6666670000000003</v>
      </c>
      <c r="F297">
        <v>15.666667</v>
      </c>
      <c r="G297">
        <v>1675</v>
      </c>
      <c r="H297">
        <v>1675</v>
      </c>
      <c r="I297" s="1">
        <f t="shared" si="8"/>
        <v>1.6206896337693228</v>
      </c>
      <c r="J297" s="1">
        <f t="shared" si="9"/>
        <v>1</v>
      </c>
    </row>
    <row r="298" spans="1:10">
      <c r="A298" t="s">
        <v>247</v>
      </c>
      <c r="B298">
        <v>10</v>
      </c>
      <c r="C298" t="s">
        <v>33</v>
      </c>
      <c r="D298">
        <v>1</v>
      </c>
      <c r="E298">
        <v>2.6666666999999999</v>
      </c>
      <c r="F298">
        <v>3.6666666999999999</v>
      </c>
      <c r="G298">
        <v>20</v>
      </c>
      <c r="H298">
        <v>141</v>
      </c>
      <c r="I298" s="1">
        <f t="shared" si="8"/>
        <v>1.3749999953125001</v>
      </c>
      <c r="J298" s="1">
        <f t="shared" si="9"/>
        <v>0.14184397163120568</v>
      </c>
    </row>
    <row r="299" spans="1:10">
      <c r="A299" t="s">
        <v>247</v>
      </c>
      <c r="B299">
        <v>10</v>
      </c>
      <c r="C299" t="s">
        <v>265</v>
      </c>
      <c r="D299">
        <v>2</v>
      </c>
      <c r="E299">
        <v>2.6666666999999999</v>
      </c>
      <c r="F299">
        <v>4</v>
      </c>
      <c r="G299">
        <v>73</v>
      </c>
      <c r="H299">
        <v>141</v>
      </c>
      <c r="I299" s="1">
        <f t="shared" si="8"/>
        <v>1.4999999812500002</v>
      </c>
      <c r="J299" s="1">
        <f t="shared" si="9"/>
        <v>0.51773049645390068</v>
      </c>
    </row>
    <row r="300" spans="1:10">
      <c r="A300" t="s">
        <v>247</v>
      </c>
      <c r="B300">
        <v>10</v>
      </c>
      <c r="C300" t="s">
        <v>279</v>
      </c>
      <c r="D300">
        <v>3</v>
      </c>
      <c r="E300">
        <v>2.6666666999999999</v>
      </c>
      <c r="F300">
        <v>4.0000999999999998</v>
      </c>
      <c r="G300">
        <v>79</v>
      </c>
      <c r="H300">
        <v>141</v>
      </c>
      <c r="I300" s="1">
        <f t="shared" si="8"/>
        <v>1.5000374812495314</v>
      </c>
      <c r="J300" s="1">
        <f t="shared" si="9"/>
        <v>0.56028368794326244</v>
      </c>
    </row>
    <row r="301" spans="1:10">
      <c r="A301" t="s">
        <v>247</v>
      </c>
      <c r="B301">
        <v>10</v>
      </c>
      <c r="C301" t="s">
        <v>262</v>
      </c>
      <c r="D301">
        <v>4</v>
      </c>
      <c r="E301">
        <v>2.6666666999999999</v>
      </c>
      <c r="F301">
        <v>4.0002003000000004</v>
      </c>
      <c r="G301">
        <v>85</v>
      </c>
      <c r="H301">
        <v>141</v>
      </c>
      <c r="I301" s="1">
        <f t="shared" si="8"/>
        <v>1.5000750937490615</v>
      </c>
      <c r="J301" s="1">
        <f t="shared" si="9"/>
        <v>0.6028368794326241</v>
      </c>
    </row>
    <row r="302" spans="1:10">
      <c r="A302" t="s">
        <v>247</v>
      </c>
      <c r="B302">
        <v>10</v>
      </c>
      <c r="C302" t="s">
        <v>34</v>
      </c>
      <c r="D302">
        <v>5</v>
      </c>
      <c r="E302">
        <v>2.6666666999999999</v>
      </c>
      <c r="F302">
        <v>4.0003004000000004</v>
      </c>
      <c r="G302">
        <v>102</v>
      </c>
      <c r="H302">
        <v>141</v>
      </c>
      <c r="I302" s="1">
        <f t="shared" si="8"/>
        <v>1.5001126312485924</v>
      </c>
      <c r="J302" s="1">
        <f t="shared" si="9"/>
        <v>0.72340425531914898</v>
      </c>
    </row>
    <row r="303" spans="1:10">
      <c r="A303" t="s">
        <v>247</v>
      </c>
      <c r="B303">
        <v>10</v>
      </c>
      <c r="C303" t="s">
        <v>268</v>
      </c>
      <c r="D303">
        <v>6</v>
      </c>
      <c r="E303">
        <v>2.6666666999999999</v>
      </c>
      <c r="F303">
        <v>4.3333335000000002</v>
      </c>
      <c r="G303">
        <v>109</v>
      </c>
      <c r="H303">
        <v>141</v>
      </c>
      <c r="I303" s="1">
        <f t="shared" si="8"/>
        <v>1.6250000421874995</v>
      </c>
      <c r="J303" s="1">
        <f t="shared" si="9"/>
        <v>0.77304964539007093</v>
      </c>
    </row>
    <row r="304" spans="1:10">
      <c r="A304" t="s">
        <v>247</v>
      </c>
      <c r="B304">
        <v>10</v>
      </c>
      <c r="C304" t="s">
        <v>269</v>
      </c>
      <c r="D304">
        <v>7</v>
      </c>
      <c r="E304">
        <v>2.6666666999999999</v>
      </c>
      <c r="F304">
        <v>4.3334336000000002</v>
      </c>
      <c r="G304">
        <v>122</v>
      </c>
      <c r="H304">
        <v>141</v>
      </c>
      <c r="I304" s="1">
        <f t="shared" si="8"/>
        <v>1.6250375796870304</v>
      </c>
      <c r="J304" s="1">
        <f t="shared" si="9"/>
        <v>0.86524822695035464</v>
      </c>
    </row>
    <row r="305" spans="1:10">
      <c r="A305" t="s">
        <v>247</v>
      </c>
      <c r="B305">
        <v>10</v>
      </c>
      <c r="C305" t="s">
        <v>270</v>
      </c>
      <c r="D305">
        <v>8</v>
      </c>
      <c r="E305">
        <v>2.6666666999999999</v>
      </c>
      <c r="F305">
        <v>4.3335340000000002</v>
      </c>
      <c r="G305">
        <v>122</v>
      </c>
      <c r="H305">
        <v>141</v>
      </c>
      <c r="I305" s="1">
        <f t="shared" si="8"/>
        <v>1.6250752296865598</v>
      </c>
      <c r="J305" s="1">
        <f t="shared" si="9"/>
        <v>0.86524822695035464</v>
      </c>
    </row>
    <row r="306" spans="1:10">
      <c r="A306" t="s">
        <v>247</v>
      </c>
      <c r="B306">
        <v>10</v>
      </c>
      <c r="C306" t="s">
        <v>276</v>
      </c>
      <c r="D306">
        <v>9</v>
      </c>
      <c r="E306">
        <v>2.6666666999999999</v>
      </c>
      <c r="F306">
        <v>4.333634</v>
      </c>
      <c r="G306">
        <v>131</v>
      </c>
      <c r="H306">
        <v>141</v>
      </c>
      <c r="I306" s="1">
        <f t="shared" si="8"/>
        <v>1.625112729686091</v>
      </c>
      <c r="J306" s="1">
        <f t="shared" si="9"/>
        <v>0.92907801418439717</v>
      </c>
    </row>
    <row r="307" spans="1:10">
      <c r="A307" t="s">
        <v>247</v>
      </c>
      <c r="B307">
        <v>10</v>
      </c>
      <c r="C307" t="s">
        <v>285</v>
      </c>
      <c r="D307">
        <v>10</v>
      </c>
      <c r="E307">
        <v>2.6666666999999999</v>
      </c>
      <c r="F307">
        <v>4.3337339999999998</v>
      </c>
      <c r="G307">
        <v>134</v>
      </c>
      <c r="H307">
        <v>141</v>
      </c>
      <c r="I307" s="1">
        <f t="shared" si="8"/>
        <v>1.6251502296856222</v>
      </c>
      <c r="J307" s="1">
        <f t="shared" si="9"/>
        <v>0.95035460992907805</v>
      </c>
    </row>
    <row r="308" spans="1:10">
      <c r="A308" t="s">
        <v>247</v>
      </c>
      <c r="B308">
        <v>10</v>
      </c>
      <c r="C308" t="s">
        <v>287</v>
      </c>
      <c r="D308">
        <v>11</v>
      </c>
      <c r="E308">
        <v>2.6666666999999999</v>
      </c>
      <c r="F308">
        <v>4.3338340000000004</v>
      </c>
      <c r="G308">
        <v>134</v>
      </c>
      <c r="H308">
        <v>141</v>
      </c>
      <c r="I308" s="1">
        <f t="shared" si="8"/>
        <v>1.6251877296851536</v>
      </c>
      <c r="J308" s="1">
        <f t="shared" si="9"/>
        <v>0.95035460992907805</v>
      </c>
    </row>
    <row r="309" spans="1:10">
      <c r="A309" t="s">
        <v>247</v>
      </c>
      <c r="B309">
        <v>10</v>
      </c>
      <c r="C309" t="s">
        <v>289</v>
      </c>
      <c r="D309">
        <v>12</v>
      </c>
      <c r="E309">
        <v>2.6666666999999999</v>
      </c>
      <c r="F309">
        <v>4.3339343000000001</v>
      </c>
      <c r="G309">
        <v>134</v>
      </c>
      <c r="H309">
        <v>141</v>
      </c>
      <c r="I309" s="1">
        <f t="shared" si="8"/>
        <v>1.6252253421846834</v>
      </c>
      <c r="J309" s="1">
        <f t="shared" si="9"/>
        <v>0.95035460992907805</v>
      </c>
    </row>
    <row r="310" spans="1:10">
      <c r="A310" t="s">
        <v>247</v>
      </c>
      <c r="B310">
        <v>10</v>
      </c>
      <c r="C310" t="s">
        <v>266</v>
      </c>
      <c r="D310">
        <v>13</v>
      </c>
      <c r="E310">
        <v>2.6666666999999999</v>
      </c>
      <c r="F310">
        <v>4.6666664999999998</v>
      </c>
      <c r="G310">
        <v>134</v>
      </c>
      <c r="H310">
        <v>141</v>
      </c>
      <c r="I310" s="1">
        <f t="shared" si="8"/>
        <v>1.749999915625001</v>
      </c>
      <c r="J310" s="1">
        <f t="shared" si="9"/>
        <v>0.95035460992907805</v>
      </c>
    </row>
    <row r="311" spans="1:10">
      <c r="A311" t="s">
        <v>247</v>
      </c>
      <c r="B311">
        <v>10</v>
      </c>
      <c r="C311" t="s">
        <v>277</v>
      </c>
      <c r="D311">
        <v>14</v>
      </c>
      <c r="E311">
        <v>2.6666666999999999</v>
      </c>
      <c r="F311">
        <v>4.6667665999999999</v>
      </c>
      <c r="G311">
        <v>137</v>
      </c>
      <c r="H311">
        <v>141</v>
      </c>
      <c r="I311" s="1">
        <f t="shared" si="8"/>
        <v>1.7500374531245317</v>
      </c>
      <c r="J311" s="1">
        <f t="shared" si="9"/>
        <v>0.97163120567375882</v>
      </c>
    </row>
    <row r="312" spans="1:10">
      <c r="A312" t="s">
        <v>247</v>
      </c>
      <c r="B312">
        <v>10</v>
      </c>
      <c r="C312" t="s">
        <v>274</v>
      </c>
      <c r="D312">
        <v>15</v>
      </c>
      <c r="E312">
        <v>2.6666666999999999</v>
      </c>
      <c r="F312">
        <v>4.6668669999999999</v>
      </c>
      <c r="G312">
        <v>137</v>
      </c>
      <c r="H312">
        <v>141</v>
      </c>
      <c r="I312" s="1">
        <f t="shared" si="8"/>
        <v>1.7500751031240611</v>
      </c>
      <c r="J312" s="1">
        <f t="shared" si="9"/>
        <v>0.97163120567375882</v>
      </c>
    </row>
    <row r="313" spans="1:10">
      <c r="A313" t="s">
        <v>247</v>
      </c>
      <c r="B313">
        <v>10</v>
      </c>
      <c r="C313" t="s">
        <v>278</v>
      </c>
      <c r="D313">
        <v>16</v>
      </c>
      <c r="E313">
        <v>2.6666666999999999</v>
      </c>
      <c r="F313">
        <v>4.6669669999999996</v>
      </c>
      <c r="G313">
        <v>137</v>
      </c>
      <c r="H313">
        <v>141</v>
      </c>
      <c r="I313" s="1">
        <f t="shared" si="8"/>
        <v>1.7501126031235923</v>
      </c>
      <c r="J313" s="1">
        <f t="shared" si="9"/>
        <v>0.97163120567375882</v>
      </c>
    </row>
    <row r="314" spans="1:10">
      <c r="A314" t="s">
        <v>247</v>
      </c>
      <c r="B314">
        <v>10</v>
      </c>
      <c r="C314" t="s">
        <v>280</v>
      </c>
      <c r="D314">
        <v>17</v>
      </c>
      <c r="E314">
        <v>2.6666666999999999</v>
      </c>
      <c r="F314">
        <v>4.6670670000000003</v>
      </c>
      <c r="G314">
        <v>137</v>
      </c>
      <c r="H314">
        <v>141</v>
      </c>
      <c r="I314" s="1">
        <f t="shared" si="8"/>
        <v>1.7501501031231239</v>
      </c>
      <c r="J314" s="1">
        <f t="shared" si="9"/>
        <v>0.97163120567375882</v>
      </c>
    </row>
    <row r="315" spans="1:10">
      <c r="A315" t="s">
        <v>247</v>
      </c>
      <c r="B315">
        <v>10</v>
      </c>
      <c r="C315" t="s">
        <v>281</v>
      </c>
      <c r="D315">
        <v>18</v>
      </c>
      <c r="E315">
        <v>2.6666666999999999</v>
      </c>
      <c r="F315">
        <v>4.6671670000000001</v>
      </c>
      <c r="G315">
        <v>139</v>
      </c>
      <c r="H315">
        <v>141</v>
      </c>
      <c r="I315" s="1">
        <f t="shared" si="8"/>
        <v>1.7501876031226551</v>
      </c>
      <c r="J315" s="1">
        <f t="shared" si="9"/>
        <v>0.98581560283687941</v>
      </c>
    </row>
    <row r="316" spans="1:10">
      <c r="A316" t="s">
        <v>247</v>
      </c>
      <c r="B316">
        <v>10</v>
      </c>
      <c r="C316" t="s">
        <v>284</v>
      </c>
      <c r="D316">
        <v>19</v>
      </c>
      <c r="E316">
        <v>2.6666666999999999</v>
      </c>
      <c r="F316">
        <v>4.6672672999999998</v>
      </c>
      <c r="G316">
        <v>140</v>
      </c>
      <c r="H316">
        <v>141</v>
      </c>
      <c r="I316" s="1">
        <f t="shared" si="8"/>
        <v>1.7502252156221847</v>
      </c>
      <c r="J316" s="1">
        <f t="shared" si="9"/>
        <v>0.99290780141843971</v>
      </c>
    </row>
    <row r="317" spans="1:10">
      <c r="A317" t="s">
        <v>247</v>
      </c>
      <c r="B317">
        <v>10</v>
      </c>
      <c r="C317" t="s">
        <v>267</v>
      </c>
      <c r="D317">
        <v>20</v>
      </c>
      <c r="E317">
        <v>2.6666666999999999</v>
      </c>
      <c r="F317">
        <v>5</v>
      </c>
      <c r="G317">
        <v>140</v>
      </c>
      <c r="H317">
        <v>141</v>
      </c>
      <c r="I317" s="1">
        <f t="shared" si="8"/>
        <v>1.8749999765625003</v>
      </c>
      <c r="J317" s="1">
        <f t="shared" si="9"/>
        <v>0.99290780141843971</v>
      </c>
    </row>
    <row r="318" spans="1:10">
      <c r="A318" t="s">
        <v>247</v>
      </c>
      <c r="B318">
        <v>10</v>
      </c>
      <c r="C318" t="s">
        <v>271</v>
      </c>
      <c r="D318">
        <v>21</v>
      </c>
      <c r="E318">
        <v>2.6666666999999999</v>
      </c>
      <c r="F318">
        <v>5.0000999999999998</v>
      </c>
      <c r="G318">
        <v>140</v>
      </c>
      <c r="H318">
        <v>141</v>
      </c>
      <c r="I318" s="1">
        <f t="shared" si="8"/>
        <v>1.8750374765620315</v>
      </c>
      <c r="J318" s="1">
        <f t="shared" si="9"/>
        <v>0.99290780141843971</v>
      </c>
    </row>
    <row r="319" spans="1:10">
      <c r="A319" t="s">
        <v>247</v>
      </c>
      <c r="B319">
        <v>10</v>
      </c>
      <c r="C319" t="s">
        <v>273</v>
      </c>
      <c r="D319">
        <v>22</v>
      </c>
      <c r="E319">
        <v>2.6666666999999999</v>
      </c>
      <c r="F319">
        <v>5.0002003000000004</v>
      </c>
      <c r="G319">
        <v>140</v>
      </c>
      <c r="H319">
        <v>141</v>
      </c>
      <c r="I319" s="1">
        <f t="shared" si="8"/>
        <v>1.8750750890615615</v>
      </c>
      <c r="J319" s="1">
        <f t="shared" si="9"/>
        <v>0.99290780141843971</v>
      </c>
    </row>
    <row r="320" spans="1:10">
      <c r="A320" t="s">
        <v>247</v>
      </c>
      <c r="B320">
        <v>10</v>
      </c>
      <c r="C320" t="s">
        <v>282</v>
      </c>
      <c r="D320">
        <v>23</v>
      </c>
      <c r="E320">
        <v>2.6666666999999999</v>
      </c>
      <c r="F320">
        <v>5.0003004000000004</v>
      </c>
      <c r="G320">
        <v>141</v>
      </c>
      <c r="H320">
        <v>141</v>
      </c>
      <c r="I320" s="1">
        <f t="shared" si="8"/>
        <v>1.8751126265610925</v>
      </c>
      <c r="J320" s="1">
        <f t="shared" si="9"/>
        <v>1</v>
      </c>
    </row>
    <row r="321" spans="1:10">
      <c r="A321" t="s">
        <v>247</v>
      </c>
      <c r="B321">
        <v>10</v>
      </c>
      <c r="C321" t="s">
        <v>286</v>
      </c>
      <c r="D321">
        <v>24</v>
      </c>
      <c r="E321">
        <v>2.6666666999999999</v>
      </c>
      <c r="F321">
        <v>5.0004004999999996</v>
      </c>
      <c r="G321">
        <v>141</v>
      </c>
      <c r="H321">
        <v>141</v>
      </c>
      <c r="I321" s="1">
        <f t="shared" si="8"/>
        <v>1.8751501640606227</v>
      </c>
      <c r="J321" s="1">
        <f t="shared" si="9"/>
        <v>1</v>
      </c>
    </row>
    <row r="322" spans="1:10">
      <c r="A322" t="s">
        <v>247</v>
      </c>
      <c r="B322">
        <v>10</v>
      </c>
      <c r="C322" t="s">
        <v>288</v>
      </c>
      <c r="D322">
        <v>25</v>
      </c>
      <c r="E322">
        <v>2.6666666999999999</v>
      </c>
      <c r="F322">
        <v>5.0005006999999999</v>
      </c>
      <c r="G322">
        <v>141</v>
      </c>
      <c r="H322">
        <v>141</v>
      </c>
      <c r="I322" s="1">
        <f t="shared" si="8"/>
        <v>1.8751877390601532</v>
      </c>
      <c r="J322" s="1">
        <f t="shared" si="9"/>
        <v>1</v>
      </c>
    </row>
    <row r="323" spans="1:10">
      <c r="A323" t="s">
        <v>247</v>
      </c>
      <c r="B323">
        <v>10</v>
      </c>
      <c r="C323" t="s">
        <v>290</v>
      </c>
      <c r="D323">
        <v>26</v>
      </c>
      <c r="E323">
        <v>2.6666666999999999</v>
      </c>
      <c r="F323">
        <v>5.0006009999999996</v>
      </c>
      <c r="G323">
        <v>141</v>
      </c>
      <c r="H323">
        <v>141</v>
      </c>
      <c r="I323" s="1">
        <f t="shared" ref="I323:I386" si="10">F323/E323</f>
        <v>1.8752253515596831</v>
      </c>
      <c r="J323" s="1">
        <f t="shared" ref="J323:J386" si="11">G323/H323</f>
        <v>1</v>
      </c>
    </row>
    <row r="324" spans="1:10">
      <c r="A324" t="s">
        <v>247</v>
      </c>
      <c r="B324">
        <v>10</v>
      </c>
      <c r="C324" t="s">
        <v>291</v>
      </c>
      <c r="D324">
        <v>27</v>
      </c>
      <c r="E324">
        <v>2.6666666999999999</v>
      </c>
      <c r="F324">
        <v>5.0007010000000003</v>
      </c>
      <c r="G324">
        <v>141</v>
      </c>
      <c r="H324">
        <v>141</v>
      </c>
      <c r="I324" s="1">
        <f t="shared" si="10"/>
        <v>1.8752628515592145</v>
      </c>
      <c r="J324" s="1">
        <f t="shared" si="11"/>
        <v>1</v>
      </c>
    </row>
    <row r="325" spans="1:10">
      <c r="A325" t="s">
        <v>247</v>
      </c>
      <c r="B325">
        <v>10</v>
      </c>
      <c r="C325" t="s">
        <v>292</v>
      </c>
      <c r="D325">
        <v>28</v>
      </c>
      <c r="E325">
        <v>2.6666666999999999</v>
      </c>
      <c r="F325">
        <v>5.0008010000000001</v>
      </c>
      <c r="G325">
        <v>141</v>
      </c>
      <c r="H325">
        <v>141</v>
      </c>
      <c r="I325" s="1">
        <f t="shared" si="10"/>
        <v>1.8753003515587456</v>
      </c>
      <c r="J325" s="1">
        <f t="shared" si="11"/>
        <v>1</v>
      </c>
    </row>
    <row r="326" spans="1:10">
      <c r="A326" t="s">
        <v>247</v>
      </c>
      <c r="B326">
        <v>10</v>
      </c>
      <c r="C326" t="s">
        <v>293</v>
      </c>
      <c r="D326">
        <v>29</v>
      </c>
      <c r="E326">
        <v>2.6666666999999999</v>
      </c>
      <c r="F326">
        <v>5.0009009999999998</v>
      </c>
      <c r="G326">
        <v>141</v>
      </c>
      <c r="H326">
        <v>141</v>
      </c>
      <c r="I326" s="1">
        <f t="shared" si="10"/>
        <v>1.8753378515582768</v>
      </c>
      <c r="J326" s="1">
        <f t="shared" si="11"/>
        <v>1</v>
      </c>
    </row>
    <row r="327" spans="1:10">
      <c r="A327" t="s">
        <v>247</v>
      </c>
      <c r="B327">
        <v>10</v>
      </c>
      <c r="C327" t="s">
        <v>272</v>
      </c>
      <c r="D327">
        <v>30</v>
      </c>
      <c r="E327">
        <v>2.6666666999999999</v>
      </c>
      <c r="F327">
        <v>5.3333335000000002</v>
      </c>
      <c r="G327">
        <v>141</v>
      </c>
      <c r="H327">
        <v>141</v>
      </c>
      <c r="I327" s="1">
        <f t="shared" si="10"/>
        <v>2.0000000374999996</v>
      </c>
      <c r="J327" s="1">
        <f t="shared" si="11"/>
        <v>1</v>
      </c>
    </row>
    <row r="328" spans="1:10">
      <c r="A328" t="s">
        <v>247</v>
      </c>
      <c r="B328">
        <v>10</v>
      </c>
      <c r="C328" t="s">
        <v>283</v>
      </c>
      <c r="D328">
        <v>31</v>
      </c>
      <c r="E328">
        <v>2.6666666999999999</v>
      </c>
      <c r="F328">
        <v>5.3334336000000002</v>
      </c>
      <c r="G328">
        <v>141</v>
      </c>
      <c r="H328">
        <v>141</v>
      </c>
      <c r="I328" s="1">
        <f t="shared" si="10"/>
        <v>2.0000375749995305</v>
      </c>
      <c r="J328" s="1">
        <f t="shared" si="11"/>
        <v>1</v>
      </c>
    </row>
    <row r="329" spans="1:10">
      <c r="A329" t="s">
        <v>247</v>
      </c>
      <c r="B329">
        <v>10</v>
      </c>
      <c r="C329" t="s">
        <v>275</v>
      </c>
      <c r="D329">
        <v>32</v>
      </c>
      <c r="E329">
        <v>2.6666666999999999</v>
      </c>
      <c r="F329">
        <v>6.3333335000000002</v>
      </c>
      <c r="G329">
        <v>141</v>
      </c>
      <c r="H329">
        <v>141</v>
      </c>
      <c r="I329" s="1">
        <f t="shared" si="10"/>
        <v>2.3750000328124998</v>
      </c>
      <c r="J329" s="1">
        <f t="shared" si="11"/>
        <v>1</v>
      </c>
    </row>
    <row r="330" spans="1:10">
      <c r="A330" t="s">
        <v>294</v>
      </c>
      <c r="B330">
        <v>3</v>
      </c>
      <c r="C330" t="s">
        <v>145</v>
      </c>
      <c r="D330">
        <v>1</v>
      </c>
      <c r="E330">
        <v>53.666668000000001</v>
      </c>
      <c r="F330">
        <v>87.333336000000003</v>
      </c>
      <c r="G330">
        <v>8340</v>
      </c>
      <c r="H330">
        <v>8642</v>
      </c>
      <c r="I330" s="1">
        <f t="shared" si="10"/>
        <v>1.6273292018054857</v>
      </c>
      <c r="J330" s="1">
        <f t="shared" si="11"/>
        <v>0.96505438555889844</v>
      </c>
    </row>
    <row r="331" spans="1:10">
      <c r="A331" t="s">
        <v>294</v>
      </c>
      <c r="B331">
        <v>3</v>
      </c>
      <c r="C331" t="s">
        <v>36</v>
      </c>
      <c r="D331">
        <v>2</v>
      </c>
      <c r="E331">
        <v>53.666668000000001</v>
      </c>
      <c r="F331">
        <v>87.333434999999994</v>
      </c>
      <c r="G331">
        <v>8642</v>
      </c>
      <c r="H331">
        <v>8642</v>
      </c>
      <c r="I331" s="1">
        <f t="shared" si="10"/>
        <v>1.6273310465259365</v>
      </c>
      <c r="J331" s="1">
        <f t="shared" si="11"/>
        <v>1</v>
      </c>
    </row>
    <row r="332" spans="1:10">
      <c r="A332" t="s">
        <v>295</v>
      </c>
      <c r="B332">
        <v>2</v>
      </c>
      <c r="C332" t="s">
        <v>296</v>
      </c>
      <c r="D332">
        <v>1</v>
      </c>
      <c r="E332">
        <v>9</v>
      </c>
      <c r="F332">
        <v>9.3333329999999997</v>
      </c>
      <c r="G332">
        <v>257</v>
      </c>
      <c r="H332">
        <v>2256</v>
      </c>
      <c r="I332" s="1">
        <f t="shared" si="10"/>
        <v>1.037037</v>
      </c>
      <c r="J332" s="1">
        <f t="shared" si="11"/>
        <v>0.11391843971631206</v>
      </c>
    </row>
    <row r="333" spans="1:10">
      <c r="A333" t="s">
        <v>295</v>
      </c>
      <c r="B333">
        <v>2</v>
      </c>
      <c r="C333" t="s">
        <v>207</v>
      </c>
      <c r="D333">
        <v>2</v>
      </c>
      <c r="E333">
        <v>9</v>
      </c>
      <c r="F333">
        <v>10</v>
      </c>
      <c r="G333">
        <v>488</v>
      </c>
      <c r="H333">
        <v>2256</v>
      </c>
      <c r="I333" s="1">
        <f t="shared" si="10"/>
        <v>1.1111111111111112</v>
      </c>
      <c r="J333" s="1">
        <f t="shared" si="11"/>
        <v>0.21631205673758866</v>
      </c>
    </row>
    <row r="334" spans="1:10">
      <c r="A334" t="s">
        <v>295</v>
      </c>
      <c r="B334">
        <v>2</v>
      </c>
      <c r="C334" t="s">
        <v>322</v>
      </c>
      <c r="D334">
        <v>3</v>
      </c>
      <c r="E334">
        <v>9</v>
      </c>
      <c r="F334">
        <v>10.0001</v>
      </c>
      <c r="G334">
        <v>562</v>
      </c>
      <c r="H334">
        <v>2256</v>
      </c>
      <c r="I334" s="1">
        <f t="shared" si="10"/>
        <v>1.1111222222222221</v>
      </c>
      <c r="J334" s="1">
        <f t="shared" si="11"/>
        <v>0.24911347517730498</v>
      </c>
    </row>
    <row r="335" spans="1:10">
      <c r="A335" t="s">
        <v>295</v>
      </c>
      <c r="B335">
        <v>2</v>
      </c>
      <c r="C335" t="s">
        <v>298</v>
      </c>
      <c r="D335">
        <v>4</v>
      </c>
      <c r="E335">
        <v>9</v>
      </c>
      <c r="F335">
        <v>10.333333</v>
      </c>
      <c r="G335">
        <v>764</v>
      </c>
      <c r="H335">
        <v>2256</v>
      </c>
      <c r="I335" s="1">
        <f t="shared" si="10"/>
        <v>1.1481481111111111</v>
      </c>
      <c r="J335" s="1">
        <f t="shared" si="11"/>
        <v>0.33865248226950356</v>
      </c>
    </row>
    <row r="336" spans="1:10">
      <c r="A336" t="s">
        <v>295</v>
      </c>
      <c r="B336">
        <v>2</v>
      </c>
      <c r="C336" t="s">
        <v>297</v>
      </c>
      <c r="D336">
        <v>5</v>
      </c>
      <c r="E336">
        <v>9</v>
      </c>
      <c r="F336">
        <v>10.666667</v>
      </c>
      <c r="G336">
        <v>998</v>
      </c>
      <c r="H336">
        <v>2256</v>
      </c>
      <c r="I336" s="1">
        <f t="shared" si="10"/>
        <v>1.1851852222222223</v>
      </c>
      <c r="J336" s="1">
        <f t="shared" si="11"/>
        <v>0.44237588652482268</v>
      </c>
    </row>
    <row r="337" spans="1:10">
      <c r="A337" t="s">
        <v>295</v>
      </c>
      <c r="B337">
        <v>2</v>
      </c>
      <c r="C337" t="s">
        <v>300</v>
      </c>
      <c r="D337">
        <v>6</v>
      </c>
      <c r="E337">
        <v>9</v>
      </c>
      <c r="F337">
        <v>11</v>
      </c>
      <c r="G337">
        <v>1257</v>
      </c>
      <c r="H337">
        <v>2256</v>
      </c>
      <c r="I337" s="1">
        <f t="shared" si="10"/>
        <v>1.2222222222222223</v>
      </c>
      <c r="J337" s="1">
        <f t="shared" si="11"/>
        <v>0.55718085106382975</v>
      </c>
    </row>
    <row r="338" spans="1:10">
      <c r="A338" t="s">
        <v>295</v>
      </c>
      <c r="B338">
        <v>2</v>
      </c>
      <c r="C338" t="s">
        <v>299</v>
      </c>
      <c r="D338">
        <v>7</v>
      </c>
      <c r="E338">
        <v>9</v>
      </c>
      <c r="F338">
        <v>11.333333</v>
      </c>
      <c r="G338">
        <v>1656</v>
      </c>
      <c r="H338">
        <v>2256</v>
      </c>
      <c r="I338" s="1">
        <f t="shared" si="10"/>
        <v>1.2592592222222221</v>
      </c>
      <c r="J338" s="1">
        <f t="shared" si="11"/>
        <v>0.73404255319148937</v>
      </c>
    </row>
    <row r="339" spans="1:10">
      <c r="A339" t="s">
        <v>295</v>
      </c>
      <c r="B339">
        <v>2</v>
      </c>
      <c r="C339" t="s">
        <v>301</v>
      </c>
      <c r="D339">
        <v>8</v>
      </c>
      <c r="E339">
        <v>9</v>
      </c>
      <c r="F339">
        <v>12</v>
      </c>
      <c r="G339">
        <v>2256</v>
      </c>
      <c r="H339">
        <v>2256</v>
      </c>
      <c r="I339" s="1">
        <f t="shared" si="10"/>
        <v>1.3333333333333333</v>
      </c>
      <c r="J339" s="1">
        <f t="shared" si="11"/>
        <v>1</v>
      </c>
    </row>
    <row r="340" spans="1:10">
      <c r="A340" t="s">
        <v>295</v>
      </c>
      <c r="B340">
        <v>3</v>
      </c>
      <c r="C340" t="s">
        <v>243</v>
      </c>
      <c r="D340">
        <v>1</v>
      </c>
      <c r="E340">
        <v>50.666668000000001</v>
      </c>
      <c r="F340">
        <v>12</v>
      </c>
      <c r="G340">
        <v>272</v>
      </c>
      <c r="H340">
        <v>5303</v>
      </c>
      <c r="I340" s="1">
        <f t="shared" si="10"/>
        <v>0.23684209903047107</v>
      </c>
      <c r="J340" s="1">
        <f t="shared" si="11"/>
        <v>5.1291721666980955E-2</v>
      </c>
    </row>
    <row r="341" spans="1:10">
      <c r="A341" t="s">
        <v>295</v>
      </c>
      <c r="B341">
        <v>3</v>
      </c>
      <c r="C341" t="s">
        <v>302</v>
      </c>
      <c r="D341">
        <v>2</v>
      </c>
      <c r="E341">
        <v>50.666668000000001</v>
      </c>
      <c r="F341">
        <v>13</v>
      </c>
      <c r="G341">
        <v>511</v>
      </c>
      <c r="H341">
        <v>5303</v>
      </c>
      <c r="I341" s="1">
        <f t="shared" si="10"/>
        <v>0.25657894061634368</v>
      </c>
      <c r="J341" s="1">
        <f t="shared" si="11"/>
        <v>9.6360550631717889E-2</v>
      </c>
    </row>
    <row r="342" spans="1:10">
      <c r="A342" t="s">
        <v>295</v>
      </c>
      <c r="B342">
        <v>3</v>
      </c>
      <c r="C342" t="s">
        <v>303</v>
      </c>
      <c r="D342">
        <v>3</v>
      </c>
      <c r="E342">
        <v>50.666668000000001</v>
      </c>
      <c r="F342">
        <v>16.333334000000001</v>
      </c>
      <c r="G342">
        <v>965</v>
      </c>
      <c r="H342">
        <v>5303</v>
      </c>
      <c r="I342" s="1">
        <f t="shared" si="10"/>
        <v>0.32236842572714669</v>
      </c>
      <c r="J342" s="1">
        <f t="shared" si="11"/>
        <v>0.18197246841410522</v>
      </c>
    </row>
    <row r="343" spans="1:10">
      <c r="A343" t="s">
        <v>295</v>
      </c>
      <c r="B343">
        <v>3</v>
      </c>
      <c r="C343" t="s">
        <v>304</v>
      </c>
      <c r="D343">
        <v>4</v>
      </c>
      <c r="E343">
        <v>50.666668000000001</v>
      </c>
      <c r="F343">
        <v>27</v>
      </c>
      <c r="G343">
        <v>2225</v>
      </c>
      <c r="H343">
        <v>5303</v>
      </c>
      <c r="I343" s="1">
        <f t="shared" si="10"/>
        <v>0.53289472281855987</v>
      </c>
      <c r="J343" s="1">
        <f t="shared" si="11"/>
        <v>0.41957382613614935</v>
      </c>
    </row>
    <row r="344" spans="1:10">
      <c r="A344" t="s">
        <v>295</v>
      </c>
      <c r="B344">
        <v>3</v>
      </c>
      <c r="C344" t="s">
        <v>305</v>
      </c>
      <c r="D344">
        <v>5</v>
      </c>
      <c r="E344">
        <v>50.666668000000001</v>
      </c>
      <c r="F344">
        <v>30.333334000000001</v>
      </c>
      <c r="G344">
        <v>3373</v>
      </c>
      <c r="H344">
        <v>5303</v>
      </c>
      <c r="I344" s="1">
        <f t="shared" si="10"/>
        <v>0.59868420792936294</v>
      </c>
      <c r="J344" s="1">
        <f t="shared" si="11"/>
        <v>0.6360550631717895</v>
      </c>
    </row>
    <row r="345" spans="1:10">
      <c r="A345" t="s">
        <v>295</v>
      </c>
      <c r="B345">
        <v>3</v>
      </c>
      <c r="C345" t="s">
        <v>306</v>
      </c>
      <c r="D345">
        <v>6</v>
      </c>
      <c r="E345">
        <v>50.666668000000001</v>
      </c>
      <c r="F345">
        <v>36.666668000000001</v>
      </c>
      <c r="G345">
        <v>5303</v>
      </c>
      <c r="H345">
        <v>5303</v>
      </c>
      <c r="I345" s="1">
        <f t="shared" si="10"/>
        <v>0.7236842177977838</v>
      </c>
      <c r="J345" s="1">
        <f t="shared" si="11"/>
        <v>1</v>
      </c>
    </row>
    <row r="346" spans="1:10">
      <c r="A346" t="s">
        <v>295</v>
      </c>
      <c r="B346">
        <v>4</v>
      </c>
      <c r="C346" t="s">
        <v>243</v>
      </c>
      <c r="D346">
        <v>1</v>
      </c>
      <c r="E346">
        <v>55.333331999999999</v>
      </c>
      <c r="F346">
        <v>13.666667</v>
      </c>
      <c r="G346">
        <v>272</v>
      </c>
      <c r="H346">
        <v>8599</v>
      </c>
      <c r="I346" s="1">
        <f t="shared" si="10"/>
        <v>0.24698796378284252</v>
      </c>
      <c r="J346" s="1">
        <f t="shared" si="11"/>
        <v>3.1631585068031168E-2</v>
      </c>
    </row>
    <row r="347" spans="1:10">
      <c r="A347" t="s">
        <v>295</v>
      </c>
      <c r="B347">
        <v>4</v>
      </c>
      <c r="C347" t="s">
        <v>307</v>
      </c>
      <c r="D347">
        <v>2</v>
      </c>
      <c r="E347">
        <v>55.333331999999999</v>
      </c>
      <c r="F347">
        <v>14.666667</v>
      </c>
      <c r="G347">
        <v>544</v>
      </c>
      <c r="H347">
        <v>8599</v>
      </c>
      <c r="I347" s="1">
        <f t="shared" si="10"/>
        <v>0.26506025337494588</v>
      </c>
      <c r="J347" s="1">
        <f t="shared" si="11"/>
        <v>6.3263170136062336E-2</v>
      </c>
    </row>
    <row r="348" spans="1:10">
      <c r="A348" t="s">
        <v>295</v>
      </c>
      <c r="B348">
        <v>4</v>
      </c>
      <c r="C348" t="s">
        <v>308</v>
      </c>
      <c r="D348">
        <v>3</v>
      </c>
      <c r="E348">
        <v>55.333331999999999</v>
      </c>
      <c r="F348">
        <v>18</v>
      </c>
      <c r="G348">
        <v>1347</v>
      </c>
      <c r="H348">
        <v>8599</v>
      </c>
      <c r="I348" s="1">
        <f t="shared" si="10"/>
        <v>0.32530121265786055</v>
      </c>
      <c r="J348" s="1">
        <f t="shared" si="11"/>
        <v>0.15664612164205141</v>
      </c>
    </row>
    <row r="349" spans="1:10">
      <c r="A349" t="s">
        <v>295</v>
      </c>
      <c r="B349">
        <v>4</v>
      </c>
      <c r="C349" t="s">
        <v>303</v>
      </c>
      <c r="D349">
        <v>4</v>
      </c>
      <c r="E349">
        <v>55.333331999999999</v>
      </c>
      <c r="F349">
        <v>18.666665999999999</v>
      </c>
      <c r="G349">
        <v>1823</v>
      </c>
      <c r="H349">
        <v>8599</v>
      </c>
      <c r="I349" s="1">
        <f t="shared" si="10"/>
        <v>0.3373493936710697</v>
      </c>
      <c r="J349" s="1">
        <f t="shared" si="11"/>
        <v>0.21200139551110594</v>
      </c>
    </row>
    <row r="350" spans="1:10">
      <c r="A350" t="s">
        <v>295</v>
      </c>
      <c r="B350">
        <v>4</v>
      </c>
      <c r="C350" t="s">
        <v>309</v>
      </c>
      <c r="D350">
        <v>5</v>
      </c>
      <c r="E350">
        <v>55.333331999999999</v>
      </c>
      <c r="F350">
        <v>23</v>
      </c>
      <c r="G350">
        <v>2986</v>
      </c>
      <c r="H350">
        <v>8599</v>
      </c>
      <c r="I350" s="1">
        <f t="shared" si="10"/>
        <v>0.41566266061837737</v>
      </c>
      <c r="J350" s="1">
        <f t="shared" si="11"/>
        <v>0.34724968019537156</v>
      </c>
    </row>
    <row r="351" spans="1:10">
      <c r="A351" t="s">
        <v>295</v>
      </c>
      <c r="B351">
        <v>4</v>
      </c>
      <c r="C351" t="s">
        <v>310</v>
      </c>
      <c r="D351">
        <v>6</v>
      </c>
      <c r="E351">
        <v>55.333331999999999</v>
      </c>
      <c r="F351">
        <v>26</v>
      </c>
      <c r="G351">
        <v>4639</v>
      </c>
      <c r="H351">
        <v>8599</v>
      </c>
      <c r="I351" s="1">
        <f t="shared" si="10"/>
        <v>0.46987952939468747</v>
      </c>
      <c r="J351" s="1">
        <f t="shared" si="11"/>
        <v>0.53948133503895801</v>
      </c>
    </row>
    <row r="352" spans="1:10">
      <c r="A352" t="s">
        <v>295</v>
      </c>
      <c r="B352">
        <v>4</v>
      </c>
      <c r="C352" t="s">
        <v>304</v>
      </c>
      <c r="D352">
        <v>7</v>
      </c>
      <c r="E352">
        <v>55.333331999999999</v>
      </c>
      <c r="F352">
        <v>27</v>
      </c>
      <c r="G352">
        <v>5864</v>
      </c>
      <c r="H352">
        <v>8599</v>
      </c>
      <c r="I352" s="1">
        <f t="shared" si="10"/>
        <v>0.48795181898679085</v>
      </c>
      <c r="J352" s="1">
        <f t="shared" si="11"/>
        <v>0.68193976043726012</v>
      </c>
    </row>
    <row r="353" spans="1:10">
      <c r="A353" t="s">
        <v>295</v>
      </c>
      <c r="B353">
        <v>4</v>
      </c>
      <c r="C353" t="s">
        <v>306</v>
      </c>
      <c r="D353">
        <v>8</v>
      </c>
      <c r="E353">
        <v>55.333331999999999</v>
      </c>
      <c r="F353">
        <v>29.666665999999999</v>
      </c>
      <c r="G353">
        <v>7486</v>
      </c>
      <c r="H353">
        <v>8599</v>
      </c>
      <c r="I353" s="1">
        <f t="shared" si="10"/>
        <v>0.53614457918420677</v>
      </c>
      <c r="J353" s="1">
        <f t="shared" si="11"/>
        <v>0.87056634492382834</v>
      </c>
    </row>
    <row r="354" spans="1:10">
      <c r="A354" t="s">
        <v>295</v>
      </c>
      <c r="B354">
        <v>4</v>
      </c>
      <c r="C354" t="s">
        <v>305</v>
      </c>
      <c r="D354">
        <v>9</v>
      </c>
      <c r="E354">
        <v>55.333331999999999</v>
      </c>
      <c r="F354">
        <v>31.666665999999999</v>
      </c>
      <c r="G354">
        <v>8599</v>
      </c>
      <c r="H354">
        <v>8599</v>
      </c>
      <c r="I354" s="1">
        <f t="shared" si="10"/>
        <v>0.57228915836841343</v>
      </c>
      <c r="J354" s="1">
        <f t="shared" si="11"/>
        <v>1</v>
      </c>
    </row>
    <row r="355" spans="1:10">
      <c r="A355" t="s">
        <v>295</v>
      </c>
      <c r="B355">
        <v>5</v>
      </c>
      <c r="C355" t="s">
        <v>1</v>
      </c>
      <c r="D355">
        <v>1</v>
      </c>
      <c r="E355">
        <v>3</v>
      </c>
      <c r="F355">
        <v>6.3333335000000002</v>
      </c>
      <c r="G355">
        <v>199</v>
      </c>
      <c r="H355">
        <v>231</v>
      </c>
      <c r="I355" s="1">
        <f t="shared" si="10"/>
        <v>2.1111111666666669</v>
      </c>
      <c r="J355" s="1">
        <f t="shared" si="11"/>
        <v>0.8614718614718615</v>
      </c>
    </row>
    <row r="356" spans="1:10">
      <c r="A356" t="s">
        <v>295</v>
      </c>
      <c r="B356">
        <v>5</v>
      </c>
      <c r="C356" t="s">
        <v>19</v>
      </c>
      <c r="D356">
        <v>2</v>
      </c>
      <c r="E356">
        <v>3</v>
      </c>
      <c r="F356">
        <v>6.3334336000000002</v>
      </c>
      <c r="G356">
        <v>199</v>
      </c>
      <c r="H356">
        <v>231</v>
      </c>
      <c r="I356" s="1">
        <f t="shared" si="10"/>
        <v>2.1111445333333334</v>
      </c>
      <c r="J356" s="1">
        <f t="shared" si="11"/>
        <v>0.8614718614718615</v>
      </c>
    </row>
    <row r="357" spans="1:10">
      <c r="A357" t="s">
        <v>295</v>
      </c>
      <c r="B357">
        <v>5</v>
      </c>
      <c r="C357" t="s">
        <v>245</v>
      </c>
      <c r="D357">
        <v>3</v>
      </c>
      <c r="E357">
        <v>3</v>
      </c>
      <c r="F357">
        <v>6.3335340000000002</v>
      </c>
      <c r="G357">
        <v>223</v>
      </c>
      <c r="H357">
        <v>231</v>
      </c>
      <c r="I357" s="1">
        <f t="shared" si="10"/>
        <v>2.1111780000000002</v>
      </c>
      <c r="J357" s="1">
        <f t="shared" si="11"/>
        <v>0.96536796536796532</v>
      </c>
    </row>
    <row r="358" spans="1:10">
      <c r="A358" t="s">
        <v>295</v>
      </c>
      <c r="B358">
        <v>5</v>
      </c>
      <c r="C358" t="s">
        <v>311</v>
      </c>
      <c r="D358">
        <v>4</v>
      </c>
      <c r="E358">
        <v>3</v>
      </c>
      <c r="F358">
        <v>6.6666664999999998</v>
      </c>
      <c r="G358">
        <v>231</v>
      </c>
      <c r="H358">
        <v>231</v>
      </c>
      <c r="I358" s="1">
        <f t="shared" si="10"/>
        <v>2.2222221666666666</v>
      </c>
      <c r="J358" s="1">
        <f t="shared" si="11"/>
        <v>1</v>
      </c>
    </row>
    <row r="359" spans="1:10">
      <c r="A359" t="s">
        <v>295</v>
      </c>
      <c r="B359">
        <v>5</v>
      </c>
      <c r="C359" t="s">
        <v>20</v>
      </c>
      <c r="D359">
        <v>5</v>
      </c>
      <c r="E359">
        <v>3</v>
      </c>
      <c r="F359">
        <v>7</v>
      </c>
      <c r="G359">
        <v>231</v>
      </c>
      <c r="H359">
        <v>231</v>
      </c>
      <c r="I359" s="1">
        <f t="shared" si="10"/>
        <v>2.3333333333333335</v>
      </c>
      <c r="J359" s="1">
        <f t="shared" si="11"/>
        <v>1</v>
      </c>
    </row>
    <row r="360" spans="1:10">
      <c r="A360" t="s">
        <v>295</v>
      </c>
      <c r="B360">
        <v>5</v>
      </c>
      <c r="C360" t="s">
        <v>22</v>
      </c>
      <c r="D360">
        <v>6</v>
      </c>
      <c r="E360">
        <v>3</v>
      </c>
      <c r="F360">
        <v>7.3333335000000002</v>
      </c>
      <c r="G360">
        <v>231</v>
      </c>
      <c r="H360">
        <v>231</v>
      </c>
      <c r="I360" s="1">
        <f t="shared" si="10"/>
        <v>2.4444444999999999</v>
      </c>
      <c r="J360" s="1">
        <f t="shared" si="11"/>
        <v>1</v>
      </c>
    </row>
    <row r="361" spans="1:10">
      <c r="A361" t="s">
        <v>295</v>
      </c>
      <c r="B361">
        <v>6</v>
      </c>
      <c r="C361" t="s">
        <v>319</v>
      </c>
      <c r="D361">
        <v>1</v>
      </c>
      <c r="E361">
        <v>3</v>
      </c>
      <c r="F361">
        <v>6</v>
      </c>
      <c r="G361">
        <v>134</v>
      </c>
      <c r="H361">
        <v>329</v>
      </c>
      <c r="I361" s="1">
        <f t="shared" si="10"/>
        <v>2</v>
      </c>
      <c r="J361" s="1">
        <f t="shared" si="11"/>
        <v>0.40729483282674772</v>
      </c>
    </row>
    <row r="362" spans="1:10">
      <c r="A362" t="s">
        <v>295</v>
      </c>
      <c r="B362">
        <v>6</v>
      </c>
      <c r="C362" t="s">
        <v>312</v>
      </c>
      <c r="D362">
        <v>2</v>
      </c>
      <c r="E362">
        <v>3</v>
      </c>
      <c r="F362">
        <v>6.3333335000000002</v>
      </c>
      <c r="G362">
        <v>167</v>
      </c>
      <c r="H362">
        <v>329</v>
      </c>
      <c r="I362" s="1">
        <f t="shared" si="10"/>
        <v>2.1111111666666669</v>
      </c>
      <c r="J362" s="1">
        <f t="shared" si="11"/>
        <v>0.50759878419452886</v>
      </c>
    </row>
    <row r="363" spans="1:10">
      <c r="A363" t="s">
        <v>295</v>
      </c>
      <c r="B363">
        <v>6</v>
      </c>
      <c r="C363" t="s">
        <v>313</v>
      </c>
      <c r="D363">
        <v>3</v>
      </c>
      <c r="E363">
        <v>3</v>
      </c>
      <c r="F363">
        <v>6.3334336000000002</v>
      </c>
      <c r="G363">
        <v>167</v>
      </c>
      <c r="H363">
        <v>329</v>
      </c>
      <c r="I363" s="1">
        <f t="shared" si="10"/>
        <v>2.1111445333333334</v>
      </c>
      <c r="J363" s="1">
        <f t="shared" si="11"/>
        <v>0.50759878419452886</v>
      </c>
    </row>
    <row r="364" spans="1:10">
      <c r="A364" t="s">
        <v>295</v>
      </c>
      <c r="B364">
        <v>6</v>
      </c>
      <c r="C364" t="s">
        <v>314</v>
      </c>
      <c r="D364">
        <v>4</v>
      </c>
      <c r="E364">
        <v>3</v>
      </c>
      <c r="F364">
        <v>6.6666664999999998</v>
      </c>
      <c r="G364">
        <v>167</v>
      </c>
      <c r="H364">
        <v>329</v>
      </c>
      <c r="I364" s="1">
        <f t="shared" si="10"/>
        <v>2.2222221666666666</v>
      </c>
      <c r="J364" s="1">
        <f t="shared" si="11"/>
        <v>0.50759878419452886</v>
      </c>
    </row>
    <row r="365" spans="1:10">
      <c r="A365" t="s">
        <v>295</v>
      </c>
      <c r="B365">
        <v>6</v>
      </c>
      <c r="C365" t="s">
        <v>321</v>
      </c>
      <c r="D365">
        <v>5</v>
      </c>
      <c r="E365">
        <v>3</v>
      </c>
      <c r="F365">
        <v>6.6667665999999999</v>
      </c>
      <c r="G365">
        <v>178</v>
      </c>
      <c r="H365">
        <v>329</v>
      </c>
      <c r="I365" s="1">
        <f t="shared" si="10"/>
        <v>2.2222555333333331</v>
      </c>
      <c r="J365" s="1">
        <f t="shared" si="11"/>
        <v>0.54103343465045595</v>
      </c>
    </row>
    <row r="366" spans="1:10">
      <c r="A366" t="s">
        <v>295</v>
      </c>
      <c r="B366">
        <v>6</v>
      </c>
      <c r="C366" t="s">
        <v>318</v>
      </c>
      <c r="D366">
        <v>6</v>
      </c>
      <c r="E366">
        <v>3</v>
      </c>
      <c r="F366">
        <v>7</v>
      </c>
      <c r="G366">
        <v>329</v>
      </c>
      <c r="H366">
        <v>329</v>
      </c>
      <c r="I366" s="1">
        <f t="shared" si="10"/>
        <v>2.3333333333333335</v>
      </c>
      <c r="J366" s="1">
        <f t="shared" si="11"/>
        <v>1</v>
      </c>
    </row>
    <row r="367" spans="1:10">
      <c r="A367" t="s">
        <v>295</v>
      </c>
      <c r="B367">
        <v>6</v>
      </c>
      <c r="C367" t="s">
        <v>317</v>
      </c>
      <c r="D367">
        <v>7</v>
      </c>
      <c r="E367">
        <v>3</v>
      </c>
      <c r="F367">
        <v>7.3333335000000002</v>
      </c>
      <c r="G367">
        <v>329</v>
      </c>
      <c r="H367">
        <v>329</v>
      </c>
      <c r="I367" s="1">
        <f t="shared" si="10"/>
        <v>2.4444444999999999</v>
      </c>
      <c r="J367" s="1">
        <f t="shared" si="11"/>
        <v>1</v>
      </c>
    </row>
    <row r="368" spans="1:10">
      <c r="A368" t="s">
        <v>295</v>
      </c>
      <c r="B368">
        <v>6</v>
      </c>
      <c r="C368" t="s">
        <v>315</v>
      </c>
      <c r="D368">
        <v>8</v>
      </c>
      <c r="E368">
        <v>3</v>
      </c>
      <c r="F368">
        <v>7.6666664999999998</v>
      </c>
      <c r="G368">
        <v>329</v>
      </c>
      <c r="H368">
        <v>329</v>
      </c>
      <c r="I368" s="1">
        <f t="shared" si="10"/>
        <v>2.5555555000000001</v>
      </c>
      <c r="J368" s="1">
        <f t="shared" si="11"/>
        <v>1</v>
      </c>
    </row>
    <row r="369" spans="1:10">
      <c r="A369" t="s">
        <v>295</v>
      </c>
      <c r="B369">
        <v>6</v>
      </c>
      <c r="C369" t="s">
        <v>320</v>
      </c>
      <c r="D369">
        <v>9</v>
      </c>
      <c r="E369">
        <v>3</v>
      </c>
      <c r="F369">
        <v>7.6667665999999999</v>
      </c>
      <c r="G369">
        <v>329</v>
      </c>
      <c r="H369">
        <v>329</v>
      </c>
      <c r="I369" s="1">
        <f t="shared" si="10"/>
        <v>2.5555888666666666</v>
      </c>
      <c r="J369" s="1">
        <f t="shared" si="11"/>
        <v>1</v>
      </c>
    </row>
    <row r="370" spans="1:10">
      <c r="A370" t="s">
        <v>295</v>
      </c>
      <c r="B370">
        <v>6</v>
      </c>
      <c r="C370" t="s">
        <v>316</v>
      </c>
      <c r="D370">
        <v>10</v>
      </c>
      <c r="E370">
        <v>3</v>
      </c>
      <c r="F370">
        <v>8</v>
      </c>
      <c r="G370">
        <v>329</v>
      </c>
      <c r="H370">
        <v>329</v>
      </c>
      <c r="I370" s="1">
        <f t="shared" si="10"/>
        <v>2.6666666666666665</v>
      </c>
      <c r="J370" s="1">
        <f t="shared" si="11"/>
        <v>1</v>
      </c>
    </row>
    <row r="371" spans="1:10">
      <c r="A371" t="s">
        <v>295</v>
      </c>
      <c r="B371">
        <v>7</v>
      </c>
      <c r="C371" t="s">
        <v>322</v>
      </c>
      <c r="D371">
        <v>1</v>
      </c>
      <c r="E371">
        <v>10.666667</v>
      </c>
      <c r="F371">
        <v>10.333333</v>
      </c>
      <c r="G371">
        <v>271</v>
      </c>
      <c r="H371">
        <v>3083</v>
      </c>
      <c r="I371" s="1">
        <f t="shared" si="10"/>
        <v>0.96874993847656432</v>
      </c>
      <c r="J371" s="1">
        <f t="shared" si="11"/>
        <v>8.7901394745377878E-2</v>
      </c>
    </row>
    <row r="372" spans="1:10">
      <c r="A372" t="s">
        <v>295</v>
      </c>
      <c r="B372">
        <v>7</v>
      </c>
      <c r="C372" t="s">
        <v>296</v>
      </c>
      <c r="D372">
        <v>2</v>
      </c>
      <c r="E372">
        <v>10.666667</v>
      </c>
      <c r="F372">
        <v>10.666667</v>
      </c>
      <c r="G372">
        <v>382</v>
      </c>
      <c r="H372">
        <v>3083</v>
      </c>
      <c r="I372" s="1">
        <f t="shared" si="10"/>
        <v>1</v>
      </c>
      <c r="J372" s="1">
        <f t="shared" si="11"/>
        <v>0.12390528705806034</v>
      </c>
    </row>
    <row r="373" spans="1:10">
      <c r="A373" t="s">
        <v>295</v>
      </c>
      <c r="B373">
        <v>7</v>
      </c>
      <c r="C373" t="s">
        <v>323</v>
      </c>
      <c r="D373">
        <v>3</v>
      </c>
      <c r="E373">
        <v>10.666667</v>
      </c>
      <c r="F373">
        <v>11</v>
      </c>
      <c r="G373">
        <v>701</v>
      </c>
      <c r="H373">
        <v>3083</v>
      </c>
      <c r="I373" s="1">
        <f t="shared" si="10"/>
        <v>1.0312499677734386</v>
      </c>
      <c r="J373" s="1">
        <f t="shared" si="11"/>
        <v>0.22737593253324684</v>
      </c>
    </row>
    <row r="374" spans="1:10">
      <c r="A374" t="s">
        <v>295</v>
      </c>
      <c r="B374">
        <v>7</v>
      </c>
      <c r="C374" t="s">
        <v>297</v>
      </c>
      <c r="D374">
        <v>4</v>
      </c>
      <c r="E374">
        <v>10.666667</v>
      </c>
      <c r="F374">
        <v>11.333333</v>
      </c>
      <c r="G374">
        <v>968</v>
      </c>
      <c r="H374">
        <v>3083</v>
      </c>
      <c r="I374" s="1">
        <f t="shared" si="10"/>
        <v>1.0624999355468769</v>
      </c>
      <c r="J374" s="1">
        <f t="shared" si="11"/>
        <v>0.31397988971780733</v>
      </c>
    </row>
    <row r="375" spans="1:10">
      <c r="A375" t="s">
        <v>295</v>
      </c>
      <c r="B375">
        <v>7</v>
      </c>
      <c r="C375" t="s">
        <v>300</v>
      </c>
      <c r="D375">
        <v>5</v>
      </c>
      <c r="E375">
        <v>10.666667</v>
      </c>
      <c r="F375">
        <v>11.333432999999999</v>
      </c>
      <c r="G375">
        <v>1417</v>
      </c>
      <c r="H375">
        <v>3083</v>
      </c>
      <c r="I375" s="1">
        <f t="shared" si="10"/>
        <v>1.0625093105465839</v>
      </c>
      <c r="J375" s="1">
        <f t="shared" si="11"/>
        <v>0.45961725591955888</v>
      </c>
    </row>
    <row r="376" spans="1:10">
      <c r="A376" t="s">
        <v>295</v>
      </c>
      <c r="B376">
        <v>7</v>
      </c>
      <c r="C376" t="s">
        <v>325</v>
      </c>
      <c r="D376">
        <v>6</v>
      </c>
      <c r="E376">
        <v>10.666667</v>
      </c>
      <c r="F376">
        <v>11.333532999999999</v>
      </c>
      <c r="G376">
        <v>1680</v>
      </c>
      <c r="H376">
        <v>3083</v>
      </c>
      <c r="I376" s="1">
        <f t="shared" si="10"/>
        <v>1.0625186855462909</v>
      </c>
      <c r="J376" s="1">
        <f t="shared" si="11"/>
        <v>0.54492377554330196</v>
      </c>
    </row>
    <row r="377" spans="1:10">
      <c r="A377" t="s">
        <v>295</v>
      </c>
      <c r="B377">
        <v>7</v>
      </c>
      <c r="C377" t="s">
        <v>326</v>
      </c>
      <c r="D377">
        <v>7</v>
      </c>
      <c r="E377">
        <v>10.666667</v>
      </c>
      <c r="F377">
        <v>11.666667</v>
      </c>
      <c r="G377">
        <v>1902</v>
      </c>
      <c r="H377">
        <v>3083</v>
      </c>
      <c r="I377" s="1">
        <f t="shared" si="10"/>
        <v>1.0937499970703126</v>
      </c>
      <c r="J377" s="1">
        <f t="shared" si="11"/>
        <v>0.6169315601686669</v>
      </c>
    </row>
    <row r="378" spans="1:10">
      <c r="A378" t="s">
        <v>295</v>
      </c>
      <c r="B378">
        <v>7</v>
      </c>
      <c r="C378" t="s">
        <v>299</v>
      </c>
      <c r="D378">
        <v>8</v>
      </c>
      <c r="E378">
        <v>10.666667</v>
      </c>
      <c r="F378">
        <v>12</v>
      </c>
      <c r="G378">
        <v>2333</v>
      </c>
      <c r="H378">
        <v>3083</v>
      </c>
      <c r="I378" s="1">
        <f t="shared" si="10"/>
        <v>1.124999964843751</v>
      </c>
      <c r="J378" s="1">
        <f t="shared" si="11"/>
        <v>0.75673045734674016</v>
      </c>
    </row>
    <row r="379" spans="1:10">
      <c r="A379" t="s">
        <v>295</v>
      </c>
      <c r="B379">
        <v>7</v>
      </c>
      <c r="C379" t="s">
        <v>324</v>
      </c>
      <c r="D379">
        <v>9</v>
      </c>
      <c r="E379">
        <v>10.666667</v>
      </c>
      <c r="F379">
        <v>12.333333</v>
      </c>
      <c r="G379">
        <v>2457</v>
      </c>
      <c r="H379">
        <v>3083</v>
      </c>
      <c r="I379" s="1">
        <f t="shared" si="10"/>
        <v>1.1562499326171896</v>
      </c>
      <c r="J379" s="1">
        <f t="shared" si="11"/>
        <v>0.7969510217320791</v>
      </c>
    </row>
    <row r="380" spans="1:10">
      <c r="A380" t="s">
        <v>295</v>
      </c>
      <c r="B380">
        <v>7</v>
      </c>
      <c r="C380" t="s">
        <v>301</v>
      </c>
      <c r="D380">
        <v>10</v>
      </c>
      <c r="E380">
        <v>10.666667</v>
      </c>
      <c r="F380">
        <v>14.333333</v>
      </c>
      <c r="G380">
        <v>3083</v>
      </c>
      <c r="H380">
        <v>3083</v>
      </c>
      <c r="I380" s="1">
        <f t="shared" si="10"/>
        <v>1.3437499267578148</v>
      </c>
      <c r="J380" s="1">
        <f t="shared" si="11"/>
        <v>1</v>
      </c>
    </row>
    <row r="381" spans="1:10">
      <c r="A381" t="s">
        <v>295</v>
      </c>
      <c r="B381">
        <v>8</v>
      </c>
      <c r="C381" t="s">
        <v>243</v>
      </c>
      <c r="D381">
        <v>1</v>
      </c>
      <c r="E381">
        <v>63</v>
      </c>
      <c r="F381">
        <v>12.333333</v>
      </c>
      <c r="G381">
        <v>272</v>
      </c>
      <c r="H381">
        <v>5606</v>
      </c>
      <c r="I381" s="1">
        <f t="shared" si="10"/>
        <v>0.19576719047619048</v>
      </c>
      <c r="J381" s="1">
        <f t="shared" si="11"/>
        <v>4.8519443453442737E-2</v>
      </c>
    </row>
    <row r="382" spans="1:10">
      <c r="A382" t="s">
        <v>295</v>
      </c>
      <c r="B382">
        <v>8</v>
      </c>
      <c r="C382" t="s">
        <v>327</v>
      </c>
      <c r="D382">
        <v>2</v>
      </c>
      <c r="E382">
        <v>63</v>
      </c>
      <c r="F382">
        <v>13.666667</v>
      </c>
      <c r="G382">
        <v>484</v>
      </c>
      <c r="H382">
        <v>5606</v>
      </c>
      <c r="I382" s="1">
        <f t="shared" si="10"/>
        <v>0.21693122222222222</v>
      </c>
      <c r="J382" s="1">
        <f t="shared" si="11"/>
        <v>8.6336068498037821E-2</v>
      </c>
    </row>
    <row r="383" spans="1:10">
      <c r="A383" t="s">
        <v>295</v>
      </c>
      <c r="B383">
        <v>8</v>
      </c>
      <c r="C383" t="s">
        <v>328</v>
      </c>
      <c r="D383">
        <v>3</v>
      </c>
      <c r="E383">
        <v>63</v>
      </c>
      <c r="F383">
        <v>18</v>
      </c>
      <c r="G383">
        <v>1002</v>
      </c>
      <c r="H383">
        <v>5606</v>
      </c>
      <c r="I383" s="1">
        <f t="shared" si="10"/>
        <v>0.2857142857142857</v>
      </c>
      <c r="J383" s="1">
        <f t="shared" si="11"/>
        <v>0.17873706742775597</v>
      </c>
    </row>
    <row r="384" spans="1:10">
      <c r="A384" t="s">
        <v>295</v>
      </c>
      <c r="B384">
        <v>8</v>
      </c>
      <c r="C384" t="s">
        <v>329</v>
      </c>
      <c r="D384">
        <v>4</v>
      </c>
      <c r="E384">
        <v>63</v>
      </c>
      <c r="F384">
        <v>31.333334000000001</v>
      </c>
      <c r="G384">
        <v>2790</v>
      </c>
      <c r="H384">
        <v>5606</v>
      </c>
      <c r="I384" s="1">
        <f t="shared" si="10"/>
        <v>0.49735450793650793</v>
      </c>
      <c r="J384" s="1">
        <f t="shared" si="11"/>
        <v>0.49768105601141632</v>
      </c>
    </row>
    <row r="385" spans="1:10">
      <c r="A385" t="s">
        <v>295</v>
      </c>
      <c r="B385">
        <v>8</v>
      </c>
      <c r="C385" t="s">
        <v>330</v>
      </c>
      <c r="D385">
        <v>5</v>
      </c>
      <c r="E385">
        <v>63</v>
      </c>
      <c r="F385">
        <v>32.666668000000001</v>
      </c>
      <c r="G385">
        <v>4126</v>
      </c>
      <c r="H385">
        <v>5606</v>
      </c>
      <c r="I385" s="1">
        <f t="shared" si="10"/>
        <v>0.51851853968253969</v>
      </c>
      <c r="J385" s="1">
        <f t="shared" si="11"/>
        <v>0.73599714591509102</v>
      </c>
    </row>
    <row r="386" spans="1:10">
      <c r="A386" t="s">
        <v>295</v>
      </c>
      <c r="B386">
        <v>8</v>
      </c>
      <c r="C386" t="s">
        <v>305</v>
      </c>
      <c r="D386">
        <v>6</v>
      </c>
      <c r="E386">
        <v>63</v>
      </c>
      <c r="F386">
        <v>34</v>
      </c>
      <c r="G386">
        <v>5606</v>
      </c>
      <c r="H386">
        <v>5606</v>
      </c>
      <c r="I386" s="1">
        <f t="shared" si="10"/>
        <v>0.53968253968253965</v>
      </c>
      <c r="J386" s="1">
        <f t="shared" si="11"/>
        <v>1</v>
      </c>
    </row>
    <row r="387" spans="1:10">
      <c r="A387" t="s">
        <v>295</v>
      </c>
      <c r="B387">
        <v>9</v>
      </c>
      <c r="C387" t="s">
        <v>243</v>
      </c>
      <c r="D387">
        <v>1</v>
      </c>
      <c r="E387">
        <v>55</v>
      </c>
      <c r="F387">
        <v>14.333333</v>
      </c>
      <c r="G387">
        <v>272</v>
      </c>
      <c r="H387">
        <v>9248</v>
      </c>
      <c r="I387" s="1">
        <f t="shared" ref="I387:I450" si="12">F387/E387</f>
        <v>0.26060605454545455</v>
      </c>
      <c r="J387" s="1">
        <f t="shared" ref="J387:J450" si="13">G387/H387</f>
        <v>2.9411764705882353E-2</v>
      </c>
    </row>
    <row r="388" spans="1:10">
      <c r="A388" t="s">
        <v>295</v>
      </c>
      <c r="B388">
        <v>9</v>
      </c>
      <c r="C388" t="s">
        <v>331</v>
      </c>
      <c r="D388">
        <v>2</v>
      </c>
      <c r="E388">
        <v>55</v>
      </c>
      <c r="F388">
        <v>14.666667</v>
      </c>
      <c r="G388">
        <v>544</v>
      </c>
      <c r="H388">
        <v>9248</v>
      </c>
      <c r="I388" s="1">
        <f t="shared" si="12"/>
        <v>0.26666667272727274</v>
      </c>
      <c r="J388" s="1">
        <f t="shared" si="13"/>
        <v>5.8823529411764705E-2</v>
      </c>
    </row>
    <row r="389" spans="1:10">
      <c r="A389" t="s">
        <v>295</v>
      </c>
      <c r="B389">
        <v>9</v>
      </c>
      <c r="C389" t="s">
        <v>328</v>
      </c>
      <c r="D389">
        <v>3</v>
      </c>
      <c r="E389">
        <v>55</v>
      </c>
      <c r="F389">
        <v>18</v>
      </c>
      <c r="G389">
        <v>1062</v>
      </c>
      <c r="H389">
        <v>9248</v>
      </c>
      <c r="I389" s="1">
        <f t="shared" si="12"/>
        <v>0.32727272727272727</v>
      </c>
      <c r="J389" s="1">
        <f t="shared" si="13"/>
        <v>0.1148356401384083</v>
      </c>
    </row>
    <row r="390" spans="1:10">
      <c r="A390" t="s">
        <v>295</v>
      </c>
      <c r="B390">
        <v>9</v>
      </c>
      <c r="C390" t="s">
        <v>332</v>
      </c>
      <c r="D390">
        <v>4</v>
      </c>
      <c r="E390">
        <v>55</v>
      </c>
      <c r="F390">
        <v>20.666665999999999</v>
      </c>
      <c r="G390">
        <v>1898</v>
      </c>
      <c r="H390">
        <v>9248</v>
      </c>
      <c r="I390" s="1">
        <f t="shared" si="12"/>
        <v>0.37575756363636365</v>
      </c>
      <c r="J390" s="1">
        <f t="shared" si="13"/>
        <v>0.20523356401384082</v>
      </c>
    </row>
    <row r="391" spans="1:10">
      <c r="A391" t="s">
        <v>295</v>
      </c>
      <c r="B391">
        <v>9</v>
      </c>
      <c r="C391" t="s">
        <v>333</v>
      </c>
      <c r="D391">
        <v>5</v>
      </c>
      <c r="E391">
        <v>55</v>
      </c>
      <c r="F391">
        <v>22.666665999999999</v>
      </c>
      <c r="G391">
        <v>3470</v>
      </c>
      <c r="H391">
        <v>9248</v>
      </c>
      <c r="I391" s="1">
        <f t="shared" si="12"/>
        <v>0.41212119999999997</v>
      </c>
      <c r="J391" s="1">
        <f t="shared" si="13"/>
        <v>0.37521626297577854</v>
      </c>
    </row>
    <row r="392" spans="1:10">
      <c r="A392" t="s">
        <v>295</v>
      </c>
      <c r="B392">
        <v>9</v>
      </c>
      <c r="C392" t="s">
        <v>334</v>
      </c>
      <c r="D392">
        <v>6</v>
      </c>
      <c r="E392">
        <v>55</v>
      </c>
      <c r="F392">
        <v>23.333334000000001</v>
      </c>
      <c r="G392">
        <v>4644</v>
      </c>
      <c r="H392">
        <v>9248</v>
      </c>
      <c r="I392" s="1">
        <f t="shared" si="12"/>
        <v>0.4242424363636364</v>
      </c>
      <c r="J392" s="1">
        <f t="shared" si="13"/>
        <v>0.50216262975778547</v>
      </c>
    </row>
    <row r="393" spans="1:10">
      <c r="A393" t="s">
        <v>295</v>
      </c>
      <c r="B393">
        <v>9</v>
      </c>
      <c r="C393" t="s">
        <v>330</v>
      </c>
      <c r="D393">
        <v>7</v>
      </c>
      <c r="E393">
        <v>55</v>
      </c>
      <c r="F393">
        <v>37.333331999999999</v>
      </c>
      <c r="G393">
        <v>5980</v>
      </c>
      <c r="H393">
        <v>9248</v>
      </c>
      <c r="I393" s="1">
        <f t="shared" si="12"/>
        <v>0.67878785454545454</v>
      </c>
      <c r="J393" s="1">
        <f t="shared" si="13"/>
        <v>0.64662629757785473</v>
      </c>
    </row>
    <row r="394" spans="1:10">
      <c r="A394" t="s">
        <v>295</v>
      </c>
      <c r="B394">
        <v>9</v>
      </c>
      <c r="C394" t="s">
        <v>329</v>
      </c>
      <c r="D394">
        <v>8</v>
      </c>
      <c r="E394">
        <v>55</v>
      </c>
      <c r="F394">
        <v>50</v>
      </c>
      <c r="G394">
        <v>7768</v>
      </c>
      <c r="H394">
        <v>9248</v>
      </c>
      <c r="I394" s="1">
        <f t="shared" si="12"/>
        <v>0.90909090909090906</v>
      </c>
      <c r="J394" s="1">
        <f t="shared" si="13"/>
        <v>0.83996539792387548</v>
      </c>
    </row>
    <row r="395" spans="1:10">
      <c r="A395" t="s">
        <v>295</v>
      </c>
      <c r="B395">
        <v>9</v>
      </c>
      <c r="C395" t="s">
        <v>305</v>
      </c>
      <c r="D395">
        <v>9</v>
      </c>
      <c r="E395">
        <v>55</v>
      </c>
      <c r="F395">
        <v>52.333331999999999</v>
      </c>
      <c r="G395">
        <v>9248</v>
      </c>
      <c r="H395">
        <v>9248</v>
      </c>
      <c r="I395" s="1">
        <f t="shared" si="12"/>
        <v>0.95151512727272725</v>
      </c>
      <c r="J395" s="1">
        <f t="shared" si="13"/>
        <v>1</v>
      </c>
    </row>
    <row r="396" spans="1:10">
      <c r="A396" t="s">
        <v>295</v>
      </c>
      <c r="B396">
        <v>11</v>
      </c>
      <c r="C396" t="s">
        <v>33</v>
      </c>
      <c r="D396">
        <v>1</v>
      </c>
      <c r="E396">
        <v>8.3333329999999997</v>
      </c>
      <c r="F396">
        <v>9</v>
      </c>
      <c r="G396">
        <v>388</v>
      </c>
      <c r="H396">
        <v>1223</v>
      </c>
      <c r="I396" s="1">
        <f t="shared" si="12"/>
        <v>1.0800000432000019</v>
      </c>
      <c r="J396" s="1">
        <f t="shared" si="13"/>
        <v>0.31725265739983649</v>
      </c>
    </row>
    <row r="397" spans="1:10">
      <c r="A397" t="s">
        <v>295</v>
      </c>
      <c r="B397">
        <v>11</v>
      </c>
      <c r="C397" t="s">
        <v>19</v>
      </c>
      <c r="D397">
        <v>2</v>
      </c>
      <c r="E397">
        <v>8.3333329999999997</v>
      </c>
      <c r="F397">
        <v>15.666667</v>
      </c>
      <c r="G397">
        <v>1223</v>
      </c>
      <c r="H397">
        <v>1223</v>
      </c>
      <c r="I397" s="1">
        <f t="shared" si="12"/>
        <v>1.8800001152000048</v>
      </c>
      <c r="J397" s="1">
        <f t="shared" si="13"/>
        <v>1</v>
      </c>
    </row>
    <row r="398" spans="1:10">
      <c r="A398" t="s">
        <v>295</v>
      </c>
      <c r="B398">
        <v>13</v>
      </c>
      <c r="C398" t="s">
        <v>19</v>
      </c>
      <c r="D398">
        <v>1</v>
      </c>
      <c r="E398">
        <v>976</v>
      </c>
      <c r="F398">
        <v>19</v>
      </c>
      <c r="G398">
        <v>495</v>
      </c>
      <c r="H398">
        <v>266751</v>
      </c>
      <c r="I398" s="1">
        <f t="shared" si="12"/>
        <v>1.9467213114754099E-2</v>
      </c>
      <c r="J398" s="1">
        <f t="shared" si="13"/>
        <v>1.85566314652991E-3</v>
      </c>
    </row>
    <row r="399" spans="1:10">
      <c r="A399" t="s">
        <v>295</v>
      </c>
      <c r="B399">
        <v>13</v>
      </c>
      <c r="C399" t="s">
        <v>335</v>
      </c>
      <c r="D399">
        <v>2</v>
      </c>
      <c r="E399">
        <v>976</v>
      </c>
      <c r="F399">
        <v>22</v>
      </c>
      <c r="G399">
        <v>555</v>
      </c>
      <c r="H399">
        <v>266751</v>
      </c>
      <c r="I399" s="1">
        <f t="shared" si="12"/>
        <v>2.2540983606557378E-2</v>
      </c>
      <c r="J399" s="1">
        <f t="shared" si="13"/>
        <v>2.0805920127759596E-3</v>
      </c>
    </row>
    <row r="400" spans="1:10">
      <c r="A400" t="s">
        <v>295</v>
      </c>
      <c r="B400">
        <v>13</v>
      </c>
      <c r="C400" t="s">
        <v>1</v>
      </c>
      <c r="D400">
        <v>3</v>
      </c>
      <c r="E400">
        <v>976</v>
      </c>
      <c r="F400">
        <v>30</v>
      </c>
      <c r="G400">
        <v>555</v>
      </c>
      <c r="H400">
        <v>266751</v>
      </c>
      <c r="I400" s="1">
        <f t="shared" si="12"/>
        <v>3.0737704918032786E-2</v>
      </c>
      <c r="J400" s="1">
        <f t="shared" si="13"/>
        <v>2.0805920127759596E-3</v>
      </c>
    </row>
    <row r="401" spans="1:10">
      <c r="A401" t="s">
        <v>295</v>
      </c>
      <c r="B401">
        <v>13</v>
      </c>
      <c r="C401" t="s">
        <v>22</v>
      </c>
      <c r="D401">
        <v>4</v>
      </c>
      <c r="E401">
        <v>976</v>
      </c>
      <c r="F401">
        <v>1470.6666</v>
      </c>
      <c r="G401">
        <v>266751</v>
      </c>
      <c r="H401">
        <v>266751</v>
      </c>
      <c r="I401" s="1">
        <f t="shared" si="12"/>
        <v>1.5068305327868852</v>
      </c>
      <c r="J401" s="1">
        <f t="shared" si="13"/>
        <v>1</v>
      </c>
    </row>
    <row r="402" spans="1:10">
      <c r="A402" t="s">
        <v>295</v>
      </c>
      <c r="B402">
        <v>14</v>
      </c>
      <c r="C402" t="s">
        <v>1</v>
      </c>
      <c r="D402">
        <v>1</v>
      </c>
      <c r="E402">
        <v>782.33330000000001</v>
      </c>
      <c r="F402">
        <v>19.666665999999999</v>
      </c>
      <c r="G402">
        <v>525</v>
      </c>
      <c r="H402">
        <v>221654</v>
      </c>
      <c r="I402" s="1">
        <f t="shared" si="12"/>
        <v>2.5138474867425431E-2</v>
      </c>
      <c r="J402" s="1">
        <f t="shared" si="13"/>
        <v>2.3685563987115052E-3</v>
      </c>
    </row>
    <row r="403" spans="1:10">
      <c r="A403" t="s">
        <v>295</v>
      </c>
      <c r="B403">
        <v>14</v>
      </c>
      <c r="C403" t="s">
        <v>335</v>
      </c>
      <c r="D403">
        <v>2</v>
      </c>
      <c r="E403">
        <v>782.33330000000001</v>
      </c>
      <c r="F403">
        <v>21.333334000000001</v>
      </c>
      <c r="G403">
        <v>555</v>
      </c>
      <c r="H403">
        <v>221654</v>
      </c>
      <c r="I403" s="1">
        <f t="shared" si="12"/>
        <v>2.726885586999812E-2</v>
      </c>
      <c r="J403" s="1">
        <f t="shared" si="13"/>
        <v>2.5039024786378769E-3</v>
      </c>
    </row>
    <row r="404" spans="1:10">
      <c r="A404" t="s">
        <v>295</v>
      </c>
      <c r="B404">
        <v>14</v>
      </c>
      <c r="C404" t="s">
        <v>19</v>
      </c>
      <c r="D404">
        <v>3</v>
      </c>
      <c r="E404">
        <v>782.33330000000001</v>
      </c>
      <c r="F404">
        <v>22</v>
      </c>
      <c r="G404">
        <v>555</v>
      </c>
      <c r="H404">
        <v>221654</v>
      </c>
      <c r="I404" s="1">
        <f t="shared" si="12"/>
        <v>2.8121006737154099E-2</v>
      </c>
      <c r="J404" s="1">
        <f t="shared" si="13"/>
        <v>2.5039024786378769E-3</v>
      </c>
    </row>
    <row r="405" spans="1:10">
      <c r="A405" t="s">
        <v>295</v>
      </c>
      <c r="B405">
        <v>14</v>
      </c>
      <c r="C405" t="s">
        <v>336</v>
      </c>
      <c r="D405">
        <v>4</v>
      </c>
      <c r="E405">
        <v>782.33330000000001</v>
      </c>
      <c r="F405">
        <v>169.33332999999999</v>
      </c>
      <c r="G405">
        <v>43783</v>
      </c>
      <c r="H405">
        <v>221654</v>
      </c>
      <c r="I405" s="1">
        <f t="shared" si="12"/>
        <v>0.2164465324433972</v>
      </c>
      <c r="J405" s="1">
        <f t="shared" si="13"/>
        <v>0.19752858058054446</v>
      </c>
    </row>
    <row r="406" spans="1:10">
      <c r="A406" t="s">
        <v>295</v>
      </c>
      <c r="B406">
        <v>14</v>
      </c>
      <c r="C406" t="s">
        <v>337</v>
      </c>
      <c r="D406">
        <v>5</v>
      </c>
      <c r="E406">
        <v>782.33330000000001</v>
      </c>
      <c r="F406">
        <v>198.33332999999999</v>
      </c>
      <c r="G406">
        <v>43783</v>
      </c>
      <c r="H406">
        <v>221654</v>
      </c>
      <c r="I406" s="1">
        <f t="shared" si="12"/>
        <v>0.25351513223328215</v>
      </c>
      <c r="J406" s="1">
        <f t="shared" si="13"/>
        <v>0.19752858058054446</v>
      </c>
    </row>
    <row r="407" spans="1:10">
      <c r="A407" t="s">
        <v>295</v>
      </c>
      <c r="B407">
        <v>14</v>
      </c>
      <c r="C407" t="s">
        <v>338</v>
      </c>
      <c r="D407">
        <v>6</v>
      </c>
      <c r="E407">
        <v>782.33330000000001</v>
      </c>
      <c r="F407">
        <v>391.33334000000002</v>
      </c>
      <c r="G407">
        <v>83121</v>
      </c>
      <c r="H407">
        <v>221654</v>
      </c>
      <c r="I407" s="1">
        <f t="shared" si="12"/>
        <v>0.50021306775513708</v>
      </c>
      <c r="J407" s="1">
        <f t="shared" si="13"/>
        <v>0.37500338365199815</v>
      </c>
    </row>
    <row r="408" spans="1:10">
      <c r="A408" t="s">
        <v>295</v>
      </c>
      <c r="B408">
        <v>14</v>
      </c>
      <c r="C408" t="s">
        <v>341</v>
      </c>
      <c r="D408">
        <v>7</v>
      </c>
      <c r="E408">
        <v>782.33330000000001</v>
      </c>
      <c r="F408">
        <v>412</v>
      </c>
      <c r="G408">
        <v>83121</v>
      </c>
      <c r="H408">
        <v>221654</v>
      </c>
      <c r="I408" s="1">
        <f t="shared" si="12"/>
        <v>0.52662976253215865</v>
      </c>
      <c r="J408" s="1">
        <f t="shared" si="13"/>
        <v>0.37500338365199815</v>
      </c>
    </row>
    <row r="409" spans="1:10">
      <c r="A409" t="s">
        <v>295</v>
      </c>
      <c r="B409">
        <v>14</v>
      </c>
      <c r="C409" t="s">
        <v>340</v>
      </c>
      <c r="D409">
        <v>8</v>
      </c>
      <c r="E409">
        <v>782.33330000000001</v>
      </c>
      <c r="F409">
        <v>438</v>
      </c>
      <c r="G409">
        <v>83121</v>
      </c>
      <c r="H409">
        <v>221654</v>
      </c>
      <c r="I409" s="1">
        <f t="shared" si="12"/>
        <v>0.55986367958515892</v>
      </c>
      <c r="J409" s="1">
        <f t="shared" si="13"/>
        <v>0.37500338365199815</v>
      </c>
    </row>
    <row r="410" spans="1:10">
      <c r="A410" t="s">
        <v>295</v>
      </c>
      <c r="B410">
        <v>14</v>
      </c>
      <c r="C410" t="s">
        <v>339</v>
      </c>
      <c r="D410">
        <v>9</v>
      </c>
      <c r="E410">
        <v>782.33330000000001</v>
      </c>
      <c r="F410">
        <v>444.33334000000002</v>
      </c>
      <c r="G410">
        <v>83121</v>
      </c>
      <c r="H410">
        <v>221654</v>
      </c>
      <c r="I410" s="1">
        <f t="shared" si="12"/>
        <v>0.5679591294400993</v>
      </c>
      <c r="J410" s="1">
        <f t="shared" si="13"/>
        <v>0.37500338365199815</v>
      </c>
    </row>
    <row r="411" spans="1:10">
      <c r="A411" t="s">
        <v>295</v>
      </c>
      <c r="B411">
        <v>14</v>
      </c>
      <c r="C411" t="s">
        <v>343</v>
      </c>
      <c r="D411">
        <v>10</v>
      </c>
      <c r="E411">
        <v>782.33330000000001</v>
      </c>
      <c r="F411">
        <v>898</v>
      </c>
      <c r="G411">
        <v>221654</v>
      </c>
      <c r="H411">
        <v>221654</v>
      </c>
      <c r="I411" s="1">
        <f t="shared" si="12"/>
        <v>1.1478483659074719</v>
      </c>
      <c r="J411" s="1">
        <f t="shared" si="13"/>
        <v>1</v>
      </c>
    </row>
    <row r="412" spans="1:10">
      <c r="A412" t="s">
        <v>295</v>
      </c>
      <c r="B412">
        <v>14</v>
      </c>
      <c r="C412" t="s">
        <v>342</v>
      </c>
      <c r="D412">
        <v>11</v>
      </c>
      <c r="E412">
        <v>782.33330000000001</v>
      </c>
      <c r="F412">
        <v>904.66669999999999</v>
      </c>
      <c r="G412">
        <v>221654</v>
      </c>
      <c r="H412">
        <v>221654</v>
      </c>
      <c r="I412" s="1">
        <f t="shared" si="12"/>
        <v>1.1563699257081348</v>
      </c>
      <c r="J412" s="1">
        <f t="shared" si="13"/>
        <v>1</v>
      </c>
    </row>
    <row r="413" spans="1:10">
      <c r="A413" t="s">
        <v>295</v>
      </c>
      <c r="B413">
        <v>15</v>
      </c>
      <c r="C413" t="s">
        <v>19</v>
      </c>
      <c r="D413">
        <v>1</v>
      </c>
      <c r="E413">
        <v>645</v>
      </c>
      <c r="F413">
        <v>15.333333</v>
      </c>
      <c r="G413">
        <v>495</v>
      </c>
      <c r="H413">
        <v>151468</v>
      </c>
      <c r="I413" s="1">
        <f t="shared" si="12"/>
        <v>2.3772609302325581E-2</v>
      </c>
      <c r="J413" s="1">
        <f t="shared" si="13"/>
        <v>3.2680170068925449E-3</v>
      </c>
    </row>
    <row r="414" spans="1:10">
      <c r="A414" t="s">
        <v>295</v>
      </c>
      <c r="B414">
        <v>15</v>
      </c>
      <c r="C414" t="s">
        <v>335</v>
      </c>
      <c r="D414">
        <v>2</v>
      </c>
      <c r="E414">
        <v>645</v>
      </c>
      <c r="F414">
        <v>15.666667</v>
      </c>
      <c r="G414">
        <v>555</v>
      </c>
      <c r="H414">
        <v>151468</v>
      </c>
      <c r="I414" s="1">
        <f t="shared" si="12"/>
        <v>2.4289406201550387E-2</v>
      </c>
      <c r="J414" s="1">
        <f t="shared" si="13"/>
        <v>3.6641402804552777E-3</v>
      </c>
    </row>
    <row r="415" spans="1:10">
      <c r="A415" t="s">
        <v>295</v>
      </c>
      <c r="B415">
        <v>15</v>
      </c>
      <c r="C415" t="s">
        <v>1</v>
      </c>
      <c r="D415">
        <v>3</v>
      </c>
      <c r="E415">
        <v>645</v>
      </c>
      <c r="F415">
        <v>17.333334000000001</v>
      </c>
      <c r="G415">
        <v>555</v>
      </c>
      <c r="H415">
        <v>151468</v>
      </c>
      <c r="I415" s="1">
        <f t="shared" si="12"/>
        <v>2.687338604651163E-2</v>
      </c>
      <c r="J415" s="1">
        <f t="shared" si="13"/>
        <v>3.6641402804552777E-3</v>
      </c>
    </row>
    <row r="416" spans="1:10">
      <c r="A416" t="s">
        <v>295</v>
      </c>
      <c r="B416">
        <v>15</v>
      </c>
      <c r="C416" t="s">
        <v>22</v>
      </c>
      <c r="D416">
        <v>4</v>
      </c>
      <c r="E416">
        <v>645</v>
      </c>
      <c r="F416">
        <v>912</v>
      </c>
      <c r="G416">
        <v>151468</v>
      </c>
      <c r="H416">
        <v>151468</v>
      </c>
      <c r="I416" s="1">
        <f t="shared" si="12"/>
        <v>1.413953488372093</v>
      </c>
      <c r="J416" s="1">
        <f t="shared" si="13"/>
        <v>1</v>
      </c>
    </row>
    <row r="417" spans="1:10">
      <c r="A417" t="s">
        <v>295</v>
      </c>
      <c r="B417">
        <v>16</v>
      </c>
      <c r="C417" t="s">
        <v>335</v>
      </c>
      <c r="D417">
        <v>1</v>
      </c>
      <c r="E417">
        <v>805.33330000000001</v>
      </c>
      <c r="F417">
        <v>19</v>
      </c>
      <c r="G417">
        <v>555</v>
      </c>
      <c r="H417">
        <v>229356</v>
      </c>
      <c r="I417" s="1">
        <f t="shared" si="12"/>
        <v>2.3592716208307791E-2</v>
      </c>
      <c r="J417" s="1">
        <f t="shared" si="13"/>
        <v>2.4198189713807356E-3</v>
      </c>
    </row>
    <row r="418" spans="1:10">
      <c r="A418" t="s">
        <v>295</v>
      </c>
      <c r="B418">
        <v>16</v>
      </c>
      <c r="C418" t="s">
        <v>1</v>
      </c>
      <c r="D418">
        <v>2</v>
      </c>
      <c r="E418">
        <v>805.33330000000001</v>
      </c>
      <c r="F418">
        <v>19.333334000000001</v>
      </c>
      <c r="G418">
        <v>555</v>
      </c>
      <c r="H418">
        <v>229356</v>
      </c>
      <c r="I418" s="1">
        <f t="shared" si="12"/>
        <v>2.4006624338022531E-2</v>
      </c>
      <c r="J418" s="1">
        <f t="shared" si="13"/>
        <v>2.4198189713807356E-3</v>
      </c>
    </row>
    <row r="419" spans="1:10">
      <c r="A419" t="s">
        <v>295</v>
      </c>
      <c r="B419">
        <v>16</v>
      </c>
      <c r="C419" t="s">
        <v>19</v>
      </c>
      <c r="D419">
        <v>3</v>
      </c>
      <c r="E419">
        <v>805.33330000000001</v>
      </c>
      <c r="F419">
        <v>19.666665999999999</v>
      </c>
      <c r="G419">
        <v>555</v>
      </c>
      <c r="H419">
        <v>229356</v>
      </c>
      <c r="I419" s="1">
        <f t="shared" si="12"/>
        <v>2.4420529984293459E-2</v>
      </c>
      <c r="J419" s="1">
        <f t="shared" si="13"/>
        <v>2.4198189713807356E-3</v>
      </c>
    </row>
    <row r="420" spans="1:10">
      <c r="A420" t="s">
        <v>295</v>
      </c>
      <c r="B420">
        <v>16</v>
      </c>
      <c r="C420" t="s">
        <v>22</v>
      </c>
      <c r="D420">
        <v>4</v>
      </c>
      <c r="E420">
        <v>805.33330000000001</v>
      </c>
      <c r="F420">
        <v>1020.6667</v>
      </c>
      <c r="G420">
        <v>229356</v>
      </c>
      <c r="H420">
        <v>229356</v>
      </c>
      <c r="I420" s="1">
        <f t="shared" si="12"/>
        <v>1.2673841998089486</v>
      </c>
      <c r="J420" s="1">
        <f t="shared" si="13"/>
        <v>1</v>
      </c>
    </row>
    <row r="421" spans="1:10">
      <c r="A421" t="s">
        <v>295</v>
      </c>
      <c r="B421">
        <v>20</v>
      </c>
      <c r="C421" t="s">
        <v>19</v>
      </c>
      <c r="D421">
        <v>1</v>
      </c>
      <c r="E421">
        <v>5</v>
      </c>
      <c r="F421">
        <v>8.3333329999999997</v>
      </c>
      <c r="G421">
        <v>270</v>
      </c>
      <c r="H421">
        <v>438</v>
      </c>
      <c r="I421" s="1">
        <f t="shared" si="12"/>
        <v>1.6666665999999999</v>
      </c>
      <c r="J421" s="1">
        <f t="shared" si="13"/>
        <v>0.61643835616438358</v>
      </c>
    </row>
    <row r="422" spans="1:10">
      <c r="A422" t="s">
        <v>295</v>
      </c>
      <c r="B422">
        <v>20</v>
      </c>
      <c r="C422" t="s">
        <v>33</v>
      </c>
      <c r="D422">
        <v>2</v>
      </c>
      <c r="E422">
        <v>5</v>
      </c>
      <c r="F422">
        <v>8.3334329999999994</v>
      </c>
      <c r="G422">
        <v>438</v>
      </c>
      <c r="H422">
        <v>438</v>
      </c>
      <c r="I422" s="1">
        <f t="shared" si="12"/>
        <v>1.6666865999999998</v>
      </c>
      <c r="J422" s="1">
        <f t="shared" si="13"/>
        <v>1</v>
      </c>
    </row>
    <row r="423" spans="1:10">
      <c r="A423" t="s">
        <v>295</v>
      </c>
      <c r="B423">
        <v>21</v>
      </c>
      <c r="C423" t="s">
        <v>19</v>
      </c>
      <c r="D423">
        <v>1</v>
      </c>
      <c r="E423">
        <v>14</v>
      </c>
      <c r="F423">
        <v>17.666665999999999</v>
      </c>
      <c r="G423">
        <v>841</v>
      </c>
      <c r="H423">
        <v>1558</v>
      </c>
      <c r="I423" s="1">
        <f t="shared" si="12"/>
        <v>1.2619047142857143</v>
      </c>
      <c r="J423" s="1">
        <f t="shared" si="13"/>
        <v>0.53979460847240046</v>
      </c>
    </row>
    <row r="424" spans="1:10">
      <c r="A424" t="s">
        <v>295</v>
      </c>
      <c r="B424">
        <v>21</v>
      </c>
      <c r="C424" t="s">
        <v>33</v>
      </c>
      <c r="D424">
        <v>2</v>
      </c>
      <c r="E424">
        <v>14</v>
      </c>
      <c r="F424">
        <v>18</v>
      </c>
      <c r="G424">
        <v>1558</v>
      </c>
      <c r="H424">
        <v>1558</v>
      </c>
      <c r="I424" s="1">
        <f t="shared" si="12"/>
        <v>1.2857142857142858</v>
      </c>
      <c r="J424" s="1">
        <f t="shared" si="13"/>
        <v>1</v>
      </c>
    </row>
    <row r="425" spans="1:10">
      <c r="A425" t="s">
        <v>344</v>
      </c>
      <c r="B425">
        <v>0</v>
      </c>
      <c r="C425" t="s">
        <v>33</v>
      </c>
      <c r="D425">
        <v>1</v>
      </c>
      <c r="E425">
        <v>4</v>
      </c>
      <c r="F425">
        <v>7</v>
      </c>
      <c r="G425">
        <v>233</v>
      </c>
      <c r="H425">
        <v>289</v>
      </c>
      <c r="I425" s="1">
        <f t="shared" si="12"/>
        <v>1.75</v>
      </c>
      <c r="J425" s="1">
        <f t="shared" si="13"/>
        <v>0.80622837370242217</v>
      </c>
    </row>
    <row r="426" spans="1:10">
      <c r="A426" t="s">
        <v>344</v>
      </c>
      <c r="B426">
        <v>0</v>
      </c>
      <c r="C426" t="s">
        <v>0</v>
      </c>
      <c r="D426">
        <v>2</v>
      </c>
      <c r="E426">
        <v>4</v>
      </c>
      <c r="F426">
        <v>7.3333335000000002</v>
      </c>
      <c r="G426">
        <v>265</v>
      </c>
      <c r="H426">
        <v>289</v>
      </c>
      <c r="I426" s="1">
        <f t="shared" si="12"/>
        <v>1.833333375</v>
      </c>
      <c r="J426" s="1">
        <f t="shared" si="13"/>
        <v>0.91695501730103801</v>
      </c>
    </row>
    <row r="427" spans="1:10">
      <c r="A427" t="s">
        <v>344</v>
      </c>
      <c r="B427">
        <v>0</v>
      </c>
      <c r="C427" t="s">
        <v>35</v>
      </c>
      <c r="D427">
        <v>3</v>
      </c>
      <c r="E427">
        <v>4</v>
      </c>
      <c r="F427">
        <v>8</v>
      </c>
      <c r="G427">
        <v>273</v>
      </c>
      <c r="H427">
        <v>289</v>
      </c>
      <c r="I427" s="1">
        <f t="shared" si="12"/>
        <v>2</v>
      </c>
      <c r="J427" s="1">
        <f t="shared" si="13"/>
        <v>0.94463667820069208</v>
      </c>
    </row>
    <row r="428" spans="1:10">
      <c r="A428" t="s">
        <v>344</v>
      </c>
      <c r="B428">
        <v>0</v>
      </c>
      <c r="C428" t="s">
        <v>34</v>
      </c>
      <c r="D428">
        <v>4</v>
      </c>
      <c r="E428">
        <v>4</v>
      </c>
      <c r="F428">
        <v>8.6666670000000003</v>
      </c>
      <c r="G428">
        <v>289</v>
      </c>
      <c r="H428">
        <v>289</v>
      </c>
      <c r="I428" s="1">
        <f t="shared" si="12"/>
        <v>2.1666667500000001</v>
      </c>
      <c r="J428" s="1">
        <f t="shared" si="13"/>
        <v>1</v>
      </c>
    </row>
    <row r="429" spans="1:10">
      <c r="A429" t="s">
        <v>344</v>
      </c>
      <c r="B429">
        <v>1</v>
      </c>
      <c r="C429" t="s">
        <v>345</v>
      </c>
      <c r="D429">
        <v>1</v>
      </c>
      <c r="E429">
        <v>10.333333</v>
      </c>
      <c r="F429">
        <v>6.6666664999999998</v>
      </c>
      <c r="G429">
        <v>101</v>
      </c>
      <c r="H429">
        <v>2437</v>
      </c>
      <c r="I429" s="1">
        <f t="shared" si="12"/>
        <v>0.64516129500520303</v>
      </c>
      <c r="J429" s="1">
        <f t="shared" si="13"/>
        <v>4.1444398851046366E-2</v>
      </c>
    </row>
    <row r="430" spans="1:10">
      <c r="A430" t="s">
        <v>344</v>
      </c>
      <c r="B430">
        <v>1</v>
      </c>
      <c r="C430" t="s">
        <v>33</v>
      </c>
      <c r="D430">
        <v>2</v>
      </c>
      <c r="E430">
        <v>10.333333</v>
      </c>
      <c r="F430">
        <v>8.6666670000000003</v>
      </c>
      <c r="G430">
        <v>312</v>
      </c>
      <c r="H430">
        <v>2437</v>
      </c>
      <c r="I430" s="1">
        <f t="shared" si="12"/>
        <v>0.83870973673257221</v>
      </c>
      <c r="J430" s="1">
        <f t="shared" si="13"/>
        <v>0.12802626179729176</v>
      </c>
    </row>
    <row r="431" spans="1:10">
      <c r="A431" t="s">
        <v>344</v>
      </c>
      <c r="B431">
        <v>1</v>
      </c>
      <c r="C431" t="s">
        <v>346</v>
      </c>
      <c r="D431">
        <v>3</v>
      </c>
      <c r="E431">
        <v>10.333333</v>
      </c>
      <c r="F431">
        <v>11</v>
      </c>
      <c r="G431">
        <v>796</v>
      </c>
      <c r="H431">
        <v>2437</v>
      </c>
      <c r="I431" s="1">
        <f t="shared" si="12"/>
        <v>1.0645161633714892</v>
      </c>
      <c r="J431" s="1">
        <f t="shared" si="13"/>
        <v>0.32663110381616745</v>
      </c>
    </row>
    <row r="432" spans="1:10">
      <c r="A432" t="s">
        <v>344</v>
      </c>
      <c r="B432">
        <v>1</v>
      </c>
      <c r="C432" t="s">
        <v>347</v>
      </c>
      <c r="D432">
        <v>4</v>
      </c>
      <c r="E432">
        <v>10.333333</v>
      </c>
      <c r="F432">
        <v>17.333334000000001</v>
      </c>
      <c r="G432">
        <v>2437</v>
      </c>
      <c r="H432">
        <v>2437</v>
      </c>
      <c r="I432" s="1">
        <f t="shared" si="12"/>
        <v>1.6774194734651444</v>
      </c>
      <c r="J432" s="1">
        <f t="shared" si="13"/>
        <v>1</v>
      </c>
    </row>
    <row r="433" spans="1:10">
      <c r="A433" t="s">
        <v>348</v>
      </c>
      <c r="B433">
        <v>1</v>
      </c>
      <c r="C433" t="s">
        <v>23</v>
      </c>
      <c r="D433">
        <v>1</v>
      </c>
      <c r="E433">
        <v>10.333333</v>
      </c>
      <c r="F433">
        <v>8.6666670000000003</v>
      </c>
      <c r="G433">
        <v>169</v>
      </c>
      <c r="H433">
        <v>2726</v>
      </c>
      <c r="I433" s="1">
        <f t="shared" si="12"/>
        <v>0.83870973673257221</v>
      </c>
      <c r="J433" s="1">
        <f t="shared" si="13"/>
        <v>6.1995597945707998E-2</v>
      </c>
    </row>
    <row r="434" spans="1:10">
      <c r="A434" t="s">
        <v>348</v>
      </c>
      <c r="B434">
        <v>1</v>
      </c>
      <c r="C434" t="s">
        <v>349</v>
      </c>
      <c r="D434">
        <v>2</v>
      </c>
      <c r="E434">
        <v>10.333333</v>
      </c>
      <c r="F434">
        <v>9.6666670000000003</v>
      </c>
      <c r="G434">
        <v>318</v>
      </c>
      <c r="H434">
        <v>2726</v>
      </c>
      <c r="I434" s="1">
        <f t="shared" si="12"/>
        <v>0.93548393340270763</v>
      </c>
      <c r="J434" s="1">
        <f t="shared" si="13"/>
        <v>0.11665443873807776</v>
      </c>
    </row>
    <row r="435" spans="1:10">
      <c r="A435" t="s">
        <v>348</v>
      </c>
      <c r="B435">
        <v>1</v>
      </c>
      <c r="C435" t="s">
        <v>352</v>
      </c>
      <c r="D435">
        <v>3</v>
      </c>
      <c r="E435">
        <v>10.333333</v>
      </c>
      <c r="F435">
        <v>10.666667</v>
      </c>
      <c r="G435">
        <v>700</v>
      </c>
      <c r="H435">
        <v>2726</v>
      </c>
      <c r="I435" s="1">
        <f t="shared" si="12"/>
        <v>1.0322581300728431</v>
      </c>
      <c r="J435" s="1">
        <f t="shared" si="13"/>
        <v>0.25678650036683787</v>
      </c>
    </row>
    <row r="436" spans="1:10">
      <c r="A436" t="s">
        <v>348</v>
      </c>
      <c r="B436">
        <v>1</v>
      </c>
      <c r="C436" t="s">
        <v>350</v>
      </c>
      <c r="D436">
        <v>4</v>
      </c>
      <c r="E436">
        <v>10.333333</v>
      </c>
      <c r="F436">
        <v>11</v>
      </c>
      <c r="G436">
        <v>1106</v>
      </c>
      <c r="H436">
        <v>2726</v>
      </c>
      <c r="I436" s="1">
        <f t="shared" si="12"/>
        <v>1.0645161633714892</v>
      </c>
      <c r="J436" s="1">
        <f t="shared" si="13"/>
        <v>0.40572267057960382</v>
      </c>
    </row>
    <row r="437" spans="1:10">
      <c r="A437" t="s">
        <v>348</v>
      </c>
      <c r="B437">
        <v>1</v>
      </c>
      <c r="C437" t="s">
        <v>22</v>
      </c>
      <c r="D437">
        <v>5</v>
      </c>
      <c r="E437">
        <v>10.333333</v>
      </c>
      <c r="F437">
        <v>11.0001</v>
      </c>
      <c r="G437">
        <v>1489</v>
      </c>
      <c r="H437">
        <v>2726</v>
      </c>
      <c r="I437" s="1">
        <f t="shared" si="12"/>
        <v>1.0645258407911562</v>
      </c>
      <c r="J437" s="1">
        <f t="shared" si="13"/>
        <v>0.54622157006603078</v>
      </c>
    </row>
    <row r="438" spans="1:10">
      <c r="A438" t="s">
        <v>348</v>
      </c>
      <c r="B438">
        <v>1</v>
      </c>
      <c r="C438" t="s">
        <v>335</v>
      </c>
      <c r="D438">
        <v>6</v>
      </c>
      <c r="E438">
        <v>10.333333</v>
      </c>
      <c r="F438">
        <v>11.0002</v>
      </c>
      <c r="G438">
        <v>1847</v>
      </c>
      <c r="H438">
        <v>2726</v>
      </c>
      <c r="I438" s="1">
        <f t="shared" si="12"/>
        <v>1.0645355182108232</v>
      </c>
      <c r="J438" s="1">
        <f t="shared" si="13"/>
        <v>0.67754952311078498</v>
      </c>
    </row>
    <row r="439" spans="1:10">
      <c r="A439" t="s">
        <v>348</v>
      </c>
      <c r="B439">
        <v>1</v>
      </c>
      <c r="C439" t="s">
        <v>351</v>
      </c>
      <c r="D439">
        <v>7</v>
      </c>
      <c r="E439">
        <v>10.333333</v>
      </c>
      <c r="F439">
        <v>11.666667</v>
      </c>
      <c r="G439">
        <v>2320</v>
      </c>
      <c r="H439">
        <v>2726</v>
      </c>
      <c r="I439" s="1">
        <f t="shared" si="12"/>
        <v>1.1290323267429783</v>
      </c>
      <c r="J439" s="1">
        <f t="shared" si="13"/>
        <v>0.85106382978723405</v>
      </c>
    </row>
    <row r="440" spans="1:10">
      <c r="A440" t="s">
        <v>348</v>
      </c>
      <c r="B440">
        <v>1</v>
      </c>
      <c r="C440" t="s">
        <v>353</v>
      </c>
      <c r="D440">
        <v>8</v>
      </c>
      <c r="E440">
        <v>10.333333</v>
      </c>
      <c r="F440">
        <v>12.666667</v>
      </c>
      <c r="G440">
        <v>2726</v>
      </c>
      <c r="H440">
        <v>2726</v>
      </c>
      <c r="I440" s="1">
        <f t="shared" si="12"/>
        <v>1.2258065234131137</v>
      </c>
      <c r="J440" s="1">
        <f t="shared" si="13"/>
        <v>1</v>
      </c>
    </row>
    <row r="441" spans="1:10">
      <c r="A441" t="s">
        <v>354</v>
      </c>
      <c r="B441">
        <v>1</v>
      </c>
      <c r="C441" t="s">
        <v>355</v>
      </c>
      <c r="D441">
        <v>1</v>
      </c>
      <c r="E441">
        <v>25</v>
      </c>
      <c r="F441">
        <v>13</v>
      </c>
      <c r="G441">
        <v>515</v>
      </c>
      <c r="H441">
        <v>2264</v>
      </c>
      <c r="I441" s="1">
        <f t="shared" si="12"/>
        <v>0.52</v>
      </c>
      <c r="J441" s="1">
        <f t="shared" si="13"/>
        <v>0.22747349823321555</v>
      </c>
    </row>
    <row r="442" spans="1:10">
      <c r="A442" t="s">
        <v>354</v>
      </c>
      <c r="B442">
        <v>1</v>
      </c>
      <c r="C442" t="s">
        <v>356</v>
      </c>
      <c r="D442">
        <v>2</v>
      </c>
      <c r="E442">
        <v>25</v>
      </c>
      <c r="F442">
        <v>13.333333</v>
      </c>
      <c r="G442">
        <v>954</v>
      </c>
      <c r="H442">
        <v>2264</v>
      </c>
      <c r="I442" s="1">
        <f t="shared" si="12"/>
        <v>0.53333332</v>
      </c>
      <c r="J442" s="1">
        <f t="shared" si="13"/>
        <v>0.42137809187279152</v>
      </c>
    </row>
    <row r="443" spans="1:10">
      <c r="A443" t="s">
        <v>354</v>
      </c>
      <c r="B443">
        <v>1</v>
      </c>
      <c r="C443" t="s">
        <v>33</v>
      </c>
      <c r="D443">
        <v>3</v>
      </c>
      <c r="E443">
        <v>25</v>
      </c>
      <c r="F443">
        <v>14</v>
      </c>
      <c r="G443">
        <v>1367</v>
      </c>
      <c r="H443">
        <v>2264</v>
      </c>
      <c r="I443" s="1">
        <f t="shared" si="12"/>
        <v>0.56000000000000005</v>
      </c>
      <c r="J443" s="1">
        <f t="shared" si="13"/>
        <v>0.60379858657243812</v>
      </c>
    </row>
    <row r="444" spans="1:10">
      <c r="A444" t="s">
        <v>354</v>
      </c>
      <c r="B444">
        <v>1</v>
      </c>
      <c r="C444" t="s">
        <v>248</v>
      </c>
      <c r="D444">
        <v>4</v>
      </c>
      <c r="E444">
        <v>25</v>
      </c>
      <c r="F444">
        <v>14.0001</v>
      </c>
      <c r="G444">
        <v>1793</v>
      </c>
      <c r="H444">
        <v>2264</v>
      </c>
      <c r="I444" s="1">
        <f t="shared" si="12"/>
        <v>0.56000399999999995</v>
      </c>
      <c r="J444" s="1">
        <f t="shared" si="13"/>
        <v>0.79196113074204944</v>
      </c>
    </row>
    <row r="445" spans="1:10">
      <c r="A445" t="s">
        <v>354</v>
      </c>
      <c r="B445">
        <v>1</v>
      </c>
      <c r="C445" t="s">
        <v>357</v>
      </c>
      <c r="D445">
        <v>5</v>
      </c>
      <c r="E445">
        <v>25</v>
      </c>
      <c r="F445">
        <v>14.0002</v>
      </c>
      <c r="G445">
        <v>2264</v>
      </c>
      <c r="H445">
        <v>2264</v>
      </c>
      <c r="I445" s="1">
        <f t="shared" si="12"/>
        <v>0.56000799999999995</v>
      </c>
      <c r="J445" s="1">
        <f t="shared" si="13"/>
        <v>1</v>
      </c>
    </row>
    <row r="446" spans="1:10">
      <c r="A446" t="s">
        <v>358</v>
      </c>
      <c r="B446">
        <v>5</v>
      </c>
      <c r="C446" t="s">
        <v>359</v>
      </c>
      <c r="D446">
        <v>1</v>
      </c>
      <c r="E446">
        <v>101.333336</v>
      </c>
      <c r="F446">
        <v>45.333331999999999</v>
      </c>
      <c r="G446">
        <v>1690</v>
      </c>
      <c r="H446">
        <v>7942</v>
      </c>
      <c r="I446" s="1">
        <f t="shared" si="12"/>
        <v>0.44736839612188428</v>
      </c>
      <c r="J446" s="1">
        <f t="shared" si="13"/>
        <v>0.2127927474187862</v>
      </c>
    </row>
    <row r="447" spans="1:10">
      <c r="A447" t="s">
        <v>358</v>
      </c>
      <c r="B447">
        <v>5</v>
      </c>
      <c r="C447" t="s">
        <v>33</v>
      </c>
      <c r="D447">
        <v>2</v>
      </c>
      <c r="E447">
        <v>101.333336</v>
      </c>
      <c r="F447">
        <v>51</v>
      </c>
      <c r="G447">
        <v>2330</v>
      </c>
      <c r="H447">
        <v>7942</v>
      </c>
      <c r="I447" s="1">
        <f t="shared" si="12"/>
        <v>0.50328946043975098</v>
      </c>
      <c r="J447" s="1">
        <f t="shared" si="13"/>
        <v>0.29337698312767563</v>
      </c>
    </row>
    <row r="448" spans="1:10">
      <c r="A448" t="s">
        <v>358</v>
      </c>
      <c r="B448">
        <v>5</v>
      </c>
      <c r="C448" t="s">
        <v>360</v>
      </c>
      <c r="D448">
        <v>3</v>
      </c>
      <c r="E448">
        <v>101.333336</v>
      </c>
      <c r="F448">
        <v>60</v>
      </c>
      <c r="G448">
        <v>3374</v>
      </c>
      <c r="H448">
        <v>7942</v>
      </c>
      <c r="I448" s="1">
        <f t="shared" si="12"/>
        <v>0.59210524757617766</v>
      </c>
      <c r="J448" s="1">
        <f t="shared" si="13"/>
        <v>0.42483001762780154</v>
      </c>
    </row>
    <row r="449" spans="1:10">
      <c r="A449" t="s">
        <v>358</v>
      </c>
      <c r="B449">
        <v>5</v>
      </c>
      <c r="C449" t="s">
        <v>346</v>
      </c>
      <c r="D449">
        <v>4</v>
      </c>
      <c r="E449">
        <v>101.333336</v>
      </c>
      <c r="F449">
        <v>63</v>
      </c>
      <c r="G449">
        <v>4862</v>
      </c>
      <c r="H449">
        <v>7942</v>
      </c>
      <c r="I449" s="1">
        <f t="shared" si="12"/>
        <v>0.62171050995498656</v>
      </c>
      <c r="J449" s="1">
        <f t="shared" si="13"/>
        <v>0.61218836565096957</v>
      </c>
    </row>
    <row r="450" spans="1:10">
      <c r="A450" t="s">
        <v>358</v>
      </c>
      <c r="B450">
        <v>5</v>
      </c>
      <c r="C450" t="s">
        <v>361</v>
      </c>
      <c r="D450">
        <v>5</v>
      </c>
      <c r="E450">
        <v>101.333336</v>
      </c>
      <c r="F450">
        <v>90.666663999999997</v>
      </c>
      <c r="G450">
        <v>7942</v>
      </c>
      <c r="H450">
        <v>7942</v>
      </c>
      <c r="I450" s="1">
        <f t="shared" si="12"/>
        <v>0.89473679224376856</v>
      </c>
      <c r="J450" s="1">
        <f t="shared" si="13"/>
        <v>1</v>
      </c>
    </row>
    <row r="451" spans="1:10">
      <c r="A451" t="s">
        <v>358</v>
      </c>
      <c r="B451">
        <v>7</v>
      </c>
      <c r="C451" t="s">
        <v>2</v>
      </c>
      <c r="D451">
        <v>1</v>
      </c>
      <c r="E451">
        <v>8.6666670000000003</v>
      </c>
      <c r="F451">
        <v>5.3333335000000002</v>
      </c>
      <c r="G451">
        <v>109</v>
      </c>
      <c r="H451">
        <v>710</v>
      </c>
      <c r="I451" s="1">
        <f t="shared" ref="I451:I512" si="14">F451/E451</f>
        <v>0.61538461094674568</v>
      </c>
      <c r="J451" s="1">
        <f t="shared" ref="J451:J512" si="15">G451/H451</f>
        <v>0.15352112676056337</v>
      </c>
    </row>
    <row r="452" spans="1:10">
      <c r="A452" t="s">
        <v>358</v>
      </c>
      <c r="B452">
        <v>7</v>
      </c>
      <c r="C452" t="s">
        <v>33</v>
      </c>
      <c r="D452">
        <v>2</v>
      </c>
      <c r="E452">
        <v>8.6666670000000003</v>
      </c>
      <c r="F452">
        <v>10.666667</v>
      </c>
      <c r="G452">
        <v>535</v>
      </c>
      <c r="H452">
        <v>710</v>
      </c>
      <c r="I452" s="1">
        <f t="shared" si="14"/>
        <v>1.2307692218934914</v>
      </c>
      <c r="J452" s="1">
        <f t="shared" si="15"/>
        <v>0.75352112676056338</v>
      </c>
    </row>
    <row r="453" spans="1:10">
      <c r="A453" t="s">
        <v>358</v>
      </c>
      <c r="B453">
        <v>7</v>
      </c>
      <c r="C453" t="s">
        <v>0</v>
      </c>
      <c r="D453">
        <v>3</v>
      </c>
      <c r="E453">
        <v>8.6666670000000003</v>
      </c>
      <c r="F453">
        <v>11</v>
      </c>
      <c r="G453">
        <v>710</v>
      </c>
      <c r="H453">
        <v>710</v>
      </c>
      <c r="I453" s="1">
        <f t="shared" si="14"/>
        <v>1.269230720414203</v>
      </c>
      <c r="J453" s="1">
        <f t="shared" si="15"/>
        <v>1</v>
      </c>
    </row>
    <row r="454" spans="1:10">
      <c r="A454" t="s">
        <v>358</v>
      </c>
      <c r="B454">
        <v>9</v>
      </c>
      <c r="C454" t="s">
        <v>362</v>
      </c>
      <c r="D454">
        <v>1</v>
      </c>
      <c r="E454">
        <v>4.3333335000000002</v>
      </c>
      <c r="F454">
        <v>4</v>
      </c>
      <c r="G454">
        <v>33</v>
      </c>
      <c r="H454">
        <v>295</v>
      </c>
      <c r="I454" s="1">
        <f t="shared" si="14"/>
        <v>0.92307688757396578</v>
      </c>
      <c r="J454" s="1">
        <f t="shared" si="15"/>
        <v>0.11186440677966102</v>
      </c>
    </row>
    <row r="455" spans="1:10">
      <c r="A455" t="s">
        <v>358</v>
      </c>
      <c r="B455">
        <v>9</v>
      </c>
      <c r="C455" t="s">
        <v>367</v>
      </c>
      <c r="D455">
        <v>2</v>
      </c>
      <c r="E455">
        <v>4.3333335000000002</v>
      </c>
      <c r="F455">
        <v>4.3333335000000002</v>
      </c>
      <c r="G455">
        <v>62</v>
      </c>
      <c r="H455">
        <v>295</v>
      </c>
      <c r="I455" s="1">
        <f t="shared" si="14"/>
        <v>1</v>
      </c>
      <c r="J455" s="1">
        <f t="shared" si="15"/>
        <v>0.21016949152542372</v>
      </c>
    </row>
    <row r="456" spans="1:10">
      <c r="A456" t="s">
        <v>358</v>
      </c>
      <c r="B456">
        <v>9</v>
      </c>
      <c r="C456" t="s">
        <v>370</v>
      </c>
      <c r="D456">
        <v>3</v>
      </c>
      <c r="E456">
        <v>4.3333335000000002</v>
      </c>
      <c r="F456">
        <v>4.6666664999999998</v>
      </c>
      <c r="G456">
        <v>75</v>
      </c>
      <c r="H456">
        <v>295</v>
      </c>
      <c r="I456" s="1">
        <f t="shared" si="14"/>
        <v>1.0769229970414231</v>
      </c>
      <c r="J456" s="1">
        <f t="shared" si="15"/>
        <v>0.25423728813559321</v>
      </c>
    </row>
    <row r="457" spans="1:10">
      <c r="A457" t="s">
        <v>358</v>
      </c>
      <c r="B457">
        <v>9</v>
      </c>
      <c r="C457" t="s">
        <v>366</v>
      </c>
      <c r="D457">
        <v>4</v>
      </c>
      <c r="E457">
        <v>4.3333335000000002</v>
      </c>
      <c r="F457">
        <v>4.6667665999999999</v>
      </c>
      <c r="G457">
        <v>82</v>
      </c>
      <c r="H457">
        <v>295</v>
      </c>
      <c r="I457" s="1">
        <f t="shared" si="14"/>
        <v>1.0769460970405347</v>
      </c>
      <c r="J457" s="1">
        <f t="shared" si="15"/>
        <v>0.27796610169491526</v>
      </c>
    </row>
    <row r="458" spans="1:10">
      <c r="A458" t="s">
        <v>358</v>
      </c>
      <c r="B458">
        <v>9</v>
      </c>
      <c r="C458" t="s">
        <v>21</v>
      </c>
      <c r="D458">
        <v>5</v>
      </c>
      <c r="E458">
        <v>4.3333335000000002</v>
      </c>
      <c r="F458">
        <v>4.6668669999999999</v>
      </c>
      <c r="G458">
        <v>92</v>
      </c>
      <c r="H458">
        <v>295</v>
      </c>
      <c r="I458" s="1">
        <f t="shared" si="14"/>
        <v>1.0769692662704127</v>
      </c>
      <c r="J458" s="1">
        <f t="shared" si="15"/>
        <v>0.31186440677966104</v>
      </c>
    </row>
    <row r="459" spans="1:10">
      <c r="A459" t="s">
        <v>358</v>
      </c>
      <c r="B459">
        <v>9</v>
      </c>
      <c r="C459" t="s">
        <v>371</v>
      </c>
      <c r="D459">
        <v>6</v>
      </c>
      <c r="E459">
        <v>4.3333335000000002</v>
      </c>
      <c r="F459">
        <v>4.6669669999999996</v>
      </c>
      <c r="G459">
        <v>92</v>
      </c>
      <c r="H459">
        <v>295</v>
      </c>
      <c r="I459" s="1">
        <f t="shared" si="14"/>
        <v>1.0769923431926021</v>
      </c>
      <c r="J459" s="1">
        <f t="shared" si="15"/>
        <v>0.31186440677966104</v>
      </c>
    </row>
    <row r="460" spans="1:10">
      <c r="A460" t="s">
        <v>358</v>
      </c>
      <c r="B460">
        <v>9</v>
      </c>
      <c r="C460" t="s">
        <v>377</v>
      </c>
      <c r="D460">
        <v>7</v>
      </c>
      <c r="E460">
        <v>4.3333335000000002</v>
      </c>
      <c r="F460">
        <v>4.6670670000000003</v>
      </c>
      <c r="G460">
        <v>93</v>
      </c>
      <c r="H460">
        <v>295</v>
      </c>
      <c r="I460" s="1">
        <f t="shared" si="14"/>
        <v>1.0770154201147915</v>
      </c>
      <c r="J460" s="1">
        <f t="shared" si="15"/>
        <v>0.31525423728813562</v>
      </c>
    </row>
    <row r="461" spans="1:10">
      <c r="A461" t="s">
        <v>358</v>
      </c>
      <c r="B461">
        <v>9</v>
      </c>
      <c r="C461" t="s">
        <v>375</v>
      </c>
      <c r="D461">
        <v>8</v>
      </c>
      <c r="E461">
        <v>4.3333335000000002</v>
      </c>
      <c r="F461">
        <v>4.6671670000000001</v>
      </c>
      <c r="G461">
        <v>93</v>
      </c>
      <c r="H461">
        <v>295</v>
      </c>
      <c r="I461" s="1">
        <f t="shared" si="14"/>
        <v>1.0770384970369808</v>
      </c>
      <c r="J461" s="1">
        <f t="shared" si="15"/>
        <v>0.31525423728813562</v>
      </c>
    </row>
    <row r="462" spans="1:10">
      <c r="A462" t="s">
        <v>358</v>
      </c>
      <c r="B462">
        <v>9</v>
      </c>
      <c r="C462" t="s">
        <v>363</v>
      </c>
      <c r="D462">
        <v>9</v>
      </c>
      <c r="E462">
        <v>4.3333335000000002</v>
      </c>
      <c r="F462">
        <v>5</v>
      </c>
      <c r="G462">
        <v>99</v>
      </c>
      <c r="H462">
        <v>295</v>
      </c>
      <c r="I462" s="1">
        <f t="shared" si="14"/>
        <v>1.1538461094674572</v>
      </c>
      <c r="J462" s="1">
        <f t="shared" si="15"/>
        <v>0.33559322033898303</v>
      </c>
    </row>
    <row r="463" spans="1:10">
      <c r="A463" t="s">
        <v>358</v>
      </c>
      <c r="B463">
        <v>9</v>
      </c>
      <c r="C463" t="s">
        <v>368</v>
      </c>
      <c r="D463">
        <v>10</v>
      </c>
      <c r="E463">
        <v>4.3333335000000002</v>
      </c>
      <c r="F463">
        <v>5.0000999999999998</v>
      </c>
      <c r="G463">
        <v>99</v>
      </c>
      <c r="H463">
        <v>295</v>
      </c>
      <c r="I463" s="1">
        <f t="shared" si="14"/>
        <v>1.1538691863896466</v>
      </c>
      <c r="J463" s="1">
        <f t="shared" si="15"/>
        <v>0.33559322033898303</v>
      </c>
    </row>
    <row r="464" spans="1:10">
      <c r="A464" t="s">
        <v>358</v>
      </c>
      <c r="B464">
        <v>9</v>
      </c>
      <c r="C464" t="s">
        <v>364</v>
      </c>
      <c r="D464">
        <v>11</v>
      </c>
      <c r="E464">
        <v>4.3333335000000002</v>
      </c>
      <c r="F464">
        <v>5.0002003000000004</v>
      </c>
      <c r="G464">
        <v>169</v>
      </c>
      <c r="H464">
        <v>295</v>
      </c>
      <c r="I464" s="1">
        <f t="shared" si="14"/>
        <v>1.1538923325426027</v>
      </c>
      <c r="J464" s="1">
        <f t="shared" si="15"/>
        <v>0.57288135593220335</v>
      </c>
    </row>
    <row r="465" spans="1:10">
      <c r="A465" t="s">
        <v>358</v>
      </c>
      <c r="B465">
        <v>9</v>
      </c>
      <c r="C465" t="s">
        <v>373</v>
      </c>
      <c r="D465">
        <v>12</v>
      </c>
      <c r="E465">
        <v>4.3333335000000002</v>
      </c>
      <c r="F465">
        <v>5.0003004000000004</v>
      </c>
      <c r="G465">
        <v>192</v>
      </c>
      <c r="H465">
        <v>295</v>
      </c>
      <c r="I465" s="1">
        <f t="shared" si="14"/>
        <v>1.1539154325417142</v>
      </c>
      <c r="J465" s="1">
        <f t="shared" si="15"/>
        <v>0.6508474576271186</v>
      </c>
    </row>
    <row r="466" spans="1:10">
      <c r="A466" t="s">
        <v>358</v>
      </c>
      <c r="B466">
        <v>9</v>
      </c>
      <c r="C466" t="s">
        <v>365</v>
      </c>
      <c r="D466">
        <v>13</v>
      </c>
      <c r="E466">
        <v>4.3333335000000002</v>
      </c>
      <c r="F466">
        <v>5.3333335000000002</v>
      </c>
      <c r="G466">
        <v>192</v>
      </c>
      <c r="H466">
        <v>295</v>
      </c>
      <c r="I466" s="1">
        <f t="shared" si="14"/>
        <v>1.2307692218934914</v>
      </c>
      <c r="J466" s="1">
        <f t="shared" si="15"/>
        <v>0.6508474576271186</v>
      </c>
    </row>
    <row r="467" spans="1:10">
      <c r="A467" t="s">
        <v>358</v>
      </c>
      <c r="B467">
        <v>9</v>
      </c>
      <c r="C467" t="s">
        <v>374</v>
      </c>
      <c r="D467">
        <v>14</v>
      </c>
      <c r="E467">
        <v>4.3333335000000002</v>
      </c>
      <c r="F467">
        <v>5.3334336000000002</v>
      </c>
      <c r="G467">
        <v>193</v>
      </c>
      <c r="H467">
        <v>295</v>
      </c>
      <c r="I467" s="1">
        <f t="shared" si="14"/>
        <v>1.2307923218926029</v>
      </c>
      <c r="J467" s="1">
        <f t="shared" si="15"/>
        <v>0.65423728813559323</v>
      </c>
    </row>
    <row r="468" spans="1:10">
      <c r="A468" t="s">
        <v>358</v>
      </c>
      <c r="B468">
        <v>9</v>
      </c>
      <c r="C468" t="s">
        <v>372</v>
      </c>
      <c r="D468">
        <v>15</v>
      </c>
      <c r="E468">
        <v>4.3333335000000002</v>
      </c>
      <c r="F468">
        <v>7.3333335000000002</v>
      </c>
      <c r="G468">
        <v>278</v>
      </c>
      <c r="H468">
        <v>295</v>
      </c>
      <c r="I468" s="1">
        <f t="shared" si="14"/>
        <v>1.6923076656804743</v>
      </c>
      <c r="J468" s="1">
        <f t="shared" si="15"/>
        <v>0.94237288135593222</v>
      </c>
    </row>
    <row r="469" spans="1:10">
      <c r="A469" t="s">
        <v>358</v>
      </c>
      <c r="B469">
        <v>9</v>
      </c>
      <c r="C469" t="s">
        <v>376</v>
      </c>
      <c r="D469">
        <v>16</v>
      </c>
      <c r="E469">
        <v>4.3333335000000002</v>
      </c>
      <c r="F469">
        <v>7.3334336000000002</v>
      </c>
      <c r="G469">
        <v>283</v>
      </c>
      <c r="H469">
        <v>295</v>
      </c>
      <c r="I469" s="1">
        <f t="shared" si="14"/>
        <v>1.6923307656795858</v>
      </c>
      <c r="J469" s="1">
        <f t="shared" si="15"/>
        <v>0.95932203389830506</v>
      </c>
    </row>
    <row r="470" spans="1:10">
      <c r="A470" t="s">
        <v>358</v>
      </c>
      <c r="B470">
        <v>9</v>
      </c>
      <c r="C470" t="s">
        <v>378</v>
      </c>
      <c r="D470">
        <v>17</v>
      </c>
      <c r="E470">
        <v>4.3333335000000002</v>
      </c>
      <c r="F470">
        <v>7.3335340000000002</v>
      </c>
      <c r="G470">
        <v>293</v>
      </c>
      <c r="H470">
        <v>295</v>
      </c>
      <c r="I470" s="1">
        <f t="shared" si="14"/>
        <v>1.6923539349094641</v>
      </c>
      <c r="J470" s="1">
        <f t="shared" si="15"/>
        <v>0.99322033898305084</v>
      </c>
    </row>
    <row r="471" spans="1:10">
      <c r="A471" t="s">
        <v>358</v>
      </c>
      <c r="B471">
        <v>9</v>
      </c>
      <c r="C471" t="s">
        <v>369</v>
      </c>
      <c r="D471">
        <v>18</v>
      </c>
      <c r="E471">
        <v>4.3333335000000002</v>
      </c>
      <c r="F471">
        <v>7.6666664999999998</v>
      </c>
      <c r="G471">
        <v>295</v>
      </c>
      <c r="H471">
        <v>295</v>
      </c>
      <c r="I471" s="1">
        <f t="shared" si="14"/>
        <v>1.7692306627218974</v>
      </c>
      <c r="J471" s="1">
        <f t="shared" si="15"/>
        <v>1</v>
      </c>
    </row>
    <row r="472" spans="1:10">
      <c r="A472" t="s">
        <v>358</v>
      </c>
      <c r="B472">
        <v>10</v>
      </c>
      <c r="C472" t="s">
        <v>0</v>
      </c>
      <c r="D472">
        <v>1</v>
      </c>
      <c r="E472">
        <v>4</v>
      </c>
      <c r="F472">
        <v>8.6666670000000003</v>
      </c>
      <c r="G472">
        <v>248</v>
      </c>
      <c r="H472">
        <v>311</v>
      </c>
      <c r="I472" s="1">
        <f t="shared" si="14"/>
        <v>2.1666667500000001</v>
      </c>
      <c r="J472" s="1">
        <f t="shared" si="15"/>
        <v>0.797427652733119</v>
      </c>
    </row>
    <row r="473" spans="1:10">
      <c r="A473" t="s">
        <v>358</v>
      </c>
      <c r="B473">
        <v>10</v>
      </c>
      <c r="C473" t="s">
        <v>3</v>
      </c>
      <c r="D473">
        <v>2</v>
      </c>
      <c r="E473">
        <v>4</v>
      </c>
      <c r="F473">
        <v>9</v>
      </c>
      <c r="G473">
        <v>310</v>
      </c>
      <c r="H473">
        <v>311</v>
      </c>
      <c r="I473" s="1">
        <f t="shared" si="14"/>
        <v>2.25</v>
      </c>
      <c r="J473" s="1">
        <f t="shared" si="15"/>
        <v>0.99678456591639875</v>
      </c>
    </row>
    <row r="474" spans="1:10">
      <c r="A474" t="s">
        <v>358</v>
      </c>
      <c r="B474">
        <v>10</v>
      </c>
      <c r="C474" t="s">
        <v>1</v>
      </c>
      <c r="D474">
        <v>3</v>
      </c>
      <c r="E474">
        <v>4</v>
      </c>
      <c r="F474">
        <v>9.3333329999999997</v>
      </c>
      <c r="G474">
        <v>311</v>
      </c>
      <c r="H474">
        <v>311</v>
      </c>
      <c r="I474" s="1">
        <f t="shared" si="14"/>
        <v>2.3333332499999999</v>
      </c>
      <c r="J474" s="1">
        <f t="shared" si="15"/>
        <v>1</v>
      </c>
    </row>
    <row r="475" spans="1:10">
      <c r="A475" t="s">
        <v>358</v>
      </c>
      <c r="B475">
        <v>10</v>
      </c>
      <c r="C475" t="s">
        <v>2</v>
      </c>
      <c r="D475">
        <v>4</v>
      </c>
      <c r="E475">
        <v>4</v>
      </c>
      <c r="F475">
        <v>9.3334329999999994</v>
      </c>
      <c r="G475">
        <v>311</v>
      </c>
      <c r="H475">
        <v>311</v>
      </c>
      <c r="I475" s="1">
        <f t="shared" si="14"/>
        <v>2.3333582499999999</v>
      </c>
      <c r="J475" s="1">
        <f t="shared" si="15"/>
        <v>1</v>
      </c>
    </row>
    <row r="476" spans="1:10">
      <c r="A476" t="s">
        <v>358</v>
      </c>
      <c r="B476">
        <v>11</v>
      </c>
      <c r="C476" t="s">
        <v>379</v>
      </c>
      <c r="D476">
        <v>1</v>
      </c>
      <c r="E476">
        <v>10.333333</v>
      </c>
      <c r="F476">
        <v>6</v>
      </c>
      <c r="G476">
        <v>69</v>
      </c>
      <c r="H476">
        <v>3114</v>
      </c>
      <c r="I476" s="1">
        <f t="shared" si="14"/>
        <v>0.58064518002081222</v>
      </c>
      <c r="J476" s="1">
        <f t="shared" si="15"/>
        <v>2.2157996146435453E-2</v>
      </c>
    </row>
    <row r="477" spans="1:10">
      <c r="A477" t="s">
        <v>358</v>
      </c>
      <c r="B477">
        <v>11</v>
      </c>
      <c r="C477" t="s">
        <v>380</v>
      </c>
      <c r="D477">
        <v>2</v>
      </c>
      <c r="E477">
        <v>10.333333</v>
      </c>
      <c r="F477">
        <v>10.666667</v>
      </c>
      <c r="G477">
        <v>770</v>
      </c>
      <c r="H477">
        <v>3114</v>
      </c>
      <c r="I477" s="1">
        <f t="shared" si="14"/>
        <v>1.0322581300728431</v>
      </c>
      <c r="J477" s="1">
        <f t="shared" si="15"/>
        <v>0.24727039177906229</v>
      </c>
    </row>
    <row r="478" spans="1:10">
      <c r="A478" t="s">
        <v>358</v>
      </c>
      <c r="B478">
        <v>11</v>
      </c>
      <c r="C478" t="s">
        <v>381</v>
      </c>
      <c r="D478">
        <v>3</v>
      </c>
      <c r="E478">
        <v>10.333333</v>
      </c>
      <c r="F478">
        <v>11</v>
      </c>
      <c r="G478">
        <v>939</v>
      </c>
      <c r="H478">
        <v>3114</v>
      </c>
      <c r="I478" s="1">
        <f t="shared" si="14"/>
        <v>1.0645161633714892</v>
      </c>
      <c r="J478" s="1">
        <f t="shared" si="15"/>
        <v>0.30154142581888249</v>
      </c>
    </row>
    <row r="479" spans="1:10">
      <c r="A479" t="s">
        <v>358</v>
      </c>
      <c r="B479">
        <v>11</v>
      </c>
      <c r="C479" t="s">
        <v>382</v>
      </c>
      <c r="D479">
        <v>4</v>
      </c>
      <c r="E479">
        <v>10.333333</v>
      </c>
      <c r="F479">
        <v>11.333333</v>
      </c>
      <c r="G479">
        <v>967</v>
      </c>
      <c r="H479">
        <v>3114</v>
      </c>
      <c r="I479" s="1">
        <f t="shared" si="14"/>
        <v>1.0967741966701354</v>
      </c>
      <c r="J479" s="1">
        <f t="shared" si="15"/>
        <v>0.31053307642903016</v>
      </c>
    </row>
    <row r="480" spans="1:10">
      <c r="A480" t="s">
        <v>358</v>
      </c>
      <c r="B480">
        <v>11</v>
      </c>
      <c r="C480" t="s">
        <v>390</v>
      </c>
      <c r="D480">
        <v>5</v>
      </c>
      <c r="E480">
        <v>10.333333</v>
      </c>
      <c r="F480">
        <v>11.333432999999999</v>
      </c>
      <c r="G480">
        <v>1163</v>
      </c>
      <c r="H480">
        <v>3114</v>
      </c>
      <c r="I480" s="1">
        <f t="shared" si="14"/>
        <v>1.0967838740898024</v>
      </c>
      <c r="J480" s="1">
        <f t="shared" si="15"/>
        <v>0.3734746307000642</v>
      </c>
    </row>
    <row r="481" spans="1:10">
      <c r="A481" t="s">
        <v>358</v>
      </c>
      <c r="B481">
        <v>11</v>
      </c>
      <c r="C481" t="s">
        <v>383</v>
      </c>
      <c r="D481">
        <v>6</v>
      </c>
      <c r="E481">
        <v>10.333333</v>
      </c>
      <c r="F481">
        <v>11.666667</v>
      </c>
      <c r="G481">
        <v>1165</v>
      </c>
      <c r="H481">
        <v>3114</v>
      </c>
      <c r="I481" s="1">
        <f t="shared" si="14"/>
        <v>1.1290323267429783</v>
      </c>
      <c r="J481" s="1">
        <f t="shared" si="15"/>
        <v>0.37411689145793192</v>
      </c>
    </row>
    <row r="482" spans="1:10">
      <c r="A482" t="s">
        <v>358</v>
      </c>
      <c r="B482">
        <v>11</v>
      </c>
      <c r="C482" t="s">
        <v>394</v>
      </c>
      <c r="D482">
        <v>7</v>
      </c>
      <c r="E482">
        <v>10.333333</v>
      </c>
      <c r="F482">
        <v>11.666767</v>
      </c>
      <c r="G482">
        <v>1400</v>
      </c>
      <c r="H482">
        <v>3114</v>
      </c>
      <c r="I482" s="1">
        <f t="shared" si="14"/>
        <v>1.1290420041626454</v>
      </c>
      <c r="J482" s="1">
        <f t="shared" si="15"/>
        <v>0.449582530507386</v>
      </c>
    </row>
    <row r="483" spans="1:10">
      <c r="A483" t="s">
        <v>358</v>
      </c>
      <c r="B483">
        <v>11</v>
      </c>
      <c r="C483" t="s">
        <v>389</v>
      </c>
      <c r="D483">
        <v>8</v>
      </c>
      <c r="E483">
        <v>10.333333</v>
      </c>
      <c r="F483">
        <v>12</v>
      </c>
      <c r="G483">
        <v>1425</v>
      </c>
      <c r="H483">
        <v>3114</v>
      </c>
      <c r="I483" s="1">
        <f t="shared" si="14"/>
        <v>1.1612903600416244</v>
      </c>
      <c r="J483" s="1">
        <f t="shared" si="15"/>
        <v>0.45761078998073218</v>
      </c>
    </row>
    <row r="484" spans="1:10">
      <c r="A484" t="s">
        <v>358</v>
      </c>
      <c r="B484">
        <v>11</v>
      </c>
      <c r="C484" t="s">
        <v>384</v>
      </c>
      <c r="D484">
        <v>9</v>
      </c>
      <c r="E484">
        <v>10.333333</v>
      </c>
      <c r="F484">
        <v>12.333333</v>
      </c>
      <c r="G484">
        <v>1445</v>
      </c>
      <c r="H484">
        <v>3114</v>
      </c>
      <c r="I484" s="1">
        <f t="shared" si="14"/>
        <v>1.1935483933402709</v>
      </c>
      <c r="J484" s="1">
        <f t="shared" si="15"/>
        <v>0.46403339755940914</v>
      </c>
    </row>
    <row r="485" spans="1:10">
      <c r="A485" t="s">
        <v>358</v>
      </c>
      <c r="B485">
        <v>11</v>
      </c>
      <c r="C485" t="s">
        <v>386</v>
      </c>
      <c r="D485">
        <v>10</v>
      </c>
      <c r="E485">
        <v>10.333333</v>
      </c>
      <c r="F485">
        <v>12.333432999999999</v>
      </c>
      <c r="G485">
        <v>1855</v>
      </c>
      <c r="H485">
        <v>3114</v>
      </c>
      <c r="I485" s="1">
        <f t="shared" si="14"/>
        <v>1.1935580707599378</v>
      </c>
      <c r="J485" s="1">
        <f t="shared" si="15"/>
        <v>0.59569685292228647</v>
      </c>
    </row>
    <row r="486" spans="1:10">
      <c r="A486" t="s">
        <v>358</v>
      </c>
      <c r="B486">
        <v>11</v>
      </c>
      <c r="C486" t="s">
        <v>388</v>
      </c>
      <c r="D486">
        <v>11</v>
      </c>
      <c r="E486">
        <v>10.333333</v>
      </c>
      <c r="F486">
        <v>12.333532999999999</v>
      </c>
      <c r="G486">
        <v>1915</v>
      </c>
      <c r="H486">
        <v>3114</v>
      </c>
      <c r="I486" s="1">
        <f t="shared" si="14"/>
        <v>1.1935677481796048</v>
      </c>
      <c r="J486" s="1">
        <f t="shared" si="15"/>
        <v>0.61496467565831725</v>
      </c>
    </row>
    <row r="487" spans="1:10">
      <c r="A487" t="s">
        <v>358</v>
      </c>
      <c r="B487">
        <v>11</v>
      </c>
      <c r="C487" t="s">
        <v>387</v>
      </c>
      <c r="D487">
        <v>12</v>
      </c>
      <c r="E487">
        <v>10.333333</v>
      </c>
      <c r="F487">
        <v>12.333633000000001</v>
      </c>
      <c r="G487">
        <v>1939</v>
      </c>
      <c r="H487">
        <v>3114</v>
      </c>
      <c r="I487" s="1">
        <f t="shared" si="14"/>
        <v>1.1935774255992719</v>
      </c>
      <c r="J487" s="1">
        <f t="shared" si="15"/>
        <v>0.62267180475272965</v>
      </c>
    </row>
    <row r="488" spans="1:10">
      <c r="A488" t="s">
        <v>358</v>
      </c>
      <c r="B488">
        <v>11</v>
      </c>
      <c r="C488" t="s">
        <v>391</v>
      </c>
      <c r="D488">
        <v>13</v>
      </c>
      <c r="E488">
        <v>10.333333</v>
      </c>
      <c r="F488">
        <v>12.666667</v>
      </c>
      <c r="G488">
        <v>1999</v>
      </c>
      <c r="H488">
        <v>3114</v>
      </c>
      <c r="I488" s="1">
        <f t="shared" si="14"/>
        <v>1.2258065234131137</v>
      </c>
      <c r="J488" s="1">
        <f t="shared" si="15"/>
        <v>0.64193962748876043</v>
      </c>
    </row>
    <row r="489" spans="1:10">
      <c r="A489" t="s">
        <v>358</v>
      </c>
      <c r="B489">
        <v>11</v>
      </c>
      <c r="C489" t="s">
        <v>396</v>
      </c>
      <c r="D489">
        <v>14</v>
      </c>
      <c r="E489">
        <v>10.333333</v>
      </c>
      <c r="F489">
        <v>12.666767</v>
      </c>
      <c r="G489">
        <v>2322</v>
      </c>
      <c r="H489">
        <v>3114</v>
      </c>
      <c r="I489" s="1">
        <f t="shared" si="14"/>
        <v>1.2258162008327806</v>
      </c>
      <c r="J489" s="1">
        <f t="shared" si="15"/>
        <v>0.74566473988439308</v>
      </c>
    </row>
    <row r="490" spans="1:10">
      <c r="A490" t="s">
        <v>358</v>
      </c>
      <c r="B490">
        <v>11</v>
      </c>
      <c r="C490" t="s">
        <v>392</v>
      </c>
      <c r="D490">
        <v>15</v>
      </c>
      <c r="E490">
        <v>10.333333</v>
      </c>
      <c r="F490">
        <v>13</v>
      </c>
      <c r="G490">
        <v>2842</v>
      </c>
      <c r="H490">
        <v>3114</v>
      </c>
      <c r="I490" s="1">
        <f t="shared" si="14"/>
        <v>1.2580645567117599</v>
      </c>
      <c r="J490" s="1">
        <f t="shared" si="15"/>
        <v>0.9126525369299936</v>
      </c>
    </row>
    <row r="491" spans="1:10">
      <c r="A491" t="s">
        <v>358</v>
      </c>
      <c r="B491">
        <v>11</v>
      </c>
      <c r="C491" t="s">
        <v>385</v>
      </c>
      <c r="D491">
        <v>16</v>
      </c>
      <c r="E491">
        <v>10.333333</v>
      </c>
      <c r="F491">
        <v>13.333333</v>
      </c>
      <c r="G491">
        <v>2914</v>
      </c>
      <c r="H491">
        <v>3114</v>
      </c>
      <c r="I491" s="1">
        <f t="shared" si="14"/>
        <v>1.2903225900104061</v>
      </c>
      <c r="J491" s="1">
        <f t="shared" si="15"/>
        <v>0.93577392421323058</v>
      </c>
    </row>
    <row r="492" spans="1:10">
      <c r="A492" t="s">
        <v>358</v>
      </c>
      <c r="B492">
        <v>11</v>
      </c>
      <c r="C492" t="s">
        <v>393</v>
      </c>
      <c r="D492">
        <v>17</v>
      </c>
      <c r="E492">
        <v>10.333333</v>
      </c>
      <c r="F492">
        <v>13.333432999999999</v>
      </c>
      <c r="G492">
        <v>2944</v>
      </c>
      <c r="H492">
        <v>3114</v>
      </c>
      <c r="I492" s="1">
        <f t="shared" si="14"/>
        <v>1.2903322674300732</v>
      </c>
      <c r="J492" s="1">
        <f t="shared" si="15"/>
        <v>0.94540783558124597</v>
      </c>
    </row>
    <row r="493" spans="1:10">
      <c r="A493" t="s">
        <v>358</v>
      </c>
      <c r="B493">
        <v>11</v>
      </c>
      <c r="C493" t="s">
        <v>397</v>
      </c>
      <c r="D493">
        <v>18</v>
      </c>
      <c r="E493">
        <v>10.333333</v>
      </c>
      <c r="F493">
        <v>13.666667</v>
      </c>
      <c r="G493">
        <v>2994</v>
      </c>
      <c r="H493">
        <v>3114</v>
      </c>
      <c r="I493" s="1">
        <f t="shared" si="14"/>
        <v>1.3225807200832491</v>
      </c>
      <c r="J493" s="1">
        <f t="shared" si="15"/>
        <v>0.96146435452793833</v>
      </c>
    </row>
    <row r="494" spans="1:10">
      <c r="A494" t="s">
        <v>358</v>
      </c>
      <c r="B494">
        <v>11</v>
      </c>
      <c r="C494" t="s">
        <v>395</v>
      </c>
      <c r="D494">
        <v>19</v>
      </c>
      <c r="E494">
        <v>10.333333</v>
      </c>
      <c r="F494">
        <v>14.666667</v>
      </c>
      <c r="G494">
        <v>3114</v>
      </c>
      <c r="H494">
        <v>3114</v>
      </c>
      <c r="I494" s="1">
        <f t="shared" si="14"/>
        <v>1.4193549167533845</v>
      </c>
      <c r="J494" s="1">
        <f t="shared" si="15"/>
        <v>1</v>
      </c>
    </row>
    <row r="495" spans="1:10">
      <c r="A495" t="s">
        <v>358</v>
      </c>
      <c r="B495">
        <v>12</v>
      </c>
      <c r="C495" t="s">
        <v>398</v>
      </c>
      <c r="D495">
        <v>1</v>
      </c>
      <c r="E495">
        <v>6.6666664999999998</v>
      </c>
      <c r="F495">
        <v>5.6666664999999998</v>
      </c>
      <c r="G495">
        <v>69</v>
      </c>
      <c r="H495">
        <v>1455</v>
      </c>
      <c r="I495" s="1">
        <f t="shared" si="14"/>
        <v>0.84999999624999989</v>
      </c>
      <c r="J495" s="1">
        <f t="shared" si="15"/>
        <v>4.7422680412371132E-2</v>
      </c>
    </row>
    <row r="496" spans="1:10">
      <c r="A496" t="s">
        <v>358</v>
      </c>
      <c r="B496">
        <v>12</v>
      </c>
      <c r="C496" t="s">
        <v>399</v>
      </c>
      <c r="D496">
        <v>2</v>
      </c>
      <c r="E496">
        <v>6.6666664999999998</v>
      </c>
      <c r="F496">
        <v>9</v>
      </c>
      <c r="G496">
        <v>465</v>
      </c>
      <c r="H496">
        <v>1455</v>
      </c>
      <c r="I496" s="1">
        <f t="shared" si="14"/>
        <v>1.3500000337500009</v>
      </c>
      <c r="J496" s="1">
        <f t="shared" si="15"/>
        <v>0.31958762886597936</v>
      </c>
    </row>
    <row r="497" spans="1:10">
      <c r="A497" t="s">
        <v>358</v>
      </c>
      <c r="B497">
        <v>12</v>
      </c>
      <c r="C497" t="s">
        <v>400</v>
      </c>
      <c r="D497">
        <v>3</v>
      </c>
      <c r="E497">
        <v>6.6666664999999998</v>
      </c>
      <c r="F497">
        <v>9.3333329999999997</v>
      </c>
      <c r="G497">
        <v>791</v>
      </c>
      <c r="H497">
        <v>1455</v>
      </c>
      <c r="I497" s="1">
        <f t="shared" si="14"/>
        <v>1.3999999849999996</v>
      </c>
      <c r="J497" s="1">
        <f t="shared" si="15"/>
        <v>0.54364261168384875</v>
      </c>
    </row>
    <row r="498" spans="1:10">
      <c r="A498" t="s">
        <v>358</v>
      </c>
      <c r="B498">
        <v>12</v>
      </c>
      <c r="C498" t="s">
        <v>401</v>
      </c>
      <c r="D498">
        <v>4</v>
      </c>
      <c r="E498">
        <v>6.6666664999999998</v>
      </c>
      <c r="F498">
        <v>10</v>
      </c>
      <c r="G498">
        <v>981</v>
      </c>
      <c r="H498">
        <v>1455</v>
      </c>
      <c r="I498" s="1">
        <f t="shared" si="14"/>
        <v>1.5000000375000009</v>
      </c>
      <c r="J498" s="1">
        <f t="shared" si="15"/>
        <v>0.67422680412371139</v>
      </c>
    </row>
    <row r="499" spans="1:10">
      <c r="A499" t="s">
        <v>358</v>
      </c>
      <c r="B499">
        <v>12</v>
      </c>
      <c r="C499" t="s">
        <v>402</v>
      </c>
      <c r="D499">
        <v>5</v>
      </c>
      <c r="E499">
        <v>6.6666664999999998</v>
      </c>
      <c r="F499">
        <v>10.0001</v>
      </c>
      <c r="G499">
        <v>1056</v>
      </c>
      <c r="H499">
        <v>1455</v>
      </c>
      <c r="I499" s="1">
        <f t="shared" si="14"/>
        <v>1.500015037500376</v>
      </c>
      <c r="J499" s="1">
        <f t="shared" si="15"/>
        <v>0.72577319587628863</v>
      </c>
    </row>
    <row r="500" spans="1:10">
      <c r="A500" t="s">
        <v>358</v>
      </c>
      <c r="B500">
        <v>12</v>
      </c>
      <c r="C500" t="s">
        <v>375</v>
      </c>
      <c r="D500">
        <v>6</v>
      </c>
      <c r="E500">
        <v>6.6666664999999998</v>
      </c>
      <c r="F500">
        <v>10.666667</v>
      </c>
      <c r="G500">
        <v>1138</v>
      </c>
      <c r="H500">
        <v>1455</v>
      </c>
      <c r="I500" s="1">
        <f t="shared" si="14"/>
        <v>1.6000000900000024</v>
      </c>
      <c r="J500" s="1">
        <f t="shared" si="15"/>
        <v>0.78213058419243986</v>
      </c>
    </row>
    <row r="501" spans="1:10">
      <c r="A501" t="s">
        <v>358</v>
      </c>
      <c r="B501">
        <v>12</v>
      </c>
      <c r="C501" t="s">
        <v>17</v>
      </c>
      <c r="D501">
        <v>7</v>
      </c>
      <c r="E501">
        <v>6.6666664999999998</v>
      </c>
      <c r="F501">
        <v>10.666767</v>
      </c>
      <c r="G501">
        <v>1355</v>
      </c>
      <c r="H501">
        <v>1455</v>
      </c>
      <c r="I501" s="1">
        <f t="shared" si="14"/>
        <v>1.6000150900003773</v>
      </c>
      <c r="J501" s="1">
        <f t="shared" si="15"/>
        <v>0.93127147766323026</v>
      </c>
    </row>
    <row r="502" spans="1:10">
      <c r="A502" t="s">
        <v>358</v>
      </c>
      <c r="B502">
        <v>12</v>
      </c>
      <c r="C502" t="s">
        <v>403</v>
      </c>
      <c r="D502">
        <v>8</v>
      </c>
      <c r="E502">
        <v>6.6666664999999998</v>
      </c>
      <c r="F502">
        <v>11</v>
      </c>
      <c r="G502">
        <v>1385</v>
      </c>
      <c r="H502">
        <v>1455</v>
      </c>
      <c r="I502" s="1">
        <f t="shared" si="14"/>
        <v>1.6500000412500011</v>
      </c>
      <c r="J502" s="1">
        <f t="shared" si="15"/>
        <v>0.95189003436426112</v>
      </c>
    </row>
    <row r="503" spans="1:10">
      <c r="A503" t="s">
        <v>358</v>
      </c>
      <c r="B503">
        <v>12</v>
      </c>
      <c r="C503" t="s">
        <v>404</v>
      </c>
      <c r="D503">
        <v>9</v>
      </c>
      <c r="E503">
        <v>6.6666664999999998</v>
      </c>
      <c r="F503">
        <v>11.0001</v>
      </c>
      <c r="G503">
        <v>1455</v>
      </c>
      <c r="H503">
        <v>1455</v>
      </c>
      <c r="I503" s="1">
        <f t="shared" si="14"/>
        <v>1.650015041250376</v>
      </c>
      <c r="J503" s="1">
        <f t="shared" si="15"/>
        <v>1</v>
      </c>
    </row>
    <row r="504" spans="1:10">
      <c r="A504" t="s">
        <v>358</v>
      </c>
      <c r="B504">
        <v>13</v>
      </c>
      <c r="C504" t="s">
        <v>19</v>
      </c>
      <c r="D504">
        <v>1</v>
      </c>
      <c r="E504">
        <v>2.3333333000000001</v>
      </c>
      <c r="F504">
        <v>3</v>
      </c>
      <c r="G504">
        <v>18</v>
      </c>
      <c r="H504">
        <v>56</v>
      </c>
      <c r="I504" s="1">
        <f t="shared" si="14"/>
        <v>1.2857143040816328</v>
      </c>
      <c r="J504" s="1">
        <f t="shared" si="15"/>
        <v>0.32142857142857145</v>
      </c>
    </row>
    <row r="505" spans="1:10">
      <c r="A505" t="s">
        <v>358</v>
      </c>
      <c r="B505">
        <v>13</v>
      </c>
      <c r="C505" t="s">
        <v>33</v>
      </c>
      <c r="D505">
        <v>2</v>
      </c>
      <c r="E505">
        <v>2.3333333000000001</v>
      </c>
      <c r="F505">
        <v>4</v>
      </c>
      <c r="G505">
        <v>56</v>
      </c>
      <c r="H505">
        <v>56</v>
      </c>
      <c r="I505" s="1">
        <f t="shared" si="14"/>
        <v>1.7142857387755106</v>
      </c>
      <c r="J505" s="1">
        <f t="shared" si="15"/>
        <v>1</v>
      </c>
    </row>
    <row r="506" spans="1:10">
      <c r="A506" t="s">
        <v>405</v>
      </c>
      <c r="B506">
        <v>2</v>
      </c>
      <c r="C506" t="s">
        <v>406</v>
      </c>
      <c r="D506">
        <v>1</v>
      </c>
      <c r="E506">
        <v>7.6666664999999998</v>
      </c>
      <c r="F506">
        <v>10</v>
      </c>
      <c r="G506">
        <v>412</v>
      </c>
      <c r="H506">
        <v>1296</v>
      </c>
      <c r="I506" s="1">
        <f t="shared" si="14"/>
        <v>1.3043478544423448</v>
      </c>
      <c r="J506" s="1">
        <f t="shared" si="15"/>
        <v>0.31790123456790126</v>
      </c>
    </row>
    <row r="507" spans="1:10">
      <c r="A507" t="s">
        <v>405</v>
      </c>
      <c r="B507">
        <v>2</v>
      </c>
      <c r="C507" t="s">
        <v>36</v>
      </c>
      <c r="D507">
        <v>2</v>
      </c>
      <c r="E507">
        <v>7.6666664999999998</v>
      </c>
      <c r="F507">
        <v>12</v>
      </c>
      <c r="G507">
        <v>889</v>
      </c>
      <c r="H507">
        <v>1296</v>
      </c>
      <c r="I507" s="1">
        <f t="shared" si="14"/>
        <v>1.5652174253308135</v>
      </c>
      <c r="J507" s="1">
        <f t="shared" si="15"/>
        <v>0.68595679012345678</v>
      </c>
    </row>
    <row r="508" spans="1:10">
      <c r="A508" t="s">
        <v>405</v>
      </c>
      <c r="B508">
        <v>2</v>
      </c>
      <c r="C508" t="s">
        <v>407</v>
      </c>
      <c r="D508">
        <v>3</v>
      </c>
      <c r="E508">
        <v>7.6666664999999998</v>
      </c>
      <c r="F508">
        <v>12.333333</v>
      </c>
      <c r="G508">
        <v>1296</v>
      </c>
      <c r="H508">
        <v>1296</v>
      </c>
      <c r="I508" s="1">
        <f t="shared" si="14"/>
        <v>1.6086956436672966</v>
      </c>
      <c r="J508" s="1">
        <f t="shared" si="15"/>
        <v>1</v>
      </c>
    </row>
    <row r="509" spans="1:10">
      <c r="A509" t="s">
        <v>405</v>
      </c>
      <c r="B509">
        <v>6</v>
      </c>
      <c r="C509" t="s">
        <v>408</v>
      </c>
      <c r="D509">
        <v>1</v>
      </c>
      <c r="E509">
        <v>5</v>
      </c>
      <c r="F509">
        <v>9.6666670000000003</v>
      </c>
      <c r="G509">
        <v>359</v>
      </c>
      <c r="H509">
        <v>497</v>
      </c>
      <c r="I509" s="1">
        <f t="shared" si="14"/>
        <v>1.9333334</v>
      </c>
      <c r="J509" s="1">
        <f t="shared" si="15"/>
        <v>0.72233400402414483</v>
      </c>
    </row>
    <row r="510" spans="1:10">
      <c r="A510" t="s">
        <v>405</v>
      </c>
      <c r="B510">
        <v>6</v>
      </c>
      <c r="C510" t="s">
        <v>250</v>
      </c>
      <c r="D510">
        <v>2</v>
      </c>
      <c r="E510">
        <v>5</v>
      </c>
      <c r="F510">
        <v>10</v>
      </c>
      <c r="G510">
        <v>485</v>
      </c>
      <c r="H510">
        <v>497</v>
      </c>
      <c r="I510" s="1">
        <f t="shared" si="14"/>
        <v>2</v>
      </c>
      <c r="J510" s="1">
        <f t="shared" si="15"/>
        <v>0.9758551307847082</v>
      </c>
    </row>
    <row r="511" spans="1:10">
      <c r="A511" t="s">
        <v>405</v>
      </c>
      <c r="B511">
        <v>6</v>
      </c>
      <c r="C511" t="s">
        <v>409</v>
      </c>
      <c r="D511">
        <v>3</v>
      </c>
      <c r="E511">
        <v>5</v>
      </c>
      <c r="F511">
        <v>10.0001</v>
      </c>
      <c r="G511">
        <v>497</v>
      </c>
      <c r="H511">
        <v>497</v>
      </c>
      <c r="I511" s="1">
        <f t="shared" si="14"/>
        <v>2.0000200000000001</v>
      </c>
      <c r="J511" s="1">
        <f t="shared" si="15"/>
        <v>1</v>
      </c>
    </row>
    <row r="512" spans="1:10">
      <c r="A512" t="s">
        <v>405</v>
      </c>
      <c r="B512">
        <v>6</v>
      </c>
      <c r="C512" t="s">
        <v>410</v>
      </c>
      <c r="D512">
        <v>4</v>
      </c>
      <c r="E512">
        <v>5</v>
      </c>
      <c r="F512">
        <v>10.666667</v>
      </c>
      <c r="G512">
        <v>497</v>
      </c>
      <c r="H512">
        <v>497</v>
      </c>
      <c r="I512" s="1">
        <f t="shared" si="14"/>
        <v>2.1333334000000002</v>
      </c>
      <c r="J512" s="1">
        <f t="shared" si="15"/>
        <v>1</v>
      </c>
    </row>
    <row r="513" spans="1:10">
      <c r="A513" t="s">
        <v>405</v>
      </c>
      <c r="B513">
        <v>6</v>
      </c>
      <c r="C513" t="s">
        <v>411</v>
      </c>
      <c r="D513">
        <v>5</v>
      </c>
      <c r="E513">
        <v>5</v>
      </c>
      <c r="F513">
        <v>10.666767</v>
      </c>
      <c r="G513">
        <v>497</v>
      </c>
      <c r="H513">
        <v>497</v>
      </c>
      <c r="I513" s="1">
        <f t="shared" ref="I513:I516" si="16">F513/E513</f>
        <v>2.1333533999999998</v>
      </c>
      <c r="J513" s="1">
        <f t="shared" ref="J513:J516" si="17">G513/H513</f>
        <v>1</v>
      </c>
    </row>
    <row r="514" spans="1:10">
      <c r="A514" t="s">
        <v>405</v>
      </c>
      <c r="B514">
        <v>6</v>
      </c>
      <c r="C514" t="s">
        <v>37</v>
      </c>
      <c r="D514">
        <v>6</v>
      </c>
      <c r="E514">
        <v>5</v>
      </c>
      <c r="F514">
        <v>11</v>
      </c>
      <c r="G514">
        <v>497</v>
      </c>
      <c r="H514">
        <v>497</v>
      </c>
      <c r="I514" s="1">
        <f t="shared" si="16"/>
        <v>2.2000000000000002</v>
      </c>
      <c r="J514" s="1">
        <f t="shared" si="17"/>
        <v>1</v>
      </c>
    </row>
    <row r="515" spans="1:10">
      <c r="A515" t="s">
        <v>405</v>
      </c>
      <c r="B515">
        <v>8</v>
      </c>
      <c r="C515" t="s">
        <v>33</v>
      </c>
      <c r="D515">
        <v>1</v>
      </c>
      <c r="E515">
        <v>5</v>
      </c>
      <c r="F515">
        <v>11.666667</v>
      </c>
      <c r="G515">
        <v>489</v>
      </c>
      <c r="H515">
        <v>529</v>
      </c>
      <c r="I515" s="1">
        <f t="shared" si="16"/>
        <v>2.3333333999999999</v>
      </c>
      <c r="J515" s="1">
        <f t="shared" si="17"/>
        <v>0.92438563327032142</v>
      </c>
    </row>
    <row r="516" spans="1:10">
      <c r="A516" t="s">
        <v>405</v>
      </c>
      <c r="B516">
        <v>8</v>
      </c>
      <c r="C516" t="s">
        <v>19</v>
      </c>
      <c r="D516">
        <v>2</v>
      </c>
      <c r="E516">
        <v>5</v>
      </c>
      <c r="F516">
        <v>12.333333</v>
      </c>
      <c r="G516">
        <v>529</v>
      </c>
      <c r="H516">
        <v>529</v>
      </c>
      <c r="I516" s="1">
        <f t="shared" si="16"/>
        <v>2.4666665999999999</v>
      </c>
      <c r="J516" s="1">
        <f t="shared" si="17"/>
        <v>1</v>
      </c>
    </row>
    <row r="517" spans="1:10">
      <c r="E517">
        <f>AVERAGE(E2:E516)</f>
        <v>60.674432585436797</v>
      </c>
      <c r="F517">
        <f>AVERAGE(F2:F516)</f>
        <v>35.745033982135936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16"/>
  <sheetViews>
    <sheetView workbookViewId="0">
      <selection activeCell="P1" sqref="P1:V8"/>
    </sheetView>
  </sheetViews>
  <sheetFormatPr baseColWidth="10" defaultRowHeight="15" x14ac:dyDescent="0"/>
  <cols>
    <col min="1" max="1" width="20" customWidth="1"/>
    <col min="3" max="3" width="17.5" customWidth="1"/>
  </cols>
  <sheetData>
    <row r="1" spans="1:81">
      <c r="A1" t="s">
        <v>412</v>
      </c>
      <c r="B1" t="s">
        <v>413</v>
      </c>
      <c r="C1" t="s">
        <v>423</v>
      </c>
      <c r="D1" t="s">
        <v>415</v>
      </c>
      <c r="E1" t="s">
        <v>420</v>
      </c>
      <c r="F1" s="1" t="s">
        <v>421</v>
      </c>
      <c r="G1" s="1" t="s">
        <v>424</v>
      </c>
      <c r="H1" t="s">
        <v>425</v>
      </c>
      <c r="I1" t="s">
        <v>426</v>
      </c>
      <c r="J1" t="s">
        <v>427</v>
      </c>
      <c r="K1" s="2" t="s">
        <v>428</v>
      </c>
      <c r="L1" s="2" t="s">
        <v>429</v>
      </c>
      <c r="M1" s="2"/>
      <c r="N1" s="2"/>
      <c r="O1" s="2"/>
      <c r="P1" s="2"/>
      <c r="Q1" s="2" t="s">
        <v>430</v>
      </c>
      <c r="R1" s="2"/>
      <c r="S1" s="2"/>
      <c r="T1" s="2"/>
      <c r="U1" s="2"/>
      <c r="W1" t="s">
        <v>431</v>
      </c>
      <c r="X1" t="s">
        <v>423</v>
      </c>
      <c r="Y1" t="s">
        <v>423</v>
      </c>
      <c r="Z1" t="s">
        <v>423</v>
      </c>
      <c r="AA1" t="s">
        <v>423</v>
      </c>
      <c r="AB1" t="s">
        <v>423</v>
      </c>
      <c r="AC1" t="s">
        <v>423</v>
      </c>
      <c r="AD1" t="s">
        <v>423</v>
      </c>
      <c r="AE1" t="s">
        <v>423</v>
      </c>
      <c r="AF1" t="s">
        <v>423</v>
      </c>
      <c r="AG1" t="s">
        <v>423</v>
      </c>
      <c r="AH1" t="s">
        <v>423</v>
      </c>
      <c r="AI1" t="s">
        <v>423</v>
      </c>
      <c r="AJ1" t="s">
        <v>423</v>
      </c>
      <c r="AK1" t="s">
        <v>423</v>
      </c>
      <c r="AL1" t="s">
        <v>423</v>
      </c>
      <c r="AM1" t="s">
        <v>423</v>
      </c>
      <c r="AN1" t="s">
        <v>423</v>
      </c>
      <c r="AO1" t="s">
        <v>423</v>
      </c>
      <c r="AP1" t="s">
        <v>423</v>
      </c>
      <c r="AQ1" t="s">
        <v>423</v>
      </c>
      <c r="AR1" t="s">
        <v>423</v>
      </c>
      <c r="AS1" t="s">
        <v>423</v>
      </c>
      <c r="AT1" t="s">
        <v>423</v>
      </c>
      <c r="AU1" t="s">
        <v>423</v>
      </c>
      <c r="AV1" t="s">
        <v>423</v>
      </c>
      <c r="AW1" t="s">
        <v>423</v>
      </c>
      <c r="AX1" t="s">
        <v>423</v>
      </c>
      <c r="AY1" t="s">
        <v>423</v>
      </c>
      <c r="AZ1" t="s">
        <v>423</v>
      </c>
      <c r="BA1" t="s">
        <v>423</v>
      </c>
      <c r="BB1" t="s">
        <v>423</v>
      </c>
      <c r="BC1" t="s">
        <v>423</v>
      </c>
      <c r="BD1" t="s">
        <v>423</v>
      </c>
      <c r="BE1" t="s">
        <v>423</v>
      </c>
      <c r="BF1" t="s">
        <v>423</v>
      </c>
      <c r="BG1" t="s">
        <v>423</v>
      </c>
      <c r="BH1" t="s">
        <v>423</v>
      </c>
      <c r="BI1" t="s">
        <v>423</v>
      </c>
      <c r="BJ1" t="s">
        <v>423</v>
      </c>
      <c r="BK1" t="s">
        <v>423</v>
      </c>
      <c r="BL1" t="s">
        <v>423</v>
      </c>
      <c r="BM1" t="s">
        <v>423</v>
      </c>
      <c r="BN1" t="s">
        <v>423</v>
      </c>
      <c r="BO1" t="s">
        <v>423</v>
      </c>
      <c r="BP1" t="s">
        <v>423</v>
      </c>
      <c r="BQ1" t="s">
        <v>423</v>
      </c>
      <c r="BR1" t="s">
        <v>423</v>
      </c>
      <c r="BS1" t="s">
        <v>423</v>
      </c>
      <c r="BT1" t="s">
        <v>423</v>
      </c>
      <c r="BU1" t="s">
        <v>423</v>
      </c>
      <c r="BV1" t="s">
        <v>423</v>
      </c>
      <c r="BW1" t="s">
        <v>423</v>
      </c>
      <c r="BX1" t="s">
        <v>423</v>
      </c>
      <c r="BY1" t="s">
        <v>423</v>
      </c>
      <c r="BZ1" t="s">
        <v>423</v>
      </c>
      <c r="CA1" t="s">
        <v>423</v>
      </c>
      <c r="CB1" t="s">
        <v>423</v>
      </c>
      <c r="CC1" t="s">
        <v>423</v>
      </c>
    </row>
    <row r="2" spans="1:81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0.97140587768069897</v>
      </c>
      <c r="F2">
        <v>1.9333333333333333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 t="str">
        <f>IF(AND($F2 &gt; 0.8, $F2 &lt;=1.1),$E2,"")</f>
        <v/>
      </c>
      <c r="L2" s="1">
        <f>IF(AND($F2 &gt; 1.1),$E2,"")</f>
        <v>0.97140587768069897</v>
      </c>
      <c r="M2" s="1"/>
      <c r="N2" s="1" t="s">
        <v>432</v>
      </c>
      <c r="O2" s="1" t="s">
        <v>433</v>
      </c>
      <c r="P2" s="1" t="s">
        <v>434</v>
      </c>
      <c r="Q2" s="1">
        <v>0</v>
      </c>
      <c r="R2" s="1" t="s">
        <v>435</v>
      </c>
      <c r="S2" s="1" t="s">
        <v>436</v>
      </c>
      <c r="T2" s="1" t="s">
        <v>437</v>
      </c>
      <c r="U2" s="1" t="s">
        <v>438</v>
      </c>
      <c r="V2" t="s">
        <v>439</v>
      </c>
      <c r="W2">
        <f>COUNTA(X2:CC2)</f>
        <v>58</v>
      </c>
      <c r="X2" t="s">
        <v>440</v>
      </c>
      <c r="Y2" t="s">
        <v>441</v>
      </c>
      <c r="Z2" t="s">
        <v>442</v>
      </c>
      <c r="AA2" t="s">
        <v>443</v>
      </c>
      <c r="AB2" t="s">
        <v>444</v>
      </c>
      <c r="AC2" t="s">
        <v>445</v>
      </c>
      <c r="AD2" t="s">
        <v>446</v>
      </c>
      <c r="AE2" t="s">
        <v>447</v>
      </c>
      <c r="AF2" t="s">
        <v>448</v>
      </c>
      <c r="AG2" t="s">
        <v>449</v>
      </c>
      <c r="AH2" t="s">
        <v>450</v>
      </c>
      <c r="AI2" t="s">
        <v>451</v>
      </c>
      <c r="AJ2" t="s">
        <v>452</v>
      </c>
      <c r="AK2" t="s">
        <v>453</v>
      </c>
      <c r="AL2" t="s">
        <v>454</v>
      </c>
      <c r="AM2" t="s">
        <v>455</v>
      </c>
      <c r="AN2" t="s">
        <v>456</v>
      </c>
      <c r="AO2" t="s">
        <v>457</v>
      </c>
      <c r="AP2" t="s">
        <v>458</v>
      </c>
      <c r="AQ2" t="s">
        <v>459</v>
      </c>
      <c r="AR2" t="s">
        <v>460</v>
      </c>
      <c r="AS2" t="s">
        <v>461</v>
      </c>
      <c r="AT2" t="s">
        <v>462</v>
      </c>
      <c r="AU2" t="s">
        <v>463</v>
      </c>
      <c r="AV2" t="s">
        <v>464</v>
      </c>
      <c r="AW2" t="s">
        <v>465</v>
      </c>
      <c r="AX2" t="s">
        <v>466</v>
      </c>
      <c r="AY2" t="s">
        <v>467</v>
      </c>
      <c r="AZ2" t="s">
        <v>468</v>
      </c>
      <c r="BA2" t="s">
        <v>469</v>
      </c>
      <c r="BB2" t="s">
        <v>470</v>
      </c>
      <c r="BC2" t="s">
        <v>471</v>
      </c>
      <c r="BD2" t="s">
        <v>472</v>
      </c>
      <c r="BE2" t="s">
        <v>473</v>
      </c>
      <c r="BF2" t="s">
        <v>474</v>
      </c>
      <c r="BG2" t="s">
        <v>475</v>
      </c>
      <c r="BH2" t="s">
        <v>476</v>
      </c>
      <c r="BI2" t="s">
        <v>477</v>
      </c>
      <c r="BJ2" t="s">
        <v>478</v>
      </c>
      <c r="BK2" t="s">
        <v>479</v>
      </c>
      <c r="BL2" t="s">
        <v>480</v>
      </c>
      <c r="BM2" t="s">
        <v>481</v>
      </c>
      <c r="BN2" t="s">
        <v>482</v>
      </c>
      <c r="BO2" t="s">
        <v>483</v>
      </c>
      <c r="BP2" t="s">
        <v>484</v>
      </c>
      <c r="BQ2" t="s">
        <v>485</v>
      </c>
      <c r="BR2" t="s">
        <v>486</v>
      </c>
      <c r="BS2" t="s">
        <v>487</v>
      </c>
      <c r="BT2" t="s">
        <v>488</v>
      </c>
      <c r="BU2" t="s">
        <v>489</v>
      </c>
      <c r="BV2" t="s">
        <v>490</v>
      </c>
      <c r="BW2" t="s">
        <v>491</v>
      </c>
      <c r="BX2" t="s">
        <v>492</v>
      </c>
      <c r="BY2" t="s">
        <v>493</v>
      </c>
      <c r="BZ2" t="s">
        <v>494</v>
      </c>
      <c r="CA2" t="s">
        <v>495</v>
      </c>
      <c r="CB2" t="s">
        <v>496</v>
      </c>
      <c r="CC2" t="s">
        <v>497</v>
      </c>
    </row>
    <row r="3" spans="1:81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1</v>
      </c>
      <c r="F3">
        <v>2.0444444000000002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 t="str">
        <f t="shared" ref="K3:K66" si="5">IF(AND($F3 &gt; 0.8, $F3 &lt;=1.1),$E3,"")</f>
        <v/>
      </c>
      <c r="L3" s="1">
        <f t="shared" ref="L3:L66" si="6">IF(AND($F3 &gt; 1.1),$E3,"")</f>
        <v>1</v>
      </c>
      <c r="M3" s="1"/>
      <c r="N3" s="1">
        <f>SUM(T3:V3)/64</f>
        <v>0</v>
      </c>
      <c r="O3" s="1">
        <f>SUM(Q3:V3)</f>
        <v>58</v>
      </c>
      <c r="P3" t="s">
        <v>424</v>
      </c>
      <c r="Q3" s="3">
        <f t="shared" ref="Q3:Q8" si="7">COUNTIF($X3:$CC3,"=0")</f>
        <v>50</v>
      </c>
      <c r="R3" s="3">
        <f t="shared" ref="R3:R8" si="8">COUNTIFS($X3:$CC3,"&gt;0",$X3:$CC3,"&lt;0.25")</f>
        <v>8</v>
      </c>
      <c r="S3" s="3">
        <f t="shared" ref="S3:S8" si="9">COUNTIFS($X3:$CC3,"&gt;=0.25",$X3:$CC3,"&lt;0.5")</f>
        <v>0</v>
      </c>
      <c r="T3" s="3">
        <f t="shared" ref="T3:T8" si="10">COUNTIFS($X3:$CC3,"&gt;=0.5",$X3:$CC3,"&lt;0.75")</f>
        <v>0</v>
      </c>
      <c r="U3" s="3">
        <f t="shared" ref="U3:U8" si="11">COUNTIFS($X3:$CC3,"&gt;=0.75",$X3:$CC3,"&lt;1")</f>
        <v>0</v>
      </c>
      <c r="V3" s="3">
        <f t="shared" ref="V3:V8" si="12">COUNTIF($X3:$CC3,"=1")</f>
        <v>0</v>
      </c>
      <c r="W3" t="s">
        <v>424</v>
      </c>
      <c r="X3">
        <f t="shared" ref="X3:BC3" si="13">DMAX($A$1:$L$521,$W3,X$1:X$2)</f>
        <v>0</v>
      </c>
      <c r="Y3">
        <f t="shared" si="13"/>
        <v>0</v>
      </c>
      <c r="Z3">
        <f t="shared" si="13"/>
        <v>0</v>
      </c>
      <c r="AA3">
        <f t="shared" si="13"/>
        <v>0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4.6262979335869232E-4</v>
      </c>
      <c r="AF3">
        <f t="shared" si="13"/>
        <v>3.5560344827586209E-3</v>
      </c>
      <c r="AG3">
        <f t="shared" si="13"/>
        <v>4.138081237068496E-3</v>
      </c>
      <c r="AH3">
        <f t="shared" si="13"/>
        <v>0</v>
      </c>
      <c r="AI3">
        <f t="shared" si="13"/>
        <v>0</v>
      </c>
      <c r="AJ3">
        <f t="shared" si="13"/>
        <v>0</v>
      </c>
      <c r="AK3">
        <f t="shared" si="13"/>
        <v>0</v>
      </c>
      <c r="AL3">
        <f t="shared" si="13"/>
        <v>0</v>
      </c>
      <c r="AM3">
        <f t="shared" si="13"/>
        <v>0</v>
      </c>
      <c r="AN3">
        <f t="shared" si="13"/>
        <v>0</v>
      </c>
      <c r="AO3">
        <f t="shared" si="13"/>
        <v>0</v>
      </c>
      <c r="AP3">
        <f t="shared" si="13"/>
        <v>0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  <c r="AY3">
        <f t="shared" si="13"/>
        <v>0</v>
      </c>
      <c r="AZ3">
        <f t="shared" si="13"/>
        <v>0</v>
      </c>
      <c r="BA3">
        <f t="shared" si="13"/>
        <v>0</v>
      </c>
      <c r="BB3">
        <f t="shared" si="13"/>
        <v>0</v>
      </c>
      <c r="BC3">
        <f t="shared" si="13"/>
        <v>0</v>
      </c>
      <c r="BD3">
        <f t="shared" ref="BD3:CC3" si="14">DMAX($A$1:$L$521,$W3,BD$1:BD$2)</f>
        <v>0</v>
      </c>
      <c r="BE3">
        <f t="shared" si="14"/>
        <v>0</v>
      </c>
      <c r="BF3">
        <f t="shared" si="14"/>
        <v>0</v>
      </c>
      <c r="BG3">
        <f t="shared" si="14"/>
        <v>4.8519443453442737E-2</v>
      </c>
      <c r="BH3">
        <f t="shared" si="14"/>
        <v>0</v>
      </c>
      <c r="BI3">
        <f t="shared" si="14"/>
        <v>0</v>
      </c>
      <c r="BJ3">
        <f t="shared" si="14"/>
        <v>2.0805920127759596E-3</v>
      </c>
      <c r="BK3">
        <f t="shared" si="14"/>
        <v>2.5039024786378769E-3</v>
      </c>
      <c r="BL3">
        <f t="shared" si="14"/>
        <v>3.6641402804552777E-3</v>
      </c>
      <c r="BM3">
        <f t="shared" si="14"/>
        <v>2.4198189713807356E-3</v>
      </c>
      <c r="BN3">
        <f t="shared" si="14"/>
        <v>0</v>
      </c>
      <c r="BO3">
        <f t="shared" si="14"/>
        <v>0</v>
      </c>
      <c r="BP3">
        <f t="shared" si="14"/>
        <v>0</v>
      </c>
      <c r="BQ3">
        <f t="shared" si="14"/>
        <v>0</v>
      </c>
      <c r="BR3">
        <f t="shared" si="14"/>
        <v>0</v>
      </c>
      <c r="BS3">
        <f t="shared" si="14"/>
        <v>0</v>
      </c>
      <c r="BT3">
        <f t="shared" si="14"/>
        <v>0</v>
      </c>
      <c r="BU3">
        <f t="shared" si="14"/>
        <v>0</v>
      </c>
      <c r="BV3">
        <f t="shared" si="14"/>
        <v>0</v>
      </c>
      <c r="BW3">
        <f t="shared" si="14"/>
        <v>0</v>
      </c>
      <c r="BX3">
        <f t="shared" si="14"/>
        <v>0</v>
      </c>
      <c r="BY3">
        <f t="shared" si="14"/>
        <v>0</v>
      </c>
      <c r="BZ3">
        <f t="shared" si="14"/>
        <v>0</v>
      </c>
      <c r="CA3">
        <f t="shared" si="14"/>
        <v>0</v>
      </c>
      <c r="CB3">
        <f t="shared" si="14"/>
        <v>0</v>
      </c>
      <c r="CC3">
        <f t="shared" si="14"/>
        <v>0</v>
      </c>
    </row>
    <row r="4" spans="1:81">
      <c r="A4" t="s">
        <v>4</v>
      </c>
      <c r="B4">
        <v>1</v>
      </c>
      <c r="C4" t="str">
        <f t="shared" si="0"/>
        <v>test.BallonFactory_1_</v>
      </c>
      <c r="D4">
        <v>3</v>
      </c>
      <c r="E4">
        <v>1</v>
      </c>
      <c r="F4">
        <v>2.1333333333333333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 t="str">
        <f t="shared" si="5"/>
        <v/>
      </c>
      <c r="L4" s="1">
        <f t="shared" si="6"/>
        <v>1</v>
      </c>
      <c r="M4" s="1"/>
      <c r="N4" s="1">
        <f t="shared" ref="N4:N7" si="15">SUM(T4:V4)/64</f>
        <v>0</v>
      </c>
      <c r="O4" s="1">
        <f t="shared" ref="O4:O7" si="16">SUM(Q4:V4)</f>
        <v>58</v>
      </c>
      <c r="P4" t="s">
        <v>425</v>
      </c>
      <c r="Q4" s="3">
        <f t="shared" si="7"/>
        <v>46</v>
      </c>
      <c r="R4" s="3">
        <f t="shared" si="8"/>
        <v>10</v>
      </c>
      <c r="S4" s="3">
        <f t="shared" si="9"/>
        <v>2</v>
      </c>
      <c r="T4" s="3">
        <f t="shared" si="10"/>
        <v>0</v>
      </c>
      <c r="U4" s="3">
        <f t="shared" si="11"/>
        <v>0</v>
      </c>
      <c r="V4" s="3">
        <f t="shared" si="12"/>
        <v>0</v>
      </c>
      <c r="W4" t="s">
        <v>425</v>
      </c>
      <c r="X4">
        <f t="shared" ref="X4:AG8" si="17">IF(X3&lt;DMAX($A$1:$L$521,$W4,X$1:X$2),DMAX($A$1:$L$521,$W4,X$1:X$2),X3)</f>
        <v>0</v>
      </c>
      <c r="Y4">
        <f t="shared" si="17"/>
        <v>0</v>
      </c>
      <c r="Z4">
        <f t="shared" si="17"/>
        <v>0</v>
      </c>
      <c r="AA4">
        <f t="shared" si="17"/>
        <v>0</v>
      </c>
      <c r="AB4">
        <f t="shared" si="17"/>
        <v>0</v>
      </c>
      <c r="AC4">
        <f t="shared" si="17"/>
        <v>0</v>
      </c>
      <c r="AD4">
        <f t="shared" si="17"/>
        <v>0</v>
      </c>
      <c r="AE4">
        <f t="shared" si="17"/>
        <v>1.1308728282101368E-3</v>
      </c>
      <c r="AF4">
        <f t="shared" si="17"/>
        <v>0.49439655172413793</v>
      </c>
      <c r="AG4">
        <f t="shared" si="17"/>
        <v>4.138081237068496E-3</v>
      </c>
      <c r="AH4">
        <f t="shared" ref="AH4:AQ8" si="18">IF(AH3&lt;DMAX($A$1:$L$521,$W4,AH$1:AH$2),DMAX($A$1:$L$521,$W4,AH$1:AH$2),AH3)</f>
        <v>0</v>
      </c>
      <c r="AI4">
        <f t="shared" si="18"/>
        <v>0</v>
      </c>
      <c r="AJ4">
        <f t="shared" si="18"/>
        <v>0</v>
      </c>
      <c r="AK4">
        <f t="shared" si="18"/>
        <v>0</v>
      </c>
      <c r="AL4">
        <f t="shared" si="18"/>
        <v>0.36735736173938421</v>
      </c>
      <c r="AM4">
        <f t="shared" si="18"/>
        <v>0</v>
      </c>
      <c r="AN4">
        <f t="shared" si="18"/>
        <v>0</v>
      </c>
      <c r="AO4">
        <f t="shared" si="18"/>
        <v>0</v>
      </c>
      <c r="AP4">
        <f t="shared" si="18"/>
        <v>0</v>
      </c>
      <c r="AQ4">
        <f t="shared" si="18"/>
        <v>0</v>
      </c>
      <c r="AR4">
        <f t="shared" ref="AR4:BA8" si="19">IF(AR3&lt;DMAX($A$1:$L$521,$W4,AR$1:AR$2),DMAX($A$1:$L$521,$W4,AR$1:AR$2),AR3)</f>
        <v>0</v>
      </c>
      <c r="AS4">
        <f t="shared" si="19"/>
        <v>0</v>
      </c>
      <c r="AT4">
        <f t="shared" si="19"/>
        <v>0</v>
      </c>
      <c r="AU4">
        <f t="shared" si="19"/>
        <v>0</v>
      </c>
      <c r="AV4">
        <f t="shared" si="19"/>
        <v>0</v>
      </c>
      <c r="AW4">
        <f t="shared" si="19"/>
        <v>0</v>
      </c>
      <c r="AX4">
        <f t="shared" si="19"/>
        <v>0</v>
      </c>
      <c r="AY4">
        <f t="shared" si="19"/>
        <v>0</v>
      </c>
      <c r="AZ4">
        <f t="shared" si="19"/>
        <v>0</v>
      </c>
      <c r="BA4">
        <f t="shared" si="19"/>
        <v>0</v>
      </c>
      <c r="BB4">
        <f t="shared" ref="BB4:BK8" si="20">IF(BB3&lt;DMAX($A$1:$L$521,$W4,BB$1:BB$2),DMAX($A$1:$L$521,$W4,BB$1:BB$2),BB3)</f>
        <v>0.18197246841410522</v>
      </c>
      <c r="BC4">
        <f t="shared" si="20"/>
        <v>0.21200139551110594</v>
      </c>
      <c r="BD4">
        <f t="shared" si="20"/>
        <v>0</v>
      </c>
      <c r="BE4">
        <f t="shared" si="20"/>
        <v>0</v>
      </c>
      <c r="BF4">
        <f t="shared" si="20"/>
        <v>0</v>
      </c>
      <c r="BG4">
        <f t="shared" si="20"/>
        <v>0.17873706742775597</v>
      </c>
      <c r="BH4">
        <f t="shared" si="20"/>
        <v>0.20523356401384082</v>
      </c>
      <c r="BI4">
        <f t="shared" si="20"/>
        <v>0</v>
      </c>
      <c r="BJ4">
        <f t="shared" si="20"/>
        <v>2.0805920127759596E-3</v>
      </c>
      <c r="BK4">
        <f t="shared" si="20"/>
        <v>0.19752858058054446</v>
      </c>
      <c r="BL4">
        <f t="shared" ref="BL4:BU8" si="21">IF(BL3&lt;DMAX($A$1:$L$521,$W4,BL$1:BL$2),DMAX($A$1:$L$521,$W4,BL$1:BL$2),BL3)</f>
        <v>3.6641402804552777E-3</v>
      </c>
      <c r="BM4">
        <f t="shared" si="21"/>
        <v>2.4198189713807356E-3</v>
      </c>
      <c r="BN4">
        <f t="shared" si="21"/>
        <v>0</v>
      </c>
      <c r="BO4">
        <f t="shared" si="21"/>
        <v>0</v>
      </c>
      <c r="BP4">
        <f t="shared" si="21"/>
        <v>0</v>
      </c>
      <c r="BQ4">
        <f t="shared" si="21"/>
        <v>0</v>
      </c>
      <c r="BR4">
        <f t="shared" si="21"/>
        <v>0</v>
      </c>
      <c r="BS4">
        <f t="shared" si="21"/>
        <v>0</v>
      </c>
      <c r="BT4">
        <f t="shared" si="21"/>
        <v>0</v>
      </c>
      <c r="BU4">
        <f t="shared" si="21"/>
        <v>0</v>
      </c>
      <c r="BV4">
        <f t="shared" ref="BV4:CC8" si="22">IF(BV3&lt;DMAX($A$1:$L$521,$W4,BV$1:BV$2),DMAX($A$1:$L$521,$W4,BV$1:BV$2),BV3)</f>
        <v>0</v>
      </c>
      <c r="BW4">
        <f t="shared" si="22"/>
        <v>0</v>
      </c>
      <c r="BX4">
        <f t="shared" si="22"/>
        <v>0</v>
      </c>
      <c r="BY4">
        <f t="shared" si="22"/>
        <v>0</v>
      </c>
      <c r="BZ4">
        <f t="shared" si="22"/>
        <v>0</v>
      </c>
      <c r="CA4">
        <f t="shared" si="22"/>
        <v>0</v>
      </c>
      <c r="CB4">
        <f t="shared" si="22"/>
        <v>0</v>
      </c>
      <c r="CC4">
        <f t="shared" si="22"/>
        <v>0</v>
      </c>
    </row>
    <row r="5" spans="1:81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3.2444445333333336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 t="str">
        <f t="shared" si="5"/>
        <v/>
      </c>
      <c r="L5" s="1">
        <f t="shared" si="6"/>
        <v>1</v>
      </c>
      <c r="M5" s="1">
        <f>SUM(R5:V5)/64</f>
        <v>0.296875</v>
      </c>
      <c r="N5" s="1">
        <f t="shared" si="15"/>
        <v>0.140625</v>
      </c>
      <c r="O5" s="1">
        <f t="shared" si="16"/>
        <v>58</v>
      </c>
      <c r="P5" t="s">
        <v>426</v>
      </c>
      <c r="Q5" s="3">
        <f t="shared" si="7"/>
        <v>39</v>
      </c>
      <c r="R5" s="3">
        <f>COUNTIFS($X5:$CC5,"&gt;0",$X5:$CC5,"&lt;0.25")</f>
        <v>8</v>
      </c>
      <c r="S5" s="3">
        <f t="shared" si="9"/>
        <v>2</v>
      </c>
      <c r="T5" s="3">
        <f t="shared" si="10"/>
        <v>4</v>
      </c>
      <c r="U5" s="3">
        <f t="shared" si="11"/>
        <v>2</v>
      </c>
      <c r="V5" s="3">
        <f t="shared" si="12"/>
        <v>3</v>
      </c>
      <c r="W5" t="s">
        <v>426</v>
      </c>
      <c r="X5">
        <f t="shared" si="17"/>
        <v>0</v>
      </c>
      <c r="Y5">
        <f t="shared" si="17"/>
        <v>0</v>
      </c>
      <c r="Z5">
        <f t="shared" si="17"/>
        <v>0</v>
      </c>
      <c r="AA5">
        <f t="shared" si="17"/>
        <v>0</v>
      </c>
      <c r="AB5">
        <f t="shared" si="17"/>
        <v>0</v>
      </c>
      <c r="AC5">
        <f t="shared" si="17"/>
        <v>0</v>
      </c>
      <c r="AD5">
        <f t="shared" si="17"/>
        <v>0</v>
      </c>
      <c r="AE5">
        <f t="shared" si="17"/>
        <v>1.1308728282101368E-3</v>
      </c>
      <c r="AF5">
        <f t="shared" si="17"/>
        <v>0.52564655172413788</v>
      </c>
      <c r="AG5">
        <f t="shared" si="17"/>
        <v>0.70597843841881736</v>
      </c>
      <c r="AH5">
        <f t="shared" si="18"/>
        <v>0.91504943244232884</v>
      </c>
      <c r="AI5">
        <f t="shared" si="18"/>
        <v>0</v>
      </c>
      <c r="AJ5">
        <f t="shared" si="18"/>
        <v>0</v>
      </c>
      <c r="AK5">
        <f t="shared" si="18"/>
        <v>0</v>
      </c>
      <c r="AL5">
        <f t="shared" si="18"/>
        <v>0.869983948635634</v>
      </c>
      <c r="AM5">
        <f t="shared" si="18"/>
        <v>1.3948256467941508E-2</v>
      </c>
      <c r="AN5">
        <f t="shared" si="18"/>
        <v>0</v>
      </c>
      <c r="AO5">
        <f t="shared" si="18"/>
        <v>0</v>
      </c>
      <c r="AP5">
        <f t="shared" si="18"/>
        <v>0</v>
      </c>
      <c r="AQ5">
        <f t="shared" si="18"/>
        <v>0</v>
      </c>
      <c r="AR5">
        <f t="shared" si="19"/>
        <v>0</v>
      </c>
      <c r="AS5">
        <f t="shared" si="19"/>
        <v>0</v>
      </c>
      <c r="AT5">
        <f t="shared" si="19"/>
        <v>0</v>
      </c>
      <c r="AU5">
        <f t="shared" si="19"/>
        <v>4.4161358811040337E-2</v>
      </c>
      <c r="AV5">
        <f t="shared" si="19"/>
        <v>0</v>
      </c>
      <c r="AW5">
        <f t="shared" si="19"/>
        <v>4.0228245363766048E-2</v>
      </c>
      <c r="AX5">
        <f t="shared" si="19"/>
        <v>0</v>
      </c>
      <c r="AY5">
        <f t="shared" si="19"/>
        <v>0</v>
      </c>
      <c r="AZ5">
        <f t="shared" si="19"/>
        <v>0</v>
      </c>
      <c r="BA5">
        <f t="shared" si="19"/>
        <v>0</v>
      </c>
      <c r="BB5">
        <f t="shared" si="20"/>
        <v>0.6360550631717895</v>
      </c>
      <c r="BC5">
        <f t="shared" si="20"/>
        <v>1</v>
      </c>
      <c r="BD5">
        <f t="shared" si="20"/>
        <v>0</v>
      </c>
      <c r="BE5">
        <f t="shared" si="20"/>
        <v>0</v>
      </c>
      <c r="BF5">
        <f t="shared" si="20"/>
        <v>0</v>
      </c>
      <c r="BG5">
        <f t="shared" si="20"/>
        <v>1</v>
      </c>
      <c r="BH5">
        <f t="shared" si="20"/>
        <v>0.50216262975778547</v>
      </c>
      <c r="BI5">
        <f t="shared" si="20"/>
        <v>0</v>
      </c>
      <c r="BJ5">
        <f t="shared" si="20"/>
        <v>2.0805920127759596E-3</v>
      </c>
      <c r="BK5">
        <f t="shared" si="20"/>
        <v>0.37500338365199815</v>
      </c>
      <c r="BL5">
        <f t="shared" si="21"/>
        <v>3.6641402804552777E-3</v>
      </c>
      <c r="BM5">
        <f t="shared" si="21"/>
        <v>2.4198189713807356E-3</v>
      </c>
      <c r="BN5">
        <f t="shared" si="21"/>
        <v>0</v>
      </c>
      <c r="BO5">
        <f t="shared" si="21"/>
        <v>0</v>
      </c>
      <c r="BP5">
        <f t="shared" si="21"/>
        <v>0</v>
      </c>
      <c r="BQ5">
        <f t="shared" si="21"/>
        <v>0</v>
      </c>
      <c r="BR5">
        <f t="shared" si="21"/>
        <v>0</v>
      </c>
      <c r="BS5">
        <f t="shared" si="21"/>
        <v>1</v>
      </c>
      <c r="BT5">
        <f t="shared" si="21"/>
        <v>0.42483001762780154</v>
      </c>
      <c r="BU5">
        <f t="shared" si="21"/>
        <v>0</v>
      </c>
      <c r="BV5">
        <f t="shared" si="22"/>
        <v>0</v>
      </c>
      <c r="BW5">
        <f t="shared" si="22"/>
        <v>0</v>
      </c>
      <c r="BX5">
        <f t="shared" si="22"/>
        <v>2.2157996146435453E-2</v>
      </c>
      <c r="BY5">
        <f t="shared" si="22"/>
        <v>0</v>
      </c>
      <c r="BZ5">
        <f t="shared" si="22"/>
        <v>0</v>
      </c>
      <c r="CA5">
        <f t="shared" si="22"/>
        <v>0</v>
      </c>
      <c r="CB5">
        <f t="shared" si="22"/>
        <v>0</v>
      </c>
      <c r="CC5">
        <f t="shared" si="22"/>
        <v>0</v>
      </c>
    </row>
    <row r="6" spans="1:81">
      <c r="A6" t="s">
        <v>4</v>
      </c>
      <c r="B6">
        <v>2</v>
      </c>
      <c r="C6" t="str">
        <f t="shared" si="0"/>
        <v>test.BallonFactory_2_</v>
      </c>
      <c r="D6">
        <v>1</v>
      </c>
      <c r="E6">
        <v>0.18739903069466882</v>
      </c>
      <c r="F6">
        <v>1.22222225</v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" t="str">
        <f t="shared" si="4"/>
        <v/>
      </c>
      <c r="K6" s="1" t="str">
        <f t="shared" si="5"/>
        <v/>
      </c>
      <c r="L6" s="1">
        <f t="shared" si="6"/>
        <v>0.18739903069466882</v>
      </c>
      <c r="M6" s="1">
        <f>25/64</f>
        <v>0.390625</v>
      </c>
      <c r="N6" s="1">
        <f>SUM(T6:V6)/64</f>
        <v>0.171875</v>
      </c>
      <c r="O6" s="1">
        <f t="shared" si="16"/>
        <v>58</v>
      </c>
      <c r="P6" t="s">
        <v>427</v>
      </c>
      <c r="Q6" s="3">
        <f t="shared" si="7"/>
        <v>30</v>
      </c>
      <c r="R6" s="3">
        <f t="shared" si="8"/>
        <v>16</v>
      </c>
      <c r="S6" s="3">
        <f t="shared" si="9"/>
        <v>1</v>
      </c>
      <c r="T6" s="3">
        <f t="shared" si="10"/>
        <v>3</v>
      </c>
      <c r="U6" s="3">
        <f t="shared" si="11"/>
        <v>1</v>
      </c>
      <c r="V6" s="3">
        <f t="shared" si="12"/>
        <v>7</v>
      </c>
      <c r="W6" t="s">
        <v>427</v>
      </c>
      <c r="X6">
        <f t="shared" si="17"/>
        <v>0</v>
      </c>
      <c r="Y6">
        <f t="shared" si="17"/>
        <v>0</v>
      </c>
      <c r="Z6">
        <f t="shared" si="17"/>
        <v>0</v>
      </c>
      <c r="AA6">
        <f t="shared" si="17"/>
        <v>0.1370490551631991</v>
      </c>
      <c r="AB6">
        <f t="shared" si="17"/>
        <v>0</v>
      </c>
      <c r="AC6">
        <f t="shared" si="17"/>
        <v>0</v>
      </c>
      <c r="AD6">
        <f t="shared" si="17"/>
        <v>0</v>
      </c>
      <c r="AE6">
        <f t="shared" si="17"/>
        <v>1.1308728282101368E-3</v>
      </c>
      <c r="AF6">
        <f t="shared" si="17"/>
        <v>0.52564655172413788</v>
      </c>
      <c r="AG6">
        <f t="shared" si="17"/>
        <v>1</v>
      </c>
      <c r="AH6">
        <f t="shared" si="18"/>
        <v>1</v>
      </c>
      <c r="AI6">
        <f t="shared" si="18"/>
        <v>1.8545279383429671E-2</v>
      </c>
      <c r="AJ6">
        <f t="shared" si="18"/>
        <v>0</v>
      </c>
      <c r="AK6">
        <f t="shared" si="18"/>
        <v>0</v>
      </c>
      <c r="AL6">
        <f t="shared" si="18"/>
        <v>1</v>
      </c>
      <c r="AM6">
        <f t="shared" si="18"/>
        <v>1.3948256467941508E-2</v>
      </c>
      <c r="AN6">
        <f t="shared" si="18"/>
        <v>3.1705227077977724E-2</v>
      </c>
      <c r="AO6">
        <f t="shared" si="18"/>
        <v>0.99753593429158116</v>
      </c>
      <c r="AP6">
        <f t="shared" si="18"/>
        <v>7.1806030463164444E-2</v>
      </c>
      <c r="AQ6">
        <f t="shared" si="18"/>
        <v>0</v>
      </c>
      <c r="AR6">
        <f t="shared" si="19"/>
        <v>0</v>
      </c>
      <c r="AS6">
        <f t="shared" si="19"/>
        <v>0</v>
      </c>
      <c r="AT6">
        <f t="shared" si="19"/>
        <v>0</v>
      </c>
      <c r="AU6">
        <f t="shared" si="19"/>
        <v>4.4161358811040337E-2</v>
      </c>
      <c r="AV6">
        <f t="shared" si="19"/>
        <v>0.12285539215686274</v>
      </c>
      <c r="AW6">
        <f t="shared" si="19"/>
        <v>0.17574893009985734</v>
      </c>
      <c r="AX6">
        <f t="shared" si="19"/>
        <v>0.16417910447761194</v>
      </c>
      <c r="AY6">
        <f t="shared" si="19"/>
        <v>0</v>
      </c>
      <c r="AZ6">
        <f t="shared" si="19"/>
        <v>0</v>
      </c>
      <c r="BA6">
        <f t="shared" si="19"/>
        <v>0</v>
      </c>
      <c r="BB6">
        <f t="shared" si="20"/>
        <v>1</v>
      </c>
      <c r="BC6">
        <f t="shared" si="20"/>
        <v>1</v>
      </c>
      <c r="BD6">
        <f t="shared" si="20"/>
        <v>0</v>
      </c>
      <c r="BE6">
        <f t="shared" si="20"/>
        <v>0</v>
      </c>
      <c r="BF6">
        <f t="shared" si="20"/>
        <v>0</v>
      </c>
      <c r="BG6">
        <f t="shared" si="20"/>
        <v>1</v>
      </c>
      <c r="BH6">
        <f t="shared" si="20"/>
        <v>0.64662629757785473</v>
      </c>
      <c r="BI6">
        <f t="shared" si="20"/>
        <v>0</v>
      </c>
      <c r="BJ6">
        <f t="shared" si="20"/>
        <v>2.0805920127759596E-3</v>
      </c>
      <c r="BK6">
        <f t="shared" si="20"/>
        <v>0.37500338365199815</v>
      </c>
      <c r="BL6">
        <f t="shared" si="21"/>
        <v>3.6641402804552777E-3</v>
      </c>
      <c r="BM6">
        <f t="shared" si="21"/>
        <v>2.4198189713807356E-3</v>
      </c>
      <c r="BN6">
        <f t="shared" si="21"/>
        <v>0</v>
      </c>
      <c r="BO6">
        <f t="shared" si="21"/>
        <v>0</v>
      </c>
      <c r="BP6">
        <f t="shared" si="21"/>
        <v>0</v>
      </c>
      <c r="BQ6">
        <f t="shared" si="21"/>
        <v>4.1444398851046366E-2</v>
      </c>
      <c r="BR6">
        <f t="shared" si="21"/>
        <v>0</v>
      </c>
      <c r="BS6">
        <f t="shared" si="21"/>
        <v>1</v>
      </c>
      <c r="BT6">
        <f t="shared" si="21"/>
        <v>0.61218836565096957</v>
      </c>
      <c r="BU6">
        <f t="shared" si="21"/>
        <v>0.15352112676056337</v>
      </c>
      <c r="BV6">
        <f t="shared" si="22"/>
        <v>0</v>
      </c>
      <c r="BW6">
        <f t="shared" si="22"/>
        <v>0</v>
      </c>
      <c r="BX6">
        <f t="shared" si="22"/>
        <v>2.2157996146435453E-2</v>
      </c>
      <c r="BY6">
        <f t="shared" si="22"/>
        <v>0</v>
      </c>
      <c r="BZ6">
        <f t="shared" si="22"/>
        <v>0</v>
      </c>
      <c r="CA6">
        <f t="shared" si="22"/>
        <v>0</v>
      </c>
      <c r="CB6">
        <f t="shared" si="22"/>
        <v>0</v>
      </c>
      <c r="CC6">
        <f t="shared" si="22"/>
        <v>0</v>
      </c>
    </row>
    <row r="7" spans="1:81">
      <c r="A7" t="s">
        <v>4</v>
      </c>
      <c r="B7">
        <v>2</v>
      </c>
      <c r="C7" t="str">
        <f t="shared" si="0"/>
        <v>test.BallonFactory_2_</v>
      </c>
      <c r="D7">
        <v>2</v>
      </c>
      <c r="E7">
        <v>0.41357027463651053</v>
      </c>
      <c r="F7">
        <v>1.3333333333333333</v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" t="str">
        <f t="shared" si="4"/>
        <v/>
      </c>
      <c r="K7" s="1" t="str">
        <f t="shared" si="5"/>
        <v/>
      </c>
      <c r="L7" s="1">
        <f t="shared" si="6"/>
        <v>0.41357027463651053</v>
      </c>
      <c r="M7" s="1"/>
      <c r="N7" s="1">
        <f t="shared" si="15"/>
        <v>0.234375</v>
      </c>
      <c r="O7" s="1">
        <f t="shared" si="16"/>
        <v>58</v>
      </c>
      <c r="P7" s="2" t="s">
        <v>428</v>
      </c>
      <c r="Q7" s="3">
        <f t="shared" si="7"/>
        <v>23</v>
      </c>
      <c r="R7" s="3">
        <f t="shared" si="8"/>
        <v>12</v>
      </c>
      <c r="S7" s="3">
        <f t="shared" si="9"/>
        <v>8</v>
      </c>
      <c r="T7" s="3">
        <f t="shared" si="10"/>
        <v>5</v>
      </c>
      <c r="U7" s="3">
        <f t="shared" si="11"/>
        <v>0</v>
      </c>
      <c r="V7" s="3">
        <f t="shared" si="12"/>
        <v>10</v>
      </c>
      <c r="W7" s="2" t="s">
        <v>428</v>
      </c>
      <c r="X7">
        <f t="shared" si="17"/>
        <v>0</v>
      </c>
      <c r="Y7">
        <f t="shared" si="17"/>
        <v>0</v>
      </c>
      <c r="Z7">
        <f t="shared" si="17"/>
        <v>0</v>
      </c>
      <c r="AA7">
        <f t="shared" si="17"/>
        <v>0.67684672647451805</v>
      </c>
      <c r="AB7">
        <f t="shared" si="17"/>
        <v>0</v>
      </c>
      <c r="AC7">
        <f t="shared" si="17"/>
        <v>0</v>
      </c>
      <c r="AD7">
        <f t="shared" si="17"/>
        <v>0</v>
      </c>
      <c r="AE7">
        <f t="shared" si="17"/>
        <v>1.1308728282101368E-3</v>
      </c>
      <c r="AF7">
        <f t="shared" si="17"/>
        <v>0.52564655172413788</v>
      </c>
      <c r="AG7">
        <f t="shared" si="17"/>
        <v>1</v>
      </c>
      <c r="AH7">
        <f t="shared" si="18"/>
        <v>1</v>
      </c>
      <c r="AI7">
        <f t="shared" si="18"/>
        <v>1.8545279383429671E-2</v>
      </c>
      <c r="AJ7">
        <f t="shared" si="18"/>
        <v>0</v>
      </c>
      <c r="AK7">
        <f t="shared" si="18"/>
        <v>0</v>
      </c>
      <c r="AL7">
        <f t="shared" si="18"/>
        <v>1</v>
      </c>
      <c r="AM7">
        <f t="shared" si="18"/>
        <v>0.29988751406074243</v>
      </c>
      <c r="AN7">
        <f t="shared" si="18"/>
        <v>3.1705227077977724E-2</v>
      </c>
      <c r="AO7">
        <f t="shared" si="18"/>
        <v>1</v>
      </c>
      <c r="AP7">
        <f t="shared" si="18"/>
        <v>0.25240907677960833</v>
      </c>
      <c r="AQ7">
        <f t="shared" si="18"/>
        <v>0</v>
      </c>
      <c r="AR7">
        <f t="shared" si="19"/>
        <v>0</v>
      </c>
      <c r="AS7">
        <f t="shared" si="19"/>
        <v>0</v>
      </c>
      <c r="AT7">
        <f t="shared" si="19"/>
        <v>0.11775700934579439</v>
      </c>
      <c r="AU7">
        <f t="shared" si="19"/>
        <v>4.4161358811040337E-2</v>
      </c>
      <c r="AV7">
        <f t="shared" si="19"/>
        <v>0.62438725490196079</v>
      </c>
      <c r="AW7">
        <f t="shared" si="19"/>
        <v>0.37517831669044222</v>
      </c>
      <c r="AX7">
        <f t="shared" si="19"/>
        <v>0.16417910447761194</v>
      </c>
      <c r="AY7">
        <f t="shared" si="19"/>
        <v>0</v>
      </c>
      <c r="AZ7">
        <f t="shared" si="19"/>
        <v>0</v>
      </c>
      <c r="BA7">
        <f t="shared" si="19"/>
        <v>0.11391843971631206</v>
      </c>
      <c r="BB7">
        <f t="shared" si="20"/>
        <v>1</v>
      </c>
      <c r="BC7">
        <f t="shared" si="20"/>
        <v>1</v>
      </c>
      <c r="BD7">
        <f t="shared" si="20"/>
        <v>0</v>
      </c>
      <c r="BE7">
        <f t="shared" si="20"/>
        <v>0</v>
      </c>
      <c r="BF7">
        <f t="shared" si="20"/>
        <v>0.6169315601686669</v>
      </c>
      <c r="BG7">
        <f t="shared" si="20"/>
        <v>1</v>
      </c>
      <c r="BH7">
        <f t="shared" si="20"/>
        <v>1</v>
      </c>
      <c r="BI7">
        <f t="shared" si="20"/>
        <v>0.31725265739983649</v>
      </c>
      <c r="BJ7">
        <f t="shared" si="20"/>
        <v>2.0805920127759596E-3</v>
      </c>
      <c r="BK7">
        <f t="shared" si="20"/>
        <v>0.37500338365199815</v>
      </c>
      <c r="BL7">
        <f t="shared" si="21"/>
        <v>3.6641402804552777E-3</v>
      </c>
      <c r="BM7">
        <f t="shared" si="21"/>
        <v>2.4198189713807356E-3</v>
      </c>
      <c r="BN7">
        <f t="shared" si="21"/>
        <v>0</v>
      </c>
      <c r="BO7">
        <f t="shared" si="21"/>
        <v>0</v>
      </c>
      <c r="BP7">
        <f t="shared" si="21"/>
        <v>0</v>
      </c>
      <c r="BQ7">
        <f t="shared" si="21"/>
        <v>0.32663110381616745</v>
      </c>
      <c r="BR7">
        <f t="shared" si="21"/>
        <v>0.67754952311078498</v>
      </c>
      <c r="BS7">
        <f t="shared" si="21"/>
        <v>1</v>
      </c>
      <c r="BT7">
        <f t="shared" si="21"/>
        <v>1</v>
      </c>
      <c r="BU7">
        <f t="shared" si="21"/>
        <v>0.15352112676056337</v>
      </c>
      <c r="BV7">
        <f t="shared" si="22"/>
        <v>0.31525423728813562</v>
      </c>
      <c r="BW7">
        <f t="shared" si="22"/>
        <v>0</v>
      </c>
      <c r="BX7">
        <f t="shared" si="22"/>
        <v>0.3734746307000642</v>
      </c>
      <c r="BY7">
        <f t="shared" si="22"/>
        <v>4.7422680412371132E-2</v>
      </c>
      <c r="BZ7">
        <f t="shared" si="22"/>
        <v>0</v>
      </c>
      <c r="CA7">
        <f t="shared" si="22"/>
        <v>0</v>
      </c>
      <c r="CB7">
        <f t="shared" si="22"/>
        <v>0</v>
      </c>
      <c r="CC7">
        <f t="shared" si="22"/>
        <v>0</v>
      </c>
    </row>
    <row r="8" spans="1:81">
      <c r="A8" t="s">
        <v>4</v>
      </c>
      <c r="B8">
        <v>2</v>
      </c>
      <c r="C8" t="str">
        <f t="shared" si="0"/>
        <v>test.BallonFactory_2_</v>
      </c>
      <c r="D8">
        <v>3</v>
      </c>
      <c r="E8">
        <v>0.6696284329563813</v>
      </c>
      <c r="F8">
        <v>1.5555554999999999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 t="str">
        <f t="shared" si="4"/>
        <v/>
      </c>
      <c r="K8" s="1" t="str">
        <f t="shared" si="5"/>
        <v/>
      </c>
      <c r="L8" s="1">
        <f t="shared" si="6"/>
        <v>0.6696284329563813</v>
      </c>
      <c r="M8" s="1"/>
      <c r="N8" s="1">
        <f>SUM(T8:V8)/64</f>
        <v>0.90625</v>
      </c>
      <c r="O8" s="1"/>
      <c r="P8" s="1" t="s">
        <v>429</v>
      </c>
      <c r="Q8" s="3">
        <f t="shared" si="7"/>
        <v>0</v>
      </c>
      <c r="R8" s="3">
        <f t="shared" si="8"/>
        <v>0</v>
      </c>
      <c r="S8" s="3">
        <f t="shared" si="9"/>
        <v>0</v>
      </c>
      <c r="T8" s="3">
        <f t="shared" si="10"/>
        <v>0</v>
      </c>
      <c r="U8" s="3">
        <f t="shared" si="11"/>
        <v>0</v>
      </c>
      <c r="V8" s="3">
        <f t="shared" si="12"/>
        <v>58</v>
      </c>
      <c r="W8" s="2" t="s">
        <v>429</v>
      </c>
      <c r="X8">
        <f t="shared" si="17"/>
        <v>1</v>
      </c>
      <c r="Y8">
        <f t="shared" si="17"/>
        <v>1</v>
      </c>
      <c r="Z8">
        <f t="shared" si="17"/>
        <v>1</v>
      </c>
      <c r="AA8">
        <f t="shared" si="17"/>
        <v>1</v>
      </c>
      <c r="AB8">
        <f t="shared" si="17"/>
        <v>1</v>
      </c>
      <c r="AC8">
        <f t="shared" si="17"/>
        <v>1</v>
      </c>
      <c r="AD8">
        <f t="shared" si="17"/>
        <v>1</v>
      </c>
      <c r="AE8">
        <f t="shared" si="17"/>
        <v>1</v>
      </c>
      <c r="AF8">
        <f t="shared" si="17"/>
        <v>1</v>
      </c>
      <c r="AG8">
        <f t="shared" si="17"/>
        <v>1</v>
      </c>
      <c r="AH8">
        <f t="shared" si="18"/>
        <v>1</v>
      </c>
      <c r="AI8">
        <f t="shared" si="18"/>
        <v>1</v>
      </c>
      <c r="AJ8">
        <f t="shared" si="18"/>
        <v>1</v>
      </c>
      <c r="AK8">
        <f t="shared" si="18"/>
        <v>1</v>
      </c>
      <c r="AL8">
        <f t="shared" si="18"/>
        <v>1</v>
      </c>
      <c r="AM8">
        <f t="shared" si="18"/>
        <v>1</v>
      </c>
      <c r="AN8">
        <f t="shared" si="18"/>
        <v>1</v>
      </c>
      <c r="AO8">
        <f t="shared" si="18"/>
        <v>1</v>
      </c>
      <c r="AP8">
        <f t="shared" si="18"/>
        <v>1</v>
      </c>
      <c r="AQ8">
        <f t="shared" si="18"/>
        <v>1</v>
      </c>
      <c r="AR8">
        <f t="shared" si="19"/>
        <v>1</v>
      </c>
      <c r="AS8">
        <f t="shared" si="19"/>
        <v>1</v>
      </c>
      <c r="AT8">
        <f t="shared" si="19"/>
        <v>1</v>
      </c>
      <c r="AU8">
        <f t="shared" si="19"/>
        <v>1</v>
      </c>
      <c r="AV8">
        <f t="shared" si="19"/>
        <v>1</v>
      </c>
      <c r="AW8">
        <f t="shared" si="19"/>
        <v>1</v>
      </c>
      <c r="AX8">
        <f t="shared" si="19"/>
        <v>1</v>
      </c>
      <c r="AY8">
        <f t="shared" si="19"/>
        <v>1</v>
      </c>
      <c r="AZ8">
        <f t="shared" si="19"/>
        <v>1</v>
      </c>
      <c r="BA8">
        <f t="shared" si="19"/>
        <v>1</v>
      </c>
      <c r="BB8">
        <f t="shared" si="20"/>
        <v>1</v>
      </c>
      <c r="BC8">
        <f t="shared" si="20"/>
        <v>1</v>
      </c>
      <c r="BD8">
        <f t="shared" si="20"/>
        <v>1</v>
      </c>
      <c r="BE8">
        <f t="shared" si="20"/>
        <v>1</v>
      </c>
      <c r="BF8">
        <f t="shared" si="20"/>
        <v>1</v>
      </c>
      <c r="BG8">
        <f t="shared" si="20"/>
        <v>1</v>
      </c>
      <c r="BH8">
        <f t="shared" si="20"/>
        <v>1</v>
      </c>
      <c r="BI8">
        <f t="shared" si="20"/>
        <v>1</v>
      </c>
      <c r="BJ8">
        <f t="shared" si="20"/>
        <v>1</v>
      </c>
      <c r="BK8">
        <f t="shared" si="20"/>
        <v>1</v>
      </c>
      <c r="BL8">
        <f t="shared" si="21"/>
        <v>1</v>
      </c>
      <c r="BM8">
        <f t="shared" si="21"/>
        <v>1</v>
      </c>
      <c r="BN8">
        <f t="shared" si="21"/>
        <v>1</v>
      </c>
      <c r="BO8">
        <f t="shared" si="21"/>
        <v>1</v>
      </c>
      <c r="BP8">
        <f t="shared" si="21"/>
        <v>1</v>
      </c>
      <c r="BQ8">
        <f t="shared" si="21"/>
        <v>1</v>
      </c>
      <c r="BR8">
        <f t="shared" si="21"/>
        <v>1</v>
      </c>
      <c r="BS8">
        <f t="shared" si="21"/>
        <v>1</v>
      </c>
      <c r="BT8">
        <f t="shared" si="21"/>
        <v>1</v>
      </c>
      <c r="BU8">
        <f t="shared" si="21"/>
        <v>1</v>
      </c>
      <c r="BV8">
        <f t="shared" si="22"/>
        <v>1</v>
      </c>
      <c r="BW8">
        <f t="shared" si="22"/>
        <v>1</v>
      </c>
      <c r="BX8">
        <f t="shared" si="22"/>
        <v>1</v>
      </c>
      <c r="BY8">
        <f t="shared" si="22"/>
        <v>1</v>
      </c>
      <c r="BZ8">
        <f t="shared" si="22"/>
        <v>1</v>
      </c>
      <c r="CA8">
        <f t="shared" si="22"/>
        <v>1</v>
      </c>
      <c r="CB8">
        <f t="shared" si="22"/>
        <v>1</v>
      </c>
      <c r="CC8">
        <f t="shared" si="22"/>
        <v>1</v>
      </c>
    </row>
    <row r="9" spans="1:81">
      <c r="A9" t="s">
        <v>4</v>
      </c>
      <c r="B9">
        <v>2</v>
      </c>
      <c r="C9" t="str">
        <f t="shared" si="0"/>
        <v>test.BallonFactory_2_</v>
      </c>
      <c r="D9">
        <v>4</v>
      </c>
      <c r="E9">
        <v>0.67932148626817446</v>
      </c>
      <c r="F9">
        <v>1.6111111666666666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 t="str">
        <f t="shared" si="4"/>
        <v/>
      </c>
      <c r="K9" s="1" t="str">
        <f t="shared" si="5"/>
        <v/>
      </c>
      <c r="L9" s="1">
        <f t="shared" si="6"/>
        <v>0.67932148626817446</v>
      </c>
    </row>
    <row r="10" spans="1:81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0.68416801292407103</v>
      </c>
      <c r="F10">
        <v>1.6111278333333334</v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" t="str">
        <f t="shared" si="4"/>
        <v/>
      </c>
      <c r="K10" s="1" t="str">
        <f t="shared" si="5"/>
        <v/>
      </c>
      <c r="L10" s="1">
        <f t="shared" si="6"/>
        <v>0.68416801292407103</v>
      </c>
    </row>
    <row r="11" spans="1:81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0.98061389337641358</v>
      </c>
      <c r="F11">
        <v>1.6666666666666667</v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" t="str">
        <f t="shared" si="4"/>
        <v/>
      </c>
      <c r="K11" s="1" t="str">
        <f t="shared" si="5"/>
        <v/>
      </c>
      <c r="L11" s="1">
        <f t="shared" si="6"/>
        <v>0.98061389337641358</v>
      </c>
    </row>
    <row r="12" spans="1:81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0.98061389337641358</v>
      </c>
      <c r="F12">
        <v>1.7222221666666666</v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" t="str">
        <f t="shared" si="4"/>
        <v/>
      </c>
      <c r="K12" s="1" t="str">
        <f t="shared" si="5"/>
        <v/>
      </c>
      <c r="L12" s="1">
        <f t="shared" si="6"/>
        <v>0.98061389337641358</v>
      </c>
    </row>
    <row r="13" spans="1:81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0.98061389337641358</v>
      </c>
      <c r="F13">
        <v>1.7777778333333334</v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" t="str">
        <f t="shared" si="4"/>
        <v/>
      </c>
      <c r="K13" s="1" t="str">
        <f t="shared" si="5"/>
        <v/>
      </c>
      <c r="L13" s="1">
        <f t="shared" si="6"/>
        <v>0.98061389337641358</v>
      </c>
    </row>
    <row r="14" spans="1:81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0.98061389337641358</v>
      </c>
      <c r="F14">
        <v>1.7777944999999999</v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" t="str">
        <f t="shared" si="4"/>
        <v/>
      </c>
      <c r="K14" s="1" t="str">
        <f t="shared" si="5"/>
        <v/>
      </c>
      <c r="L14" s="1">
        <f t="shared" si="6"/>
        <v>0.98061389337641358</v>
      </c>
    </row>
    <row r="15" spans="1:81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0.99030694668820674</v>
      </c>
      <c r="F15">
        <v>1.8333333333333333</v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" t="str">
        <f t="shared" si="4"/>
        <v/>
      </c>
      <c r="K15" s="1" t="str">
        <f t="shared" si="5"/>
        <v/>
      </c>
      <c r="L15" s="1">
        <f t="shared" si="6"/>
        <v>0.99030694668820674</v>
      </c>
    </row>
    <row r="16" spans="1:81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1</v>
      </c>
      <c r="F16">
        <v>1.83335</v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" t="str">
        <f t="shared" si="4"/>
        <v/>
      </c>
      <c r="K16" s="1" t="str">
        <f t="shared" si="5"/>
        <v/>
      </c>
      <c r="L16" s="1">
        <f t="shared" si="6"/>
        <v>1</v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1</v>
      </c>
      <c r="F17">
        <v>1.8888888333333334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 t="str">
        <f t="shared" si="4"/>
        <v/>
      </c>
      <c r="K17" s="1" t="str">
        <f t="shared" si="5"/>
        <v/>
      </c>
      <c r="L17" s="1">
        <f t="shared" si="6"/>
        <v>1</v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1</v>
      </c>
      <c r="F18">
        <v>1.8889054999999999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 t="str">
        <f t="shared" si="5"/>
        <v/>
      </c>
      <c r="L18" s="1">
        <f t="shared" si="6"/>
        <v>1</v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1</v>
      </c>
      <c r="F19">
        <v>1.9444445000000001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 t="str">
        <f t="shared" si="4"/>
        <v/>
      </c>
      <c r="K19" s="1" t="str">
        <f t="shared" si="5"/>
        <v/>
      </c>
      <c r="L19" s="1">
        <f t="shared" si="6"/>
        <v>1</v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1</v>
      </c>
      <c r="F20">
        <v>1.9444611666666667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 t="str">
        <f t="shared" si="5"/>
        <v/>
      </c>
      <c r="L20" s="1">
        <f t="shared" si="6"/>
        <v>1</v>
      </c>
    </row>
    <row r="21" spans="1:12">
      <c r="A21" t="s">
        <v>4</v>
      </c>
      <c r="B21">
        <v>6</v>
      </c>
      <c r="C21" t="str">
        <f t="shared" si="0"/>
        <v>test.BallonFactory_6_</v>
      </c>
      <c r="D21">
        <v>1</v>
      </c>
      <c r="E21">
        <v>0.17499999999999999</v>
      </c>
      <c r="F21">
        <v>1.5</v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" t="str">
        <f t="shared" si="4"/>
        <v/>
      </c>
      <c r="K21" s="1" t="str">
        <f t="shared" si="5"/>
        <v/>
      </c>
      <c r="L21" s="1">
        <f t="shared" si="6"/>
        <v>0.17499999999999999</v>
      </c>
    </row>
    <row r="22" spans="1:12">
      <c r="A22" t="s">
        <v>4</v>
      </c>
      <c r="B22">
        <v>6</v>
      </c>
      <c r="C22" t="str">
        <f t="shared" si="0"/>
        <v>test.BallonFactory_6_</v>
      </c>
      <c r="D22">
        <v>2</v>
      </c>
      <c r="E22">
        <v>0.3</v>
      </c>
      <c r="F22">
        <v>1.83333335</v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" t="str">
        <f t="shared" si="4"/>
        <v/>
      </c>
      <c r="K22" s="1" t="str">
        <f t="shared" si="5"/>
        <v/>
      </c>
      <c r="L22" s="1">
        <f t="shared" si="6"/>
        <v>0.3</v>
      </c>
    </row>
    <row r="23" spans="1:12">
      <c r="A23" t="s">
        <v>4</v>
      </c>
      <c r="B23">
        <v>6</v>
      </c>
      <c r="C23" t="str">
        <f t="shared" si="0"/>
        <v>test.BallonFactory_6_</v>
      </c>
      <c r="D23">
        <v>3</v>
      </c>
      <c r="E23">
        <v>0.88749999999999996</v>
      </c>
      <c r="F23">
        <v>2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 t="str">
        <f t="shared" si="4"/>
        <v/>
      </c>
      <c r="K23" s="1" t="str">
        <f t="shared" si="5"/>
        <v/>
      </c>
      <c r="L23" s="1">
        <f t="shared" si="6"/>
        <v>0.88749999999999996</v>
      </c>
    </row>
    <row r="24" spans="1:12">
      <c r="A24" t="s">
        <v>4</v>
      </c>
      <c r="B24">
        <v>6</v>
      </c>
      <c r="C24" t="str">
        <f t="shared" si="0"/>
        <v>test.BallonFactory_6_</v>
      </c>
      <c r="D24">
        <v>4</v>
      </c>
      <c r="E24">
        <v>1</v>
      </c>
      <c r="F24">
        <v>2.0000499999999999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 t="str">
        <f t="shared" si="5"/>
        <v/>
      </c>
      <c r="L24" s="1">
        <f t="shared" si="6"/>
        <v>1</v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1</v>
      </c>
      <c r="F25">
        <v>2.0001001500000002</v>
      </c>
      <c r="G25" s="1" t="str">
        <f t="shared" si="1"/>
        <v/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 t="str">
        <f t="shared" si="5"/>
        <v/>
      </c>
      <c r="L25" s="1">
        <f t="shared" si="6"/>
        <v>1</v>
      </c>
    </row>
    <row r="26" spans="1:12">
      <c r="A26" t="s">
        <v>4</v>
      </c>
      <c r="B26">
        <v>9</v>
      </c>
      <c r="C26" t="str">
        <f t="shared" si="0"/>
        <v>test.BallonFactory_9_</v>
      </c>
      <c r="D26">
        <v>1</v>
      </c>
      <c r="E26">
        <v>2.500477190303493E-2</v>
      </c>
      <c r="F26">
        <v>0.63636359917355456</v>
      </c>
      <c r="G26" s="1" t="str">
        <f t="shared" si="1"/>
        <v/>
      </c>
      <c r="H26" s="1" t="str">
        <f t="shared" si="2"/>
        <v/>
      </c>
      <c r="I26" s="1" t="str">
        <f t="shared" si="3"/>
        <v/>
      </c>
      <c r="J26" s="1">
        <f t="shared" si="4"/>
        <v>2.500477190303493E-2</v>
      </c>
      <c r="K26" s="1" t="str">
        <f t="shared" si="5"/>
        <v/>
      </c>
      <c r="L26" s="1" t="str">
        <f t="shared" si="6"/>
        <v/>
      </c>
    </row>
    <row r="27" spans="1:12">
      <c r="A27" t="s">
        <v>4</v>
      </c>
      <c r="B27">
        <v>9</v>
      </c>
      <c r="C27" t="str">
        <f t="shared" si="0"/>
        <v>test.BallonFactory_9_</v>
      </c>
      <c r="D27">
        <v>2</v>
      </c>
      <c r="E27">
        <v>9.524718457720939E-2</v>
      </c>
      <c r="F27">
        <v>0.77272723243801744</v>
      </c>
      <c r="G27" s="1" t="str">
        <f t="shared" si="1"/>
        <v/>
      </c>
      <c r="H27" s="1" t="str">
        <f t="shared" si="2"/>
        <v/>
      </c>
      <c r="I27" s="1" t="str">
        <f t="shared" si="3"/>
        <v/>
      </c>
      <c r="J27" s="1">
        <f t="shared" si="4"/>
        <v>9.524718457720939E-2</v>
      </c>
      <c r="K27" s="1" t="str">
        <f t="shared" si="5"/>
        <v/>
      </c>
      <c r="L27" s="1" t="str">
        <f t="shared" si="6"/>
        <v/>
      </c>
    </row>
    <row r="28" spans="1:12">
      <c r="A28" t="s">
        <v>4</v>
      </c>
      <c r="B28">
        <v>9</v>
      </c>
      <c r="C28" t="str">
        <f t="shared" si="0"/>
        <v>test.BallonFactory_9_</v>
      </c>
      <c r="D28">
        <v>3</v>
      </c>
      <c r="E28">
        <v>0.1370490551631991</v>
      </c>
      <c r="F28">
        <v>0.79545455010330568</v>
      </c>
      <c r="G28" s="1" t="str">
        <f t="shared" si="1"/>
        <v/>
      </c>
      <c r="H28" s="1" t="str">
        <f t="shared" si="2"/>
        <v/>
      </c>
      <c r="I28" s="1" t="str">
        <f t="shared" si="3"/>
        <v/>
      </c>
      <c r="J28" s="1">
        <f t="shared" si="4"/>
        <v>0.1370490551631991</v>
      </c>
      <c r="K28" s="1" t="str">
        <f t="shared" si="5"/>
        <v/>
      </c>
      <c r="L28" s="1" t="str">
        <f t="shared" si="6"/>
        <v/>
      </c>
    </row>
    <row r="29" spans="1:12">
      <c r="A29" t="s">
        <v>4</v>
      </c>
      <c r="B29">
        <v>9</v>
      </c>
      <c r="C29" t="str">
        <f t="shared" si="0"/>
        <v>test.BallonFactory_9_</v>
      </c>
      <c r="D29">
        <v>4</v>
      </c>
      <c r="E29">
        <v>0.1819049436915442</v>
      </c>
      <c r="F29">
        <v>0.81818179958677728</v>
      </c>
      <c r="G29" s="1" t="str">
        <f t="shared" si="1"/>
        <v/>
      </c>
      <c r="H29" s="1" t="str">
        <f t="shared" si="2"/>
        <v/>
      </c>
      <c r="I29" s="1" t="str">
        <f t="shared" si="3"/>
        <v/>
      </c>
      <c r="J29" s="1" t="str">
        <f t="shared" si="4"/>
        <v/>
      </c>
      <c r="K29" s="1">
        <f t="shared" si="5"/>
        <v>0.1819049436915442</v>
      </c>
      <c r="L29" s="1" t="str">
        <f t="shared" si="6"/>
        <v/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0.23096010689062799</v>
      </c>
      <c r="F30">
        <v>0.81818861776844043</v>
      </c>
      <c r="G30" s="1" t="str">
        <f t="shared" si="1"/>
        <v/>
      </c>
      <c r="H30" s="1" t="str">
        <f t="shared" si="2"/>
        <v/>
      </c>
      <c r="I30" s="1" t="str">
        <f t="shared" si="3"/>
        <v/>
      </c>
      <c r="J30" s="1" t="str">
        <f t="shared" si="4"/>
        <v/>
      </c>
      <c r="K30" s="1">
        <f t="shared" si="5"/>
        <v>0.23096010689062799</v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0.47738117961443022</v>
      </c>
      <c r="F31">
        <v>1.0681818166322314</v>
      </c>
      <c r="G31" s="1" t="str">
        <f t="shared" si="1"/>
        <v/>
      </c>
      <c r="H31" s="1" t="str">
        <f t="shared" si="2"/>
        <v/>
      </c>
      <c r="I31" s="1" t="str">
        <f t="shared" si="3"/>
        <v/>
      </c>
      <c r="J31" s="1" t="str">
        <f t="shared" si="4"/>
        <v/>
      </c>
      <c r="K31" s="1">
        <f t="shared" si="5"/>
        <v>0.47738117961443022</v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0.67684672647451805</v>
      </c>
      <c r="F32">
        <v>1.090909066115703</v>
      </c>
      <c r="G32" s="1" t="str">
        <f t="shared" si="1"/>
        <v/>
      </c>
      <c r="H32" s="1" t="str">
        <f t="shared" si="2"/>
        <v/>
      </c>
      <c r="I32" s="1" t="str">
        <f t="shared" si="3"/>
        <v/>
      </c>
      <c r="J32" s="1" t="str">
        <f t="shared" si="4"/>
        <v/>
      </c>
      <c r="K32" s="1">
        <f t="shared" si="5"/>
        <v>0.67684672647451805</v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0.94922695170834126</v>
      </c>
      <c r="F33">
        <v>1.1136363837809913</v>
      </c>
      <c r="G33" s="1" t="str">
        <f t="shared" si="1"/>
        <v/>
      </c>
      <c r="H33" s="1" t="str">
        <f t="shared" si="2"/>
        <v/>
      </c>
      <c r="I33" s="1" t="str">
        <f t="shared" si="3"/>
        <v/>
      </c>
      <c r="J33" s="1" t="str">
        <f t="shared" si="4"/>
        <v/>
      </c>
      <c r="K33" s="1" t="str">
        <f t="shared" si="5"/>
        <v/>
      </c>
      <c r="L33" s="1">
        <f t="shared" si="6"/>
        <v>0.94922695170834126</v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0.96182477572055736</v>
      </c>
      <c r="F34">
        <v>1.1136431337808379</v>
      </c>
      <c r="G34" s="1" t="str">
        <f t="shared" si="1"/>
        <v/>
      </c>
      <c r="H34" s="1" t="str">
        <f t="shared" si="2"/>
        <v/>
      </c>
      <c r="I34" s="1" t="str">
        <f t="shared" si="3"/>
        <v/>
      </c>
      <c r="J34" s="1" t="str">
        <f t="shared" si="4"/>
        <v/>
      </c>
      <c r="K34" s="1" t="str">
        <f t="shared" si="5"/>
        <v/>
      </c>
      <c r="L34" s="1">
        <f t="shared" si="6"/>
        <v>0.96182477572055736</v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1</v>
      </c>
      <c r="F35">
        <v>1.1818182004132227</v>
      </c>
      <c r="G35" s="1" t="str">
        <f t="shared" si="1"/>
        <v/>
      </c>
      <c r="H35" s="1" t="str">
        <f t="shared" si="2"/>
        <v/>
      </c>
      <c r="I35" s="1" t="str">
        <f t="shared" si="3"/>
        <v/>
      </c>
      <c r="J35" s="1" t="str">
        <f t="shared" si="4"/>
        <v/>
      </c>
      <c r="K35" s="1" t="str">
        <f t="shared" si="5"/>
        <v/>
      </c>
      <c r="L35" s="1">
        <f t="shared" si="6"/>
        <v>1</v>
      </c>
    </row>
    <row r="36" spans="1:12">
      <c r="A36" t="s">
        <v>32</v>
      </c>
      <c r="B36">
        <v>2</v>
      </c>
      <c r="C36" t="str">
        <f t="shared" si="0"/>
        <v>test.Base64_2_</v>
      </c>
      <c r="D36">
        <v>1</v>
      </c>
      <c r="E36">
        <v>0.11263736263736264</v>
      </c>
      <c r="F36">
        <v>1.3000000630000006</v>
      </c>
      <c r="G36" s="1" t="str">
        <f t="shared" si="1"/>
        <v/>
      </c>
      <c r="H36" s="1" t="str">
        <f t="shared" si="2"/>
        <v/>
      </c>
      <c r="I36" s="1" t="str">
        <f t="shared" si="3"/>
        <v/>
      </c>
      <c r="J36" s="1" t="str">
        <f t="shared" si="4"/>
        <v/>
      </c>
      <c r="K36" s="1" t="str">
        <f t="shared" si="5"/>
        <v/>
      </c>
      <c r="L36" s="1">
        <f t="shared" si="6"/>
        <v>0.11263736263736264</v>
      </c>
    </row>
    <row r="37" spans="1:12">
      <c r="A37" t="s">
        <v>32</v>
      </c>
      <c r="B37">
        <v>2</v>
      </c>
      <c r="C37" t="str">
        <f t="shared" si="0"/>
        <v>test.Base64_2_</v>
      </c>
      <c r="D37">
        <v>2</v>
      </c>
      <c r="E37">
        <v>0.38186813186813184</v>
      </c>
      <c r="F37">
        <v>1.6999999669999997</v>
      </c>
      <c r="G37" s="1" t="str">
        <f t="shared" si="1"/>
        <v/>
      </c>
      <c r="H37" s="1" t="str">
        <f t="shared" si="2"/>
        <v/>
      </c>
      <c r="I37" s="1" t="str">
        <f t="shared" si="3"/>
        <v/>
      </c>
      <c r="J37" s="1" t="str">
        <f t="shared" si="4"/>
        <v/>
      </c>
      <c r="K37" s="1" t="str">
        <f t="shared" si="5"/>
        <v/>
      </c>
      <c r="L37" s="1">
        <f t="shared" si="6"/>
        <v>0.38186813186813184</v>
      </c>
    </row>
    <row r="38" spans="1:12">
      <c r="A38" t="s">
        <v>32</v>
      </c>
      <c r="B38">
        <v>2</v>
      </c>
      <c r="C38" t="str">
        <f t="shared" si="0"/>
        <v>test.Base64_2_</v>
      </c>
      <c r="D38">
        <v>3</v>
      </c>
      <c r="E38">
        <v>0.8571428571428571</v>
      </c>
      <c r="F38">
        <v>1.9000000690000007</v>
      </c>
      <c r="G38" s="1" t="str">
        <f t="shared" si="1"/>
        <v/>
      </c>
      <c r="H38" s="1" t="str">
        <f t="shared" si="2"/>
        <v/>
      </c>
      <c r="I38" s="1" t="str">
        <f t="shared" si="3"/>
        <v/>
      </c>
      <c r="J38" s="1" t="str">
        <f t="shared" si="4"/>
        <v/>
      </c>
      <c r="K38" s="1" t="str">
        <f t="shared" si="5"/>
        <v/>
      </c>
      <c r="L38" s="1">
        <f t="shared" si="6"/>
        <v>0.8571428571428571</v>
      </c>
    </row>
    <row r="39" spans="1:12">
      <c r="A39" t="s">
        <v>32</v>
      </c>
      <c r="B39">
        <v>2</v>
      </c>
      <c r="C39" t="str">
        <f t="shared" si="0"/>
        <v>test.Base64_2_</v>
      </c>
      <c r="D39">
        <v>4</v>
      </c>
      <c r="E39">
        <v>1</v>
      </c>
      <c r="F39">
        <v>2.4000000240000001</v>
      </c>
      <c r="G39" s="1" t="str">
        <f t="shared" si="1"/>
        <v/>
      </c>
      <c r="H39" s="1" t="str">
        <f t="shared" si="2"/>
        <v/>
      </c>
      <c r="I39" s="1" t="str">
        <f t="shared" si="3"/>
        <v/>
      </c>
      <c r="J39" s="1" t="str">
        <f t="shared" si="4"/>
        <v/>
      </c>
      <c r="K39" s="1" t="str">
        <f t="shared" si="5"/>
        <v/>
      </c>
      <c r="L39" s="1">
        <f t="shared" si="6"/>
        <v>1</v>
      </c>
    </row>
    <row r="40" spans="1:12">
      <c r="A40" t="s">
        <v>32</v>
      </c>
      <c r="B40">
        <v>4</v>
      </c>
      <c r="C40" t="str">
        <f t="shared" si="0"/>
        <v>test.Base64_4_</v>
      </c>
      <c r="D40">
        <v>1</v>
      </c>
      <c r="E40">
        <v>0.11263736263736264</v>
      </c>
      <c r="F40">
        <v>1.3636363512396696</v>
      </c>
      <c r="G40" s="1" t="str">
        <f t="shared" si="1"/>
        <v/>
      </c>
      <c r="H40" s="1" t="str">
        <f t="shared" si="2"/>
        <v/>
      </c>
      <c r="I40" s="1" t="str">
        <f t="shared" si="3"/>
        <v/>
      </c>
      <c r="J40" s="1" t="str">
        <f t="shared" si="4"/>
        <v/>
      </c>
      <c r="K40" s="1" t="str">
        <f t="shared" si="5"/>
        <v/>
      </c>
      <c r="L40" s="1">
        <f t="shared" si="6"/>
        <v>0.11263736263736264</v>
      </c>
    </row>
    <row r="41" spans="1:12">
      <c r="A41" t="s">
        <v>32</v>
      </c>
      <c r="B41">
        <v>4</v>
      </c>
      <c r="C41" t="str">
        <f t="shared" si="0"/>
        <v>test.Base64_4_</v>
      </c>
      <c r="D41">
        <v>2</v>
      </c>
      <c r="E41">
        <v>0.38186813186813184</v>
      </c>
      <c r="F41">
        <v>1.5454544859504138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 t="str">
        <f t="shared" si="4"/>
        <v/>
      </c>
      <c r="K41" s="1" t="str">
        <f t="shared" si="5"/>
        <v/>
      </c>
      <c r="L41" s="1">
        <f t="shared" si="6"/>
        <v>0.38186813186813184</v>
      </c>
    </row>
    <row r="42" spans="1:12">
      <c r="A42" t="s">
        <v>32</v>
      </c>
      <c r="B42">
        <v>4</v>
      </c>
      <c r="C42" t="str">
        <f t="shared" si="0"/>
        <v>test.Base64_4_</v>
      </c>
      <c r="D42">
        <v>3</v>
      </c>
      <c r="E42">
        <v>0.8571428571428571</v>
      </c>
      <c r="F42">
        <v>1.9090908917355374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 t="str">
        <f t="shared" si="4"/>
        <v/>
      </c>
      <c r="K42" s="1" t="str">
        <f t="shared" si="5"/>
        <v/>
      </c>
      <c r="L42" s="1">
        <f t="shared" si="6"/>
        <v>0.8571428571428571</v>
      </c>
    </row>
    <row r="43" spans="1:12">
      <c r="A43" t="s">
        <v>32</v>
      </c>
      <c r="B43">
        <v>4</v>
      </c>
      <c r="C43" t="str">
        <f t="shared" si="0"/>
        <v>test.Base64_4_</v>
      </c>
      <c r="D43">
        <v>4</v>
      </c>
      <c r="E43">
        <v>1</v>
      </c>
      <c r="F43">
        <v>2.0909090264462815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 t="str">
        <f t="shared" si="4"/>
        <v/>
      </c>
      <c r="K43" s="1" t="str">
        <f t="shared" si="5"/>
        <v/>
      </c>
      <c r="L43" s="1">
        <f t="shared" si="6"/>
        <v>1</v>
      </c>
    </row>
    <row r="44" spans="1:12">
      <c r="A44" t="s">
        <v>32</v>
      </c>
      <c r="B44">
        <v>13</v>
      </c>
      <c r="C44" t="str">
        <f t="shared" si="0"/>
        <v>test.Base64_13_</v>
      </c>
      <c r="D44">
        <v>1</v>
      </c>
      <c r="E44">
        <v>0.83333333333333337</v>
      </c>
      <c r="F44">
        <v>1.16666665</v>
      </c>
      <c r="G44" s="1" t="str">
        <f t="shared" si="1"/>
        <v/>
      </c>
      <c r="H44" s="1" t="str">
        <f t="shared" si="2"/>
        <v/>
      </c>
      <c r="I44" s="1" t="str">
        <f t="shared" si="3"/>
        <v/>
      </c>
      <c r="J44" s="1" t="str">
        <f t="shared" si="4"/>
        <v/>
      </c>
      <c r="K44" s="1" t="str">
        <f t="shared" si="5"/>
        <v/>
      </c>
      <c r="L44" s="1">
        <f t="shared" si="6"/>
        <v>0.83333333333333337</v>
      </c>
    </row>
    <row r="45" spans="1:12">
      <c r="A45" t="s">
        <v>32</v>
      </c>
      <c r="B45">
        <v>13</v>
      </c>
      <c r="C45" t="str">
        <f t="shared" si="0"/>
        <v>test.Base64_13_</v>
      </c>
      <c r="D45">
        <v>2</v>
      </c>
      <c r="E45">
        <v>1</v>
      </c>
      <c r="F45">
        <v>1.33333335</v>
      </c>
      <c r="G45" s="1" t="str">
        <f t="shared" si="1"/>
        <v/>
      </c>
      <c r="H45" s="1" t="str">
        <f t="shared" si="2"/>
        <v/>
      </c>
      <c r="I45" s="1" t="str">
        <f t="shared" si="3"/>
        <v/>
      </c>
      <c r="J45" s="1" t="str">
        <f t="shared" si="4"/>
        <v/>
      </c>
      <c r="K45" s="1" t="str">
        <f t="shared" si="5"/>
        <v/>
      </c>
      <c r="L45" s="1">
        <f t="shared" si="6"/>
        <v>1</v>
      </c>
    </row>
    <row r="46" spans="1:12">
      <c r="A46" t="s">
        <v>32</v>
      </c>
      <c r="B46">
        <v>13</v>
      </c>
      <c r="C46" t="str">
        <f t="shared" si="0"/>
        <v>test.Base64_13_</v>
      </c>
      <c r="D46">
        <v>3</v>
      </c>
      <c r="E46">
        <v>1</v>
      </c>
      <c r="F46">
        <v>1.3333832999999999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 t="str">
        <f t="shared" si="4"/>
        <v/>
      </c>
      <c r="K46" s="1" t="str">
        <f t="shared" si="5"/>
        <v/>
      </c>
      <c r="L46" s="1">
        <f t="shared" si="6"/>
        <v>1</v>
      </c>
    </row>
    <row r="47" spans="1:12">
      <c r="A47" t="s">
        <v>32</v>
      </c>
      <c r="B47">
        <v>13</v>
      </c>
      <c r="C47" t="str">
        <f t="shared" si="0"/>
        <v>test.Base64_13_</v>
      </c>
      <c r="D47">
        <v>4</v>
      </c>
      <c r="E47">
        <v>1</v>
      </c>
      <c r="F47">
        <v>1.3334332499999999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 t="str">
        <f t="shared" si="5"/>
        <v/>
      </c>
      <c r="L47" s="1">
        <f t="shared" si="6"/>
        <v>1</v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1</v>
      </c>
      <c r="F48">
        <v>1.5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 t="str">
        <f t="shared" si="5"/>
        <v/>
      </c>
      <c r="L48" s="1">
        <f t="shared" si="6"/>
        <v>1</v>
      </c>
    </row>
    <row r="49" spans="1:12">
      <c r="A49" t="s">
        <v>32</v>
      </c>
      <c r="B49">
        <v>16</v>
      </c>
      <c r="C49" t="str">
        <f t="shared" si="0"/>
        <v>test.Base64_16_</v>
      </c>
      <c r="D49">
        <v>1</v>
      </c>
      <c r="E49">
        <v>4.6262979335869232E-4</v>
      </c>
      <c r="F49">
        <v>0.19852941760380641</v>
      </c>
      <c r="G49" s="1">
        <f>IF($F49 &lt;= 0.2,$E49,"")</f>
        <v>4.6262979335869232E-4</v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 t="str">
        <f t="shared" si="5"/>
        <v/>
      </c>
      <c r="L49" s="1" t="str">
        <f t="shared" si="6"/>
        <v/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1.1308728282101368E-3</v>
      </c>
      <c r="F50">
        <v>0.20588235164359858</v>
      </c>
      <c r="G50" s="1" t="str">
        <f t="shared" si="1"/>
        <v/>
      </c>
      <c r="H50" s="1">
        <f t="shared" si="2"/>
        <v>1.1308728282101368E-3</v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0.73337102909427365</v>
      </c>
      <c r="F51">
        <v>1.8161765828287231</v>
      </c>
      <c r="G51" s="1" t="str">
        <f t="shared" si="1"/>
        <v/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 t="str">
        <f t="shared" si="5"/>
        <v/>
      </c>
      <c r="L51" s="1">
        <f t="shared" si="6"/>
        <v>0.73337102909427365</v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1</v>
      </c>
      <c r="F52">
        <v>1.9264707037197266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 t="str">
        <f t="shared" si="5"/>
        <v/>
      </c>
      <c r="L52" s="1">
        <f t="shared" si="6"/>
        <v>1</v>
      </c>
    </row>
    <row r="53" spans="1:12">
      <c r="A53" t="s">
        <v>32</v>
      </c>
      <c r="B53">
        <v>18</v>
      </c>
      <c r="C53" t="str">
        <f t="shared" si="0"/>
        <v>test.Base64_18_</v>
      </c>
      <c r="D53">
        <v>1</v>
      </c>
      <c r="E53">
        <v>2.3706896551724138E-3</v>
      </c>
      <c r="F53">
        <v>0.1726618754722842</v>
      </c>
      <c r="G53" s="1">
        <f t="shared" si="1"/>
        <v>2.3706896551724138E-3</v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 t="str">
        <f t="shared" si="5"/>
        <v/>
      </c>
      <c r="L53" s="1" t="str">
        <f t="shared" si="6"/>
        <v/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3.5560344827586209E-3</v>
      </c>
      <c r="F54">
        <v>0.17266403374572759</v>
      </c>
      <c r="G54" s="1">
        <f t="shared" si="1"/>
        <v>3.5560344827586209E-3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1.7133620689655172E-2</v>
      </c>
      <c r="F55">
        <v>0.20863310672325489</v>
      </c>
      <c r="G55" s="1" t="str">
        <f t="shared" si="1"/>
        <v/>
      </c>
      <c r="H55" s="1">
        <f t="shared" si="2"/>
        <v>1.7133620689655172E-2</v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2.6508620689655173E-2</v>
      </c>
      <c r="F56">
        <v>0.23741007877439077</v>
      </c>
      <c r="G56" s="1" t="str">
        <f t="shared" si="1"/>
        <v/>
      </c>
      <c r="H56" s="1">
        <f t="shared" si="2"/>
        <v>2.6508620689655173E-2</v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7.3275862068965511E-2</v>
      </c>
      <c r="F57">
        <v>0.27338131002536148</v>
      </c>
      <c r="G57" s="1" t="str">
        <f t="shared" si="1"/>
        <v/>
      </c>
      <c r="H57" s="1">
        <f t="shared" si="2"/>
        <v>7.3275862068965511E-2</v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8.7931034482758616E-2</v>
      </c>
      <c r="F58">
        <v>0.27338346829880483</v>
      </c>
      <c r="G58" s="1" t="str">
        <f t="shared" si="1"/>
        <v/>
      </c>
      <c r="H58" s="1">
        <f t="shared" si="2"/>
        <v>8.7931034482758616E-2</v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0.10161637931034483</v>
      </c>
      <c r="F59">
        <v>0.28776978525956215</v>
      </c>
      <c r="G59" s="1" t="str">
        <f t="shared" si="1"/>
        <v/>
      </c>
      <c r="H59" s="1">
        <f t="shared" si="2"/>
        <v>0.10161637931034483</v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0.1021551724137931</v>
      </c>
      <c r="F60">
        <v>0.28777194353300556</v>
      </c>
      <c r="G60" s="1" t="str">
        <f t="shared" si="1"/>
        <v/>
      </c>
      <c r="H60" s="1">
        <f t="shared" si="2"/>
        <v>0.1021551724137931</v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0.1021551724137931</v>
      </c>
      <c r="F61">
        <v>0.294964044459397</v>
      </c>
      <c r="G61" s="1" t="str">
        <f t="shared" si="1"/>
        <v/>
      </c>
      <c r="H61" s="1">
        <f t="shared" si="2"/>
        <v>0.1021551724137931</v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0.1021551724137931</v>
      </c>
      <c r="F62">
        <v>0.29496620273284035</v>
      </c>
      <c r="G62" s="1" t="str">
        <f t="shared" si="1"/>
        <v/>
      </c>
      <c r="H62" s="1">
        <f t="shared" si="2"/>
        <v>0.1021551724137931</v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0.1021551724137931</v>
      </c>
      <c r="F63">
        <v>0.29496836100628376</v>
      </c>
      <c r="G63" s="1" t="str">
        <f t="shared" si="1"/>
        <v/>
      </c>
      <c r="H63" s="1">
        <f t="shared" si="2"/>
        <v>0.1021551724137931</v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0.1021551724137931</v>
      </c>
      <c r="F64">
        <v>0.29497051927972717</v>
      </c>
      <c r="G64" s="1" t="str">
        <f t="shared" si="1"/>
        <v/>
      </c>
      <c r="H64" s="1">
        <f t="shared" si="2"/>
        <v>0.1021551724137931</v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0.1021551724137931</v>
      </c>
      <c r="F65">
        <v>0.30215828207649731</v>
      </c>
      <c r="G65" s="1" t="str">
        <f t="shared" si="1"/>
        <v/>
      </c>
      <c r="H65" s="1">
        <f t="shared" si="2"/>
        <v>0.1021551724137931</v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0.12661637931034483</v>
      </c>
      <c r="F66">
        <v>0.30216044034994072</v>
      </c>
      <c r="G66" s="1" t="str">
        <f t="shared" si="1"/>
        <v/>
      </c>
      <c r="H66" s="1">
        <f t="shared" si="2"/>
        <v>0.12661637931034483</v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23">CONCATENATE(A67, "_",B67,"_")</f>
        <v>test.Base64_18_</v>
      </c>
      <c r="D67">
        <v>15</v>
      </c>
      <c r="E67">
        <v>0.12661637931034483</v>
      </c>
      <c r="F67">
        <v>0.30935251969359767</v>
      </c>
      <c r="G67" s="1" t="str">
        <f t="shared" ref="G67:G130" si="24">IF($F67 &lt;= 0.2,$E67,"")</f>
        <v/>
      </c>
      <c r="H67" s="1">
        <f t="shared" ref="H67:H130" si="25">IF(AND($F67 &gt; 0.2,$F67 &lt;= 0.4),$E67,"")</f>
        <v>0.12661637931034483</v>
      </c>
      <c r="I67" s="1" t="str">
        <f t="shared" ref="I67:I130" si="26">IF(AND($F67 &gt; 0.4,$F67 &lt;= 0.6),$E67,"")</f>
        <v/>
      </c>
      <c r="J67" s="1" t="str">
        <f t="shared" ref="J67:J130" si="27">IF(AND($F67 &gt; 0.6,$F67 &lt;= 0.8),$E67,"")</f>
        <v/>
      </c>
      <c r="K67" s="1" t="str">
        <f t="shared" ref="K67:K130" si="28">IF(AND($F67 &gt; 0.8, $F67 &lt;=1.1),$E67,"")</f>
        <v/>
      </c>
      <c r="L67" s="1" t="str">
        <f t="shared" ref="L67:L130" si="29">IF(AND($F67 &gt; 1.1),$E67,"")</f>
        <v/>
      </c>
    </row>
    <row r="68" spans="1:12">
      <c r="A68" t="s">
        <v>32</v>
      </c>
      <c r="B68">
        <v>18</v>
      </c>
      <c r="C68" t="str">
        <f t="shared" si="23"/>
        <v>test.Base64_18_</v>
      </c>
      <c r="D68">
        <v>16</v>
      </c>
      <c r="E68">
        <v>0.12661637931034483</v>
      </c>
      <c r="F68">
        <v>0.30935467796704108</v>
      </c>
      <c r="G68" s="1" t="str">
        <f t="shared" si="24"/>
        <v/>
      </c>
      <c r="H68" s="1">
        <f t="shared" si="25"/>
        <v>0.12661637931034483</v>
      </c>
      <c r="I68" s="1" t="str">
        <f t="shared" si="26"/>
        <v/>
      </c>
      <c r="J68" s="1" t="str">
        <f t="shared" si="27"/>
        <v/>
      </c>
      <c r="K68" s="1" t="str">
        <f t="shared" si="28"/>
        <v/>
      </c>
      <c r="L68" s="1" t="str">
        <f t="shared" si="29"/>
        <v/>
      </c>
    </row>
    <row r="69" spans="1:12">
      <c r="A69" t="s">
        <v>32</v>
      </c>
      <c r="B69">
        <v>18</v>
      </c>
      <c r="C69" t="str">
        <f t="shared" si="23"/>
        <v>test.Base64_18_</v>
      </c>
      <c r="D69">
        <v>17</v>
      </c>
      <c r="E69">
        <v>0.12661637931034483</v>
      </c>
      <c r="F69">
        <v>0.31654677889343252</v>
      </c>
      <c r="G69" s="1" t="str">
        <f t="shared" si="24"/>
        <v/>
      </c>
      <c r="H69" s="1">
        <f t="shared" si="25"/>
        <v>0.12661637931034483</v>
      </c>
      <c r="I69" s="1" t="str">
        <f t="shared" si="26"/>
        <v/>
      </c>
      <c r="J69" s="1" t="str">
        <f t="shared" si="27"/>
        <v/>
      </c>
      <c r="K69" s="1" t="str">
        <f t="shared" si="28"/>
        <v/>
      </c>
      <c r="L69" s="1" t="str">
        <f t="shared" si="29"/>
        <v/>
      </c>
    </row>
    <row r="70" spans="1:12">
      <c r="A70" t="s">
        <v>32</v>
      </c>
      <c r="B70">
        <v>18</v>
      </c>
      <c r="C70" t="str">
        <f t="shared" si="23"/>
        <v>test.Base64_18_</v>
      </c>
      <c r="D70">
        <v>18</v>
      </c>
      <c r="E70">
        <v>0.12661637931034483</v>
      </c>
      <c r="F70">
        <v>0.32374101651053289</v>
      </c>
      <c r="G70" s="1" t="str">
        <f t="shared" si="24"/>
        <v/>
      </c>
      <c r="H70" s="1">
        <f t="shared" si="25"/>
        <v>0.12661637931034483</v>
      </c>
      <c r="I70" s="1" t="str">
        <f t="shared" si="26"/>
        <v/>
      </c>
      <c r="J70" s="1" t="str">
        <f t="shared" si="27"/>
        <v/>
      </c>
      <c r="K70" s="1" t="str">
        <f t="shared" si="28"/>
        <v/>
      </c>
      <c r="L70" s="1" t="str">
        <f t="shared" si="29"/>
        <v/>
      </c>
    </row>
    <row r="71" spans="1:12">
      <c r="A71" t="s">
        <v>32</v>
      </c>
      <c r="B71">
        <v>18</v>
      </c>
      <c r="C71" t="str">
        <f t="shared" si="23"/>
        <v>test.Base64_18_</v>
      </c>
      <c r="D71">
        <v>19</v>
      </c>
      <c r="E71">
        <v>0.2113146551724138</v>
      </c>
      <c r="F71">
        <v>0.33812951332746805</v>
      </c>
      <c r="G71" s="1" t="str">
        <f t="shared" si="24"/>
        <v/>
      </c>
      <c r="H71" s="1">
        <f t="shared" si="25"/>
        <v>0.2113146551724138</v>
      </c>
      <c r="I71" s="1" t="str">
        <f t="shared" si="26"/>
        <v/>
      </c>
      <c r="J71" s="1" t="str">
        <f t="shared" si="27"/>
        <v/>
      </c>
      <c r="K71" s="1" t="str">
        <f t="shared" si="28"/>
        <v/>
      </c>
      <c r="L71" s="1" t="str">
        <f t="shared" si="29"/>
        <v/>
      </c>
    </row>
    <row r="72" spans="1:12">
      <c r="A72" t="s">
        <v>32</v>
      </c>
      <c r="B72">
        <v>18</v>
      </c>
      <c r="C72" t="str">
        <f t="shared" si="23"/>
        <v>test.Base64_18_</v>
      </c>
      <c r="D72">
        <v>20</v>
      </c>
      <c r="E72">
        <v>0.23577586206896553</v>
      </c>
      <c r="F72">
        <v>0.34532375094456841</v>
      </c>
      <c r="G72" s="1" t="str">
        <f t="shared" si="24"/>
        <v/>
      </c>
      <c r="H72" s="1">
        <f t="shared" si="25"/>
        <v>0.23577586206896553</v>
      </c>
      <c r="I72" s="1" t="str">
        <f t="shared" si="26"/>
        <v/>
      </c>
      <c r="J72" s="1" t="str">
        <f t="shared" si="27"/>
        <v/>
      </c>
      <c r="K72" s="1" t="str">
        <f t="shared" si="28"/>
        <v/>
      </c>
      <c r="L72" s="1" t="str">
        <f t="shared" si="29"/>
        <v/>
      </c>
    </row>
    <row r="73" spans="1:12">
      <c r="A73" t="s">
        <v>32</v>
      </c>
      <c r="B73">
        <v>18</v>
      </c>
      <c r="C73" t="str">
        <f t="shared" si="23"/>
        <v>test.Base64_18_</v>
      </c>
      <c r="D73">
        <v>21</v>
      </c>
      <c r="E73">
        <v>0.23868534482758622</v>
      </c>
      <c r="F73">
        <v>0.36690648537860393</v>
      </c>
      <c r="G73" s="1" t="str">
        <f t="shared" si="24"/>
        <v/>
      </c>
      <c r="H73" s="1">
        <f t="shared" si="25"/>
        <v>0.23868534482758622</v>
      </c>
      <c r="I73" s="1" t="str">
        <f t="shared" si="26"/>
        <v/>
      </c>
      <c r="J73" s="1" t="str">
        <f t="shared" si="27"/>
        <v/>
      </c>
      <c r="K73" s="1" t="str">
        <f t="shared" si="28"/>
        <v/>
      </c>
      <c r="L73" s="1" t="str">
        <f t="shared" si="29"/>
        <v/>
      </c>
    </row>
    <row r="74" spans="1:12">
      <c r="A74" t="s">
        <v>32</v>
      </c>
      <c r="B74">
        <v>18</v>
      </c>
      <c r="C74" t="str">
        <f t="shared" si="23"/>
        <v>test.Base64_18_</v>
      </c>
      <c r="D74">
        <v>22</v>
      </c>
      <c r="E74">
        <v>0.32974137931034481</v>
      </c>
      <c r="F74">
        <v>0.3812949606128046</v>
      </c>
      <c r="G74" s="1" t="str">
        <f t="shared" si="24"/>
        <v/>
      </c>
      <c r="H74" s="1">
        <f t="shared" si="25"/>
        <v>0.32974137931034481</v>
      </c>
      <c r="I74" s="1" t="str">
        <f t="shared" si="26"/>
        <v/>
      </c>
      <c r="J74" s="1" t="str">
        <f t="shared" si="27"/>
        <v/>
      </c>
      <c r="K74" s="1" t="str">
        <f t="shared" si="28"/>
        <v/>
      </c>
      <c r="L74" s="1" t="str">
        <f t="shared" si="29"/>
        <v/>
      </c>
    </row>
    <row r="75" spans="1:12">
      <c r="A75" t="s">
        <v>32</v>
      </c>
      <c r="B75">
        <v>18</v>
      </c>
      <c r="C75" t="str">
        <f t="shared" si="23"/>
        <v>test.Base64_18_</v>
      </c>
      <c r="D75">
        <v>23</v>
      </c>
      <c r="E75">
        <v>0.35635775862068964</v>
      </c>
      <c r="F75">
        <v>0.38129709730351363</v>
      </c>
      <c r="G75" s="1" t="str">
        <f t="shared" si="24"/>
        <v/>
      </c>
      <c r="H75" s="1">
        <f t="shared" si="25"/>
        <v>0.35635775862068964</v>
      </c>
      <c r="I75" s="1" t="str">
        <f t="shared" si="26"/>
        <v/>
      </c>
      <c r="J75" s="1" t="str">
        <f t="shared" si="27"/>
        <v/>
      </c>
      <c r="K75" s="1" t="str">
        <f t="shared" si="28"/>
        <v/>
      </c>
      <c r="L75" s="1" t="str">
        <f t="shared" si="29"/>
        <v/>
      </c>
    </row>
    <row r="76" spans="1:12">
      <c r="A76" t="s">
        <v>32</v>
      </c>
      <c r="B76">
        <v>18</v>
      </c>
      <c r="C76" t="str">
        <f t="shared" si="23"/>
        <v>test.Base64_18_</v>
      </c>
      <c r="D76">
        <v>24</v>
      </c>
      <c r="E76">
        <v>0.35808189655172412</v>
      </c>
      <c r="F76">
        <v>0.39568347901247425</v>
      </c>
      <c r="G76" s="1" t="str">
        <f t="shared" si="24"/>
        <v/>
      </c>
      <c r="H76" s="1">
        <f t="shared" si="25"/>
        <v>0.35808189655172412</v>
      </c>
      <c r="I76" s="1" t="str">
        <f t="shared" si="26"/>
        <v/>
      </c>
      <c r="J76" s="1" t="str">
        <f t="shared" si="27"/>
        <v/>
      </c>
      <c r="K76" s="1" t="str">
        <f t="shared" si="28"/>
        <v/>
      </c>
      <c r="L76" s="1" t="str">
        <f t="shared" si="29"/>
        <v/>
      </c>
    </row>
    <row r="77" spans="1:12">
      <c r="A77" t="s">
        <v>32</v>
      </c>
      <c r="B77">
        <v>18</v>
      </c>
      <c r="C77" t="str">
        <f t="shared" si="23"/>
        <v>test.Base64_18_</v>
      </c>
      <c r="D77">
        <v>25</v>
      </c>
      <c r="E77">
        <v>0.48351293103448278</v>
      </c>
      <c r="F77">
        <v>0.39568561570318317</v>
      </c>
      <c r="G77" s="1" t="str">
        <f t="shared" si="24"/>
        <v/>
      </c>
      <c r="H77" s="1">
        <f t="shared" si="25"/>
        <v>0.48351293103448278</v>
      </c>
      <c r="I77" s="1" t="str">
        <f t="shared" si="26"/>
        <v/>
      </c>
      <c r="J77" s="1" t="str">
        <f t="shared" si="27"/>
        <v/>
      </c>
      <c r="K77" s="1" t="str">
        <f t="shared" si="28"/>
        <v/>
      </c>
      <c r="L77" s="1" t="str">
        <f t="shared" si="29"/>
        <v/>
      </c>
    </row>
    <row r="78" spans="1:12">
      <c r="A78" t="s">
        <v>32</v>
      </c>
      <c r="B78">
        <v>18</v>
      </c>
      <c r="C78" t="str">
        <f t="shared" si="23"/>
        <v>test.Base64_18_</v>
      </c>
      <c r="D78">
        <v>26</v>
      </c>
      <c r="E78">
        <v>0.49439655172413793</v>
      </c>
      <c r="F78">
        <v>0.3956877523938922</v>
      </c>
      <c r="G78" s="1" t="str">
        <f t="shared" si="24"/>
        <v/>
      </c>
      <c r="H78" s="1">
        <f t="shared" si="25"/>
        <v>0.49439655172413793</v>
      </c>
      <c r="I78" s="1" t="str">
        <f t="shared" si="26"/>
        <v/>
      </c>
      <c r="J78" s="1" t="str">
        <f t="shared" si="27"/>
        <v/>
      </c>
      <c r="K78" s="1" t="str">
        <f t="shared" si="28"/>
        <v/>
      </c>
      <c r="L78" s="1" t="str">
        <f t="shared" si="29"/>
        <v/>
      </c>
    </row>
    <row r="79" spans="1:12">
      <c r="A79" t="s">
        <v>32</v>
      </c>
      <c r="B79">
        <v>18</v>
      </c>
      <c r="C79" t="str">
        <f t="shared" si="23"/>
        <v>test.Base64_18_</v>
      </c>
      <c r="D79">
        <v>27</v>
      </c>
      <c r="E79">
        <v>0.49439655172413793</v>
      </c>
      <c r="F79">
        <v>0.40287769504684012</v>
      </c>
      <c r="G79" s="1" t="str">
        <f t="shared" si="24"/>
        <v/>
      </c>
      <c r="H79" s="1" t="str">
        <f t="shared" si="25"/>
        <v/>
      </c>
      <c r="I79" s="1">
        <f t="shared" si="26"/>
        <v>0.49439655172413793</v>
      </c>
      <c r="J79" s="1" t="str">
        <f t="shared" si="27"/>
        <v/>
      </c>
      <c r="K79" s="1" t="str">
        <f t="shared" si="28"/>
        <v/>
      </c>
      <c r="L79" s="1" t="str">
        <f t="shared" si="29"/>
        <v/>
      </c>
    </row>
    <row r="80" spans="1:12">
      <c r="A80" t="s">
        <v>32</v>
      </c>
      <c r="B80">
        <v>18</v>
      </c>
      <c r="C80" t="str">
        <f t="shared" si="23"/>
        <v>test.Base64_18_</v>
      </c>
      <c r="D80">
        <v>28</v>
      </c>
      <c r="E80">
        <v>0.49493534482758622</v>
      </c>
      <c r="F80">
        <v>0.40287983173754915</v>
      </c>
      <c r="G80" s="1" t="str">
        <f t="shared" si="24"/>
        <v/>
      </c>
      <c r="H80" s="1" t="str">
        <f t="shared" si="25"/>
        <v/>
      </c>
      <c r="I80" s="1">
        <f t="shared" si="26"/>
        <v>0.49493534482758622</v>
      </c>
      <c r="J80" s="1" t="str">
        <f t="shared" si="27"/>
        <v/>
      </c>
      <c r="K80" s="1" t="str">
        <f t="shared" si="28"/>
        <v/>
      </c>
      <c r="L80" s="1" t="str">
        <f t="shared" si="29"/>
        <v/>
      </c>
    </row>
    <row r="81" spans="1:12">
      <c r="A81" t="s">
        <v>32</v>
      </c>
      <c r="B81">
        <v>18</v>
      </c>
      <c r="C81" t="str">
        <f t="shared" si="23"/>
        <v>test.Base64_18_</v>
      </c>
      <c r="D81">
        <v>29</v>
      </c>
      <c r="E81">
        <v>0.50571120689655169</v>
      </c>
      <c r="F81">
        <v>0.40288196842825813</v>
      </c>
      <c r="G81" s="1" t="str">
        <f t="shared" si="24"/>
        <v/>
      </c>
      <c r="H81" s="1" t="str">
        <f t="shared" si="25"/>
        <v/>
      </c>
      <c r="I81" s="1">
        <f t="shared" si="26"/>
        <v>0.50571120689655169</v>
      </c>
      <c r="J81" s="1" t="str">
        <f t="shared" si="27"/>
        <v/>
      </c>
      <c r="K81" s="1" t="str">
        <f t="shared" si="28"/>
        <v/>
      </c>
      <c r="L81" s="1" t="str">
        <f t="shared" si="29"/>
        <v/>
      </c>
    </row>
    <row r="82" spans="1:12">
      <c r="A82" t="s">
        <v>32</v>
      </c>
      <c r="B82">
        <v>18</v>
      </c>
      <c r="C82" t="str">
        <f t="shared" si="23"/>
        <v>test.Base64_18_</v>
      </c>
      <c r="D82">
        <v>30</v>
      </c>
      <c r="E82">
        <v>0.50571120689655169</v>
      </c>
      <c r="F82">
        <v>0.40288412670170148</v>
      </c>
      <c r="G82" s="1" t="str">
        <f t="shared" si="24"/>
        <v/>
      </c>
      <c r="H82" s="1" t="str">
        <f t="shared" si="25"/>
        <v/>
      </c>
      <c r="I82" s="1">
        <f t="shared" si="26"/>
        <v>0.50571120689655169</v>
      </c>
      <c r="J82" s="1" t="str">
        <f t="shared" si="27"/>
        <v/>
      </c>
      <c r="K82" s="1" t="str">
        <f t="shared" si="28"/>
        <v/>
      </c>
      <c r="L82" s="1" t="str">
        <f t="shared" si="29"/>
        <v/>
      </c>
    </row>
    <row r="83" spans="1:12">
      <c r="A83" t="s">
        <v>32</v>
      </c>
      <c r="B83">
        <v>18</v>
      </c>
      <c r="C83" t="str">
        <f t="shared" si="23"/>
        <v>test.Base64_18_</v>
      </c>
      <c r="D83">
        <v>31</v>
      </c>
      <c r="E83">
        <v>0.51487068965517246</v>
      </c>
      <c r="F83">
        <v>0.41007195424667497</v>
      </c>
      <c r="G83" s="1" t="str">
        <f t="shared" si="24"/>
        <v/>
      </c>
      <c r="H83" s="1" t="str">
        <f t="shared" si="25"/>
        <v/>
      </c>
      <c r="I83" s="1">
        <f t="shared" si="26"/>
        <v>0.51487068965517246</v>
      </c>
      <c r="J83" s="1" t="str">
        <f t="shared" si="27"/>
        <v/>
      </c>
      <c r="K83" s="1" t="str">
        <f t="shared" si="28"/>
        <v/>
      </c>
      <c r="L83" s="1" t="str">
        <f t="shared" si="29"/>
        <v/>
      </c>
    </row>
    <row r="84" spans="1:12">
      <c r="A84" t="s">
        <v>32</v>
      </c>
      <c r="B84">
        <v>18</v>
      </c>
      <c r="C84" t="str">
        <f t="shared" si="23"/>
        <v>test.Base64_18_</v>
      </c>
      <c r="D84">
        <v>32</v>
      </c>
      <c r="E84">
        <v>0.51487068965517246</v>
      </c>
      <c r="F84">
        <v>0.41726621344650977</v>
      </c>
      <c r="G84" s="1" t="str">
        <f t="shared" si="24"/>
        <v/>
      </c>
      <c r="H84" s="1" t="str">
        <f t="shared" si="25"/>
        <v/>
      </c>
      <c r="I84" s="1">
        <f t="shared" si="26"/>
        <v>0.51487068965517246</v>
      </c>
      <c r="J84" s="1" t="str">
        <f t="shared" si="27"/>
        <v/>
      </c>
      <c r="K84" s="1" t="str">
        <f t="shared" si="28"/>
        <v/>
      </c>
      <c r="L84" s="1" t="str">
        <f t="shared" si="29"/>
        <v/>
      </c>
    </row>
    <row r="85" spans="1:12">
      <c r="A85" t="s">
        <v>32</v>
      </c>
      <c r="B85">
        <v>18</v>
      </c>
      <c r="C85" t="str">
        <f t="shared" si="23"/>
        <v>test.Base64_18_</v>
      </c>
      <c r="D85">
        <v>33</v>
      </c>
      <c r="E85">
        <v>0.51487068965517246</v>
      </c>
      <c r="F85">
        <v>0.41726835013721869</v>
      </c>
      <c r="G85" s="1" t="str">
        <f t="shared" si="24"/>
        <v/>
      </c>
      <c r="H85" s="1" t="str">
        <f t="shared" si="25"/>
        <v/>
      </c>
      <c r="I85" s="1">
        <f t="shared" si="26"/>
        <v>0.51487068965517246</v>
      </c>
      <c r="J85" s="1" t="str">
        <f t="shared" si="27"/>
        <v/>
      </c>
      <c r="K85" s="1" t="str">
        <f t="shared" si="28"/>
        <v/>
      </c>
      <c r="L85" s="1" t="str">
        <f t="shared" si="29"/>
        <v/>
      </c>
    </row>
    <row r="86" spans="1:12">
      <c r="A86" t="s">
        <v>32</v>
      </c>
      <c r="B86">
        <v>18</v>
      </c>
      <c r="C86" t="str">
        <f t="shared" si="23"/>
        <v>test.Base64_18_</v>
      </c>
      <c r="D86">
        <v>34</v>
      </c>
      <c r="E86">
        <v>0.51487068965517246</v>
      </c>
      <c r="F86">
        <v>0.4316546886807105</v>
      </c>
      <c r="G86" s="1" t="str">
        <f t="shared" si="24"/>
        <v/>
      </c>
      <c r="H86" s="1" t="str">
        <f t="shared" si="25"/>
        <v/>
      </c>
      <c r="I86" s="1">
        <f t="shared" si="26"/>
        <v>0.51487068965517246</v>
      </c>
      <c r="J86" s="1" t="str">
        <f t="shared" si="27"/>
        <v/>
      </c>
      <c r="K86" s="1" t="str">
        <f t="shared" si="28"/>
        <v/>
      </c>
      <c r="L86" s="1" t="str">
        <f t="shared" si="29"/>
        <v/>
      </c>
    </row>
    <row r="87" spans="1:12">
      <c r="A87" t="s">
        <v>32</v>
      </c>
      <c r="B87">
        <v>18</v>
      </c>
      <c r="C87" t="str">
        <f t="shared" si="23"/>
        <v>test.Base64_18_</v>
      </c>
      <c r="D87">
        <v>35</v>
      </c>
      <c r="E87">
        <v>0.51487068965517246</v>
      </c>
      <c r="F87">
        <v>0.43884894788054529</v>
      </c>
      <c r="G87" s="1" t="str">
        <f t="shared" si="24"/>
        <v/>
      </c>
      <c r="H87" s="1" t="str">
        <f t="shared" si="25"/>
        <v/>
      </c>
      <c r="I87" s="1">
        <f t="shared" si="26"/>
        <v>0.51487068965517246</v>
      </c>
      <c r="J87" s="1" t="str">
        <f t="shared" si="27"/>
        <v/>
      </c>
      <c r="K87" s="1" t="str">
        <f t="shared" si="28"/>
        <v/>
      </c>
      <c r="L87" s="1" t="str">
        <f t="shared" si="29"/>
        <v/>
      </c>
    </row>
    <row r="88" spans="1:12">
      <c r="A88" t="s">
        <v>32</v>
      </c>
      <c r="B88">
        <v>18</v>
      </c>
      <c r="C88" t="str">
        <f t="shared" si="23"/>
        <v>test.Base64_18_</v>
      </c>
      <c r="D88">
        <v>36</v>
      </c>
      <c r="E88">
        <v>0.52564655172413788</v>
      </c>
      <c r="F88">
        <v>0.43885108457125421</v>
      </c>
      <c r="G88" s="1" t="str">
        <f t="shared" si="24"/>
        <v/>
      </c>
      <c r="H88" s="1" t="str">
        <f t="shared" si="25"/>
        <v/>
      </c>
      <c r="I88" s="1">
        <f t="shared" si="26"/>
        <v>0.52564655172413788</v>
      </c>
      <c r="J88" s="1" t="str">
        <f t="shared" si="27"/>
        <v/>
      </c>
      <c r="K88" s="1" t="str">
        <f t="shared" si="28"/>
        <v/>
      </c>
      <c r="L88" s="1" t="str">
        <f t="shared" si="29"/>
        <v/>
      </c>
    </row>
    <row r="89" spans="1:12">
      <c r="A89" t="s">
        <v>32</v>
      </c>
      <c r="B89">
        <v>18</v>
      </c>
      <c r="C89" t="str">
        <f t="shared" si="23"/>
        <v>test.Base64_18_</v>
      </c>
      <c r="D89">
        <v>37</v>
      </c>
      <c r="E89">
        <v>0.52564655172413788</v>
      </c>
      <c r="F89">
        <v>0.43885322126196324</v>
      </c>
      <c r="G89" s="1" t="str">
        <f t="shared" si="24"/>
        <v/>
      </c>
      <c r="H89" s="1" t="str">
        <f t="shared" si="25"/>
        <v/>
      </c>
      <c r="I89" s="1">
        <f t="shared" si="26"/>
        <v>0.52564655172413788</v>
      </c>
      <c r="J89" s="1" t="str">
        <f t="shared" si="27"/>
        <v/>
      </c>
      <c r="K89" s="1" t="str">
        <f t="shared" si="28"/>
        <v/>
      </c>
      <c r="L89" s="1" t="str">
        <f t="shared" si="29"/>
        <v/>
      </c>
    </row>
    <row r="90" spans="1:12">
      <c r="A90" t="s">
        <v>32</v>
      </c>
      <c r="B90">
        <v>18</v>
      </c>
      <c r="C90" t="str">
        <f t="shared" si="23"/>
        <v>test.Base64_18_</v>
      </c>
      <c r="D90">
        <v>38</v>
      </c>
      <c r="E90">
        <v>0.52564655172413788</v>
      </c>
      <c r="F90">
        <v>0.45323742311474602</v>
      </c>
      <c r="G90" s="1" t="str">
        <f t="shared" si="24"/>
        <v/>
      </c>
      <c r="H90" s="1" t="str">
        <f t="shared" si="25"/>
        <v/>
      </c>
      <c r="I90" s="1">
        <f t="shared" si="26"/>
        <v>0.52564655172413788</v>
      </c>
      <c r="J90" s="1" t="str">
        <f t="shared" si="27"/>
        <v/>
      </c>
      <c r="K90" s="1" t="str">
        <f t="shared" si="28"/>
        <v/>
      </c>
      <c r="L90" s="1" t="str">
        <f t="shared" si="29"/>
        <v/>
      </c>
    </row>
    <row r="91" spans="1:12">
      <c r="A91" t="s">
        <v>32</v>
      </c>
      <c r="B91">
        <v>18</v>
      </c>
      <c r="C91" t="str">
        <f t="shared" si="23"/>
        <v>test.Base64_18_</v>
      </c>
      <c r="D91">
        <v>39</v>
      </c>
      <c r="E91">
        <v>0.52564655172413788</v>
      </c>
      <c r="F91">
        <v>0.46762589834894669</v>
      </c>
      <c r="G91" s="1" t="str">
        <f t="shared" si="24"/>
        <v/>
      </c>
      <c r="H91" s="1" t="str">
        <f t="shared" si="25"/>
        <v/>
      </c>
      <c r="I91" s="1">
        <f t="shared" si="26"/>
        <v>0.52564655172413788</v>
      </c>
      <c r="J91" s="1" t="str">
        <f t="shared" si="27"/>
        <v/>
      </c>
      <c r="K91" s="1" t="str">
        <f t="shared" si="28"/>
        <v/>
      </c>
      <c r="L91" s="1" t="str">
        <f t="shared" si="29"/>
        <v/>
      </c>
    </row>
    <row r="92" spans="1:12">
      <c r="A92" t="s">
        <v>32</v>
      </c>
      <c r="B92">
        <v>18</v>
      </c>
      <c r="C92" t="str">
        <f t="shared" si="23"/>
        <v>test.Base64_18_</v>
      </c>
      <c r="D92">
        <v>40</v>
      </c>
      <c r="E92">
        <v>0.86842672413793098</v>
      </c>
      <c r="F92">
        <v>1.2086331283059892</v>
      </c>
      <c r="G92" s="1" t="str">
        <f t="shared" si="24"/>
        <v/>
      </c>
      <c r="H92" s="1" t="str">
        <f t="shared" si="25"/>
        <v/>
      </c>
      <c r="I92" s="1" t="str">
        <f t="shared" si="26"/>
        <v/>
      </c>
      <c r="J92" s="1" t="str">
        <f t="shared" si="27"/>
        <v/>
      </c>
      <c r="K92" s="1" t="str">
        <f t="shared" si="28"/>
        <v/>
      </c>
      <c r="L92" s="1">
        <f t="shared" si="29"/>
        <v>0.86842672413793098</v>
      </c>
    </row>
    <row r="93" spans="1:12">
      <c r="A93" t="s">
        <v>32</v>
      </c>
      <c r="B93">
        <v>18</v>
      </c>
      <c r="C93" t="str">
        <f t="shared" si="23"/>
        <v>test.Base64_18_</v>
      </c>
      <c r="D93">
        <v>41</v>
      </c>
      <c r="E93">
        <v>0.86842672413793098</v>
      </c>
      <c r="F93">
        <v>1.2589928132084263</v>
      </c>
      <c r="G93" s="1" t="str">
        <f t="shared" si="24"/>
        <v/>
      </c>
      <c r="H93" s="1" t="str">
        <f t="shared" si="25"/>
        <v/>
      </c>
      <c r="I93" s="1" t="str">
        <f t="shared" si="26"/>
        <v/>
      </c>
      <c r="J93" s="1" t="str">
        <f t="shared" si="27"/>
        <v/>
      </c>
      <c r="K93" s="1" t="str">
        <f t="shared" si="28"/>
        <v/>
      </c>
      <c r="L93" s="1">
        <f t="shared" si="29"/>
        <v>0.86842672413793098</v>
      </c>
    </row>
    <row r="94" spans="1:12">
      <c r="A94" t="s">
        <v>32</v>
      </c>
      <c r="B94">
        <v>18</v>
      </c>
      <c r="C94" t="str">
        <f t="shared" si="23"/>
        <v>test.Base64_18_</v>
      </c>
      <c r="D94">
        <v>42</v>
      </c>
      <c r="E94">
        <v>0.92887931034482762</v>
      </c>
      <c r="F94">
        <v>1.2949640660421315</v>
      </c>
      <c r="G94" s="1" t="str">
        <f t="shared" si="24"/>
        <v/>
      </c>
      <c r="H94" s="1" t="str">
        <f t="shared" si="25"/>
        <v/>
      </c>
      <c r="I94" s="1" t="str">
        <f t="shared" si="26"/>
        <v/>
      </c>
      <c r="J94" s="1" t="str">
        <f t="shared" si="27"/>
        <v/>
      </c>
      <c r="K94" s="1" t="str">
        <f t="shared" si="28"/>
        <v/>
      </c>
      <c r="L94" s="1">
        <f t="shared" si="29"/>
        <v>0.92887931034482762</v>
      </c>
    </row>
    <row r="95" spans="1:12">
      <c r="A95" t="s">
        <v>32</v>
      </c>
      <c r="B95">
        <v>18</v>
      </c>
      <c r="C95" t="str">
        <f t="shared" si="23"/>
        <v>test.Base64_18_</v>
      </c>
      <c r="D95">
        <v>43</v>
      </c>
      <c r="E95">
        <v>0.92887931034482762</v>
      </c>
      <c r="F95">
        <v>1.3165468004761669</v>
      </c>
      <c r="G95" s="1" t="str">
        <f t="shared" si="24"/>
        <v/>
      </c>
      <c r="H95" s="1" t="str">
        <f t="shared" si="25"/>
        <v/>
      </c>
      <c r="I95" s="1" t="str">
        <f t="shared" si="26"/>
        <v/>
      </c>
      <c r="J95" s="1" t="str">
        <f t="shared" si="27"/>
        <v/>
      </c>
      <c r="K95" s="1" t="str">
        <f t="shared" si="28"/>
        <v/>
      </c>
      <c r="L95" s="1">
        <f t="shared" si="29"/>
        <v>0.92887931034482762</v>
      </c>
    </row>
    <row r="96" spans="1:12">
      <c r="A96" t="s">
        <v>32</v>
      </c>
      <c r="B96">
        <v>18</v>
      </c>
      <c r="C96" t="str">
        <f t="shared" si="23"/>
        <v>test.Base64_18_</v>
      </c>
      <c r="D96">
        <v>44</v>
      </c>
      <c r="E96">
        <v>1</v>
      </c>
      <c r="F96">
        <v>1.3237410165105328</v>
      </c>
      <c r="G96" s="1" t="str">
        <f t="shared" si="24"/>
        <v/>
      </c>
      <c r="H96" s="1" t="str">
        <f t="shared" si="25"/>
        <v/>
      </c>
      <c r="I96" s="1" t="str">
        <f t="shared" si="26"/>
        <v/>
      </c>
      <c r="J96" s="1" t="str">
        <f t="shared" si="27"/>
        <v/>
      </c>
      <c r="K96" s="1" t="str">
        <f t="shared" si="28"/>
        <v/>
      </c>
      <c r="L96" s="1">
        <f t="shared" si="29"/>
        <v>1</v>
      </c>
    </row>
    <row r="97" spans="1:12">
      <c r="A97" t="s">
        <v>32</v>
      </c>
      <c r="B97">
        <v>18</v>
      </c>
      <c r="C97" t="str">
        <f t="shared" si="23"/>
        <v>test.Base64_18_</v>
      </c>
      <c r="D97">
        <v>45</v>
      </c>
      <c r="E97">
        <v>1</v>
      </c>
      <c r="F97">
        <v>1.4316547750116484</v>
      </c>
      <c r="G97" s="1" t="str">
        <f t="shared" si="24"/>
        <v/>
      </c>
      <c r="H97" s="1" t="str">
        <f t="shared" si="25"/>
        <v/>
      </c>
      <c r="I97" s="1" t="str">
        <f t="shared" si="26"/>
        <v/>
      </c>
      <c r="J97" s="1" t="str">
        <f t="shared" si="27"/>
        <v/>
      </c>
      <c r="K97" s="1" t="str">
        <f t="shared" si="28"/>
        <v/>
      </c>
      <c r="L97" s="1">
        <f t="shared" si="29"/>
        <v>1</v>
      </c>
    </row>
    <row r="98" spans="1:12">
      <c r="A98" t="s">
        <v>32</v>
      </c>
      <c r="B98">
        <v>18</v>
      </c>
      <c r="C98" t="str">
        <f t="shared" si="23"/>
        <v>test.Base64_18_</v>
      </c>
      <c r="D98">
        <v>46</v>
      </c>
      <c r="E98">
        <v>1</v>
      </c>
      <c r="F98">
        <v>1.4820143735831475</v>
      </c>
      <c r="G98" s="1" t="str">
        <f t="shared" si="24"/>
        <v/>
      </c>
      <c r="H98" s="1" t="str">
        <f t="shared" si="25"/>
        <v/>
      </c>
      <c r="I98" s="1" t="str">
        <f t="shared" si="26"/>
        <v/>
      </c>
      <c r="J98" s="1" t="str">
        <f t="shared" si="27"/>
        <v/>
      </c>
      <c r="K98" s="1" t="str">
        <f t="shared" si="28"/>
        <v/>
      </c>
      <c r="L98" s="1">
        <f t="shared" si="29"/>
        <v>1</v>
      </c>
    </row>
    <row r="99" spans="1:12">
      <c r="A99" t="s">
        <v>32</v>
      </c>
      <c r="B99">
        <v>19</v>
      </c>
      <c r="C99" t="str">
        <f t="shared" si="23"/>
        <v>test.Base64_19_</v>
      </c>
      <c r="D99">
        <v>1</v>
      </c>
      <c r="E99">
        <v>2.6135249918327343E-3</v>
      </c>
      <c r="F99">
        <v>0.16</v>
      </c>
      <c r="G99" s="1">
        <f t="shared" si="24"/>
        <v>2.6135249918327343E-3</v>
      </c>
      <c r="H99" s="1" t="str">
        <f t="shared" si="25"/>
        <v/>
      </c>
      <c r="I99" s="1" t="str">
        <f t="shared" si="26"/>
        <v/>
      </c>
      <c r="J99" s="1" t="str">
        <f t="shared" si="27"/>
        <v/>
      </c>
      <c r="K99" s="1" t="str">
        <f t="shared" si="28"/>
        <v/>
      </c>
      <c r="L99" s="1" t="str">
        <f t="shared" si="29"/>
        <v/>
      </c>
    </row>
    <row r="100" spans="1:12">
      <c r="A100" t="s">
        <v>32</v>
      </c>
      <c r="B100">
        <v>19</v>
      </c>
      <c r="C100" t="str">
        <f t="shared" si="23"/>
        <v>test.Base64_19_</v>
      </c>
      <c r="D100">
        <v>2</v>
      </c>
      <c r="E100">
        <v>4.138081237068496E-3</v>
      </c>
      <c r="F100">
        <v>0.16000200000000001</v>
      </c>
      <c r="G100" s="1">
        <f t="shared" si="24"/>
        <v>4.138081237068496E-3</v>
      </c>
      <c r="H100" s="1" t="str">
        <f t="shared" si="25"/>
        <v/>
      </c>
      <c r="I100" s="1" t="str">
        <f t="shared" si="26"/>
        <v/>
      </c>
      <c r="J100" s="1" t="str">
        <f t="shared" si="27"/>
        <v/>
      </c>
      <c r="K100" s="1" t="str">
        <f t="shared" si="28"/>
        <v/>
      </c>
      <c r="L100" s="1" t="str">
        <f t="shared" si="29"/>
        <v/>
      </c>
    </row>
    <row r="101" spans="1:12">
      <c r="A101" t="s">
        <v>32</v>
      </c>
      <c r="B101">
        <v>19</v>
      </c>
      <c r="C101" t="str">
        <f t="shared" si="23"/>
        <v>test.Base64_19_</v>
      </c>
      <c r="D101">
        <v>3</v>
      </c>
      <c r="E101">
        <v>0.40487857998475446</v>
      </c>
      <c r="F101">
        <v>0.44</v>
      </c>
      <c r="G101" s="1" t="str">
        <f t="shared" si="24"/>
        <v/>
      </c>
      <c r="H101" s="1" t="str">
        <f t="shared" si="25"/>
        <v/>
      </c>
      <c r="I101" s="1">
        <f t="shared" si="26"/>
        <v>0.40487857998475446</v>
      </c>
      <c r="J101" s="1" t="str">
        <f t="shared" si="27"/>
        <v/>
      </c>
      <c r="K101" s="1" t="str">
        <f t="shared" si="28"/>
        <v/>
      </c>
      <c r="L101" s="1" t="str">
        <f t="shared" si="29"/>
        <v/>
      </c>
    </row>
    <row r="102" spans="1:12">
      <c r="A102" t="s">
        <v>32</v>
      </c>
      <c r="B102">
        <v>19</v>
      </c>
      <c r="C102" t="str">
        <f t="shared" si="23"/>
        <v>test.Base64_19_</v>
      </c>
      <c r="D102">
        <v>4</v>
      </c>
      <c r="E102">
        <v>0.40487857998475446</v>
      </c>
      <c r="F102">
        <v>0.440002</v>
      </c>
      <c r="G102" s="1" t="str">
        <f t="shared" si="24"/>
        <v/>
      </c>
      <c r="H102" s="1" t="str">
        <f t="shared" si="25"/>
        <v/>
      </c>
      <c r="I102" s="1">
        <f t="shared" si="26"/>
        <v>0.40487857998475446</v>
      </c>
      <c r="J102" s="1" t="str">
        <f t="shared" si="27"/>
        <v/>
      </c>
      <c r="K102" s="1" t="str">
        <f t="shared" si="28"/>
        <v/>
      </c>
      <c r="L102" s="1" t="str">
        <f t="shared" si="29"/>
        <v/>
      </c>
    </row>
    <row r="103" spans="1:12">
      <c r="A103" t="s">
        <v>32</v>
      </c>
      <c r="B103">
        <v>19</v>
      </c>
      <c r="C103" t="str">
        <f t="shared" si="23"/>
        <v>test.Base64_19_</v>
      </c>
      <c r="D103">
        <v>5</v>
      </c>
      <c r="E103">
        <v>0.42034193618643145</v>
      </c>
      <c r="F103">
        <v>0.45333331999999998</v>
      </c>
      <c r="G103" s="1" t="str">
        <f t="shared" si="24"/>
        <v/>
      </c>
      <c r="H103" s="1" t="str">
        <f t="shared" si="25"/>
        <v/>
      </c>
      <c r="I103" s="1">
        <f t="shared" si="26"/>
        <v>0.42034193618643145</v>
      </c>
      <c r="J103" s="1" t="str">
        <f t="shared" si="27"/>
        <v/>
      </c>
      <c r="K103" s="1" t="str">
        <f t="shared" si="28"/>
        <v/>
      </c>
      <c r="L103" s="1" t="str">
        <f t="shared" si="29"/>
        <v/>
      </c>
    </row>
    <row r="104" spans="1:12">
      <c r="A104" t="s">
        <v>32</v>
      </c>
      <c r="B104">
        <v>19</v>
      </c>
      <c r="C104" t="str">
        <f t="shared" si="23"/>
        <v>test.Base64_19_</v>
      </c>
      <c r="D104">
        <v>6</v>
      </c>
      <c r="E104">
        <v>0.68637700098007193</v>
      </c>
      <c r="F104">
        <v>0.52666668000000005</v>
      </c>
      <c r="G104" s="1" t="str">
        <f t="shared" si="24"/>
        <v/>
      </c>
      <c r="H104" s="1" t="str">
        <f t="shared" si="25"/>
        <v/>
      </c>
      <c r="I104" s="1">
        <f t="shared" si="26"/>
        <v>0.68637700098007193</v>
      </c>
      <c r="J104" s="1" t="str">
        <f t="shared" si="27"/>
        <v/>
      </c>
      <c r="K104" s="1" t="str">
        <f t="shared" si="28"/>
        <v/>
      </c>
      <c r="L104" s="1" t="str">
        <f t="shared" si="29"/>
        <v/>
      </c>
    </row>
    <row r="105" spans="1:12">
      <c r="A105" t="s">
        <v>32</v>
      </c>
      <c r="B105">
        <v>19</v>
      </c>
      <c r="C105" t="str">
        <f t="shared" si="23"/>
        <v>test.Base64_19_</v>
      </c>
      <c r="D105">
        <v>7</v>
      </c>
      <c r="E105">
        <v>0.70597843841881736</v>
      </c>
      <c r="F105">
        <v>0.54666667999999996</v>
      </c>
      <c r="G105" s="1" t="str">
        <f t="shared" si="24"/>
        <v/>
      </c>
      <c r="H105" s="1" t="str">
        <f t="shared" si="25"/>
        <v/>
      </c>
      <c r="I105" s="1">
        <f t="shared" si="26"/>
        <v>0.70597843841881736</v>
      </c>
      <c r="J105" s="1" t="str">
        <f t="shared" si="27"/>
        <v/>
      </c>
      <c r="K105" s="1" t="str">
        <f t="shared" si="28"/>
        <v/>
      </c>
      <c r="L105" s="1" t="str">
        <f t="shared" si="29"/>
        <v/>
      </c>
    </row>
    <row r="106" spans="1:12">
      <c r="A106" t="s">
        <v>32</v>
      </c>
      <c r="B106">
        <v>19</v>
      </c>
      <c r="C106" t="str">
        <f t="shared" si="23"/>
        <v>test.Base64_19_</v>
      </c>
      <c r="D106">
        <v>8</v>
      </c>
      <c r="E106">
        <v>0.77262332571055214</v>
      </c>
      <c r="F106">
        <v>0.62</v>
      </c>
      <c r="G106" s="1" t="str">
        <f t="shared" si="24"/>
        <v/>
      </c>
      <c r="H106" s="1" t="str">
        <f t="shared" si="25"/>
        <v/>
      </c>
      <c r="I106" s="1" t="str">
        <f t="shared" si="26"/>
        <v/>
      </c>
      <c r="J106" s="1">
        <f t="shared" si="27"/>
        <v>0.77262332571055214</v>
      </c>
      <c r="K106" s="1" t="str">
        <f t="shared" si="28"/>
        <v/>
      </c>
      <c r="L106" s="1" t="str">
        <f t="shared" si="29"/>
        <v/>
      </c>
    </row>
    <row r="107" spans="1:12">
      <c r="A107" t="s">
        <v>32</v>
      </c>
      <c r="B107">
        <v>19</v>
      </c>
      <c r="C107" t="str">
        <f t="shared" si="23"/>
        <v>test.Base64_19_</v>
      </c>
      <c r="D107">
        <v>9</v>
      </c>
      <c r="E107">
        <v>0.80790591310029403</v>
      </c>
      <c r="F107">
        <v>0.62000199999999994</v>
      </c>
      <c r="G107" s="1" t="str">
        <f t="shared" si="24"/>
        <v/>
      </c>
      <c r="H107" s="1" t="str">
        <f t="shared" si="25"/>
        <v/>
      </c>
      <c r="I107" s="1" t="str">
        <f t="shared" si="26"/>
        <v/>
      </c>
      <c r="J107" s="1">
        <f t="shared" si="27"/>
        <v>0.80790591310029403</v>
      </c>
      <c r="K107" s="1" t="str">
        <f t="shared" si="28"/>
        <v/>
      </c>
      <c r="L107" s="1" t="str">
        <f t="shared" si="29"/>
        <v/>
      </c>
    </row>
    <row r="108" spans="1:12">
      <c r="A108" t="s">
        <v>32</v>
      </c>
      <c r="B108">
        <v>19</v>
      </c>
      <c r="C108" t="str">
        <f t="shared" si="23"/>
        <v>test.Base64_19_</v>
      </c>
      <c r="D108">
        <v>10</v>
      </c>
      <c r="E108">
        <v>0.8157464880757922</v>
      </c>
      <c r="F108">
        <v>0.62666668000000003</v>
      </c>
      <c r="G108" s="1" t="str">
        <f t="shared" si="24"/>
        <v/>
      </c>
      <c r="H108" s="1" t="str">
        <f t="shared" si="25"/>
        <v/>
      </c>
      <c r="I108" s="1" t="str">
        <f t="shared" si="26"/>
        <v/>
      </c>
      <c r="J108" s="1">
        <f t="shared" si="27"/>
        <v>0.8157464880757922</v>
      </c>
      <c r="K108" s="1" t="str">
        <f t="shared" si="28"/>
        <v/>
      </c>
      <c r="L108" s="1" t="str">
        <f t="shared" si="29"/>
        <v/>
      </c>
    </row>
    <row r="109" spans="1:12">
      <c r="A109" t="s">
        <v>32</v>
      </c>
      <c r="B109">
        <v>19</v>
      </c>
      <c r="C109" t="str">
        <f t="shared" si="23"/>
        <v>test.Base64_19_</v>
      </c>
      <c r="D109">
        <v>11</v>
      </c>
      <c r="E109">
        <v>0.82358706305129048</v>
      </c>
      <c r="F109">
        <v>0.62666865999999999</v>
      </c>
      <c r="G109" s="1" t="str">
        <f t="shared" si="24"/>
        <v/>
      </c>
      <c r="H109" s="1" t="str">
        <f t="shared" si="25"/>
        <v/>
      </c>
      <c r="I109" s="1" t="str">
        <f t="shared" si="26"/>
        <v/>
      </c>
      <c r="J109" s="1">
        <f t="shared" si="27"/>
        <v>0.82358706305129048</v>
      </c>
      <c r="K109" s="1" t="str">
        <f t="shared" si="28"/>
        <v/>
      </c>
      <c r="L109" s="1" t="str">
        <f t="shared" si="29"/>
        <v/>
      </c>
    </row>
    <row r="110" spans="1:12">
      <c r="A110" t="s">
        <v>32</v>
      </c>
      <c r="B110">
        <v>19</v>
      </c>
      <c r="C110" t="str">
        <f t="shared" si="23"/>
        <v>test.Base64_19_</v>
      </c>
      <c r="D110">
        <v>12</v>
      </c>
      <c r="E110">
        <v>0.82358706305129048</v>
      </c>
      <c r="F110">
        <v>0.63333331999999998</v>
      </c>
      <c r="G110" s="1" t="str">
        <f t="shared" si="24"/>
        <v/>
      </c>
      <c r="H110" s="1" t="str">
        <f t="shared" si="25"/>
        <v/>
      </c>
      <c r="I110" s="1" t="str">
        <f t="shared" si="26"/>
        <v/>
      </c>
      <c r="J110" s="1">
        <f t="shared" si="27"/>
        <v>0.82358706305129048</v>
      </c>
      <c r="K110" s="1" t="str">
        <f t="shared" si="28"/>
        <v/>
      </c>
      <c r="L110" s="1" t="str">
        <f t="shared" si="29"/>
        <v/>
      </c>
    </row>
    <row r="111" spans="1:12">
      <c r="A111" t="s">
        <v>32</v>
      </c>
      <c r="B111">
        <v>19</v>
      </c>
      <c r="C111" t="str">
        <f t="shared" si="23"/>
        <v>test.Base64_19_</v>
      </c>
      <c r="D111">
        <v>13</v>
      </c>
      <c r="E111">
        <v>0.82358706305129048</v>
      </c>
      <c r="F111">
        <v>0.63333530000000005</v>
      </c>
      <c r="G111" s="1" t="str">
        <f t="shared" si="24"/>
        <v/>
      </c>
      <c r="H111" s="1" t="str">
        <f t="shared" si="25"/>
        <v/>
      </c>
      <c r="I111" s="1" t="str">
        <f t="shared" si="26"/>
        <v/>
      </c>
      <c r="J111" s="1">
        <f t="shared" si="27"/>
        <v>0.82358706305129048</v>
      </c>
      <c r="K111" s="1" t="str">
        <f t="shared" si="28"/>
        <v/>
      </c>
      <c r="L111" s="1" t="str">
        <f t="shared" si="29"/>
        <v/>
      </c>
    </row>
    <row r="112" spans="1:12">
      <c r="A112" t="s">
        <v>32</v>
      </c>
      <c r="B112">
        <v>19</v>
      </c>
      <c r="C112" t="str">
        <f t="shared" si="23"/>
        <v>test.Base64_19_</v>
      </c>
      <c r="D112">
        <v>14</v>
      </c>
      <c r="E112">
        <v>0.84318850049003591</v>
      </c>
      <c r="F112">
        <v>0.64</v>
      </c>
      <c r="G112" s="1" t="str">
        <f t="shared" si="24"/>
        <v/>
      </c>
      <c r="H112" s="1" t="str">
        <f t="shared" si="25"/>
        <v/>
      </c>
      <c r="I112" s="1" t="str">
        <f t="shared" si="26"/>
        <v/>
      </c>
      <c r="J112" s="1">
        <f t="shared" si="27"/>
        <v>0.84318850049003591</v>
      </c>
      <c r="K112" s="1" t="str">
        <f t="shared" si="28"/>
        <v/>
      </c>
      <c r="L112" s="1" t="str">
        <f t="shared" si="29"/>
        <v/>
      </c>
    </row>
    <row r="113" spans="1:12">
      <c r="A113" t="s">
        <v>32</v>
      </c>
      <c r="B113">
        <v>19</v>
      </c>
      <c r="C113" t="str">
        <f t="shared" si="23"/>
        <v>test.Base64_19_</v>
      </c>
      <c r="D113">
        <v>15</v>
      </c>
      <c r="E113">
        <v>0.84318850049003591</v>
      </c>
      <c r="F113">
        <v>0.64000200000000007</v>
      </c>
      <c r="G113" s="1" t="str">
        <f t="shared" si="24"/>
        <v/>
      </c>
      <c r="H113" s="1" t="str">
        <f t="shared" si="25"/>
        <v/>
      </c>
      <c r="I113" s="1" t="str">
        <f t="shared" si="26"/>
        <v/>
      </c>
      <c r="J113" s="1">
        <f t="shared" si="27"/>
        <v>0.84318850049003591</v>
      </c>
      <c r="K113" s="1" t="str">
        <f t="shared" si="28"/>
        <v/>
      </c>
      <c r="L113" s="1" t="str">
        <f t="shared" si="29"/>
        <v/>
      </c>
    </row>
    <row r="114" spans="1:12">
      <c r="A114" t="s">
        <v>32</v>
      </c>
      <c r="B114">
        <v>19</v>
      </c>
      <c r="C114" t="str">
        <f t="shared" si="23"/>
        <v>test.Base64_19_</v>
      </c>
      <c r="D114">
        <v>16</v>
      </c>
      <c r="E114">
        <v>0.84318850049003591</v>
      </c>
      <c r="F114">
        <v>0.64666663999999996</v>
      </c>
      <c r="G114" s="1" t="str">
        <f t="shared" si="24"/>
        <v/>
      </c>
      <c r="H114" s="1" t="str">
        <f t="shared" si="25"/>
        <v/>
      </c>
      <c r="I114" s="1" t="str">
        <f t="shared" si="26"/>
        <v/>
      </c>
      <c r="J114" s="1">
        <f t="shared" si="27"/>
        <v>0.84318850049003591</v>
      </c>
      <c r="K114" s="1" t="str">
        <f t="shared" si="28"/>
        <v/>
      </c>
      <c r="L114" s="1" t="str">
        <f t="shared" si="29"/>
        <v/>
      </c>
    </row>
    <row r="115" spans="1:12">
      <c r="A115" t="s">
        <v>32</v>
      </c>
      <c r="B115">
        <v>19</v>
      </c>
      <c r="C115" t="str">
        <f t="shared" si="23"/>
        <v>test.Base64_19_</v>
      </c>
      <c r="D115">
        <v>17</v>
      </c>
      <c r="E115">
        <v>0.84318850049003591</v>
      </c>
      <c r="F115">
        <v>0.64666860000000004</v>
      </c>
      <c r="G115" s="1" t="str">
        <f t="shared" si="24"/>
        <v/>
      </c>
      <c r="H115" s="1" t="str">
        <f t="shared" si="25"/>
        <v/>
      </c>
      <c r="I115" s="1" t="str">
        <f t="shared" si="26"/>
        <v/>
      </c>
      <c r="J115" s="1">
        <f t="shared" si="27"/>
        <v>0.84318850049003591</v>
      </c>
      <c r="K115" s="1" t="str">
        <f t="shared" si="28"/>
        <v/>
      </c>
      <c r="L115" s="1" t="str">
        <f t="shared" si="29"/>
        <v/>
      </c>
    </row>
    <row r="116" spans="1:12">
      <c r="A116" t="s">
        <v>32</v>
      </c>
      <c r="B116">
        <v>19</v>
      </c>
      <c r="C116" t="str">
        <f t="shared" si="23"/>
        <v>test.Base64_19_</v>
      </c>
      <c r="D116">
        <v>18</v>
      </c>
      <c r="E116">
        <v>0.84318850049003591</v>
      </c>
      <c r="F116">
        <v>0.65333335999999997</v>
      </c>
      <c r="G116" s="1" t="str">
        <f t="shared" si="24"/>
        <v/>
      </c>
      <c r="H116" s="1" t="str">
        <f t="shared" si="25"/>
        <v/>
      </c>
      <c r="I116" s="1" t="str">
        <f t="shared" si="26"/>
        <v/>
      </c>
      <c r="J116" s="1">
        <f t="shared" si="27"/>
        <v>0.84318850049003591</v>
      </c>
      <c r="K116" s="1" t="str">
        <f t="shared" si="28"/>
        <v/>
      </c>
      <c r="L116" s="1" t="str">
        <f t="shared" si="29"/>
        <v/>
      </c>
    </row>
    <row r="117" spans="1:12">
      <c r="A117" t="s">
        <v>32</v>
      </c>
      <c r="B117">
        <v>19</v>
      </c>
      <c r="C117" t="str">
        <f t="shared" si="23"/>
        <v>test.Base64_19_</v>
      </c>
      <c r="D117">
        <v>19</v>
      </c>
      <c r="E117">
        <v>0.89807252531852333</v>
      </c>
      <c r="F117">
        <v>0.68</v>
      </c>
      <c r="G117" s="1" t="str">
        <f t="shared" si="24"/>
        <v/>
      </c>
      <c r="H117" s="1" t="str">
        <f t="shared" si="25"/>
        <v/>
      </c>
      <c r="I117" s="1" t="str">
        <f t="shared" si="26"/>
        <v/>
      </c>
      <c r="J117" s="1">
        <f t="shared" si="27"/>
        <v>0.89807252531852333</v>
      </c>
      <c r="K117" s="1" t="str">
        <f t="shared" si="28"/>
        <v/>
      </c>
      <c r="L117" s="1" t="str">
        <f t="shared" si="29"/>
        <v/>
      </c>
    </row>
    <row r="118" spans="1:12">
      <c r="A118" t="s">
        <v>32</v>
      </c>
      <c r="B118">
        <v>19</v>
      </c>
      <c r="C118" t="str">
        <f t="shared" si="23"/>
        <v>test.Base64_19_</v>
      </c>
      <c r="D118">
        <v>20</v>
      </c>
      <c r="E118">
        <v>0.89807252531852333</v>
      </c>
      <c r="F118">
        <v>0.68000200000000011</v>
      </c>
      <c r="G118" s="1" t="str">
        <f t="shared" si="24"/>
        <v/>
      </c>
      <c r="H118" s="1" t="str">
        <f t="shared" si="25"/>
        <v/>
      </c>
      <c r="I118" s="1" t="str">
        <f t="shared" si="26"/>
        <v/>
      </c>
      <c r="J118" s="1">
        <f t="shared" si="27"/>
        <v>0.89807252531852333</v>
      </c>
      <c r="K118" s="1" t="str">
        <f t="shared" si="28"/>
        <v/>
      </c>
      <c r="L118" s="1" t="str">
        <f t="shared" si="29"/>
        <v/>
      </c>
    </row>
    <row r="119" spans="1:12">
      <c r="A119" t="s">
        <v>32</v>
      </c>
      <c r="B119">
        <v>19</v>
      </c>
      <c r="C119" t="str">
        <f t="shared" si="23"/>
        <v>test.Base64_19_</v>
      </c>
      <c r="D119">
        <v>21</v>
      </c>
      <c r="E119">
        <v>0.97647827507350538</v>
      </c>
      <c r="F119">
        <v>0.68666663999999999</v>
      </c>
      <c r="G119" s="1" t="str">
        <f t="shared" si="24"/>
        <v/>
      </c>
      <c r="H119" s="1" t="str">
        <f t="shared" si="25"/>
        <v/>
      </c>
      <c r="I119" s="1" t="str">
        <f t="shared" si="26"/>
        <v/>
      </c>
      <c r="J119" s="1">
        <f t="shared" si="27"/>
        <v>0.97647827507350538</v>
      </c>
      <c r="K119" s="1" t="str">
        <f t="shared" si="28"/>
        <v/>
      </c>
      <c r="L119" s="1" t="str">
        <f t="shared" si="29"/>
        <v/>
      </c>
    </row>
    <row r="120" spans="1:12">
      <c r="A120" t="s">
        <v>32</v>
      </c>
      <c r="B120">
        <v>19</v>
      </c>
      <c r="C120" t="str">
        <f t="shared" si="23"/>
        <v>test.Base64_19_</v>
      </c>
      <c r="D120">
        <v>22</v>
      </c>
      <c r="E120">
        <v>0.97647827507350538</v>
      </c>
      <c r="F120">
        <v>0.68666859999999996</v>
      </c>
      <c r="G120" s="1" t="str">
        <f t="shared" si="24"/>
        <v/>
      </c>
      <c r="H120" s="1" t="str">
        <f t="shared" si="25"/>
        <v/>
      </c>
      <c r="I120" s="1" t="str">
        <f t="shared" si="26"/>
        <v/>
      </c>
      <c r="J120" s="1">
        <f t="shared" si="27"/>
        <v>0.97647827507350538</v>
      </c>
      <c r="K120" s="1" t="str">
        <f t="shared" si="28"/>
        <v/>
      </c>
      <c r="L120" s="1" t="str">
        <f t="shared" si="29"/>
        <v/>
      </c>
    </row>
    <row r="121" spans="1:12">
      <c r="A121" t="s">
        <v>32</v>
      </c>
      <c r="B121">
        <v>19</v>
      </c>
      <c r="C121" t="str">
        <f t="shared" si="23"/>
        <v>test.Base64_19_</v>
      </c>
      <c r="D121">
        <v>23</v>
      </c>
      <c r="E121">
        <v>0.97647827507350538</v>
      </c>
      <c r="F121">
        <v>0.70666664000000001</v>
      </c>
      <c r="G121" s="1" t="str">
        <f t="shared" si="24"/>
        <v/>
      </c>
      <c r="H121" s="1" t="str">
        <f t="shared" si="25"/>
        <v/>
      </c>
      <c r="I121" s="1" t="str">
        <f t="shared" si="26"/>
        <v/>
      </c>
      <c r="J121" s="1">
        <f t="shared" si="27"/>
        <v>0.97647827507350538</v>
      </c>
      <c r="K121" s="1" t="str">
        <f t="shared" si="28"/>
        <v/>
      </c>
      <c r="L121" s="1" t="str">
        <f t="shared" si="29"/>
        <v/>
      </c>
    </row>
    <row r="122" spans="1:12">
      <c r="A122" t="s">
        <v>32</v>
      </c>
      <c r="B122">
        <v>19</v>
      </c>
      <c r="C122" t="str">
        <f t="shared" si="23"/>
        <v>test.Base64_19_</v>
      </c>
      <c r="D122">
        <v>24</v>
      </c>
      <c r="E122">
        <v>0.97647827507350538</v>
      </c>
      <c r="F122">
        <v>0.71333336000000003</v>
      </c>
      <c r="G122" s="1" t="str">
        <f t="shared" si="24"/>
        <v/>
      </c>
      <c r="H122" s="1" t="str">
        <f t="shared" si="25"/>
        <v/>
      </c>
      <c r="I122" s="1" t="str">
        <f t="shared" si="26"/>
        <v/>
      </c>
      <c r="J122" s="1">
        <f t="shared" si="27"/>
        <v>0.97647827507350538</v>
      </c>
      <c r="K122" s="1" t="str">
        <f t="shared" si="28"/>
        <v/>
      </c>
      <c r="L122" s="1" t="str">
        <f t="shared" si="29"/>
        <v/>
      </c>
    </row>
    <row r="123" spans="1:12">
      <c r="A123" t="s">
        <v>32</v>
      </c>
      <c r="B123">
        <v>19</v>
      </c>
      <c r="C123" t="str">
        <f t="shared" si="23"/>
        <v>test.Base64_19_</v>
      </c>
      <c r="D123">
        <v>25</v>
      </c>
      <c r="E123">
        <v>1</v>
      </c>
      <c r="F123">
        <v>0.71333533999999998</v>
      </c>
      <c r="G123" s="1" t="str">
        <f t="shared" si="24"/>
        <v/>
      </c>
      <c r="H123" s="1" t="str">
        <f t="shared" si="25"/>
        <v/>
      </c>
      <c r="I123" s="1" t="str">
        <f t="shared" si="26"/>
        <v/>
      </c>
      <c r="J123" s="1">
        <f t="shared" si="27"/>
        <v>1</v>
      </c>
      <c r="K123" s="1" t="str">
        <f t="shared" si="28"/>
        <v/>
      </c>
      <c r="L123" s="1" t="str">
        <f t="shared" si="29"/>
        <v/>
      </c>
    </row>
    <row r="124" spans="1:12">
      <c r="A124" t="s">
        <v>32</v>
      </c>
      <c r="B124">
        <v>19</v>
      </c>
      <c r="C124" t="str">
        <f t="shared" si="23"/>
        <v>test.Base64_19_</v>
      </c>
      <c r="D124">
        <v>26</v>
      </c>
      <c r="E124">
        <v>1</v>
      </c>
      <c r="F124">
        <v>0.74</v>
      </c>
      <c r="G124" s="1" t="str">
        <f t="shared" si="24"/>
        <v/>
      </c>
      <c r="H124" s="1" t="str">
        <f t="shared" si="25"/>
        <v/>
      </c>
      <c r="I124" s="1" t="str">
        <f t="shared" si="26"/>
        <v/>
      </c>
      <c r="J124" s="1">
        <f t="shared" si="27"/>
        <v>1</v>
      </c>
      <c r="K124" s="1" t="str">
        <f t="shared" si="28"/>
        <v/>
      </c>
      <c r="L124" s="1" t="str">
        <f t="shared" si="29"/>
        <v/>
      </c>
    </row>
    <row r="125" spans="1:12">
      <c r="A125" t="s">
        <v>32</v>
      </c>
      <c r="B125">
        <v>19</v>
      </c>
      <c r="C125" t="str">
        <f t="shared" si="23"/>
        <v>test.Base64_19_</v>
      </c>
      <c r="D125">
        <v>27</v>
      </c>
      <c r="E125">
        <v>1</v>
      </c>
      <c r="F125">
        <v>0.76</v>
      </c>
      <c r="G125" s="1" t="str">
        <f t="shared" si="24"/>
        <v/>
      </c>
      <c r="H125" s="1" t="str">
        <f t="shared" si="25"/>
        <v/>
      </c>
      <c r="I125" s="1" t="str">
        <f t="shared" si="26"/>
        <v/>
      </c>
      <c r="J125" s="1">
        <f t="shared" si="27"/>
        <v>1</v>
      </c>
      <c r="K125" s="1" t="str">
        <f t="shared" si="28"/>
        <v/>
      </c>
      <c r="L125" s="1" t="str">
        <f t="shared" si="29"/>
        <v/>
      </c>
    </row>
    <row r="126" spans="1:12">
      <c r="A126" t="s">
        <v>32</v>
      </c>
      <c r="B126">
        <v>19</v>
      </c>
      <c r="C126" t="str">
        <f t="shared" si="23"/>
        <v>test.Base64_19_</v>
      </c>
      <c r="D126">
        <v>28</v>
      </c>
      <c r="E126">
        <v>1</v>
      </c>
      <c r="F126">
        <v>0.95333336000000002</v>
      </c>
      <c r="G126" s="1" t="str">
        <f t="shared" si="24"/>
        <v/>
      </c>
      <c r="H126" s="1" t="str">
        <f t="shared" si="25"/>
        <v/>
      </c>
      <c r="I126" s="1" t="str">
        <f t="shared" si="26"/>
        <v/>
      </c>
      <c r="J126" s="1" t="str">
        <f t="shared" si="27"/>
        <v/>
      </c>
      <c r="K126" s="1">
        <f t="shared" si="28"/>
        <v>1</v>
      </c>
      <c r="L126" s="1" t="str">
        <f t="shared" si="29"/>
        <v/>
      </c>
    </row>
    <row r="127" spans="1:12">
      <c r="A127" t="s">
        <v>32</v>
      </c>
      <c r="B127">
        <v>20</v>
      </c>
      <c r="C127" t="str">
        <f t="shared" si="23"/>
        <v>test.Base64_20_</v>
      </c>
      <c r="D127">
        <v>1</v>
      </c>
      <c r="E127">
        <v>0.16257781032588794</v>
      </c>
      <c r="F127">
        <v>0.49230772284023766</v>
      </c>
      <c r="G127" s="1" t="str">
        <f t="shared" si="24"/>
        <v/>
      </c>
      <c r="H127" s="1" t="str">
        <f t="shared" si="25"/>
        <v/>
      </c>
      <c r="I127" s="1">
        <f t="shared" si="26"/>
        <v>0.16257781032588794</v>
      </c>
      <c r="J127" s="1" t="str">
        <f t="shared" si="27"/>
        <v/>
      </c>
      <c r="K127" s="1" t="str">
        <f t="shared" si="28"/>
        <v/>
      </c>
      <c r="L127" s="1" t="str">
        <f t="shared" si="29"/>
        <v/>
      </c>
    </row>
    <row r="128" spans="1:12">
      <c r="A128" t="s">
        <v>32</v>
      </c>
      <c r="B128">
        <v>20</v>
      </c>
      <c r="C128" t="str">
        <f t="shared" si="23"/>
        <v>test.Base64_20_</v>
      </c>
      <c r="D128">
        <v>2</v>
      </c>
      <c r="E128">
        <v>0.2467960454046137</v>
      </c>
      <c r="F128">
        <v>0.52307692378698223</v>
      </c>
      <c r="G128" s="1" t="str">
        <f t="shared" si="24"/>
        <v/>
      </c>
      <c r="H128" s="1" t="str">
        <f t="shared" si="25"/>
        <v/>
      </c>
      <c r="I128" s="1">
        <f t="shared" si="26"/>
        <v>0.2467960454046137</v>
      </c>
      <c r="J128" s="1" t="str">
        <f t="shared" si="27"/>
        <v/>
      </c>
      <c r="K128" s="1" t="str">
        <f t="shared" si="28"/>
        <v/>
      </c>
      <c r="L128" s="1" t="str">
        <f t="shared" si="29"/>
        <v/>
      </c>
    </row>
    <row r="129" spans="1:12">
      <c r="A129" t="s">
        <v>32</v>
      </c>
      <c r="B129">
        <v>20</v>
      </c>
      <c r="C129" t="str">
        <f t="shared" si="23"/>
        <v>test.Base64_20_</v>
      </c>
      <c r="D129">
        <v>3</v>
      </c>
      <c r="E129">
        <v>0.26510435737824972</v>
      </c>
      <c r="F129">
        <v>0.52308153917173961</v>
      </c>
      <c r="G129" s="1" t="str">
        <f t="shared" si="24"/>
        <v/>
      </c>
      <c r="H129" s="1" t="str">
        <f t="shared" si="25"/>
        <v/>
      </c>
      <c r="I129" s="1">
        <f t="shared" si="26"/>
        <v>0.26510435737824972</v>
      </c>
      <c r="J129" s="1" t="str">
        <f t="shared" si="27"/>
        <v/>
      </c>
      <c r="K129" s="1" t="str">
        <f t="shared" si="28"/>
        <v/>
      </c>
      <c r="L129" s="1" t="str">
        <f t="shared" si="29"/>
        <v/>
      </c>
    </row>
    <row r="130" spans="1:12">
      <c r="A130" t="s">
        <v>32</v>
      </c>
      <c r="B130">
        <v>20</v>
      </c>
      <c r="C130" t="str">
        <f t="shared" si="23"/>
        <v>test.Base64_20_</v>
      </c>
      <c r="D130">
        <v>4</v>
      </c>
      <c r="E130">
        <v>0.28414500183083119</v>
      </c>
      <c r="F130">
        <v>0.53846157041420217</v>
      </c>
      <c r="G130" s="1" t="str">
        <f t="shared" si="24"/>
        <v/>
      </c>
      <c r="H130" s="1" t="str">
        <f t="shared" si="25"/>
        <v/>
      </c>
      <c r="I130" s="1">
        <f t="shared" si="26"/>
        <v>0.28414500183083119</v>
      </c>
      <c r="J130" s="1" t="str">
        <f t="shared" si="27"/>
        <v/>
      </c>
      <c r="K130" s="1" t="str">
        <f t="shared" si="28"/>
        <v/>
      </c>
      <c r="L130" s="1" t="str">
        <f t="shared" si="29"/>
        <v/>
      </c>
    </row>
    <row r="131" spans="1:12">
      <c r="A131" t="s">
        <v>32</v>
      </c>
      <c r="B131">
        <v>20</v>
      </c>
      <c r="C131" t="str">
        <f t="shared" ref="C131:C194" si="30">CONCATENATE(A131, "_",B131,"_")</f>
        <v>test.Base64_20_</v>
      </c>
      <c r="D131">
        <v>5</v>
      </c>
      <c r="E131">
        <v>0.39655803734895645</v>
      </c>
      <c r="F131">
        <v>0.55384617088757448</v>
      </c>
      <c r="G131" s="1" t="str">
        <f t="shared" ref="G131:G194" si="31">IF($F131 &lt;= 0.2,$E131,"")</f>
        <v/>
      </c>
      <c r="H131" s="1" t="str">
        <f t="shared" ref="H131:H194" si="32">IF(AND($F131 &gt; 0.2,$F131 &lt;= 0.4),$E131,"")</f>
        <v/>
      </c>
      <c r="I131" s="1">
        <f t="shared" ref="I131:I194" si="33">IF(AND($F131 &gt; 0.4,$F131 &lt;= 0.6),$E131,"")</f>
        <v>0.39655803734895645</v>
      </c>
      <c r="J131" s="1" t="str">
        <f t="shared" ref="J131:J194" si="34">IF(AND($F131 &gt; 0.6,$F131 &lt;= 0.8),$E131,"")</f>
        <v/>
      </c>
      <c r="K131" s="1" t="str">
        <f t="shared" ref="K131:K194" si="35">IF(AND($F131 &gt; 0.8, $F131 &lt;=1.1),$E131,"")</f>
        <v/>
      </c>
      <c r="L131" s="1" t="str">
        <f t="shared" ref="L131:L194" si="36">IF(AND($F131 &gt; 1.1),$E131,"")</f>
        <v/>
      </c>
    </row>
    <row r="132" spans="1:12">
      <c r="A132" t="s">
        <v>32</v>
      </c>
      <c r="B132">
        <v>20</v>
      </c>
      <c r="C132" t="str">
        <f t="shared" si="30"/>
        <v>test.Base64_20_</v>
      </c>
      <c r="D132">
        <v>6</v>
      </c>
      <c r="E132">
        <v>0.40021969974368365</v>
      </c>
      <c r="F132">
        <v>0.55385078627233186</v>
      </c>
      <c r="G132" s="1" t="str">
        <f t="shared" si="31"/>
        <v/>
      </c>
      <c r="H132" s="1" t="str">
        <f t="shared" si="32"/>
        <v/>
      </c>
      <c r="I132" s="1">
        <f t="shared" si="33"/>
        <v>0.40021969974368365</v>
      </c>
      <c r="J132" s="1" t="str">
        <f t="shared" si="34"/>
        <v/>
      </c>
      <c r="K132" s="1" t="str">
        <f t="shared" si="35"/>
        <v/>
      </c>
      <c r="L132" s="1" t="str">
        <f t="shared" si="36"/>
        <v/>
      </c>
    </row>
    <row r="133" spans="1:12">
      <c r="A133" t="s">
        <v>32</v>
      </c>
      <c r="B133">
        <v>20</v>
      </c>
      <c r="C133" t="str">
        <f t="shared" si="30"/>
        <v>test.Base64_20_</v>
      </c>
      <c r="D133">
        <v>7</v>
      </c>
      <c r="E133">
        <v>0.4046136946173563</v>
      </c>
      <c r="F133">
        <v>0.55385540165708924</v>
      </c>
      <c r="G133" s="1" t="str">
        <f t="shared" si="31"/>
        <v/>
      </c>
      <c r="H133" s="1" t="str">
        <f t="shared" si="32"/>
        <v/>
      </c>
      <c r="I133" s="1">
        <f t="shared" si="33"/>
        <v>0.4046136946173563</v>
      </c>
      <c r="J133" s="1" t="str">
        <f t="shared" si="34"/>
        <v/>
      </c>
      <c r="K133" s="1" t="str">
        <f t="shared" si="35"/>
        <v/>
      </c>
      <c r="L133" s="1" t="str">
        <f t="shared" si="36"/>
        <v/>
      </c>
    </row>
    <row r="134" spans="1:12">
      <c r="A134" t="s">
        <v>32</v>
      </c>
      <c r="B134">
        <v>20</v>
      </c>
      <c r="C134" t="str">
        <f t="shared" si="30"/>
        <v>test.Base64_20_</v>
      </c>
      <c r="D134">
        <v>8</v>
      </c>
      <c r="E134">
        <v>0.4046136946173563</v>
      </c>
      <c r="F134">
        <v>0.55386001704184662</v>
      </c>
      <c r="G134" s="1" t="str">
        <f t="shared" si="31"/>
        <v/>
      </c>
      <c r="H134" s="1" t="str">
        <f t="shared" si="32"/>
        <v/>
      </c>
      <c r="I134" s="1">
        <f t="shared" si="33"/>
        <v>0.4046136946173563</v>
      </c>
      <c r="J134" s="1" t="str">
        <f t="shared" si="34"/>
        <v/>
      </c>
      <c r="K134" s="1" t="str">
        <f t="shared" si="35"/>
        <v/>
      </c>
      <c r="L134" s="1" t="str">
        <f t="shared" si="36"/>
        <v/>
      </c>
    </row>
    <row r="135" spans="1:12">
      <c r="A135" t="s">
        <v>32</v>
      </c>
      <c r="B135">
        <v>20</v>
      </c>
      <c r="C135" t="str">
        <f t="shared" si="30"/>
        <v>test.Base64_20_</v>
      </c>
      <c r="D135">
        <v>9</v>
      </c>
      <c r="E135">
        <v>0.65800073233247891</v>
      </c>
      <c r="F135">
        <v>0.5692307713609468</v>
      </c>
      <c r="G135" s="1" t="str">
        <f t="shared" si="31"/>
        <v/>
      </c>
      <c r="H135" s="1" t="str">
        <f t="shared" si="32"/>
        <v/>
      </c>
      <c r="I135" s="1">
        <f t="shared" si="33"/>
        <v>0.65800073233247891</v>
      </c>
      <c r="J135" s="1" t="str">
        <f t="shared" si="34"/>
        <v/>
      </c>
      <c r="K135" s="1" t="str">
        <f t="shared" si="35"/>
        <v/>
      </c>
      <c r="L135" s="1" t="str">
        <f t="shared" si="36"/>
        <v/>
      </c>
    </row>
    <row r="136" spans="1:12">
      <c r="A136" t="s">
        <v>32</v>
      </c>
      <c r="B136">
        <v>20</v>
      </c>
      <c r="C136" t="str">
        <f t="shared" si="30"/>
        <v>test.Base64_20_</v>
      </c>
      <c r="D136">
        <v>10</v>
      </c>
      <c r="E136">
        <v>0.8894177956792384</v>
      </c>
      <c r="F136">
        <v>0.56923538674570417</v>
      </c>
      <c r="G136" s="1" t="str">
        <f t="shared" si="31"/>
        <v/>
      </c>
      <c r="H136" s="1" t="str">
        <f t="shared" si="32"/>
        <v/>
      </c>
      <c r="I136" s="1">
        <f t="shared" si="33"/>
        <v>0.8894177956792384</v>
      </c>
      <c r="J136" s="1" t="str">
        <f t="shared" si="34"/>
        <v/>
      </c>
      <c r="K136" s="1" t="str">
        <f t="shared" si="35"/>
        <v/>
      </c>
      <c r="L136" s="1" t="str">
        <f t="shared" si="36"/>
        <v/>
      </c>
    </row>
    <row r="137" spans="1:12">
      <c r="A137" t="s">
        <v>32</v>
      </c>
      <c r="B137">
        <v>20</v>
      </c>
      <c r="C137" t="str">
        <f t="shared" si="30"/>
        <v>test.Base64_20_</v>
      </c>
      <c r="D137">
        <v>11</v>
      </c>
      <c r="E137">
        <v>0.91504943244232884</v>
      </c>
      <c r="F137">
        <v>0.58461541798816674</v>
      </c>
      <c r="G137" s="1" t="str">
        <f t="shared" si="31"/>
        <v/>
      </c>
      <c r="H137" s="1" t="str">
        <f t="shared" si="32"/>
        <v/>
      </c>
      <c r="I137" s="1">
        <f t="shared" si="33"/>
        <v>0.91504943244232884</v>
      </c>
      <c r="J137" s="1" t="str">
        <f t="shared" si="34"/>
        <v/>
      </c>
      <c r="K137" s="1" t="str">
        <f t="shared" si="35"/>
        <v/>
      </c>
      <c r="L137" s="1" t="str">
        <f t="shared" si="36"/>
        <v/>
      </c>
    </row>
    <row r="138" spans="1:12">
      <c r="A138" t="s">
        <v>32</v>
      </c>
      <c r="B138">
        <v>20</v>
      </c>
      <c r="C138" t="str">
        <f t="shared" si="30"/>
        <v>test.Base64_20_</v>
      </c>
      <c r="D138">
        <v>12</v>
      </c>
      <c r="E138">
        <v>0.91504943244232884</v>
      </c>
      <c r="F138">
        <v>0.58462003337292412</v>
      </c>
      <c r="G138" s="1" t="str">
        <f t="shared" si="31"/>
        <v/>
      </c>
      <c r="H138" s="1" t="str">
        <f t="shared" si="32"/>
        <v/>
      </c>
      <c r="I138" s="1">
        <f t="shared" si="33"/>
        <v>0.91504943244232884</v>
      </c>
      <c r="J138" s="1" t="str">
        <f t="shared" si="34"/>
        <v/>
      </c>
      <c r="K138" s="1" t="str">
        <f t="shared" si="35"/>
        <v/>
      </c>
      <c r="L138" s="1" t="str">
        <f t="shared" si="36"/>
        <v/>
      </c>
    </row>
    <row r="139" spans="1:12">
      <c r="A139" t="s">
        <v>32</v>
      </c>
      <c r="B139">
        <v>20</v>
      </c>
      <c r="C139" t="str">
        <f t="shared" si="30"/>
        <v>test.Base64_20_</v>
      </c>
      <c r="D139">
        <v>13</v>
      </c>
      <c r="E139">
        <v>0.91504943244232884</v>
      </c>
      <c r="F139">
        <v>0.60000001846153905</v>
      </c>
      <c r="G139" s="1" t="str">
        <f t="shared" si="31"/>
        <v/>
      </c>
      <c r="H139" s="1" t="str">
        <f t="shared" si="32"/>
        <v/>
      </c>
      <c r="I139" s="1" t="str">
        <f t="shared" si="33"/>
        <v/>
      </c>
      <c r="J139" s="1">
        <f t="shared" si="34"/>
        <v>0.91504943244232884</v>
      </c>
      <c r="K139" s="1" t="str">
        <f t="shared" si="35"/>
        <v/>
      </c>
      <c r="L139" s="1" t="str">
        <f t="shared" si="36"/>
        <v/>
      </c>
    </row>
    <row r="140" spans="1:12">
      <c r="A140" t="s">
        <v>32</v>
      </c>
      <c r="B140">
        <v>20</v>
      </c>
      <c r="C140" t="str">
        <f t="shared" si="30"/>
        <v>test.Base64_20_</v>
      </c>
      <c r="D140">
        <v>14</v>
      </c>
      <c r="E140">
        <v>0.91504943244232884</v>
      </c>
      <c r="F140">
        <v>0.60000463384629643</v>
      </c>
      <c r="G140" s="1" t="str">
        <f t="shared" si="31"/>
        <v/>
      </c>
      <c r="H140" s="1" t="str">
        <f t="shared" si="32"/>
        <v/>
      </c>
      <c r="I140" s="1" t="str">
        <f t="shared" si="33"/>
        <v/>
      </c>
      <c r="J140" s="1">
        <f t="shared" si="34"/>
        <v>0.91504943244232884</v>
      </c>
      <c r="K140" s="1" t="str">
        <f t="shared" si="35"/>
        <v/>
      </c>
      <c r="L140" s="1" t="str">
        <f t="shared" si="36"/>
        <v/>
      </c>
    </row>
    <row r="141" spans="1:12">
      <c r="A141" t="s">
        <v>32</v>
      </c>
      <c r="B141">
        <v>20</v>
      </c>
      <c r="C141" t="str">
        <f t="shared" si="30"/>
        <v>test.Base64_20_</v>
      </c>
      <c r="D141">
        <v>15</v>
      </c>
      <c r="E141">
        <v>0.92310508971072869</v>
      </c>
      <c r="F141">
        <v>0.61538461893491136</v>
      </c>
      <c r="G141" s="1" t="str">
        <f t="shared" si="31"/>
        <v/>
      </c>
      <c r="H141" s="1" t="str">
        <f t="shared" si="32"/>
        <v/>
      </c>
      <c r="I141" s="1" t="str">
        <f t="shared" si="33"/>
        <v/>
      </c>
      <c r="J141" s="1">
        <f t="shared" si="34"/>
        <v>0.92310508971072869</v>
      </c>
      <c r="K141" s="1" t="str">
        <f t="shared" si="35"/>
        <v/>
      </c>
      <c r="L141" s="1" t="str">
        <f t="shared" si="36"/>
        <v/>
      </c>
    </row>
    <row r="142" spans="1:12">
      <c r="A142" t="s">
        <v>32</v>
      </c>
      <c r="B142">
        <v>20</v>
      </c>
      <c r="C142" t="str">
        <f t="shared" si="30"/>
        <v>test.Base64_20_</v>
      </c>
      <c r="D142">
        <v>16</v>
      </c>
      <c r="E142">
        <v>0.92310508971072869</v>
      </c>
      <c r="F142">
        <v>0.61538923431966874</v>
      </c>
      <c r="G142" s="1" t="str">
        <f t="shared" si="31"/>
        <v/>
      </c>
      <c r="H142" s="1" t="str">
        <f t="shared" si="32"/>
        <v/>
      </c>
      <c r="I142" s="1" t="str">
        <f t="shared" si="33"/>
        <v/>
      </c>
      <c r="J142" s="1">
        <f t="shared" si="34"/>
        <v>0.92310508971072869</v>
      </c>
      <c r="K142" s="1" t="str">
        <f t="shared" si="35"/>
        <v/>
      </c>
      <c r="L142" s="1" t="str">
        <f t="shared" si="36"/>
        <v/>
      </c>
    </row>
    <row r="143" spans="1:12">
      <c r="A143" t="s">
        <v>32</v>
      </c>
      <c r="B143">
        <v>20</v>
      </c>
      <c r="C143" t="str">
        <f t="shared" si="30"/>
        <v>test.Base64_20_</v>
      </c>
      <c r="D143">
        <v>17</v>
      </c>
      <c r="E143">
        <v>0.95972171365800074</v>
      </c>
      <c r="F143">
        <v>0.63076926556213131</v>
      </c>
      <c r="G143" s="1" t="str">
        <f t="shared" si="31"/>
        <v/>
      </c>
      <c r="H143" s="1" t="str">
        <f t="shared" si="32"/>
        <v/>
      </c>
      <c r="I143" s="1" t="str">
        <f t="shared" si="33"/>
        <v/>
      </c>
      <c r="J143" s="1">
        <f t="shared" si="34"/>
        <v>0.95972171365800074</v>
      </c>
      <c r="K143" s="1" t="str">
        <f t="shared" si="35"/>
        <v/>
      </c>
      <c r="L143" s="1" t="str">
        <f t="shared" si="36"/>
        <v/>
      </c>
    </row>
    <row r="144" spans="1:12">
      <c r="A144" t="s">
        <v>32</v>
      </c>
      <c r="B144">
        <v>20</v>
      </c>
      <c r="C144" t="str">
        <f t="shared" si="30"/>
        <v>test.Base64_20_</v>
      </c>
      <c r="D144">
        <v>18</v>
      </c>
      <c r="E144">
        <v>0.95972171365800074</v>
      </c>
      <c r="F144">
        <v>0.64615386603550362</v>
      </c>
      <c r="G144" s="1" t="str">
        <f t="shared" si="31"/>
        <v/>
      </c>
      <c r="H144" s="1" t="str">
        <f t="shared" si="32"/>
        <v/>
      </c>
      <c r="I144" s="1" t="str">
        <f t="shared" si="33"/>
        <v/>
      </c>
      <c r="J144" s="1">
        <f t="shared" si="34"/>
        <v>0.95972171365800074</v>
      </c>
      <c r="K144" s="1" t="str">
        <f t="shared" si="35"/>
        <v/>
      </c>
      <c r="L144" s="1" t="str">
        <f t="shared" si="36"/>
        <v/>
      </c>
    </row>
    <row r="145" spans="1:12">
      <c r="A145" t="s">
        <v>32</v>
      </c>
      <c r="B145">
        <v>20</v>
      </c>
      <c r="C145" t="str">
        <f t="shared" si="30"/>
        <v>test.Base64_20_</v>
      </c>
      <c r="D145">
        <v>19</v>
      </c>
      <c r="E145">
        <v>1</v>
      </c>
      <c r="F145">
        <v>0.66153846650887593</v>
      </c>
      <c r="G145" s="1" t="str">
        <f t="shared" si="31"/>
        <v/>
      </c>
      <c r="H145" s="1" t="str">
        <f t="shared" si="32"/>
        <v/>
      </c>
      <c r="I145" s="1" t="str">
        <f t="shared" si="33"/>
        <v/>
      </c>
      <c r="J145" s="1">
        <f t="shared" si="34"/>
        <v>1</v>
      </c>
      <c r="K145" s="1" t="str">
        <f t="shared" si="35"/>
        <v/>
      </c>
      <c r="L145" s="1" t="str">
        <f t="shared" si="36"/>
        <v/>
      </c>
    </row>
    <row r="146" spans="1:12">
      <c r="A146" t="s">
        <v>32</v>
      </c>
      <c r="B146">
        <v>20</v>
      </c>
      <c r="C146" t="str">
        <f t="shared" si="30"/>
        <v>test.Base64_20_</v>
      </c>
      <c r="D146">
        <v>20</v>
      </c>
      <c r="E146">
        <v>1</v>
      </c>
      <c r="F146">
        <v>0.67692311313609588</v>
      </c>
      <c r="G146" s="1" t="str">
        <f t="shared" si="31"/>
        <v/>
      </c>
      <c r="H146" s="1" t="str">
        <f t="shared" si="32"/>
        <v/>
      </c>
      <c r="I146" s="1" t="str">
        <f t="shared" si="33"/>
        <v/>
      </c>
      <c r="J146" s="1">
        <f t="shared" si="34"/>
        <v>1</v>
      </c>
      <c r="K146" s="1" t="str">
        <f t="shared" si="35"/>
        <v/>
      </c>
      <c r="L146" s="1" t="str">
        <f t="shared" si="36"/>
        <v/>
      </c>
    </row>
    <row r="147" spans="1:12">
      <c r="A147" t="s">
        <v>32</v>
      </c>
      <c r="B147">
        <v>20</v>
      </c>
      <c r="C147" t="str">
        <f t="shared" si="30"/>
        <v>test.Base64_20_</v>
      </c>
      <c r="D147">
        <v>21</v>
      </c>
      <c r="E147">
        <v>1</v>
      </c>
      <c r="F147">
        <v>0.69230771360946808</v>
      </c>
      <c r="G147" s="1" t="str">
        <f t="shared" si="31"/>
        <v/>
      </c>
      <c r="H147" s="1" t="str">
        <f t="shared" si="32"/>
        <v/>
      </c>
      <c r="I147" s="1" t="str">
        <f t="shared" si="33"/>
        <v/>
      </c>
      <c r="J147" s="1">
        <f t="shared" si="34"/>
        <v>1</v>
      </c>
      <c r="K147" s="1" t="str">
        <f t="shared" si="35"/>
        <v/>
      </c>
      <c r="L147" s="1" t="str">
        <f t="shared" si="36"/>
        <v/>
      </c>
    </row>
    <row r="148" spans="1:12">
      <c r="A148" t="s">
        <v>32</v>
      </c>
      <c r="B148">
        <v>20</v>
      </c>
      <c r="C148" t="str">
        <f t="shared" si="30"/>
        <v>test.Base64_20_</v>
      </c>
      <c r="D148">
        <v>22</v>
      </c>
      <c r="E148">
        <v>1</v>
      </c>
      <c r="F148">
        <v>0.70769231408284039</v>
      </c>
      <c r="G148" s="1" t="str">
        <f t="shared" si="31"/>
        <v/>
      </c>
      <c r="H148" s="1" t="str">
        <f t="shared" si="32"/>
        <v/>
      </c>
      <c r="I148" s="1" t="str">
        <f t="shared" si="33"/>
        <v/>
      </c>
      <c r="J148" s="1">
        <f t="shared" si="34"/>
        <v>1</v>
      </c>
      <c r="K148" s="1" t="str">
        <f t="shared" si="35"/>
        <v/>
      </c>
      <c r="L148" s="1" t="str">
        <f t="shared" si="36"/>
        <v/>
      </c>
    </row>
    <row r="149" spans="1:12">
      <c r="A149" t="s">
        <v>32</v>
      </c>
      <c r="B149">
        <v>20</v>
      </c>
      <c r="C149" t="str">
        <f t="shared" si="30"/>
        <v>test.Base64_20_</v>
      </c>
      <c r="D149">
        <v>23</v>
      </c>
      <c r="E149">
        <v>0.74119380987472361</v>
      </c>
      <c r="F149">
        <v>1.1692308359763335</v>
      </c>
      <c r="G149" s="1" t="str">
        <f t="shared" si="31"/>
        <v/>
      </c>
      <c r="H149" s="1" t="str">
        <f t="shared" si="32"/>
        <v/>
      </c>
      <c r="I149" s="1" t="str">
        <f t="shared" si="33"/>
        <v/>
      </c>
      <c r="J149" s="1" t="str">
        <f t="shared" si="34"/>
        <v/>
      </c>
      <c r="K149" s="1" t="str">
        <f t="shared" si="35"/>
        <v/>
      </c>
      <c r="L149" s="1">
        <f t="shared" si="36"/>
        <v>0.74119380987472361</v>
      </c>
    </row>
    <row r="150" spans="1:12">
      <c r="A150" t="s">
        <v>32</v>
      </c>
      <c r="B150">
        <v>20</v>
      </c>
      <c r="C150" t="str">
        <f t="shared" si="30"/>
        <v>test.Base64_20_</v>
      </c>
      <c r="D150">
        <v>24</v>
      </c>
      <c r="E150">
        <v>0.74119380987472361</v>
      </c>
      <c r="F150">
        <v>1.1846153902958583</v>
      </c>
      <c r="G150" s="1" t="str">
        <f t="shared" si="31"/>
        <v/>
      </c>
      <c r="H150" s="1" t="str">
        <f t="shared" si="32"/>
        <v/>
      </c>
      <c r="I150" s="1" t="str">
        <f t="shared" si="33"/>
        <v/>
      </c>
      <c r="J150" s="1" t="str">
        <f t="shared" si="34"/>
        <v/>
      </c>
      <c r="K150" s="1" t="str">
        <f t="shared" si="35"/>
        <v/>
      </c>
      <c r="L150" s="1">
        <f t="shared" si="36"/>
        <v>0.74119380987472361</v>
      </c>
    </row>
    <row r="151" spans="1:12">
      <c r="A151" t="s">
        <v>32</v>
      </c>
      <c r="B151">
        <v>20</v>
      </c>
      <c r="C151" t="str">
        <f t="shared" si="30"/>
        <v>test.Base64_20_</v>
      </c>
      <c r="D151">
        <v>25</v>
      </c>
      <c r="E151">
        <v>0.79690493736182755</v>
      </c>
      <c r="F151">
        <v>1.1846199595267681</v>
      </c>
      <c r="G151" s="1" t="str">
        <f t="shared" si="31"/>
        <v/>
      </c>
      <c r="H151" s="1" t="str">
        <f t="shared" si="32"/>
        <v/>
      </c>
      <c r="I151" s="1" t="str">
        <f t="shared" si="33"/>
        <v/>
      </c>
      <c r="J151" s="1" t="str">
        <f t="shared" si="34"/>
        <v/>
      </c>
      <c r="K151" s="1" t="str">
        <f t="shared" si="35"/>
        <v/>
      </c>
      <c r="L151" s="1">
        <f t="shared" si="36"/>
        <v>0.79690493736182755</v>
      </c>
    </row>
    <row r="152" spans="1:12">
      <c r="A152" t="s">
        <v>32</v>
      </c>
      <c r="B152">
        <v>20</v>
      </c>
      <c r="C152" t="str">
        <f t="shared" si="30"/>
        <v>test.Base64_20_</v>
      </c>
      <c r="D152">
        <v>26</v>
      </c>
      <c r="E152">
        <v>0.79690493736182755</v>
      </c>
      <c r="F152">
        <v>1.1846245287576778</v>
      </c>
      <c r="G152" s="1" t="str">
        <f t="shared" si="31"/>
        <v/>
      </c>
      <c r="H152" s="1" t="str">
        <f t="shared" si="32"/>
        <v/>
      </c>
      <c r="I152" s="1" t="str">
        <f t="shared" si="33"/>
        <v/>
      </c>
      <c r="J152" s="1" t="str">
        <f t="shared" si="34"/>
        <v/>
      </c>
      <c r="K152" s="1" t="str">
        <f t="shared" si="35"/>
        <v/>
      </c>
      <c r="L152" s="1">
        <f t="shared" si="36"/>
        <v>0.79690493736182755</v>
      </c>
    </row>
    <row r="153" spans="1:12">
      <c r="A153" t="s">
        <v>32</v>
      </c>
      <c r="B153">
        <v>20</v>
      </c>
      <c r="C153" t="str">
        <f t="shared" si="30"/>
        <v>test.Base64_20_</v>
      </c>
      <c r="D153">
        <v>27</v>
      </c>
      <c r="E153">
        <v>0.8764922623434046</v>
      </c>
      <c r="F153">
        <v>1.2769230854437872</v>
      </c>
      <c r="G153" s="1" t="str">
        <f t="shared" si="31"/>
        <v/>
      </c>
      <c r="H153" s="1" t="str">
        <f t="shared" si="32"/>
        <v/>
      </c>
      <c r="I153" s="1" t="str">
        <f t="shared" si="33"/>
        <v/>
      </c>
      <c r="J153" s="1" t="str">
        <f t="shared" si="34"/>
        <v/>
      </c>
      <c r="K153" s="1" t="str">
        <f t="shared" si="35"/>
        <v/>
      </c>
      <c r="L153" s="1">
        <f t="shared" si="36"/>
        <v>0.8764922623434046</v>
      </c>
    </row>
    <row r="154" spans="1:12">
      <c r="A154" t="s">
        <v>32</v>
      </c>
      <c r="B154">
        <v>20</v>
      </c>
      <c r="C154" t="str">
        <f t="shared" si="30"/>
        <v>test.Base64_20_</v>
      </c>
      <c r="D154">
        <v>28</v>
      </c>
      <c r="E154">
        <v>0.8764922623434046</v>
      </c>
      <c r="F154">
        <v>1.2769276546746973</v>
      </c>
      <c r="G154" s="1" t="str">
        <f t="shared" si="31"/>
        <v/>
      </c>
      <c r="H154" s="1" t="str">
        <f t="shared" si="32"/>
        <v/>
      </c>
      <c r="I154" s="1" t="str">
        <f t="shared" si="33"/>
        <v/>
      </c>
      <c r="J154" s="1" t="str">
        <f t="shared" si="34"/>
        <v/>
      </c>
      <c r="K154" s="1" t="str">
        <f t="shared" si="35"/>
        <v/>
      </c>
      <c r="L154" s="1">
        <f t="shared" si="36"/>
        <v>0.8764922623434046</v>
      </c>
    </row>
    <row r="155" spans="1:12">
      <c r="A155" t="s">
        <v>32</v>
      </c>
      <c r="B155">
        <v>20</v>
      </c>
      <c r="C155" t="str">
        <f t="shared" si="30"/>
        <v>test.Base64_20_</v>
      </c>
      <c r="D155">
        <v>29</v>
      </c>
      <c r="E155">
        <v>0.96403831982313926</v>
      </c>
      <c r="F155">
        <v>1.2923077320710072</v>
      </c>
      <c r="G155" s="1" t="str">
        <f t="shared" si="31"/>
        <v/>
      </c>
      <c r="H155" s="1" t="str">
        <f t="shared" si="32"/>
        <v/>
      </c>
      <c r="I155" s="1" t="str">
        <f t="shared" si="33"/>
        <v/>
      </c>
      <c r="J155" s="1" t="str">
        <f t="shared" si="34"/>
        <v/>
      </c>
      <c r="K155" s="1" t="str">
        <f t="shared" si="35"/>
        <v/>
      </c>
      <c r="L155" s="1">
        <f t="shared" si="36"/>
        <v>0.96403831982313926</v>
      </c>
    </row>
    <row r="156" spans="1:12">
      <c r="A156" t="s">
        <v>32</v>
      </c>
      <c r="B156">
        <v>20</v>
      </c>
      <c r="C156" t="str">
        <f t="shared" si="30"/>
        <v>test.Base64_20_</v>
      </c>
      <c r="D156">
        <v>30</v>
      </c>
      <c r="E156">
        <v>0.96403831982313926</v>
      </c>
      <c r="F156">
        <v>1.3076923786982271</v>
      </c>
      <c r="G156" s="1" t="str">
        <f t="shared" si="31"/>
        <v/>
      </c>
      <c r="H156" s="1" t="str">
        <f t="shared" si="32"/>
        <v/>
      </c>
      <c r="I156" s="1" t="str">
        <f t="shared" si="33"/>
        <v/>
      </c>
      <c r="J156" s="1" t="str">
        <f t="shared" si="34"/>
        <v/>
      </c>
      <c r="K156" s="1" t="str">
        <f t="shared" si="35"/>
        <v/>
      </c>
      <c r="L156" s="1">
        <f t="shared" si="36"/>
        <v>0.96403831982313926</v>
      </c>
    </row>
    <row r="157" spans="1:12">
      <c r="A157" t="s">
        <v>32</v>
      </c>
      <c r="B157">
        <v>20</v>
      </c>
      <c r="C157" t="str">
        <f t="shared" si="30"/>
        <v>test.Base64_20_</v>
      </c>
      <c r="D157">
        <v>31</v>
      </c>
      <c r="E157">
        <v>0.96403831982313926</v>
      </c>
      <c r="F157">
        <v>1.3230769330177519</v>
      </c>
      <c r="G157" s="1" t="str">
        <f t="shared" si="31"/>
        <v/>
      </c>
      <c r="H157" s="1" t="str">
        <f t="shared" si="32"/>
        <v/>
      </c>
      <c r="I157" s="1" t="str">
        <f t="shared" si="33"/>
        <v/>
      </c>
      <c r="J157" s="1" t="str">
        <f t="shared" si="34"/>
        <v/>
      </c>
      <c r="K157" s="1" t="str">
        <f t="shared" si="35"/>
        <v/>
      </c>
      <c r="L157" s="1">
        <f t="shared" si="36"/>
        <v>0.96403831982313926</v>
      </c>
    </row>
    <row r="158" spans="1:12">
      <c r="A158" t="s">
        <v>32</v>
      </c>
      <c r="B158">
        <v>20</v>
      </c>
      <c r="C158" t="str">
        <f t="shared" si="30"/>
        <v>test.Base64_20_</v>
      </c>
      <c r="D158">
        <v>32</v>
      </c>
      <c r="E158">
        <v>0.96403831982313926</v>
      </c>
      <c r="F158">
        <v>1.3538462262721918</v>
      </c>
      <c r="G158" s="1" t="str">
        <f t="shared" si="31"/>
        <v/>
      </c>
      <c r="H158" s="1" t="str">
        <f t="shared" si="32"/>
        <v/>
      </c>
      <c r="I158" s="1" t="str">
        <f t="shared" si="33"/>
        <v/>
      </c>
      <c r="J158" s="1" t="str">
        <f t="shared" si="34"/>
        <v/>
      </c>
      <c r="K158" s="1" t="str">
        <f t="shared" si="35"/>
        <v/>
      </c>
      <c r="L158" s="1">
        <f t="shared" si="36"/>
        <v>0.96403831982313926</v>
      </c>
    </row>
    <row r="159" spans="1:12">
      <c r="A159" t="s">
        <v>32</v>
      </c>
      <c r="B159">
        <v>20</v>
      </c>
      <c r="C159" t="str">
        <f t="shared" si="30"/>
        <v>test.Base64_20_</v>
      </c>
      <c r="D159">
        <v>33</v>
      </c>
      <c r="E159">
        <v>0.96403831982313926</v>
      </c>
      <c r="F159">
        <v>1.4153846281656808</v>
      </c>
      <c r="G159" s="1" t="str">
        <f t="shared" si="31"/>
        <v/>
      </c>
      <c r="H159" s="1" t="str">
        <f t="shared" si="32"/>
        <v/>
      </c>
      <c r="I159" s="1" t="str">
        <f t="shared" si="33"/>
        <v/>
      </c>
      <c r="J159" s="1" t="str">
        <f t="shared" si="34"/>
        <v/>
      </c>
      <c r="K159" s="1" t="str">
        <f t="shared" si="35"/>
        <v/>
      </c>
      <c r="L159" s="1">
        <f t="shared" si="36"/>
        <v>0.96403831982313926</v>
      </c>
    </row>
    <row r="160" spans="1:12">
      <c r="A160" t="s">
        <v>142</v>
      </c>
      <c r="B160">
        <v>2</v>
      </c>
      <c r="C160" t="str">
        <f t="shared" si="30"/>
        <v>test.Class11_2_</v>
      </c>
      <c r="D160">
        <v>1</v>
      </c>
      <c r="E160">
        <v>1.8545279383429671E-2</v>
      </c>
      <c r="F160">
        <v>0.61904764285714287</v>
      </c>
      <c r="G160" s="1" t="str">
        <f t="shared" si="31"/>
        <v/>
      </c>
      <c r="H160" s="1" t="str">
        <f t="shared" si="32"/>
        <v/>
      </c>
      <c r="I160" s="1" t="str">
        <f t="shared" si="33"/>
        <v/>
      </c>
      <c r="J160" s="1">
        <f t="shared" si="34"/>
        <v>1.8545279383429671E-2</v>
      </c>
      <c r="K160" s="1" t="str">
        <f t="shared" si="35"/>
        <v/>
      </c>
      <c r="L160" s="1" t="str">
        <f t="shared" si="36"/>
        <v/>
      </c>
    </row>
    <row r="161" spans="1:12">
      <c r="A161" t="s">
        <v>142</v>
      </c>
      <c r="B161">
        <v>2</v>
      </c>
      <c r="C161" t="str">
        <f t="shared" si="30"/>
        <v>test.Class11_2_</v>
      </c>
      <c r="D161">
        <v>2</v>
      </c>
      <c r="E161">
        <v>1</v>
      </c>
      <c r="F161">
        <v>1.9761904285714285</v>
      </c>
      <c r="G161" s="1" t="str">
        <f t="shared" si="31"/>
        <v/>
      </c>
      <c r="H161" s="1" t="str">
        <f t="shared" si="32"/>
        <v/>
      </c>
      <c r="I161" s="1" t="str">
        <f t="shared" si="33"/>
        <v/>
      </c>
      <c r="J161" s="1" t="str">
        <f t="shared" si="34"/>
        <v/>
      </c>
      <c r="K161" s="1" t="str">
        <f t="shared" si="35"/>
        <v/>
      </c>
      <c r="L161" s="1">
        <f t="shared" si="36"/>
        <v>1</v>
      </c>
    </row>
    <row r="162" spans="1:12">
      <c r="A162" t="s">
        <v>142</v>
      </c>
      <c r="B162">
        <v>2</v>
      </c>
      <c r="C162" t="str">
        <f t="shared" si="30"/>
        <v>test.Class11_2_</v>
      </c>
      <c r="D162">
        <v>3</v>
      </c>
      <c r="E162">
        <v>1</v>
      </c>
      <c r="F162">
        <v>2</v>
      </c>
      <c r="G162" s="1" t="str">
        <f t="shared" si="31"/>
        <v/>
      </c>
      <c r="H162" s="1" t="str">
        <f t="shared" si="32"/>
        <v/>
      </c>
      <c r="I162" s="1" t="str">
        <f t="shared" si="33"/>
        <v/>
      </c>
      <c r="J162" s="1" t="str">
        <f t="shared" si="34"/>
        <v/>
      </c>
      <c r="K162" s="1" t="str">
        <f t="shared" si="35"/>
        <v/>
      </c>
      <c r="L162" s="1">
        <f t="shared" si="36"/>
        <v>1</v>
      </c>
    </row>
    <row r="163" spans="1:12">
      <c r="A163" t="s">
        <v>142</v>
      </c>
      <c r="B163">
        <v>3</v>
      </c>
      <c r="C163" t="str">
        <f t="shared" si="30"/>
        <v>test.Class11_3_</v>
      </c>
      <c r="D163">
        <v>1</v>
      </c>
      <c r="E163">
        <v>0.97445255474452552</v>
      </c>
      <c r="F163">
        <v>2.1000000525000013</v>
      </c>
      <c r="G163" s="1" t="str">
        <f t="shared" si="31"/>
        <v/>
      </c>
      <c r="H163" s="1" t="str">
        <f t="shared" si="32"/>
        <v/>
      </c>
      <c r="I163" s="1" t="str">
        <f t="shared" si="33"/>
        <v/>
      </c>
      <c r="J163" s="1" t="str">
        <f t="shared" si="34"/>
        <v/>
      </c>
      <c r="K163" s="1" t="str">
        <f t="shared" si="35"/>
        <v/>
      </c>
      <c r="L163" s="1">
        <f t="shared" si="36"/>
        <v>0.97445255474452552</v>
      </c>
    </row>
    <row r="164" spans="1:12">
      <c r="A164" t="s">
        <v>142</v>
      </c>
      <c r="B164">
        <v>3</v>
      </c>
      <c r="C164" t="str">
        <f t="shared" si="30"/>
        <v>test.Class11_3_</v>
      </c>
      <c r="D164">
        <v>2</v>
      </c>
      <c r="E164">
        <v>1</v>
      </c>
      <c r="F164">
        <v>2.1500000037500002</v>
      </c>
      <c r="G164" s="1" t="str">
        <f t="shared" si="31"/>
        <v/>
      </c>
      <c r="H164" s="1" t="str">
        <f t="shared" si="32"/>
        <v/>
      </c>
      <c r="I164" s="1" t="str">
        <f t="shared" si="33"/>
        <v/>
      </c>
      <c r="J164" s="1" t="str">
        <f t="shared" si="34"/>
        <v/>
      </c>
      <c r="K164" s="1" t="str">
        <f t="shared" si="35"/>
        <v/>
      </c>
      <c r="L164" s="1">
        <f t="shared" si="36"/>
        <v>1</v>
      </c>
    </row>
    <row r="165" spans="1:12">
      <c r="A165" t="s">
        <v>142</v>
      </c>
      <c r="B165">
        <v>7</v>
      </c>
      <c r="C165" t="str">
        <f t="shared" si="30"/>
        <v>test.Class11_7_</v>
      </c>
      <c r="D165">
        <v>1</v>
      </c>
      <c r="E165">
        <v>0.974609375</v>
      </c>
      <c r="F165">
        <v>2.1000000525000013</v>
      </c>
      <c r="G165" s="1" t="str">
        <f t="shared" si="31"/>
        <v/>
      </c>
      <c r="H165" s="1" t="str">
        <f t="shared" si="32"/>
        <v/>
      </c>
      <c r="I165" s="1" t="str">
        <f t="shared" si="33"/>
        <v/>
      </c>
      <c r="J165" s="1" t="str">
        <f t="shared" si="34"/>
        <v/>
      </c>
      <c r="K165" s="1" t="str">
        <f t="shared" si="35"/>
        <v/>
      </c>
      <c r="L165" s="1">
        <f t="shared" si="36"/>
        <v>0.974609375</v>
      </c>
    </row>
    <row r="166" spans="1:12">
      <c r="A166" t="s">
        <v>142</v>
      </c>
      <c r="B166">
        <v>7</v>
      </c>
      <c r="C166" t="str">
        <f t="shared" si="30"/>
        <v>test.Class11_7_</v>
      </c>
      <c r="D166">
        <v>2</v>
      </c>
      <c r="E166">
        <v>1</v>
      </c>
      <c r="F166">
        <v>2.4999999624999991</v>
      </c>
      <c r="G166" s="1" t="str">
        <f t="shared" si="31"/>
        <v/>
      </c>
      <c r="H166" s="1" t="str">
        <f t="shared" si="32"/>
        <v/>
      </c>
      <c r="I166" s="1" t="str">
        <f t="shared" si="33"/>
        <v/>
      </c>
      <c r="J166" s="1" t="str">
        <f t="shared" si="34"/>
        <v/>
      </c>
      <c r="K166" s="1" t="str">
        <f t="shared" si="35"/>
        <v/>
      </c>
      <c r="L166" s="1">
        <f t="shared" si="36"/>
        <v>1</v>
      </c>
    </row>
    <row r="167" spans="1:12">
      <c r="A167" t="s">
        <v>142</v>
      </c>
      <c r="B167">
        <v>10</v>
      </c>
      <c r="C167" t="str">
        <f t="shared" si="30"/>
        <v>test.Class11_10_</v>
      </c>
      <c r="D167">
        <v>1</v>
      </c>
      <c r="E167">
        <v>8.3467094703049763E-2</v>
      </c>
      <c r="F167">
        <v>0.30303029090909089</v>
      </c>
      <c r="G167" s="1" t="str">
        <f t="shared" si="31"/>
        <v/>
      </c>
      <c r="H167" s="1">
        <f t="shared" si="32"/>
        <v>8.3467094703049763E-2</v>
      </c>
      <c r="I167" s="1" t="str">
        <f t="shared" si="33"/>
        <v/>
      </c>
      <c r="J167" s="1" t="str">
        <f t="shared" si="34"/>
        <v/>
      </c>
      <c r="K167" s="1" t="str">
        <f t="shared" si="35"/>
        <v/>
      </c>
      <c r="L167" s="1" t="str">
        <f t="shared" si="36"/>
        <v/>
      </c>
    </row>
    <row r="168" spans="1:12">
      <c r="A168" t="s">
        <v>142</v>
      </c>
      <c r="B168">
        <v>10</v>
      </c>
      <c r="C168" t="str">
        <f t="shared" si="30"/>
        <v>test.Class11_10_</v>
      </c>
      <c r="D168">
        <v>2</v>
      </c>
      <c r="E168">
        <v>8.4634466656938565E-2</v>
      </c>
      <c r="F168">
        <v>0.31515152727272727</v>
      </c>
      <c r="G168" s="1" t="str">
        <f t="shared" si="31"/>
        <v/>
      </c>
      <c r="H168" s="1">
        <f t="shared" si="32"/>
        <v>8.4634466656938565E-2</v>
      </c>
      <c r="I168" s="1" t="str">
        <f t="shared" si="33"/>
        <v/>
      </c>
      <c r="J168" s="1" t="str">
        <f t="shared" si="34"/>
        <v/>
      </c>
      <c r="K168" s="1" t="str">
        <f t="shared" si="35"/>
        <v/>
      </c>
      <c r="L168" s="1" t="str">
        <f t="shared" si="36"/>
        <v/>
      </c>
    </row>
    <row r="169" spans="1:12">
      <c r="A169" t="s">
        <v>142</v>
      </c>
      <c r="B169">
        <v>10</v>
      </c>
      <c r="C169" t="str">
        <f t="shared" si="30"/>
        <v>test.Class11_10_</v>
      </c>
      <c r="D169">
        <v>3</v>
      </c>
      <c r="E169">
        <v>0.16189989785495404</v>
      </c>
      <c r="F169">
        <v>0.36969698181818184</v>
      </c>
      <c r="G169" s="1" t="str">
        <f t="shared" si="31"/>
        <v/>
      </c>
      <c r="H169" s="1">
        <f t="shared" si="32"/>
        <v>0.16189989785495404</v>
      </c>
      <c r="I169" s="1" t="str">
        <f t="shared" si="33"/>
        <v/>
      </c>
      <c r="J169" s="1" t="str">
        <f t="shared" si="34"/>
        <v/>
      </c>
      <c r="K169" s="1" t="str">
        <f t="shared" si="35"/>
        <v/>
      </c>
      <c r="L169" s="1" t="str">
        <f t="shared" si="36"/>
        <v/>
      </c>
    </row>
    <row r="170" spans="1:12">
      <c r="A170" t="s">
        <v>142</v>
      </c>
      <c r="B170">
        <v>10</v>
      </c>
      <c r="C170" t="str">
        <f t="shared" si="30"/>
        <v>test.Class11_10_</v>
      </c>
      <c r="D170">
        <v>4</v>
      </c>
      <c r="E170">
        <v>0.23522544870859477</v>
      </c>
      <c r="F170">
        <v>0.37575756363636365</v>
      </c>
      <c r="G170" s="1" t="str">
        <f t="shared" si="31"/>
        <v/>
      </c>
      <c r="H170" s="1">
        <f t="shared" si="32"/>
        <v>0.23522544870859477</v>
      </c>
      <c r="I170" s="1" t="str">
        <f t="shared" si="33"/>
        <v/>
      </c>
      <c r="J170" s="1" t="str">
        <f t="shared" si="34"/>
        <v/>
      </c>
      <c r="K170" s="1" t="str">
        <f t="shared" si="35"/>
        <v/>
      </c>
      <c r="L170" s="1" t="str">
        <f t="shared" si="36"/>
        <v/>
      </c>
    </row>
    <row r="171" spans="1:12">
      <c r="A171" t="s">
        <v>142</v>
      </c>
      <c r="B171">
        <v>10</v>
      </c>
      <c r="C171" t="str">
        <f t="shared" si="30"/>
        <v>test.Class11_10_</v>
      </c>
      <c r="D171">
        <v>5</v>
      </c>
      <c r="E171">
        <v>0.30125492485043048</v>
      </c>
      <c r="F171">
        <v>0.38181818181818183</v>
      </c>
      <c r="G171" s="1" t="str">
        <f t="shared" si="31"/>
        <v/>
      </c>
      <c r="H171" s="1">
        <f t="shared" si="32"/>
        <v>0.30125492485043048</v>
      </c>
      <c r="I171" s="1" t="str">
        <f t="shared" si="33"/>
        <v/>
      </c>
      <c r="J171" s="1" t="str">
        <f t="shared" si="34"/>
        <v/>
      </c>
      <c r="K171" s="1" t="str">
        <f t="shared" si="35"/>
        <v/>
      </c>
      <c r="L171" s="1" t="str">
        <f t="shared" si="36"/>
        <v/>
      </c>
    </row>
    <row r="172" spans="1:12">
      <c r="A172" t="s">
        <v>142</v>
      </c>
      <c r="B172">
        <v>10</v>
      </c>
      <c r="C172" t="str">
        <f t="shared" si="30"/>
        <v>test.Class11_10_</v>
      </c>
      <c r="D172">
        <v>6</v>
      </c>
      <c r="E172">
        <v>0.30125492485043048</v>
      </c>
      <c r="F172">
        <v>0.39393938181818183</v>
      </c>
      <c r="G172" s="1" t="str">
        <f t="shared" si="31"/>
        <v/>
      </c>
      <c r="H172" s="1">
        <f t="shared" si="32"/>
        <v>0.30125492485043048</v>
      </c>
      <c r="I172" s="1" t="str">
        <f t="shared" si="33"/>
        <v/>
      </c>
      <c r="J172" s="1" t="str">
        <f t="shared" si="34"/>
        <v/>
      </c>
      <c r="K172" s="1" t="str">
        <f t="shared" si="35"/>
        <v/>
      </c>
      <c r="L172" s="1" t="str">
        <f t="shared" si="36"/>
        <v/>
      </c>
    </row>
    <row r="173" spans="1:12">
      <c r="A173" t="s">
        <v>142</v>
      </c>
      <c r="B173">
        <v>10</v>
      </c>
      <c r="C173" t="str">
        <f t="shared" si="30"/>
        <v>test.Class11_10_</v>
      </c>
      <c r="D173">
        <v>7</v>
      </c>
      <c r="E173">
        <v>0.36735736173938421</v>
      </c>
      <c r="F173">
        <v>0.4</v>
      </c>
      <c r="G173" s="1" t="str">
        <f t="shared" si="31"/>
        <v/>
      </c>
      <c r="H173" s="1">
        <f t="shared" si="32"/>
        <v>0.36735736173938421</v>
      </c>
      <c r="I173" s="1" t="str">
        <f t="shared" si="33"/>
        <v/>
      </c>
      <c r="J173" s="1" t="str">
        <f t="shared" si="34"/>
        <v/>
      </c>
      <c r="K173" s="1" t="str">
        <f t="shared" si="35"/>
        <v/>
      </c>
      <c r="L173" s="1" t="str">
        <f t="shared" si="36"/>
        <v/>
      </c>
    </row>
    <row r="174" spans="1:12">
      <c r="A174" t="s">
        <v>142</v>
      </c>
      <c r="B174">
        <v>10</v>
      </c>
      <c r="C174" t="str">
        <f t="shared" si="30"/>
        <v>test.Class11_10_</v>
      </c>
      <c r="D174">
        <v>8</v>
      </c>
      <c r="E174">
        <v>0.36735736173938421</v>
      </c>
      <c r="F174">
        <v>0.41818181818181815</v>
      </c>
      <c r="G174" s="1" t="str">
        <f t="shared" si="31"/>
        <v/>
      </c>
      <c r="H174" s="1" t="str">
        <f t="shared" si="32"/>
        <v/>
      </c>
      <c r="I174" s="1">
        <f t="shared" si="33"/>
        <v>0.36735736173938421</v>
      </c>
      <c r="J174" s="1" t="str">
        <f t="shared" si="34"/>
        <v/>
      </c>
      <c r="K174" s="1" t="str">
        <f t="shared" si="35"/>
        <v/>
      </c>
      <c r="L174" s="1" t="str">
        <f t="shared" si="36"/>
        <v/>
      </c>
    </row>
    <row r="175" spans="1:12">
      <c r="A175" t="s">
        <v>142</v>
      </c>
      <c r="B175">
        <v>10</v>
      </c>
      <c r="C175" t="str">
        <f t="shared" si="30"/>
        <v>test.Class11_10_</v>
      </c>
      <c r="D175">
        <v>9</v>
      </c>
      <c r="E175">
        <v>0.36735736173938421</v>
      </c>
      <c r="F175">
        <v>0.41818363636363637</v>
      </c>
      <c r="G175" s="1" t="str">
        <f t="shared" si="31"/>
        <v/>
      </c>
      <c r="H175" s="1" t="str">
        <f t="shared" si="32"/>
        <v/>
      </c>
      <c r="I175" s="1">
        <f t="shared" si="33"/>
        <v>0.36735736173938421</v>
      </c>
      <c r="J175" s="1" t="str">
        <f t="shared" si="34"/>
        <v/>
      </c>
      <c r="K175" s="1" t="str">
        <f t="shared" si="35"/>
        <v/>
      </c>
      <c r="L175" s="1" t="str">
        <f t="shared" si="36"/>
        <v/>
      </c>
    </row>
    <row r="176" spans="1:12">
      <c r="A176" t="s">
        <v>142</v>
      </c>
      <c r="B176">
        <v>10</v>
      </c>
      <c r="C176" t="str">
        <f t="shared" si="30"/>
        <v>test.Class11_10_</v>
      </c>
      <c r="D176">
        <v>10</v>
      </c>
      <c r="E176">
        <v>0.52115861666423469</v>
      </c>
      <c r="F176">
        <v>0.45454545454545453</v>
      </c>
      <c r="G176" s="1" t="str">
        <f t="shared" si="31"/>
        <v/>
      </c>
      <c r="H176" s="1" t="str">
        <f t="shared" si="32"/>
        <v/>
      </c>
      <c r="I176" s="1">
        <f t="shared" si="33"/>
        <v>0.52115861666423469</v>
      </c>
      <c r="J176" s="1" t="str">
        <f t="shared" si="34"/>
        <v/>
      </c>
      <c r="K176" s="1" t="str">
        <f t="shared" si="35"/>
        <v/>
      </c>
      <c r="L176" s="1" t="str">
        <f t="shared" si="36"/>
        <v/>
      </c>
    </row>
    <row r="177" spans="1:12">
      <c r="A177" t="s">
        <v>142</v>
      </c>
      <c r="B177">
        <v>10</v>
      </c>
      <c r="C177" t="str">
        <f t="shared" si="30"/>
        <v>test.Class11_10_</v>
      </c>
      <c r="D177">
        <v>11</v>
      </c>
      <c r="E177">
        <v>0.54363052677659418</v>
      </c>
      <c r="F177">
        <v>0.47272727272727272</v>
      </c>
      <c r="G177" s="1" t="str">
        <f t="shared" si="31"/>
        <v/>
      </c>
      <c r="H177" s="1" t="str">
        <f t="shared" si="32"/>
        <v/>
      </c>
      <c r="I177" s="1">
        <f t="shared" si="33"/>
        <v>0.54363052677659418</v>
      </c>
      <c r="J177" s="1" t="str">
        <f t="shared" si="34"/>
        <v/>
      </c>
      <c r="K177" s="1" t="str">
        <f t="shared" si="35"/>
        <v/>
      </c>
      <c r="L177" s="1" t="str">
        <f t="shared" si="36"/>
        <v/>
      </c>
    </row>
    <row r="178" spans="1:12">
      <c r="A178" t="s">
        <v>142</v>
      </c>
      <c r="B178">
        <v>10</v>
      </c>
      <c r="C178" t="str">
        <f t="shared" si="30"/>
        <v>test.Class11_10_</v>
      </c>
      <c r="D178">
        <v>12</v>
      </c>
      <c r="E178">
        <v>0.6757624398073836</v>
      </c>
      <c r="F178">
        <v>0.47272909090909093</v>
      </c>
      <c r="G178" s="1" t="str">
        <f t="shared" si="31"/>
        <v/>
      </c>
      <c r="H178" s="1" t="str">
        <f t="shared" si="32"/>
        <v/>
      </c>
      <c r="I178" s="1">
        <f t="shared" si="33"/>
        <v>0.6757624398073836</v>
      </c>
      <c r="J178" s="1" t="str">
        <f t="shared" si="34"/>
        <v/>
      </c>
      <c r="K178" s="1" t="str">
        <f t="shared" si="35"/>
        <v/>
      </c>
      <c r="L178" s="1" t="str">
        <f t="shared" si="36"/>
        <v/>
      </c>
    </row>
    <row r="179" spans="1:12">
      <c r="A179" t="s">
        <v>142</v>
      </c>
      <c r="B179">
        <v>10</v>
      </c>
      <c r="C179" t="str">
        <f t="shared" si="30"/>
        <v>test.Class11_10_</v>
      </c>
      <c r="D179">
        <v>13</v>
      </c>
      <c r="E179">
        <v>0.6982343499197432</v>
      </c>
      <c r="F179">
        <v>0.47878789090909091</v>
      </c>
      <c r="G179" s="1" t="str">
        <f t="shared" si="31"/>
        <v/>
      </c>
      <c r="H179" s="1" t="str">
        <f t="shared" si="32"/>
        <v/>
      </c>
      <c r="I179" s="1">
        <f t="shared" si="33"/>
        <v>0.6982343499197432</v>
      </c>
      <c r="J179" s="1" t="str">
        <f t="shared" si="34"/>
        <v/>
      </c>
      <c r="K179" s="1" t="str">
        <f t="shared" si="35"/>
        <v/>
      </c>
      <c r="L179" s="1" t="str">
        <f t="shared" si="36"/>
        <v/>
      </c>
    </row>
    <row r="180" spans="1:12">
      <c r="A180" t="s">
        <v>142</v>
      </c>
      <c r="B180">
        <v>10</v>
      </c>
      <c r="C180" t="str">
        <f t="shared" si="30"/>
        <v>test.Class11_10_</v>
      </c>
      <c r="D180">
        <v>14</v>
      </c>
      <c r="E180">
        <v>0.7191011235955056</v>
      </c>
      <c r="F180">
        <v>0.48484847272727272</v>
      </c>
      <c r="G180" s="1" t="str">
        <f t="shared" si="31"/>
        <v/>
      </c>
      <c r="H180" s="1" t="str">
        <f t="shared" si="32"/>
        <v/>
      </c>
      <c r="I180" s="1">
        <f t="shared" si="33"/>
        <v>0.7191011235955056</v>
      </c>
      <c r="J180" s="1" t="str">
        <f t="shared" si="34"/>
        <v/>
      </c>
      <c r="K180" s="1" t="str">
        <f t="shared" si="35"/>
        <v/>
      </c>
      <c r="L180" s="1" t="str">
        <f t="shared" si="36"/>
        <v/>
      </c>
    </row>
    <row r="181" spans="1:12">
      <c r="A181" t="s">
        <v>142</v>
      </c>
      <c r="B181">
        <v>10</v>
      </c>
      <c r="C181" t="str">
        <f t="shared" si="30"/>
        <v>test.Class11_10_</v>
      </c>
      <c r="D181">
        <v>15</v>
      </c>
      <c r="E181">
        <v>0.7191011235955056</v>
      </c>
      <c r="F181">
        <v>0.48485027272727277</v>
      </c>
      <c r="G181" s="1" t="str">
        <f t="shared" si="31"/>
        <v/>
      </c>
      <c r="H181" s="1" t="str">
        <f t="shared" si="32"/>
        <v/>
      </c>
      <c r="I181" s="1">
        <f t="shared" si="33"/>
        <v>0.7191011235955056</v>
      </c>
      <c r="J181" s="1" t="str">
        <f t="shared" si="34"/>
        <v/>
      </c>
      <c r="K181" s="1" t="str">
        <f t="shared" si="35"/>
        <v/>
      </c>
      <c r="L181" s="1" t="str">
        <f t="shared" si="36"/>
        <v/>
      </c>
    </row>
    <row r="182" spans="1:12">
      <c r="A182" t="s">
        <v>142</v>
      </c>
      <c r="B182">
        <v>10</v>
      </c>
      <c r="C182" t="str">
        <f t="shared" si="30"/>
        <v>test.Class11_10_</v>
      </c>
      <c r="D182">
        <v>16</v>
      </c>
      <c r="E182">
        <v>0.7399678972712681</v>
      </c>
      <c r="F182">
        <v>0.49090909090909091</v>
      </c>
      <c r="G182" s="1" t="str">
        <f t="shared" si="31"/>
        <v/>
      </c>
      <c r="H182" s="1" t="str">
        <f t="shared" si="32"/>
        <v/>
      </c>
      <c r="I182" s="1">
        <f t="shared" si="33"/>
        <v>0.7399678972712681</v>
      </c>
      <c r="J182" s="1" t="str">
        <f t="shared" si="34"/>
        <v/>
      </c>
      <c r="K182" s="1" t="str">
        <f t="shared" si="35"/>
        <v/>
      </c>
      <c r="L182" s="1" t="str">
        <f t="shared" si="36"/>
        <v/>
      </c>
    </row>
    <row r="183" spans="1:12">
      <c r="A183" t="s">
        <v>142</v>
      </c>
      <c r="B183">
        <v>10</v>
      </c>
      <c r="C183" t="str">
        <f t="shared" si="30"/>
        <v>test.Class11_10_</v>
      </c>
      <c r="D183">
        <v>17</v>
      </c>
      <c r="E183">
        <v>0.7399678972712681</v>
      </c>
      <c r="F183">
        <v>0.49091090909090906</v>
      </c>
      <c r="G183" s="1" t="str">
        <f t="shared" si="31"/>
        <v/>
      </c>
      <c r="H183" s="1" t="str">
        <f t="shared" si="32"/>
        <v/>
      </c>
      <c r="I183" s="1">
        <f t="shared" si="33"/>
        <v>0.7399678972712681</v>
      </c>
      <c r="J183" s="1" t="str">
        <f t="shared" si="34"/>
        <v/>
      </c>
      <c r="K183" s="1" t="str">
        <f t="shared" si="35"/>
        <v/>
      </c>
      <c r="L183" s="1" t="str">
        <f t="shared" si="36"/>
        <v/>
      </c>
    </row>
    <row r="184" spans="1:12">
      <c r="A184" t="s">
        <v>142</v>
      </c>
      <c r="B184">
        <v>10</v>
      </c>
      <c r="C184" t="str">
        <f t="shared" si="30"/>
        <v>test.Class11_10_</v>
      </c>
      <c r="D184">
        <v>18</v>
      </c>
      <c r="E184">
        <v>0.7399678972712681</v>
      </c>
      <c r="F184">
        <v>0.49091269090909095</v>
      </c>
      <c r="G184" s="1" t="str">
        <f t="shared" si="31"/>
        <v/>
      </c>
      <c r="H184" s="1" t="str">
        <f t="shared" si="32"/>
        <v/>
      </c>
      <c r="I184" s="1">
        <f t="shared" si="33"/>
        <v>0.7399678972712681</v>
      </c>
      <c r="J184" s="1" t="str">
        <f t="shared" si="34"/>
        <v/>
      </c>
      <c r="K184" s="1" t="str">
        <f t="shared" si="35"/>
        <v/>
      </c>
      <c r="L184" s="1" t="str">
        <f t="shared" si="36"/>
        <v/>
      </c>
    </row>
    <row r="185" spans="1:12">
      <c r="A185" t="s">
        <v>142</v>
      </c>
      <c r="B185">
        <v>10</v>
      </c>
      <c r="C185" t="str">
        <f t="shared" si="30"/>
        <v>test.Class11_10_</v>
      </c>
      <c r="D185">
        <v>19</v>
      </c>
      <c r="E185">
        <v>0.7399678972712681</v>
      </c>
      <c r="F185">
        <v>0.51515152727272728</v>
      </c>
      <c r="G185" s="1" t="str">
        <f t="shared" si="31"/>
        <v/>
      </c>
      <c r="H185" s="1" t="str">
        <f t="shared" si="32"/>
        <v/>
      </c>
      <c r="I185" s="1">
        <f t="shared" si="33"/>
        <v>0.7399678972712681</v>
      </c>
      <c r="J185" s="1" t="str">
        <f t="shared" si="34"/>
        <v/>
      </c>
      <c r="K185" s="1" t="str">
        <f t="shared" si="35"/>
        <v/>
      </c>
      <c r="L185" s="1" t="str">
        <f t="shared" si="36"/>
        <v/>
      </c>
    </row>
    <row r="186" spans="1:12">
      <c r="A186" t="s">
        <v>142</v>
      </c>
      <c r="B186">
        <v>10</v>
      </c>
      <c r="C186" t="str">
        <f t="shared" si="30"/>
        <v>test.Class11_10_</v>
      </c>
      <c r="D186">
        <v>20</v>
      </c>
      <c r="E186">
        <v>0.7399678972712681</v>
      </c>
      <c r="F186">
        <v>0.52727272727272723</v>
      </c>
      <c r="G186" s="1" t="str">
        <f t="shared" si="31"/>
        <v/>
      </c>
      <c r="H186" s="1" t="str">
        <f t="shared" si="32"/>
        <v/>
      </c>
      <c r="I186" s="1">
        <f t="shared" si="33"/>
        <v>0.7399678972712681</v>
      </c>
      <c r="J186" s="1" t="str">
        <f t="shared" si="34"/>
        <v/>
      </c>
      <c r="K186" s="1" t="str">
        <f t="shared" si="35"/>
        <v/>
      </c>
      <c r="L186" s="1" t="str">
        <f t="shared" si="36"/>
        <v/>
      </c>
    </row>
    <row r="187" spans="1:12">
      <c r="A187" t="s">
        <v>142</v>
      </c>
      <c r="B187">
        <v>10</v>
      </c>
      <c r="C187" t="str">
        <f t="shared" si="30"/>
        <v>test.Class11_10_</v>
      </c>
      <c r="D187">
        <v>21</v>
      </c>
      <c r="E187">
        <v>0.78330658105938999</v>
      </c>
      <c r="F187">
        <v>0.53939392727272728</v>
      </c>
      <c r="G187" s="1" t="str">
        <f t="shared" si="31"/>
        <v/>
      </c>
      <c r="H187" s="1" t="str">
        <f t="shared" si="32"/>
        <v/>
      </c>
      <c r="I187" s="1">
        <f t="shared" si="33"/>
        <v>0.78330658105938999</v>
      </c>
      <c r="J187" s="1" t="str">
        <f t="shared" si="34"/>
        <v/>
      </c>
      <c r="K187" s="1" t="str">
        <f t="shared" si="35"/>
        <v/>
      </c>
      <c r="L187" s="1" t="str">
        <f t="shared" si="36"/>
        <v/>
      </c>
    </row>
    <row r="188" spans="1:12">
      <c r="A188" t="s">
        <v>142</v>
      </c>
      <c r="B188">
        <v>10</v>
      </c>
      <c r="C188" t="str">
        <f t="shared" si="30"/>
        <v>test.Class11_10_</v>
      </c>
      <c r="D188">
        <v>22</v>
      </c>
      <c r="E188">
        <v>0.78330658105938999</v>
      </c>
      <c r="F188">
        <v>0.53939572727272733</v>
      </c>
      <c r="G188" s="1" t="str">
        <f t="shared" si="31"/>
        <v/>
      </c>
      <c r="H188" s="1" t="str">
        <f t="shared" si="32"/>
        <v/>
      </c>
      <c r="I188" s="1">
        <f t="shared" si="33"/>
        <v>0.78330658105938999</v>
      </c>
      <c r="J188" s="1" t="str">
        <f t="shared" si="34"/>
        <v/>
      </c>
      <c r="K188" s="1" t="str">
        <f t="shared" si="35"/>
        <v/>
      </c>
      <c r="L188" s="1" t="str">
        <f t="shared" si="36"/>
        <v/>
      </c>
    </row>
    <row r="189" spans="1:12">
      <c r="A189" t="s">
        <v>142</v>
      </c>
      <c r="B189">
        <v>10</v>
      </c>
      <c r="C189" t="str">
        <f t="shared" si="30"/>
        <v>test.Class11_10_</v>
      </c>
      <c r="D189">
        <v>23</v>
      </c>
      <c r="E189">
        <v>0.78330658105938999</v>
      </c>
      <c r="F189">
        <v>0.54545454545454541</v>
      </c>
      <c r="G189" s="1" t="str">
        <f t="shared" si="31"/>
        <v/>
      </c>
      <c r="H189" s="1" t="str">
        <f t="shared" si="32"/>
        <v/>
      </c>
      <c r="I189" s="1">
        <f t="shared" si="33"/>
        <v>0.78330658105938999</v>
      </c>
      <c r="J189" s="1" t="str">
        <f t="shared" si="34"/>
        <v/>
      </c>
      <c r="K189" s="1" t="str">
        <f t="shared" si="35"/>
        <v/>
      </c>
      <c r="L189" s="1" t="str">
        <f t="shared" si="36"/>
        <v/>
      </c>
    </row>
    <row r="190" spans="1:12">
      <c r="A190" t="s">
        <v>142</v>
      </c>
      <c r="B190">
        <v>10</v>
      </c>
      <c r="C190" t="str">
        <f t="shared" si="30"/>
        <v>test.Class11_10_</v>
      </c>
      <c r="D190">
        <v>24</v>
      </c>
      <c r="E190">
        <v>0.826645264847512</v>
      </c>
      <c r="F190">
        <v>0.5636363636363636</v>
      </c>
      <c r="G190" s="1" t="str">
        <f t="shared" si="31"/>
        <v/>
      </c>
      <c r="H190" s="1" t="str">
        <f t="shared" si="32"/>
        <v/>
      </c>
      <c r="I190" s="1">
        <f t="shared" si="33"/>
        <v>0.826645264847512</v>
      </c>
      <c r="J190" s="1" t="str">
        <f t="shared" si="34"/>
        <v/>
      </c>
      <c r="K190" s="1" t="str">
        <f t="shared" si="35"/>
        <v/>
      </c>
      <c r="L190" s="1" t="str">
        <f t="shared" si="36"/>
        <v/>
      </c>
    </row>
    <row r="191" spans="1:12">
      <c r="A191" t="s">
        <v>142</v>
      </c>
      <c r="B191">
        <v>10</v>
      </c>
      <c r="C191" t="str">
        <f t="shared" si="30"/>
        <v>test.Class11_10_</v>
      </c>
      <c r="D191">
        <v>25</v>
      </c>
      <c r="E191">
        <v>0.869983948635634</v>
      </c>
      <c r="F191">
        <v>0.57575756363636366</v>
      </c>
      <c r="G191" s="1" t="str">
        <f t="shared" si="31"/>
        <v/>
      </c>
      <c r="H191" s="1" t="str">
        <f t="shared" si="32"/>
        <v/>
      </c>
      <c r="I191" s="1">
        <f t="shared" si="33"/>
        <v>0.869983948635634</v>
      </c>
      <c r="J191" s="1" t="str">
        <f t="shared" si="34"/>
        <v/>
      </c>
      <c r="K191" s="1" t="str">
        <f t="shared" si="35"/>
        <v/>
      </c>
      <c r="L191" s="1" t="str">
        <f t="shared" si="36"/>
        <v/>
      </c>
    </row>
    <row r="192" spans="1:12">
      <c r="A192" t="s">
        <v>142</v>
      </c>
      <c r="B192">
        <v>10</v>
      </c>
      <c r="C192" t="str">
        <f t="shared" si="30"/>
        <v>test.Class11_10_</v>
      </c>
      <c r="D192">
        <v>26</v>
      </c>
      <c r="E192">
        <v>0.869983948635634</v>
      </c>
      <c r="F192">
        <v>0.58181818181818179</v>
      </c>
      <c r="G192" s="1" t="str">
        <f t="shared" si="31"/>
        <v/>
      </c>
      <c r="H192" s="1" t="str">
        <f t="shared" si="32"/>
        <v/>
      </c>
      <c r="I192" s="1">
        <f t="shared" si="33"/>
        <v>0.869983948635634</v>
      </c>
      <c r="J192" s="1" t="str">
        <f t="shared" si="34"/>
        <v/>
      </c>
      <c r="K192" s="1" t="str">
        <f t="shared" si="35"/>
        <v/>
      </c>
      <c r="L192" s="1" t="str">
        <f t="shared" si="36"/>
        <v/>
      </c>
    </row>
    <row r="193" spans="1:12">
      <c r="A193" t="s">
        <v>142</v>
      </c>
      <c r="B193">
        <v>10</v>
      </c>
      <c r="C193" t="str">
        <f t="shared" si="30"/>
        <v>test.Class11_10_</v>
      </c>
      <c r="D193">
        <v>27</v>
      </c>
      <c r="E193">
        <v>0.869983948635634</v>
      </c>
      <c r="F193">
        <v>0.58182000000000011</v>
      </c>
      <c r="G193" s="1" t="str">
        <f t="shared" si="31"/>
        <v/>
      </c>
      <c r="H193" s="1" t="str">
        <f t="shared" si="32"/>
        <v/>
      </c>
      <c r="I193" s="1">
        <f t="shared" si="33"/>
        <v>0.869983948635634</v>
      </c>
      <c r="J193" s="1" t="str">
        <f t="shared" si="34"/>
        <v/>
      </c>
      <c r="K193" s="1" t="str">
        <f t="shared" si="35"/>
        <v/>
      </c>
      <c r="L193" s="1" t="str">
        <f t="shared" si="36"/>
        <v/>
      </c>
    </row>
    <row r="194" spans="1:12">
      <c r="A194" t="s">
        <v>142</v>
      </c>
      <c r="B194">
        <v>10</v>
      </c>
      <c r="C194" t="str">
        <f t="shared" si="30"/>
        <v>test.Class11_10_</v>
      </c>
      <c r="D194">
        <v>28</v>
      </c>
      <c r="E194">
        <v>0.913322632423756</v>
      </c>
      <c r="F194">
        <v>0.61818181818181817</v>
      </c>
      <c r="G194" s="1" t="str">
        <f t="shared" si="31"/>
        <v/>
      </c>
      <c r="H194" s="1" t="str">
        <f t="shared" si="32"/>
        <v/>
      </c>
      <c r="I194" s="1" t="str">
        <f t="shared" si="33"/>
        <v/>
      </c>
      <c r="J194" s="1">
        <f t="shared" si="34"/>
        <v>0.913322632423756</v>
      </c>
      <c r="K194" s="1" t="str">
        <f t="shared" si="35"/>
        <v/>
      </c>
      <c r="L194" s="1" t="str">
        <f t="shared" si="36"/>
        <v/>
      </c>
    </row>
    <row r="195" spans="1:12">
      <c r="A195" t="s">
        <v>142</v>
      </c>
      <c r="B195">
        <v>10</v>
      </c>
      <c r="C195" t="str">
        <f t="shared" ref="C195:C258" si="37">CONCATENATE(A195, "_",B195,"_")</f>
        <v>test.Class11_10_</v>
      </c>
      <c r="D195">
        <v>29</v>
      </c>
      <c r="E195">
        <v>0.913322632423756</v>
      </c>
      <c r="F195">
        <v>0.63030305454545454</v>
      </c>
      <c r="G195" s="1" t="str">
        <f t="shared" ref="G195:G258" si="38">IF($F195 &lt;= 0.2,$E195,"")</f>
        <v/>
      </c>
      <c r="H195" s="1" t="str">
        <f t="shared" ref="H195:H258" si="39">IF(AND($F195 &gt; 0.2,$F195 &lt;= 0.4),$E195,"")</f>
        <v/>
      </c>
      <c r="I195" s="1" t="str">
        <f t="shared" ref="I195:I258" si="40">IF(AND($F195 &gt; 0.4,$F195 &lt;= 0.6),$E195,"")</f>
        <v/>
      </c>
      <c r="J195" s="1">
        <f t="shared" ref="J195:J258" si="41">IF(AND($F195 &gt; 0.6,$F195 &lt;= 0.8),$E195,"")</f>
        <v>0.913322632423756</v>
      </c>
      <c r="K195" s="1" t="str">
        <f t="shared" ref="K195:K258" si="42">IF(AND($F195 &gt; 0.8, $F195 &lt;=1.1),$E195,"")</f>
        <v/>
      </c>
      <c r="L195" s="1" t="str">
        <f t="shared" ref="L195:L258" si="43">IF(AND($F195 &gt; 1.1),$E195,"")</f>
        <v/>
      </c>
    </row>
    <row r="196" spans="1:12">
      <c r="A196" t="s">
        <v>142</v>
      </c>
      <c r="B196">
        <v>10</v>
      </c>
      <c r="C196" t="str">
        <f t="shared" si="37"/>
        <v>test.Class11_10_</v>
      </c>
      <c r="D196">
        <v>30</v>
      </c>
      <c r="E196">
        <v>0.913322632423756</v>
      </c>
      <c r="F196">
        <v>0.63636363636363635</v>
      </c>
      <c r="G196" s="1" t="str">
        <f t="shared" si="38"/>
        <v/>
      </c>
      <c r="H196" s="1" t="str">
        <f t="shared" si="39"/>
        <v/>
      </c>
      <c r="I196" s="1" t="str">
        <f t="shared" si="40"/>
        <v/>
      </c>
      <c r="J196" s="1">
        <f t="shared" si="41"/>
        <v>0.913322632423756</v>
      </c>
      <c r="K196" s="1" t="str">
        <f t="shared" si="42"/>
        <v/>
      </c>
      <c r="L196" s="1" t="str">
        <f t="shared" si="43"/>
        <v/>
      </c>
    </row>
    <row r="197" spans="1:12">
      <c r="A197" t="s">
        <v>142</v>
      </c>
      <c r="B197">
        <v>10</v>
      </c>
      <c r="C197" t="str">
        <f t="shared" si="37"/>
        <v>test.Class11_10_</v>
      </c>
      <c r="D197">
        <v>31</v>
      </c>
      <c r="E197">
        <v>1</v>
      </c>
      <c r="F197">
        <v>0.69090909090909092</v>
      </c>
      <c r="G197" s="1" t="str">
        <f t="shared" si="38"/>
        <v/>
      </c>
      <c r="H197" s="1" t="str">
        <f t="shared" si="39"/>
        <v/>
      </c>
      <c r="I197" s="1" t="str">
        <f t="shared" si="40"/>
        <v/>
      </c>
      <c r="J197" s="1">
        <f t="shared" si="41"/>
        <v>1</v>
      </c>
      <c r="K197" s="1" t="str">
        <f t="shared" si="42"/>
        <v/>
      </c>
      <c r="L197" s="1" t="str">
        <f t="shared" si="43"/>
        <v/>
      </c>
    </row>
    <row r="198" spans="1:12">
      <c r="A198" t="s">
        <v>142</v>
      </c>
      <c r="B198">
        <v>10</v>
      </c>
      <c r="C198" t="str">
        <f t="shared" si="37"/>
        <v>test.Class11_10_</v>
      </c>
      <c r="D198">
        <v>32</v>
      </c>
      <c r="E198">
        <v>1</v>
      </c>
      <c r="F198">
        <v>0.70909090909090911</v>
      </c>
      <c r="G198" s="1" t="str">
        <f t="shared" si="38"/>
        <v/>
      </c>
      <c r="H198" s="1" t="str">
        <f t="shared" si="39"/>
        <v/>
      </c>
      <c r="I198" s="1" t="str">
        <f t="shared" si="40"/>
        <v/>
      </c>
      <c r="J198" s="1">
        <f t="shared" si="41"/>
        <v>1</v>
      </c>
      <c r="K198" s="1" t="str">
        <f t="shared" si="42"/>
        <v/>
      </c>
      <c r="L198" s="1" t="str">
        <f t="shared" si="43"/>
        <v/>
      </c>
    </row>
    <row r="199" spans="1:12">
      <c r="A199" t="s">
        <v>142</v>
      </c>
      <c r="B199">
        <v>11</v>
      </c>
      <c r="C199" t="str">
        <f t="shared" si="37"/>
        <v>test.Class11_11_</v>
      </c>
      <c r="D199">
        <v>1</v>
      </c>
      <c r="E199">
        <v>1.3948256467941508E-2</v>
      </c>
      <c r="F199">
        <v>0.468085107062019</v>
      </c>
      <c r="G199" s="1" t="str">
        <f t="shared" si="38"/>
        <v/>
      </c>
      <c r="H199" s="1" t="str">
        <f t="shared" si="39"/>
        <v/>
      </c>
      <c r="I199" s="1">
        <f t="shared" si="40"/>
        <v>1.3948256467941508E-2</v>
      </c>
      <c r="J199" s="1" t="str">
        <f t="shared" si="41"/>
        <v/>
      </c>
      <c r="K199" s="1" t="str">
        <f t="shared" si="42"/>
        <v/>
      </c>
      <c r="L199" s="1" t="str">
        <f t="shared" si="43"/>
        <v/>
      </c>
    </row>
    <row r="200" spans="1:12">
      <c r="A200" t="s">
        <v>142</v>
      </c>
      <c r="B200">
        <v>11</v>
      </c>
      <c r="C200" t="str">
        <f t="shared" si="37"/>
        <v>test.Class11_11_</v>
      </c>
      <c r="D200">
        <v>2</v>
      </c>
      <c r="E200">
        <v>0.29988751406074243</v>
      </c>
      <c r="F200">
        <v>1</v>
      </c>
      <c r="G200" s="1" t="str">
        <f t="shared" si="38"/>
        <v/>
      </c>
      <c r="H200" s="1" t="str">
        <f t="shared" si="39"/>
        <v/>
      </c>
      <c r="I200" s="1" t="str">
        <f t="shared" si="40"/>
        <v/>
      </c>
      <c r="J200" s="1" t="str">
        <f t="shared" si="41"/>
        <v/>
      </c>
      <c r="K200" s="1">
        <f t="shared" si="42"/>
        <v>0.29988751406074243</v>
      </c>
      <c r="L200" s="1" t="str">
        <f t="shared" si="43"/>
        <v/>
      </c>
    </row>
    <row r="201" spans="1:12">
      <c r="A201" t="s">
        <v>142</v>
      </c>
      <c r="B201">
        <v>11</v>
      </c>
      <c r="C201" t="str">
        <f t="shared" si="37"/>
        <v>test.Class11_11_</v>
      </c>
      <c r="D201">
        <v>3</v>
      </c>
      <c r="E201">
        <v>0.29988751406074243</v>
      </c>
      <c r="F201">
        <v>1.0000063829785877</v>
      </c>
      <c r="G201" s="1" t="str">
        <f t="shared" si="38"/>
        <v/>
      </c>
      <c r="H201" s="1" t="str">
        <f t="shared" si="39"/>
        <v/>
      </c>
      <c r="I201" s="1" t="str">
        <f t="shared" si="40"/>
        <v/>
      </c>
      <c r="J201" s="1" t="str">
        <f t="shared" si="41"/>
        <v/>
      </c>
      <c r="K201" s="1">
        <f t="shared" si="42"/>
        <v>0.29988751406074243</v>
      </c>
      <c r="L201" s="1" t="str">
        <f t="shared" si="43"/>
        <v/>
      </c>
    </row>
    <row r="202" spans="1:12">
      <c r="A202" t="s">
        <v>142</v>
      </c>
      <c r="B202">
        <v>11</v>
      </c>
      <c r="C202" t="str">
        <f t="shared" si="37"/>
        <v>test.Class11_11_</v>
      </c>
      <c r="D202">
        <v>4</v>
      </c>
      <c r="E202">
        <v>0.47401574803149604</v>
      </c>
      <c r="F202">
        <v>1.148936145767316</v>
      </c>
      <c r="G202" s="1" t="str">
        <f t="shared" si="38"/>
        <v/>
      </c>
      <c r="H202" s="1" t="str">
        <f t="shared" si="39"/>
        <v/>
      </c>
      <c r="I202" s="1" t="str">
        <f t="shared" si="40"/>
        <v/>
      </c>
      <c r="J202" s="1" t="str">
        <f t="shared" si="41"/>
        <v/>
      </c>
      <c r="K202" s="1" t="str">
        <f t="shared" si="42"/>
        <v/>
      </c>
      <c r="L202" s="1">
        <f t="shared" si="43"/>
        <v>0.47401574803149604</v>
      </c>
    </row>
    <row r="203" spans="1:12">
      <c r="A203" t="s">
        <v>142</v>
      </c>
      <c r="B203">
        <v>11</v>
      </c>
      <c r="C203" t="str">
        <f t="shared" si="37"/>
        <v>test.Class11_11_</v>
      </c>
      <c r="D203">
        <v>5</v>
      </c>
      <c r="E203">
        <v>0.64814398200224976</v>
      </c>
      <c r="F203">
        <v>1.1914892937981001</v>
      </c>
      <c r="G203" s="1" t="str">
        <f t="shared" si="38"/>
        <v/>
      </c>
      <c r="H203" s="1" t="str">
        <f t="shared" si="39"/>
        <v/>
      </c>
      <c r="I203" s="1" t="str">
        <f t="shared" si="40"/>
        <v/>
      </c>
      <c r="J203" s="1" t="str">
        <f t="shared" si="41"/>
        <v/>
      </c>
      <c r="K203" s="1" t="str">
        <f t="shared" si="42"/>
        <v/>
      </c>
      <c r="L203" s="1">
        <f t="shared" si="43"/>
        <v>0.64814398200224976</v>
      </c>
    </row>
    <row r="204" spans="1:12">
      <c r="A204" t="s">
        <v>142</v>
      </c>
      <c r="B204">
        <v>11</v>
      </c>
      <c r="C204" t="str">
        <f t="shared" si="37"/>
        <v>test.Class11_11_</v>
      </c>
      <c r="D204">
        <v>6</v>
      </c>
      <c r="E204">
        <v>0.64814398200224976</v>
      </c>
      <c r="F204">
        <v>1.212765931643278</v>
      </c>
      <c r="G204" s="1" t="str">
        <f t="shared" si="38"/>
        <v/>
      </c>
      <c r="H204" s="1" t="str">
        <f t="shared" si="39"/>
        <v/>
      </c>
      <c r="I204" s="1" t="str">
        <f t="shared" si="40"/>
        <v/>
      </c>
      <c r="J204" s="1" t="str">
        <f t="shared" si="41"/>
        <v/>
      </c>
      <c r="K204" s="1" t="str">
        <f t="shared" si="42"/>
        <v/>
      </c>
      <c r="L204" s="1">
        <f t="shared" si="43"/>
        <v>0.64814398200224976</v>
      </c>
    </row>
    <row r="205" spans="1:12">
      <c r="A205" t="s">
        <v>142</v>
      </c>
      <c r="B205">
        <v>11</v>
      </c>
      <c r="C205" t="str">
        <f t="shared" si="37"/>
        <v>test.Class11_11_</v>
      </c>
      <c r="D205">
        <v>7</v>
      </c>
      <c r="E205">
        <v>0.82227221597300337</v>
      </c>
      <c r="F205">
        <v>1.2127723146218656</v>
      </c>
      <c r="G205" s="1" t="str">
        <f t="shared" si="38"/>
        <v/>
      </c>
      <c r="H205" s="1" t="str">
        <f t="shared" si="39"/>
        <v/>
      </c>
      <c r="I205" s="1" t="str">
        <f t="shared" si="40"/>
        <v/>
      </c>
      <c r="J205" s="1" t="str">
        <f t="shared" si="41"/>
        <v/>
      </c>
      <c r="K205" s="1" t="str">
        <f t="shared" si="42"/>
        <v/>
      </c>
      <c r="L205" s="1">
        <f t="shared" si="43"/>
        <v>0.82227221597300337</v>
      </c>
    </row>
    <row r="206" spans="1:12">
      <c r="A206" t="s">
        <v>142</v>
      </c>
      <c r="B206">
        <v>11</v>
      </c>
      <c r="C206" t="str">
        <f t="shared" si="37"/>
        <v>test.Class11_11_</v>
      </c>
      <c r="D206">
        <v>8</v>
      </c>
      <c r="E206">
        <v>0.82227221597300337</v>
      </c>
      <c r="F206">
        <v>1.234042569488456</v>
      </c>
      <c r="G206" s="1" t="str">
        <f t="shared" si="38"/>
        <v/>
      </c>
      <c r="H206" s="1" t="str">
        <f t="shared" si="39"/>
        <v/>
      </c>
      <c r="I206" s="1" t="str">
        <f t="shared" si="40"/>
        <v/>
      </c>
      <c r="J206" s="1" t="str">
        <f t="shared" si="41"/>
        <v/>
      </c>
      <c r="K206" s="1" t="str">
        <f t="shared" si="42"/>
        <v/>
      </c>
      <c r="L206" s="1">
        <f t="shared" si="43"/>
        <v>0.82227221597300337</v>
      </c>
    </row>
    <row r="207" spans="1:12">
      <c r="A207" t="s">
        <v>142</v>
      </c>
      <c r="B207">
        <v>11</v>
      </c>
      <c r="C207" t="str">
        <f t="shared" si="37"/>
        <v>test.Class11_11_</v>
      </c>
      <c r="D207">
        <v>9</v>
      </c>
      <c r="E207">
        <v>0.99640044994375698</v>
      </c>
      <c r="F207">
        <v>1.2340488886372576</v>
      </c>
      <c r="G207" s="1" t="str">
        <f t="shared" si="38"/>
        <v/>
      </c>
      <c r="H207" s="1" t="str">
        <f t="shared" si="39"/>
        <v/>
      </c>
      <c r="I207" s="1" t="str">
        <f t="shared" si="40"/>
        <v/>
      </c>
      <c r="J207" s="1" t="str">
        <f t="shared" si="41"/>
        <v/>
      </c>
      <c r="K207" s="1" t="str">
        <f t="shared" si="42"/>
        <v/>
      </c>
      <c r="L207" s="1">
        <f t="shared" si="43"/>
        <v>0.99640044994375698</v>
      </c>
    </row>
    <row r="208" spans="1:12">
      <c r="A208" t="s">
        <v>142</v>
      </c>
      <c r="B208">
        <v>11</v>
      </c>
      <c r="C208" t="str">
        <f t="shared" si="37"/>
        <v>test.Class11_11_</v>
      </c>
      <c r="D208">
        <v>10</v>
      </c>
      <c r="E208">
        <v>0.99640044994375698</v>
      </c>
      <c r="F208">
        <v>1.2553190796740621</v>
      </c>
      <c r="G208" s="1" t="str">
        <f t="shared" si="38"/>
        <v/>
      </c>
      <c r="H208" s="1" t="str">
        <f t="shared" si="39"/>
        <v/>
      </c>
      <c r="I208" s="1" t="str">
        <f t="shared" si="40"/>
        <v/>
      </c>
      <c r="J208" s="1" t="str">
        <f t="shared" si="41"/>
        <v/>
      </c>
      <c r="K208" s="1" t="str">
        <f t="shared" si="42"/>
        <v/>
      </c>
      <c r="L208" s="1">
        <f t="shared" si="43"/>
        <v>0.99640044994375698</v>
      </c>
    </row>
    <row r="209" spans="1:12">
      <c r="A209" t="s">
        <v>142</v>
      </c>
      <c r="B209">
        <v>11</v>
      </c>
      <c r="C209" t="str">
        <f t="shared" si="37"/>
        <v>test.Class11_11_</v>
      </c>
      <c r="D209">
        <v>11</v>
      </c>
      <c r="E209">
        <v>0.99640044994375698</v>
      </c>
      <c r="F209">
        <v>1.2765957175192399</v>
      </c>
      <c r="G209" s="1" t="str">
        <f t="shared" si="38"/>
        <v/>
      </c>
      <c r="H209" s="1" t="str">
        <f t="shared" si="39"/>
        <v/>
      </c>
      <c r="I209" s="1" t="str">
        <f t="shared" si="40"/>
        <v/>
      </c>
      <c r="J209" s="1" t="str">
        <f t="shared" si="41"/>
        <v/>
      </c>
      <c r="K209" s="1" t="str">
        <f t="shared" si="42"/>
        <v/>
      </c>
      <c r="L209" s="1">
        <f t="shared" si="43"/>
        <v>0.99640044994375698</v>
      </c>
    </row>
    <row r="210" spans="1:12">
      <c r="A210" t="s">
        <v>142</v>
      </c>
      <c r="B210">
        <v>11</v>
      </c>
      <c r="C210" t="str">
        <f t="shared" si="37"/>
        <v>test.Class11_11_</v>
      </c>
      <c r="D210">
        <v>12</v>
      </c>
      <c r="E210">
        <v>1</v>
      </c>
      <c r="F210">
        <v>1.872340428248076</v>
      </c>
      <c r="G210" s="1" t="str">
        <f t="shared" si="38"/>
        <v/>
      </c>
      <c r="H210" s="1" t="str">
        <f t="shared" si="39"/>
        <v/>
      </c>
      <c r="I210" s="1" t="str">
        <f t="shared" si="40"/>
        <v/>
      </c>
      <c r="J210" s="1" t="str">
        <f t="shared" si="41"/>
        <v/>
      </c>
      <c r="K210" s="1" t="str">
        <f t="shared" si="42"/>
        <v/>
      </c>
      <c r="L210" s="1">
        <f t="shared" si="43"/>
        <v>1</v>
      </c>
    </row>
    <row r="211" spans="1:12">
      <c r="A211" t="s">
        <v>142</v>
      </c>
      <c r="B211">
        <v>11</v>
      </c>
      <c r="C211" t="str">
        <f t="shared" si="37"/>
        <v>test.Class11_11_</v>
      </c>
      <c r="D211">
        <v>13</v>
      </c>
      <c r="E211">
        <v>1</v>
      </c>
      <c r="F211">
        <v>1.9574467243096441</v>
      </c>
      <c r="G211" s="1" t="str">
        <f t="shared" si="38"/>
        <v/>
      </c>
      <c r="H211" s="1" t="str">
        <f t="shared" si="39"/>
        <v/>
      </c>
      <c r="I211" s="1" t="str">
        <f t="shared" si="40"/>
        <v/>
      </c>
      <c r="J211" s="1" t="str">
        <f t="shared" si="41"/>
        <v/>
      </c>
      <c r="K211" s="1" t="str">
        <f t="shared" si="42"/>
        <v/>
      </c>
      <c r="L211" s="1">
        <f t="shared" si="43"/>
        <v>1</v>
      </c>
    </row>
    <row r="212" spans="1:12">
      <c r="A212" t="s">
        <v>142</v>
      </c>
      <c r="B212">
        <v>12</v>
      </c>
      <c r="C212" t="str">
        <f t="shared" si="37"/>
        <v>test.Class11_12_</v>
      </c>
      <c r="D212">
        <v>1</v>
      </c>
      <c r="E212">
        <v>3.1705227077977724E-2</v>
      </c>
      <c r="F212">
        <v>0.66666666666666663</v>
      </c>
      <c r="G212" s="1" t="str">
        <f t="shared" si="38"/>
        <v/>
      </c>
      <c r="H212" s="1" t="str">
        <f t="shared" si="39"/>
        <v/>
      </c>
      <c r="I212" s="1" t="str">
        <f t="shared" si="40"/>
        <v/>
      </c>
      <c r="J212" s="1">
        <f t="shared" si="41"/>
        <v>3.1705227077977724E-2</v>
      </c>
      <c r="K212" s="1" t="str">
        <f t="shared" si="42"/>
        <v/>
      </c>
      <c r="L212" s="1" t="str">
        <f t="shared" si="43"/>
        <v/>
      </c>
    </row>
    <row r="213" spans="1:12">
      <c r="A213" t="s">
        <v>142</v>
      </c>
      <c r="B213">
        <v>12</v>
      </c>
      <c r="C213" t="str">
        <f t="shared" si="37"/>
        <v>test.Class11_12_</v>
      </c>
      <c r="D213">
        <v>2</v>
      </c>
      <c r="E213">
        <v>0.4473007712082262</v>
      </c>
      <c r="F213">
        <v>1.4074074444444444</v>
      </c>
      <c r="G213" s="1" t="str">
        <f t="shared" si="38"/>
        <v/>
      </c>
      <c r="H213" s="1" t="str">
        <f t="shared" si="39"/>
        <v/>
      </c>
      <c r="I213" s="1" t="str">
        <f t="shared" si="40"/>
        <v/>
      </c>
      <c r="J213" s="1" t="str">
        <f t="shared" si="41"/>
        <v/>
      </c>
      <c r="K213" s="1" t="str">
        <f t="shared" si="42"/>
        <v/>
      </c>
      <c r="L213" s="1">
        <f t="shared" si="43"/>
        <v>0.4473007712082262</v>
      </c>
    </row>
    <row r="214" spans="1:12">
      <c r="A214" t="s">
        <v>142</v>
      </c>
      <c r="B214">
        <v>12</v>
      </c>
      <c r="C214" t="str">
        <f t="shared" si="37"/>
        <v>test.Class11_12_</v>
      </c>
      <c r="D214">
        <v>3</v>
      </c>
      <c r="E214">
        <v>0.46958011996572407</v>
      </c>
      <c r="F214">
        <v>1.4444444444444444</v>
      </c>
      <c r="G214" s="1" t="str">
        <f t="shared" si="38"/>
        <v/>
      </c>
      <c r="H214" s="1" t="str">
        <f t="shared" si="39"/>
        <v/>
      </c>
      <c r="I214" s="1" t="str">
        <f t="shared" si="40"/>
        <v/>
      </c>
      <c r="J214" s="1" t="str">
        <f t="shared" si="41"/>
        <v/>
      </c>
      <c r="K214" s="1" t="str">
        <f t="shared" si="42"/>
        <v/>
      </c>
      <c r="L214" s="1">
        <f t="shared" si="43"/>
        <v>0.46958011996572407</v>
      </c>
    </row>
    <row r="215" spans="1:12">
      <c r="A215" t="s">
        <v>142</v>
      </c>
      <c r="B215">
        <v>12</v>
      </c>
      <c r="C215" t="str">
        <f t="shared" si="37"/>
        <v>test.Class11_12_</v>
      </c>
      <c r="D215">
        <v>4</v>
      </c>
      <c r="E215">
        <v>0.46958011996572407</v>
      </c>
      <c r="F215">
        <v>1.4444555555555556</v>
      </c>
      <c r="G215" s="1" t="str">
        <f t="shared" si="38"/>
        <v/>
      </c>
      <c r="H215" s="1" t="str">
        <f t="shared" si="39"/>
        <v/>
      </c>
      <c r="I215" s="1" t="str">
        <f t="shared" si="40"/>
        <v/>
      </c>
      <c r="J215" s="1" t="str">
        <f t="shared" si="41"/>
        <v/>
      </c>
      <c r="K215" s="1" t="str">
        <f t="shared" si="42"/>
        <v/>
      </c>
      <c r="L215" s="1">
        <f t="shared" si="43"/>
        <v>0.46958011996572407</v>
      </c>
    </row>
    <row r="216" spans="1:12">
      <c r="A216" t="s">
        <v>142</v>
      </c>
      <c r="B216">
        <v>12</v>
      </c>
      <c r="C216" t="str">
        <f t="shared" si="37"/>
        <v>test.Class11_12_</v>
      </c>
      <c r="D216">
        <v>5</v>
      </c>
      <c r="E216">
        <v>0.46958011996572407</v>
      </c>
      <c r="F216">
        <v>1.4444666666666666</v>
      </c>
      <c r="G216" s="1" t="str">
        <f t="shared" si="38"/>
        <v/>
      </c>
      <c r="H216" s="1" t="str">
        <f t="shared" si="39"/>
        <v/>
      </c>
      <c r="I216" s="1" t="str">
        <f t="shared" si="40"/>
        <v/>
      </c>
      <c r="J216" s="1" t="str">
        <f t="shared" si="41"/>
        <v/>
      </c>
      <c r="K216" s="1" t="str">
        <f t="shared" si="42"/>
        <v/>
      </c>
      <c r="L216" s="1">
        <f t="shared" si="43"/>
        <v>0.46958011996572407</v>
      </c>
    </row>
    <row r="217" spans="1:12">
      <c r="A217" t="s">
        <v>142</v>
      </c>
      <c r="B217">
        <v>12</v>
      </c>
      <c r="C217" t="str">
        <f t="shared" si="37"/>
        <v>test.Class11_12_</v>
      </c>
      <c r="D217">
        <v>6</v>
      </c>
      <c r="E217">
        <v>0.46958011996572407</v>
      </c>
      <c r="F217">
        <v>1.4444777777777777</v>
      </c>
      <c r="G217" s="1" t="str">
        <f t="shared" si="38"/>
        <v/>
      </c>
      <c r="H217" s="1" t="str">
        <f t="shared" si="39"/>
        <v/>
      </c>
      <c r="I217" s="1" t="str">
        <f t="shared" si="40"/>
        <v/>
      </c>
      <c r="J217" s="1" t="str">
        <f t="shared" si="41"/>
        <v/>
      </c>
      <c r="K217" s="1" t="str">
        <f t="shared" si="42"/>
        <v/>
      </c>
      <c r="L217" s="1">
        <f t="shared" si="43"/>
        <v>0.46958011996572407</v>
      </c>
    </row>
    <row r="218" spans="1:12">
      <c r="A218" t="s">
        <v>142</v>
      </c>
      <c r="B218">
        <v>12</v>
      </c>
      <c r="C218" t="str">
        <f t="shared" si="37"/>
        <v>test.Class11_12_</v>
      </c>
      <c r="D218">
        <v>7</v>
      </c>
      <c r="E218">
        <v>0.46958011996572407</v>
      </c>
      <c r="F218">
        <v>1.4444889999999999</v>
      </c>
      <c r="G218" s="1" t="str">
        <f t="shared" si="38"/>
        <v/>
      </c>
      <c r="H218" s="1" t="str">
        <f t="shared" si="39"/>
        <v/>
      </c>
      <c r="I218" s="1" t="str">
        <f t="shared" si="40"/>
        <v/>
      </c>
      <c r="J218" s="1" t="str">
        <f t="shared" si="41"/>
        <v/>
      </c>
      <c r="K218" s="1" t="str">
        <f t="shared" si="42"/>
        <v/>
      </c>
      <c r="L218" s="1">
        <f t="shared" si="43"/>
        <v>0.46958011996572407</v>
      </c>
    </row>
    <row r="219" spans="1:12">
      <c r="A219" t="s">
        <v>142</v>
      </c>
      <c r="B219">
        <v>12</v>
      </c>
      <c r="C219" t="str">
        <f t="shared" si="37"/>
        <v>test.Class11_12_</v>
      </c>
      <c r="D219">
        <v>8</v>
      </c>
      <c r="E219">
        <v>0.72279348757497863</v>
      </c>
      <c r="F219">
        <v>1.7037036666666667</v>
      </c>
      <c r="G219" s="1" t="str">
        <f t="shared" si="38"/>
        <v/>
      </c>
      <c r="H219" s="1" t="str">
        <f t="shared" si="39"/>
        <v/>
      </c>
      <c r="I219" s="1" t="str">
        <f t="shared" si="40"/>
        <v/>
      </c>
      <c r="J219" s="1" t="str">
        <f t="shared" si="41"/>
        <v/>
      </c>
      <c r="K219" s="1" t="str">
        <f t="shared" si="42"/>
        <v/>
      </c>
      <c r="L219" s="1">
        <f t="shared" si="43"/>
        <v>0.72279348757497863</v>
      </c>
    </row>
    <row r="220" spans="1:12">
      <c r="A220" t="s">
        <v>142</v>
      </c>
      <c r="B220">
        <v>12</v>
      </c>
      <c r="C220" t="str">
        <f t="shared" si="37"/>
        <v>test.Class11_12_</v>
      </c>
      <c r="D220">
        <v>9</v>
      </c>
      <c r="E220">
        <v>0.72279348757497863</v>
      </c>
      <c r="F220">
        <v>1.7407407777777779</v>
      </c>
      <c r="G220" s="1" t="str">
        <f t="shared" si="38"/>
        <v/>
      </c>
      <c r="H220" s="1" t="str">
        <f t="shared" si="39"/>
        <v/>
      </c>
      <c r="I220" s="1" t="str">
        <f t="shared" si="40"/>
        <v/>
      </c>
      <c r="J220" s="1" t="str">
        <f t="shared" si="41"/>
        <v/>
      </c>
      <c r="K220" s="1" t="str">
        <f t="shared" si="42"/>
        <v/>
      </c>
      <c r="L220" s="1">
        <f t="shared" si="43"/>
        <v>0.72279348757497863</v>
      </c>
    </row>
    <row r="221" spans="1:12">
      <c r="A221" t="s">
        <v>142</v>
      </c>
      <c r="B221">
        <v>12</v>
      </c>
      <c r="C221" t="str">
        <f t="shared" si="37"/>
        <v>test.Class11_12_</v>
      </c>
      <c r="D221">
        <v>10</v>
      </c>
      <c r="E221">
        <v>0.72279348757497863</v>
      </c>
      <c r="F221">
        <v>1.7407518888888889</v>
      </c>
      <c r="G221" s="1" t="str">
        <f t="shared" si="38"/>
        <v/>
      </c>
      <c r="H221" s="1" t="str">
        <f t="shared" si="39"/>
        <v/>
      </c>
      <c r="I221" s="1" t="str">
        <f t="shared" si="40"/>
        <v/>
      </c>
      <c r="J221" s="1" t="str">
        <f t="shared" si="41"/>
        <v/>
      </c>
      <c r="K221" s="1" t="str">
        <f t="shared" si="42"/>
        <v/>
      </c>
      <c r="L221" s="1">
        <f t="shared" si="43"/>
        <v>0.72279348757497863</v>
      </c>
    </row>
    <row r="222" spans="1:12">
      <c r="A222" t="s">
        <v>142</v>
      </c>
      <c r="B222">
        <v>12</v>
      </c>
      <c r="C222" t="str">
        <f t="shared" si="37"/>
        <v>test.Class11_12_</v>
      </c>
      <c r="D222">
        <v>11</v>
      </c>
      <c r="E222">
        <v>0.95372750642673521</v>
      </c>
      <c r="F222">
        <v>1.7407630000000001</v>
      </c>
      <c r="G222" s="1" t="str">
        <f t="shared" si="38"/>
        <v/>
      </c>
      <c r="H222" s="1" t="str">
        <f t="shared" si="39"/>
        <v/>
      </c>
      <c r="I222" s="1" t="str">
        <f t="shared" si="40"/>
        <v/>
      </c>
      <c r="J222" s="1" t="str">
        <f t="shared" si="41"/>
        <v/>
      </c>
      <c r="K222" s="1" t="str">
        <f t="shared" si="42"/>
        <v/>
      </c>
      <c r="L222" s="1">
        <f t="shared" si="43"/>
        <v>0.95372750642673521</v>
      </c>
    </row>
    <row r="223" spans="1:12">
      <c r="A223" t="s">
        <v>142</v>
      </c>
      <c r="B223">
        <v>12</v>
      </c>
      <c r="C223" t="str">
        <f t="shared" si="37"/>
        <v>test.Class11_12_</v>
      </c>
      <c r="D223">
        <v>12</v>
      </c>
      <c r="E223">
        <v>0.95372750642673521</v>
      </c>
      <c r="F223">
        <v>1.740774111111111</v>
      </c>
      <c r="G223" s="1" t="str">
        <f t="shared" si="38"/>
        <v/>
      </c>
      <c r="H223" s="1" t="str">
        <f t="shared" si="39"/>
        <v/>
      </c>
      <c r="I223" s="1" t="str">
        <f t="shared" si="40"/>
        <v/>
      </c>
      <c r="J223" s="1" t="str">
        <f t="shared" si="41"/>
        <v/>
      </c>
      <c r="K223" s="1" t="str">
        <f t="shared" si="42"/>
        <v/>
      </c>
      <c r="L223" s="1">
        <f t="shared" si="43"/>
        <v>0.95372750642673521</v>
      </c>
    </row>
    <row r="224" spans="1:12">
      <c r="A224" t="s">
        <v>142</v>
      </c>
      <c r="B224">
        <v>12</v>
      </c>
      <c r="C224" t="str">
        <f t="shared" si="37"/>
        <v>test.Class11_12_</v>
      </c>
      <c r="D224">
        <v>13</v>
      </c>
      <c r="E224">
        <v>0.95372750642673521</v>
      </c>
      <c r="F224">
        <v>1.7777777777777777</v>
      </c>
      <c r="G224" s="1" t="str">
        <f t="shared" si="38"/>
        <v/>
      </c>
      <c r="H224" s="1" t="str">
        <f t="shared" si="39"/>
        <v/>
      </c>
      <c r="I224" s="1" t="str">
        <f t="shared" si="40"/>
        <v/>
      </c>
      <c r="J224" s="1" t="str">
        <f t="shared" si="41"/>
        <v/>
      </c>
      <c r="K224" s="1" t="str">
        <f t="shared" si="42"/>
        <v/>
      </c>
      <c r="L224" s="1">
        <f t="shared" si="43"/>
        <v>0.95372750642673521</v>
      </c>
    </row>
    <row r="225" spans="1:12">
      <c r="A225" t="s">
        <v>142</v>
      </c>
      <c r="B225">
        <v>12</v>
      </c>
      <c r="C225" t="str">
        <f t="shared" si="37"/>
        <v>test.Class11_12_</v>
      </c>
      <c r="D225">
        <v>14</v>
      </c>
      <c r="E225">
        <v>0.95372750642673521</v>
      </c>
      <c r="F225">
        <v>1.8148148888888889</v>
      </c>
      <c r="G225" s="1" t="str">
        <f t="shared" si="38"/>
        <v/>
      </c>
      <c r="H225" s="1" t="str">
        <f t="shared" si="39"/>
        <v/>
      </c>
      <c r="I225" s="1" t="str">
        <f t="shared" si="40"/>
        <v/>
      </c>
      <c r="J225" s="1" t="str">
        <f t="shared" si="41"/>
        <v/>
      </c>
      <c r="K225" s="1" t="str">
        <f t="shared" si="42"/>
        <v/>
      </c>
      <c r="L225" s="1">
        <f t="shared" si="43"/>
        <v>0.95372750642673521</v>
      </c>
    </row>
    <row r="226" spans="1:12">
      <c r="A226" t="s">
        <v>142</v>
      </c>
      <c r="B226">
        <v>12</v>
      </c>
      <c r="C226" t="str">
        <f t="shared" si="37"/>
        <v>test.Class11_12_</v>
      </c>
      <c r="D226">
        <v>15</v>
      </c>
      <c r="E226">
        <v>0.95372750642673521</v>
      </c>
      <c r="F226">
        <v>1.8148258888888888</v>
      </c>
      <c r="G226" s="1" t="str">
        <f t="shared" si="38"/>
        <v/>
      </c>
      <c r="H226" s="1" t="str">
        <f t="shared" si="39"/>
        <v/>
      </c>
      <c r="I226" s="1" t="str">
        <f t="shared" si="40"/>
        <v/>
      </c>
      <c r="J226" s="1" t="str">
        <f t="shared" si="41"/>
        <v/>
      </c>
      <c r="K226" s="1" t="str">
        <f t="shared" si="42"/>
        <v/>
      </c>
      <c r="L226" s="1">
        <f t="shared" si="43"/>
        <v>0.95372750642673521</v>
      </c>
    </row>
    <row r="227" spans="1:12">
      <c r="A227" t="s">
        <v>142</v>
      </c>
      <c r="B227">
        <v>12</v>
      </c>
      <c r="C227" t="str">
        <f t="shared" si="37"/>
        <v>test.Class11_12_</v>
      </c>
      <c r="D227">
        <v>16</v>
      </c>
      <c r="E227">
        <v>1</v>
      </c>
      <c r="F227">
        <v>2.0370371111111112</v>
      </c>
      <c r="G227" s="1" t="str">
        <f t="shared" si="38"/>
        <v/>
      </c>
      <c r="H227" s="1" t="str">
        <f t="shared" si="39"/>
        <v/>
      </c>
      <c r="I227" s="1" t="str">
        <f t="shared" si="40"/>
        <v/>
      </c>
      <c r="J227" s="1" t="str">
        <f t="shared" si="41"/>
        <v/>
      </c>
      <c r="K227" s="1" t="str">
        <f t="shared" si="42"/>
        <v/>
      </c>
      <c r="L227" s="1">
        <f t="shared" si="43"/>
        <v>1</v>
      </c>
    </row>
    <row r="228" spans="1:12">
      <c r="A228" t="s">
        <v>142</v>
      </c>
      <c r="B228">
        <v>12</v>
      </c>
      <c r="C228" t="str">
        <f t="shared" si="37"/>
        <v>test.Class11_12_</v>
      </c>
      <c r="D228">
        <v>17</v>
      </c>
      <c r="E228">
        <v>1</v>
      </c>
      <c r="F228">
        <v>2.2592593333333335</v>
      </c>
      <c r="G228" s="1" t="str">
        <f t="shared" si="38"/>
        <v/>
      </c>
      <c r="H228" s="1" t="str">
        <f t="shared" si="39"/>
        <v/>
      </c>
      <c r="I228" s="1" t="str">
        <f t="shared" si="40"/>
        <v/>
      </c>
      <c r="J228" s="1" t="str">
        <f t="shared" si="41"/>
        <v/>
      </c>
      <c r="K228" s="1" t="str">
        <f t="shared" si="42"/>
        <v/>
      </c>
      <c r="L228" s="1">
        <f t="shared" si="43"/>
        <v>1</v>
      </c>
    </row>
    <row r="229" spans="1:12">
      <c r="A229" t="s">
        <v>206</v>
      </c>
      <c r="B229">
        <v>1</v>
      </c>
      <c r="C229" t="str">
        <f t="shared" si="37"/>
        <v>test.Class13_1_</v>
      </c>
      <c r="D229">
        <v>1</v>
      </c>
      <c r="E229">
        <v>0.63285420944558524</v>
      </c>
      <c r="F229">
        <v>0.67821781472404696</v>
      </c>
      <c r="G229" s="1" t="str">
        <f t="shared" si="38"/>
        <v/>
      </c>
      <c r="H229" s="1" t="str">
        <f t="shared" si="39"/>
        <v/>
      </c>
      <c r="I229" s="1" t="str">
        <f t="shared" si="40"/>
        <v/>
      </c>
      <c r="J229" s="1">
        <f t="shared" si="41"/>
        <v>0.63285420944558524</v>
      </c>
      <c r="K229" s="1" t="str">
        <f t="shared" si="42"/>
        <v/>
      </c>
      <c r="L229" s="1" t="str">
        <f t="shared" si="43"/>
        <v/>
      </c>
    </row>
    <row r="230" spans="1:12">
      <c r="A230" t="s">
        <v>206</v>
      </c>
      <c r="B230">
        <v>1</v>
      </c>
      <c r="C230" t="str">
        <f t="shared" si="37"/>
        <v>test.Class13_1_</v>
      </c>
      <c r="D230">
        <v>2</v>
      </c>
      <c r="E230">
        <v>0.88336755646817244</v>
      </c>
      <c r="F230">
        <v>0.73267321850799128</v>
      </c>
      <c r="G230" s="1" t="str">
        <f t="shared" si="38"/>
        <v/>
      </c>
      <c r="H230" s="1" t="str">
        <f t="shared" si="39"/>
        <v/>
      </c>
      <c r="I230" s="1" t="str">
        <f t="shared" si="40"/>
        <v/>
      </c>
      <c r="J230" s="1">
        <f t="shared" si="41"/>
        <v>0.88336755646817244</v>
      </c>
      <c r="K230" s="1" t="str">
        <f t="shared" si="42"/>
        <v/>
      </c>
      <c r="L230" s="1" t="str">
        <f t="shared" si="43"/>
        <v/>
      </c>
    </row>
    <row r="231" spans="1:12">
      <c r="A231" t="s">
        <v>206</v>
      </c>
      <c r="B231">
        <v>1</v>
      </c>
      <c r="C231" t="str">
        <f t="shared" si="37"/>
        <v>test.Class13_1_</v>
      </c>
      <c r="D231">
        <v>3</v>
      </c>
      <c r="E231">
        <v>0.99753593429158116</v>
      </c>
      <c r="F231">
        <v>0.76732672208607045</v>
      </c>
      <c r="G231" s="1" t="str">
        <f t="shared" si="38"/>
        <v/>
      </c>
      <c r="H231" s="1" t="str">
        <f t="shared" si="39"/>
        <v/>
      </c>
      <c r="I231" s="1" t="str">
        <f t="shared" si="40"/>
        <v/>
      </c>
      <c r="J231" s="1">
        <f t="shared" si="41"/>
        <v>0.99753593429158116</v>
      </c>
      <c r="K231" s="1" t="str">
        <f t="shared" si="42"/>
        <v/>
      </c>
      <c r="L231" s="1" t="str">
        <f t="shared" si="43"/>
        <v/>
      </c>
    </row>
    <row r="232" spans="1:12">
      <c r="A232" t="s">
        <v>206</v>
      </c>
      <c r="B232">
        <v>1</v>
      </c>
      <c r="C232" t="str">
        <f t="shared" si="37"/>
        <v>test.Class13_1_</v>
      </c>
      <c r="D232">
        <v>4</v>
      </c>
      <c r="E232">
        <v>0.99753593429158116</v>
      </c>
      <c r="F232">
        <v>0.77227719713753673</v>
      </c>
      <c r="G232" s="1" t="str">
        <f t="shared" si="38"/>
        <v/>
      </c>
      <c r="H232" s="1" t="str">
        <f t="shared" si="39"/>
        <v/>
      </c>
      <c r="I232" s="1" t="str">
        <f t="shared" si="40"/>
        <v/>
      </c>
      <c r="J232" s="1">
        <f t="shared" si="41"/>
        <v>0.99753593429158116</v>
      </c>
      <c r="K232" s="1" t="str">
        <f t="shared" si="42"/>
        <v/>
      </c>
      <c r="L232" s="1" t="str">
        <f t="shared" si="43"/>
        <v/>
      </c>
    </row>
    <row r="233" spans="1:12">
      <c r="A233" t="s">
        <v>206</v>
      </c>
      <c r="B233">
        <v>1</v>
      </c>
      <c r="C233" t="str">
        <f t="shared" si="37"/>
        <v>test.Class13_1_</v>
      </c>
      <c r="D233">
        <v>5</v>
      </c>
      <c r="E233">
        <v>0.99753593429158116</v>
      </c>
      <c r="F233">
        <v>0.78217820664640769</v>
      </c>
      <c r="G233" s="1" t="str">
        <f t="shared" si="38"/>
        <v/>
      </c>
      <c r="H233" s="1" t="str">
        <f t="shared" si="39"/>
        <v/>
      </c>
      <c r="I233" s="1" t="str">
        <f t="shared" si="40"/>
        <v/>
      </c>
      <c r="J233" s="1">
        <f t="shared" si="41"/>
        <v>0.99753593429158116</v>
      </c>
      <c r="K233" s="1" t="str">
        <f t="shared" si="42"/>
        <v/>
      </c>
      <c r="L233" s="1" t="str">
        <f t="shared" si="43"/>
        <v/>
      </c>
    </row>
    <row r="234" spans="1:12">
      <c r="A234" t="s">
        <v>206</v>
      </c>
      <c r="B234">
        <v>1</v>
      </c>
      <c r="C234" t="str">
        <f t="shared" si="37"/>
        <v>test.Class13_1_</v>
      </c>
      <c r="D234">
        <v>6</v>
      </c>
      <c r="E234">
        <v>1</v>
      </c>
      <c r="F234">
        <v>0.86138610449956021</v>
      </c>
      <c r="G234" s="1" t="str">
        <f t="shared" si="38"/>
        <v/>
      </c>
      <c r="H234" s="1" t="str">
        <f t="shared" si="39"/>
        <v/>
      </c>
      <c r="I234" s="1" t="str">
        <f t="shared" si="40"/>
        <v/>
      </c>
      <c r="J234" s="1" t="str">
        <f t="shared" si="41"/>
        <v/>
      </c>
      <c r="K234" s="1">
        <f t="shared" si="42"/>
        <v>1</v>
      </c>
      <c r="L234" s="1" t="str">
        <f t="shared" si="43"/>
        <v/>
      </c>
    </row>
    <row r="235" spans="1:12">
      <c r="A235" t="s">
        <v>206</v>
      </c>
      <c r="B235">
        <v>1</v>
      </c>
      <c r="C235" t="str">
        <f t="shared" si="37"/>
        <v>test.Class13_1_</v>
      </c>
      <c r="D235">
        <v>7</v>
      </c>
      <c r="E235">
        <v>1</v>
      </c>
      <c r="F235">
        <v>0.97029703087932551</v>
      </c>
      <c r="G235" s="1" t="str">
        <f t="shared" si="38"/>
        <v/>
      </c>
      <c r="H235" s="1" t="str">
        <f t="shared" si="39"/>
        <v/>
      </c>
      <c r="I235" s="1" t="str">
        <f t="shared" si="40"/>
        <v/>
      </c>
      <c r="J235" s="1" t="str">
        <f t="shared" si="41"/>
        <v/>
      </c>
      <c r="K235" s="1">
        <f t="shared" si="42"/>
        <v>1</v>
      </c>
      <c r="L235" s="1" t="str">
        <f t="shared" si="43"/>
        <v/>
      </c>
    </row>
    <row r="236" spans="1:12">
      <c r="A236" t="s">
        <v>214</v>
      </c>
      <c r="B236">
        <v>1</v>
      </c>
      <c r="C236" t="str">
        <f t="shared" si="37"/>
        <v>test.client_1_</v>
      </c>
      <c r="D236">
        <v>1</v>
      </c>
      <c r="E236">
        <v>7.1806030463164444E-2</v>
      </c>
      <c r="F236">
        <v>0.66666666666666663</v>
      </c>
      <c r="G236" s="1" t="str">
        <f t="shared" si="38"/>
        <v/>
      </c>
      <c r="H236" s="1" t="str">
        <f t="shared" si="39"/>
        <v/>
      </c>
      <c r="I236" s="1" t="str">
        <f t="shared" si="40"/>
        <v/>
      </c>
      <c r="J236" s="1">
        <f t="shared" si="41"/>
        <v>7.1806030463164444E-2</v>
      </c>
      <c r="K236" s="1" t="str">
        <f t="shared" si="42"/>
        <v/>
      </c>
      <c r="L236" s="1" t="str">
        <f t="shared" si="43"/>
        <v/>
      </c>
    </row>
    <row r="237" spans="1:12">
      <c r="A237" t="s">
        <v>214</v>
      </c>
      <c r="B237">
        <v>1</v>
      </c>
      <c r="C237" t="str">
        <f t="shared" si="37"/>
        <v>test.client_1_</v>
      </c>
      <c r="D237">
        <v>2</v>
      </c>
      <c r="E237">
        <v>7.1806030463164444E-2</v>
      </c>
      <c r="F237">
        <v>0.66667333333333334</v>
      </c>
      <c r="G237" s="1" t="str">
        <f t="shared" si="38"/>
        <v/>
      </c>
      <c r="H237" s="1" t="str">
        <f t="shared" si="39"/>
        <v/>
      </c>
      <c r="I237" s="1" t="str">
        <f t="shared" si="40"/>
        <v/>
      </c>
      <c r="J237" s="1">
        <f t="shared" si="41"/>
        <v>7.1806030463164444E-2</v>
      </c>
      <c r="K237" s="1" t="str">
        <f t="shared" si="42"/>
        <v/>
      </c>
      <c r="L237" s="1" t="str">
        <f t="shared" si="43"/>
        <v/>
      </c>
    </row>
    <row r="238" spans="1:12">
      <c r="A238" t="s">
        <v>214</v>
      </c>
      <c r="B238">
        <v>1</v>
      </c>
      <c r="C238" t="str">
        <f t="shared" si="37"/>
        <v>test.client_1_</v>
      </c>
      <c r="D238">
        <v>3</v>
      </c>
      <c r="E238">
        <v>0.19334783960211377</v>
      </c>
      <c r="F238">
        <v>0.82222220000000001</v>
      </c>
      <c r="G238" s="1" t="str">
        <f t="shared" si="38"/>
        <v/>
      </c>
      <c r="H238" s="1" t="str">
        <f t="shared" si="39"/>
        <v/>
      </c>
      <c r="I238" s="1" t="str">
        <f t="shared" si="40"/>
        <v/>
      </c>
      <c r="J238" s="1" t="str">
        <f t="shared" si="41"/>
        <v/>
      </c>
      <c r="K238" s="1">
        <f t="shared" si="42"/>
        <v>0.19334783960211377</v>
      </c>
      <c r="L238" s="1" t="str">
        <f t="shared" si="43"/>
        <v/>
      </c>
    </row>
    <row r="239" spans="1:12">
      <c r="A239" t="s">
        <v>214</v>
      </c>
      <c r="B239">
        <v>1</v>
      </c>
      <c r="C239" t="str">
        <f t="shared" si="37"/>
        <v>test.client_1_</v>
      </c>
      <c r="D239">
        <v>4</v>
      </c>
      <c r="E239">
        <v>0.25240907677960833</v>
      </c>
      <c r="F239">
        <v>0.82222886666666661</v>
      </c>
      <c r="G239" s="1" t="str">
        <f t="shared" si="38"/>
        <v/>
      </c>
      <c r="H239" s="1" t="str">
        <f t="shared" si="39"/>
        <v/>
      </c>
      <c r="I239" s="1" t="str">
        <f t="shared" si="40"/>
        <v/>
      </c>
      <c r="J239" s="1" t="str">
        <f t="shared" si="41"/>
        <v/>
      </c>
      <c r="K239" s="1">
        <f t="shared" si="42"/>
        <v>0.25240907677960833</v>
      </c>
      <c r="L239" s="1" t="str">
        <f t="shared" si="43"/>
        <v/>
      </c>
    </row>
    <row r="240" spans="1:12">
      <c r="A240" t="s">
        <v>214</v>
      </c>
      <c r="B240">
        <v>1</v>
      </c>
      <c r="C240" t="str">
        <f t="shared" si="37"/>
        <v>test.client_1_</v>
      </c>
      <c r="D240">
        <v>5</v>
      </c>
      <c r="E240">
        <v>0.25240907677960833</v>
      </c>
      <c r="F240">
        <v>0.84444446666666673</v>
      </c>
      <c r="G240" s="1" t="str">
        <f t="shared" si="38"/>
        <v/>
      </c>
      <c r="H240" s="1" t="str">
        <f t="shared" si="39"/>
        <v/>
      </c>
      <c r="I240" s="1" t="str">
        <f t="shared" si="40"/>
        <v/>
      </c>
      <c r="J240" s="1" t="str">
        <f t="shared" si="41"/>
        <v/>
      </c>
      <c r="K240" s="1">
        <f t="shared" si="42"/>
        <v>0.25240907677960833</v>
      </c>
      <c r="L240" s="1" t="str">
        <f t="shared" si="43"/>
        <v/>
      </c>
    </row>
    <row r="241" spans="1:12">
      <c r="A241" t="s">
        <v>214</v>
      </c>
      <c r="B241">
        <v>1</v>
      </c>
      <c r="C241" t="str">
        <f t="shared" si="37"/>
        <v>test.client_1_</v>
      </c>
      <c r="D241">
        <v>6</v>
      </c>
      <c r="E241">
        <v>0.25240907677960833</v>
      </c>
      <c r="F241">
        <v>0.84445113333333333</v>
      </c>
      <c r="G241" s="1" t="str">
        <f t="shared" si="38"/>
        <v/>
      </c>
      <c r="H241" s="1" t="str">
        <f t="shared" si="39"/>
        <v/>
      </c>
      <c r="I241" s="1" t="str">
        <f t="shared" si="40"/>
        <v/>
      </c>
      <c r="J241" s="1" t="str">
        <f t="shared" si="41"/>
        <v/>
      </c>
      <c r="K241" s="1">
        <f t="shared" si="42"/>
        <v>0.25240907677960833</v>
      </c>
      <c r="L241" s="1" t="str">
        <f t="shared" si="43"/>
        <v/>
      </c>
    </row>
    <row r="242" spans="1:12">
      <c r="A242" t="s">
        <v>214</v>
      </c>
      <c r="B242">
        <v>1</v>
      </c>
      <c r="C242" t="str">
        <f t="shared" si="37"/>
        <v>test.client_1_</v>
      </c>
      <c r="D242">
        <v>7</v>
      </c>
      <c r="E242">
        <v>0.25240907677960833</v>
      </c>
      <c r="F242">
        <v>0.8666666666666667</v>
      </c>
      <c r="G242" s="1" t="str">
        <f t="shared" si="38"/>
        <v/>
      </c>
      <c r="H242" s="1" t="str">
        <f t="shared" si="39"/>
        <v/>
      </c>
      <c r="I242" s="1" t="str">
        <f t="shared" si="40"/>
        <v/>
      </c>
      <c r="J242" s="1" t="str">
        <f t="shared" si="41"/>
        <v/>
      </c>
      <c r="K242" s="1">
        <f t="shared" si="42"/>
        <v>0.25240907677960833</v>
      </c>
      <c r="L242" s="1" t="str">
        <f t="shared" si="43"/>
        <v/>
      </c>
    </row>
    <row r="243" spans="1:12">
      <c r="A243" t="s">
        <v>214</v>
      </c>
      <c r="B243">
        <v>1</v>
      </c>
      <c r="C243" t="str">
        <f t="shared" si="37"/>
        <v>test.client_1_</v>
      </c>
      <c r="D243">
        <v>8</v>
      </c>
      <c r="E243">
        <v>0.25240907677960833</v>
      </c>
      <c r="F243">
        <v>0.8666733333333333</v>
      </c>
      <c r="G243" s="1" t="str">
        <f t="shared" si="38"/>
        <v/>
      </c>
      <c r="H243" s="1" t="str">
        <f t="shared" si="39"/>
        <v/>
      </c>
      <c r="I243" s="1" t="str">
        <f t="shared" si="40"/>
        <v/>
      </c>
      <c r="J243" s="1" t="str">
        <f t="shared" si="41"/>
        <v/>
      </c>
      <c r="K243" s="1">
        <f t="shared" si="42"/>
        <v>0.25240907677960833</v>
      </c>
      <c r="L243" s="1" t="str">
        <f t="shared" si="43"/>
        <v/>
      </c>
    </row>
    <row r="244" spans="1:12">
      <c r="A244" t="s">
        <v>214</v>
      </c>
      <c r="B244">
        <v>1</v>
      </c>
      <c r="C244" t="str">
        <f t="shared" si="37"/>
        <v>test.client_1_</v>
      </c>
      <c r="D244">
        <v>9</v>
      </c>
      <c r="E244">
        <v>0.25240907677960833</v>
      </c>
      <c r="F244">
        <v>0.86668000000000001</v>
      </c>
      <c r="G244" s="1" t="str">
        <f t="shared" si="38"/>
        <v/>
      </c>
      <c r="H244" s="1" t="str">
        <f t="shared" si="39"/>
        <v/>
      </c>
      <c r="I244" s="1" t="str">
        <f t="shared" si="40"/>
        <v/>
      </c>
      <c r="J244" s="1" t="str">
        <f t="shared" si="41"/>
        <v/>
      </c>
      <c r="K244" s="1">
        <f t="shared" si="42"/>
        <v>0.25240907677960833</v>
      </c>
      <c r="L244" s="1" t="str">
        <f t="shared" si="43"/>
        <v/>
      </c>
    </row>
    <row r="245" spans="1:12">
      <c r="A245" t="s">
        <v>214</v>
      </c>
      <c r="B245">
        <v>1</v>
      </c>
      <c r="C245" t="str">
        <f t="shared" si="37"/>
        <v>test.client_1_</v>
      </c>
      <c r="D245">
        <v>10</v>
      </c>
      <c r="E245">
        <v>0.25240907677960833</v>
      </c>
      <c r="F245">
        <v>0.88888886666666667</v>
      </c>
      <c r="G245" s="1" t="str">
        <f t="shared" si="38"/>
        <v/>
      </c>
      <c r="H245" s="1" t="str">
        <f t="shared" si="39"/>
        <v/>
      </c>
      <c r="I245" s="1" t="str">
        <f t="shared" si="40"/>
        <v/>
      </c>
      <c r="J245" s="1" t="str">
        <f t="shared" si="41"/>
        <v/>
      </c>
      <c r="K245" s="1">
        <f t="shared" si="42"/>
        <v>0.25240907677960833</v>
      </c>
      <c r="L245" s="1" t="str">
        <f t="shared" si="43"/>
        <v/>
      </c>
    </row>
    <row r="246" spans="1:12">
      <c r="A246" t="s">
        <v>214</v>
      </c>
      <c r="B246">
        <v>1</v>
      </c>
      <c r="C246" t="str">
        <f t="shared" si="37"/>
        <v>test.client_1_</v>
      </c>
      <c r="D246">
        <v>11</v>
      </c>
      <c r="E246">
        <v>0.25240907677960833</v>
      </c>
      <c r="F246">
        <v>0.88889553333333327</v>
      </c>
      <c r="G246" s="1" t="str">
        <f t="shared" si="38"/>
        <v/>
      </c>
      <c r="H246" s="1" t="str">
        <f t="shared" si="39"/>
        <v/>
      </c>
      <c r="I246" s="1" t="str">
        <f t="shared" si="40"/>
        <v/>
      </c>
      <c r="J246" s="1" t="str">
        <f t="shared" si="41"/>
        <v/>
      </c>
      <c r="K246" s="1">
        <f t="shared" si="42"/>
        <v>0.25240907677960833</v>
      </c>
      <c r="L246" s="1" t="str">
        <f t="shared" si="43"/>
        <v/>
      </c>
    </row>
    <row r="247" spans="1:12">
      <c r="A247" t="s">
        <v>214</v>
      </c>
      <c r="B247">
        <v>1</v>
      </c>
      <c r="C247" t="str">
        <f t="shared" si="37"/>
        <v>test.client_1_</v>
      </c>
      <c r="D247">
        <v>12</v>
      </c>
      <c r="E247">
        <v>0.25240907677960833</v>
      </c>
      <c r="F247">
        <v>0.88890219999999998</v>
      </c>
      <c r="G247" s="1" t="str">
        <f t="shared" si="38"/>
        <v/>
      </c>
      <c r="H247" s="1" t="str">
        <f t="shared" si="39"/>
        <v/>
      </c>
      <c r="I247" s="1" t="str">
        <f t="shared" si="40"/>
        <v/>
      </c>
      <c r="J247" s="1" t="str">
        <f t="shared" si="41"/>
        <v/>
      </c>
      <c r="K247" s="1">
        <f t="shared" si="42"/>
        <v>0.25240907677960833</v>
      </c>
      <c r="L247" s="1" t="str">
        <f t="shared" si="43"/>
        <v/>
      </c>
    </row>
    <row r="248" spans="1:12">
      <c r="A248" t="s">
        <v>214</v>
      </c>
      <c r="B248">
        <v>1</v>
      </c>
      <c r="C248" t="str">
        <f t="shared" si="37"/>
        <v>test.client_1_</v>
      </c>
      <c r="D248">
        <v>13</v>
      </c>
      <c r="E248">
        <v>0.25240907677960833</v>
      </c>
      <c r="F248">
        <v>0.91111113333333338</v>
      </c>
      <c r="G248" s="1" t="str">
        <f t="shared" si="38"/>
        <v/>
      </c>
      <c r="H248" s="1" t="str">
        <f t="shared" si="39"/>
        <v/>
      </c>
      <c r="I248" s="1" t="str">
        <f t="shared" si="40"/>
        <v/>
      </c>
      <c r="J248" s="1" t="str">
        <f t="shared" si="41"/>
        <v/>
      </c>
      <c r="K248" s="1">
        <f t="shared" si="42"/>
        <v>0.25240907677960833</v>
      </c>
      <c r="L248" s="1" t="str">
        <f t="shared" si="43"/>
        <v/>
      </c>
    </row>
    <row r="249" spans="1:12">
      <c r="A249" t="s">
        <v>214</v>
      </c>
      <c r="B249">
        <v>1</v>
      </c>
      <c r="C249" t="str">
        <f t="shared" si="37"/>
        <v>test.client_1_</v>
      </c>
      <c r="D249">
        <v>14</v>
      </c>
      <c r="E249">
        <v>0.25240907677960833</v>
      </c>
      <c r="F249">
        <v>0.93333333333333335</v>
      </c>
      <c r="G249" s="1" t="str">
        <f t="shared" si="38"/>
        <v/>
      </c>
      <c r="H249" s="1" t="str">
        <f t="shared" si="39"/>
        <v/>
      </c>
      <c r="I249" s="1" t="str">
        <f t="shared" si="40"/>
        <v/>
      </c>
      <c r="J249" s="1" t="str">
        <f t="shared" si="41"/>
        <v/>
      </c>
      <c r="K249" s="1">
        <f t="shared" si="42"/>
        <v>0.25240907677960833</v>
      </c>
      <c r="L249" s="1" t="str">
        <f t="shared" si="43"/>
        <v/>
      </c>
    </row>
    <row r="250" spans="1:12">
      <c r="A250" t="s">
        <v>214</v>
      </c>
      <c r="B250">
        <v>1</v>
      </c>
      <c r="C250" t="str">
        <f t="shared" si="37"/>
        <v>test.client_1_</v>
      </c>
      <c r="D250">
        <v>15</v>
      </c>
      <c r="E250">
        <v>0.25240907677960833</v>
      </c>
      <c r="F250">
        <v>1.0222222000000001</v>
      </c>
      <c r="G250" s="1" t="str">
        <f t="shared" si="38"/>
        <v/>
      </c>
      <c r="H250" s="1" t="str">
        <f t="shared" si="39"/>
        <v/>
      </c>
      <c r="I250" s="1" t="str">
        <f t="shared" si="40"/>
        <v/>
      </c>
      <c r="J250" s="1" t="str">
        <f t="shared" si="41"/>
        <v/>
      </c>
      <c r="K250" s="1">
        <f t="shared" si="42"/>
        <v>0.25240907677960833</v>
      </c>
      <c r="L250" s="1" t="str">
        <f t="shared" si="43"/>
        <v/>
      </c>
    </row>
    <row r="251" spans="1:12">
      <c r="A251" t="s">
        <v>214</v>
      </c>
      <c r="B251">
        <v>1</v>
      </c>
      <c r="C251" t="str">
        <f t="shared" si="37"/>
        <v>test.client_1_</v>
      </c>
      <c r="D251">
        <v>16</v>
      </c>
      <c r="E251">
        <v>1</v>
      </c>
      <c r="F251">
        <v>1.6444444</v>
      </c>
      <c r="G251" s="1" t="str">
        <f t="shared" si="38"/>
        <v/>
      </c>
      <c r="H251" s="1" t="str">
        <f t="shared" si="39"/>
        <v/>
      </c>
      <c r="I251" s="1" t="str">
        <f t="shared" si="40"/>
        <v/>
      </c>
      <c r="J251" s="1" t="str">
        <f t="shared" si="41"/>
        <v/>
      </c>
      <c r="K251" s="1" t="str">
        <f t="shared" si="42"/>
        <v/>
      </c>
      <c r="L251" s="1">
        <f t="shared" si="43"/>
        <v>1</v>
      </c>
    </row>
    <row r="252" spans="1:12">
      <c r="A252" t="s">
        <v>214</v>
      </c>
      <c r="B252">
        <v>3</v>
      </c>
      <c r="C252" t="str">
        <f t="shared" si="37"/>
        <v>test.client_3_</v>
      </c>
      <c r="D252">
        <v>1</v>
      </c>
      <c r="E252">
        <v>0.89374382318588841</v>
      </c>
      <c r="F252">
        <v>1.6392157647058823</v>
      </c>
      <c r="G252" s="1" t="str">
        <f t="shared" si="38"/>
        <v/>
      </c>
      <c r="H252" s="1" t="str">
        <f t="shared" si="39"/>
        <v/>
      </c>
      <c r="I252" s="1" t="str">
        <f t="shared" si="40"/>
        <v/>
      </c>
      <c r="J252" s="1" t="str">
        <f t="shared" si="41"/>
        <v/>
      </c>
      <c r="K252" s="1" t="str">
        <f t="shared" si="42"/>
        <v/>
      </c>
      <c r="L252" s="1">
        <f t="shared" si="43"/>
        <v>0.89374382318588841</v>
      </c>
    </row>
    <row r="253" spans="1:12">
      <c r="A253" t="s">
        <v>214</v>
      </c>
      <c r="B253">
        <v>3</v>
      </c>
      <c r="C253" t="str">
        <f t="shared" si="37"/>
        <v>test.client_3_</v>
      </c>
      <c r="D253">
        <v>2</v>
      </c>
      <c r="E253">
        <v>0.99251295259201577</v>
      </c>
      <c r="F253">
        <v>1.7082352941176471</v>
      </c>
      <c r="G253" s="1" t="str">
        <f t="shared" si="38"/>
        <v/>
      </c>
      <c r="H253" s="1" t="str">
        <f t="shared" si="39"/>
        <v/>
      </c>
      <c r="I253" s="1" t="str">
        <f t="shared" si="40"/>
        <v/>
      </c>
      <c r="J253" s="1" t="str">
        <f t="shared" si="41"/>
        <v/>
      </c>
      <c r="K253" s="1" t="str">
        <f t="shared" si="42"/>
        <v/>
      </c>
      <c r="L253" s="1">
        <f t="shared" si="43"/>
        <v>0.99251295259201577</v>
      </c>
    </row>
    <row r="254" spans="1:12">
      <c r="A254" t="s">
        <v>214</v>
      </c>
      <c r="B254">
        <v>3</v>
      </c>
      <c r="C254" t="str">
        <f t="shared" si="37"/>
        <v>test.client_3_</v>
      </c>
      <c r="D254">
        <v>3</v>
      </c>
      <c r="E254">
        <v>1</v>
      </c>
      <c r="F254">
        <v>1.7835294117647058</v>
      </c>
      <c r="G254" s="1" t="str">
        <f t="shared" si="38"/>
        <v/>
      </c>
      <c r="H254" s="1" t="str">
        <f t="shared" si="39"/>
        <v/>
      </c>
      <c r="I254" s="1" t="str">
        <f t="shared" si="40"/>
        <v/>
      </c>
      <c r="J254" s="1" t="str">
        <f t="shared" si="41"/>
        <v/>
      </c>
      <c r="K254" s="1" t="str">
        <f t="shared" si="42"/>
        <v/>
      </c>
      <c r="L254" s="1">
        <f t="shared" si="43"/>
        <v>1</v>
      </c>
    </row>
    <row r="255" spans="1:12">
      <c r="A255" t="s">
        <v>214</v>
      </c>
      <c r="B255">
        <v>4</v>
      </c>
      <c r="C255" t="str">
        <f t="shared" si="37"/>
        <v>test.client_4_</v>
      </c>
      <c r="D255">
        <v>1</v>
      </c>
      <c r="E255">
        <v>0.8470809792843691</v>
      </c>
      <c r="F255">
        <v>1.6231883478260869</v>
      </c>
      <c r="G255" s="1" t="str">
        <f t="shared" si="38"/>
        <v/>
      </c>
      <c r="H255" s="1" t="str">
        <f t="shared" si="39"/>
        <v/>
      </c>
      <c r="I255" s="1" t="str">
        <f t="shared" si="40"/>
        <v/>
      </c>
      <c r="J255" s="1" t="str">
        <f t="shared" si="41"/>
        <v/>
      </c>
      <c r="K255" s="1" t="str">
        <f t="shared" si="42"/>
        <v/>
      </c>
      <c r="L255" s="1">
        <f t="shared" si="43"/>
        <v>0.8470809792843691</v>
      </c>
    </row>
    <row r="256" spans="1:12">
      <c r="A256" t="s">
        <v>214</v>
      </c>
      <c r="B256">
        <v>4</v>
      </c>
      <c r="C256" t="str">
        <f t="shared" si="37"/>
        <v>test.client_4_</v>
      </c>
      <c r="D256">
        <v>2</v>
      </c>
      <c r="E256">
        <v>0.8470809792843691</v>
      </c>
      <c r="F256">
        <v>1.6956521739130435</v>
      </c>
      <c r="G256" s="1" t="str">
        <f t="shared" si="38"/>
        <v/>
      </c>
      <c r="H256" s="1" t="str">
        <f t="shared" si="39"/>
        <v/>
      </c>
      <c r="I256" s="1" t="str">
        <f t="shared" si="40"/>
        <v/>
      </c>
      <c r="J256" s="1" t="str">
        <f t="shared" si="41"/>
        <v/>
      </c>
      <c r="K256" s="1" t="str">
        <f t="shared" si="42"/>
        <v/>
      </c>
      <c r="L256" s="1">
        <f t="shared" si="43"/>
        <v>0.8470809792843691</v>
      </c>
    </row>
    <row r="257" spans="1:12">
      <c r="A257" t="s">
        <v>214</v>
      </c>
      <c r="B257">
        <v>4</v>
      </c>
      <c r="C257" t="str">
        <f t="shared" si="37"/>
        <v>test.client_4_</v>
      </c>
      <c r="D257">
        <v>3</v>
      </c>
      <c r="E257">
        <v>0.89717514124293785</v>
      </c>
      <c r="F257">
        <v>1.7246377391304348</v>
      </c>
      <c r="G257" s="1" t="str">
        <f t="shared" si="38"/>
        <v/>
      </c>
      <c r="H257" s="1" t="str">
        <f t="shared" si="39"/>
        <v/>
      </c>
      <c r="I257" s="1" t="str">
        <f t="shared" si="40"/>
        <v/>
      </c>
      <c r="J257" s="1" t="str">
        <f t="shared" si="41"/>
        <v/>
      </c>
      <c r="K257" s="1" t="str">
        <f t="shared" si="42"/>
        <v/>
      </c>
      <c r="L257" s="1">
        <f t="shared" si="43"/>
        <v>0.89717514124293785</v>
      </c>
    </row>
    <row r="258" spans="1:12">
      <c r="A258" t="s">
        <v>214</v>
      </c>
      <c r="B258">
        <v>4</v>
      </c>
      <c r="C258" t="str">
        <f t="shared" si="37"/>
        <v>test.client_4_</v>
      </c>
      <c r="D258">
        <v>4</v>
      </c>
      <c r="E258">
        <v>0.89717514124293785</v>
      </c>
      <c r="F258">
        <v>1.7536231304347825</v>
      </c>
      <c r="G258" s="1" t="str">
        <f t="shared" si="38"/>
        <v/>
      </c>
      <c r="H258" s="1" t="str">
        <f t="shared" si="39"/>
        <v/>
      </c>
      <c r="I258" s="1" t="str">
        <f t="shared" si="40"/>
        <v/>
      </c>
      <c r="J258" s="1" t="str">
        <f t="shared" si="41"/>
        <v/>
      </c>
      <c r="K258" s="1" t="str">
        <f t="shared" si="42"/>
        <v/>
      </c>
      <c r="L258" s="1">
        <f t="shared" si="43"/>
        <v>0.89717514124293785</v>
      </c>
    </row>
    <row r="259" spans="1:12">
      <c r="A259" t="s">
        <v>214</v>
      </c>
      <c r="B259">
        <v>4</v>
      </c>
      <c r="C259" t="str">
        <f t="shared" ref="C259:C322" si="44">CONCATENATE(A259, "_",B259,"_")</f>
        <v>test.client_4_</v>
      </c>
      <c r="D259">
        <v>5</v>
      </c>
      <c r="E259">
        <v>0.94764595103578153</v>
      </c>
      <c r="F259">
        <v>1.7536273913043479</v>
      </c>
      <c r="G259" s="1" t="str">
        <f t="shared" ref="G259:G322" si="45">IF($F259 &lt;= 0.2,$E259,"")</f>
        <v/>
      </c>
      <c r="H259" s="1" t="str">
        <f t="shared" ref="H259:H322" si="46">IF(AND($F259 &gt; 0.2,$F259 &lt;= 0.4),$E259,"")</f>
        <v/>
      </c>
      <c r="I259" s="1" t="str">
        <f t="shared" ref="I259:I322" si="47">IF(AND($F259 &gt; 0.4,$F259 &lt;= 0.6),$E259,"")</f>
        <v/>
      </c>
      <c r="J259" s="1" t="str">
        <f t="shared" ref="J259:J322" si="48">IF(AND($F259 &gt; 0.6,$F259 &lt;= 0.8),$E259,"")</f>
        <v/>
      </c>
      <c r="K259" s="1" t="str">
        <f t="shared" ref="K259:K322" si="49">IF(AND($F259 &gt; 0.8, $F259 &lt;=1.1),$E259,"")</f>
        <v/>
      </c>
      <c r="L259" s="1">
        <f t="shared" ref="L259:L322" si="50">IF(AND($F259 &gt; 1.1),$E259,"")</f>
        <v>0.94764595103578153</v>
      </c>
    </row>
    <row r="260" spans="1:12">
      <c r="A260" t="s">
        <v>214</v>
      </c>
      <c r="B260">
        <v>4</v>
      </c>
      <c r="C260" t="str">
        <f t="shared" si="44"/>
        <v>test.client_4_</v>
      </c>
      <c r="D260">
        <v>6</v>
      </c>
      <c r="E260">
        <v>0.99698681732580041</v>
      </c>
      <c r="F260">
        <v>1.7826086956521738</v>
      </c>
      <c r="G260" s="1" t="str">
        <f t="shared" si="45"/>
        <v/>
      </c>
      <c r="H260" s="1" t="str">
        <f t="shared" si="46"/>
        <v/>
      </c>
      <c r="I260" s="1" t="str">
        <f t="shared" si="47"/>
        <v/>
      </c>
      <c r="J260" s="1" t="str">
        <f t="shared" si="48"/>
        <v/>
      </c>
      <c r="K260" s="1" t="str">
        <f t="shared" si="49"/>
        <v/>
      </c>
      <c r="L260" s="1">
        <f t="shared" si="50"/>
        <v>0.99698681732580041</v>
      </c>
    </row>
    <row r="261" spans="1:12">
      <c r="A261" t="s">
        <v>214</v>
      </c>
      <c r="B261">
        <v>4</v>
      </c>
      <c r="C261" t="str">
        <f t="shared" si="44"/>
        <v>test.client_4_</v>
      </c>
      <c r="D261">
        <v>7</v>
      </c>
      <c r="E261">
        <v>0.99849340866290015</v>
      </c>
      <c r="F261">
        <v>1.782613043478261</v>
      </c>
      <c r="G261" s="1" t="str">
        <f t="shared" si="45"/>
        <v/>
      </c>
      <c r="H261" s="1" t="str">
        <f t="shared" si="46"/>
        <v/>
      </c>
      <c r="I261" s="1" t="str">
        <f t="shared" si="47"/>
        <v/>
      </c>
      <c r="J261" s="1" t="str">
        <f t="shared" si="48"/>
        <v/>
      </c>
      <c r="K261" s="1" t="str">
        <f t="shared" si="49"/>
        <v/>
      </c>
      <c r="L261" s="1">
        <f t="shared" si="50"/>
        <v>0.99849340866290015</v>
      </c>
    </row>
    <row r="262" spans="1:12">
      <c r="A262" t="s">
        <v>214</v>
      </c>
      <c r="B262">
        <v>4</v>
      </c>
      <c r="C262" t="str">
        <f t="shared" si="44"/>
        <v>test.client_4_</v>
      </c>
      <c r="D262">
        <v>8</v>
      </c>
      <c r="E262">
        <v>0.99849340866290015</v>
      </c>
      <c r="F262">
        <v>1.826086956521739</v>
      </c>
      <c r="G262" s="1" t="str">
        <f t="shared" si="45"/>
        <v/>
      </c>
      <c r="H262" s="1" t="str">
        <f t="shared" si="46"/>
        <v/>
      </c>
      <c r="I262" s="1" t="str">
        <f t="shared" si="47"/>
        <v/>
      </c>
      <c r="J262" s="1" t="str">
        <f t="shared" si="48"/>
        <v/>
      </c>
      <c r="K262" s="1" t="str">
        <f t="shared" si="49"/>
        <v/>
      </c>
      <c r="L262" s="1">
        <f t="shared" si="50"/>
        <v>0.99849340866290015</v>
      </c>
    </row>
    <row r="263" spans="1:12">
      <c r="A263" t="s">
        <v>214</v>
      </c>
      <c r="B263">
        <v>4</v>
      </c>
      <c r="C263" t="str">
        <f t="shared" si="44"/>
        <v>test.client_4_</v>
      </c>
      <c r="D263">
        <v>9</v>
      </c>
      <c r="E263">
        <v>1</v>
      </c>
      <c r="F263">
        <v>2.0724638260869566</v>
      </c>
      <c r="G263" s="1" t="str">
        <f t="shared" si="45"/>
        <v/>
      </c>
      <c r="H263" s="1" t="str">
        <f t="shared" si="46"/>
        <v/>
      </c>
      <c r="I263" s="1" t="str">
        <f t="shared" si="47"/>
        <v/>
      </c>
      <c r="J263" s="1" t="str">
        <f t="shared" si="48"/>
        <v/>
      </c>
      <c r="K263" s="1" t="str">
        <f t="shared" si="49"/>
        <v/>
      </c>
      <c r="L263" s="1">
        <f t="shared" si="50"/>
        <v>1</v>
      </c>
    </row>
    <row r="264" spans="1:12">
      <c r="A264" t="s">
        <v>214</v>
      </c>
      <c r="B264">
        <v>6</v>
      </c>
      <c r="C264" t="str">
        <f t="shared" si="44"/>
        <v>test.client_6_</v>
      </c>
      <c r="D264">
        <v>1</v>
      </c>
      <c r="E264">
        <v>0.6175569921742089</v>
      </c>
      <c r="F264">
        <v>1.2597402405127336</v>
      </c>
      <c r="G264" s="1" t="str">
        <f t="shared" si="45"/>
        <v/>
      </c>
      <c r="H264" s="1" t="str">
        <f t="shared" si="46"/>
        <v/>
      </c>
      <c r="I264" s="1" t="str">
        <f t="shared" si="47"/>
        <v/>
      </c>
      <c r="J264" s="1" t="str">
        <f t="shared" si="48"/>
        <v/>
      </c>
      <c r="K264" s="1" t="str">
        <f t="shared" si="49"/>
        <v/>
      </c>
      <c r="L264" s="1">
        <f t="shared" si="50"/>
        <v>0.6175569921742089</v>
      </c>
    </row>
    <row r="265" spans="1:12">
      <c r="A265" t="s">
        <v>214</v>
      </c>
      <c r="B265">
        <v>6</v>
      </c>
      <c r="C265" t="str">
        <f t="shared" si="44"/>
        <v>test.client_6_</v>
      </c>
      <c r="D265">
        <v>2</v>
      </c>
      <c r="E265">
        <v>1</v>
      </c>
      <c r="F265">
        <v>1.3506494376792062</v>
      </c>
      <c r="G265" s="1" t="str">
        <f t="shared" si="45"/>
        <v/>
      </c>
      <c r="H265" s="1" t="str">
        <f t="shared" si="46"/>
        <v/>
      </c>
      <c r="I265" s="1" t="str">
        <f t="shared" si="47"/>
        <v/>
      </c>
      <c r="J265" s="1" t="str">
        <f t="shared" si="48"/>
        <v/>
      </c>
      <c r="K265" s="1" t="str">
        <f t="shared" si="49"/>
        <v/>
      </c>
      <c r="L265" s="1">
        <f t="shared" si="50"/>
        <v>1</v>
      </c>
    </row>
    <row r="266" spans="1:12">
      <c r="A266" t="s">
        <v>214</v>
      </c>
      <c r="B266">
        <v>7</v>
      </c>
      <c r="C266" t="str">
        <f t="shared" si="44"/>
        <v>test.client_7_</v>
      </c>
      <c r="D266">
        <v>1</v>
      </c>
      <c r="E266">
        <v>8.4112149532710276E-2</v>
      </c>
      <c r="F266">
        <v>1</v>
      </c>
      <c r="G266" s="1" t="str">
        <f t="shared" si="45"/>
        <v/>
      </c>
      <c r="H266" s="1" t="str">
        <f t="shared" si="46"/>
        <v/>
      </c>
      <c r="I266" s="1" t="str">
        <f t="shared" si="47"/>
        <v/>
      </c>
      <c r="J266" s="1" t="str">
        <f t="shared" si="48"/>
        <v/>
      </c>
      <c r="K266" s="1">
        <f t="shared" si="49"/>
        <v>8.4112149532710276E-2</v>
      </c>
      <c r="L266" s="1" t="str">
        <f t="shared" si="50"/>
        <v/>
      </c>
    </row>
    <row r="267" spans="1:12">
      <c r="A267" t="s">
        <v>214</v>
      </c>
      <c r="B267">
        <v>7</v>
      </c>
      <c r="C267" t="str">
        <f t="shared" si="44"/>
        <v>test.client_7_</v>
      </c>
      <c r="D267">
        <v>2</v>
      </c>
      <c r="E267">
        <v>0.10654205607476636</v>
      </c>
      <c r="F267">
        <v>1.0000150150003755</v>
      </c>
      <c r="G267" s="1" t="str">
        <f t="shared" si="45"/>
        <v/>
      </c>
      <c r="H267" s="1" t="str">
        <f t="shared" si="46"/>
        <v/>
      </c>
      <c r="I267" s="1" t="str">
        <f t="shared" si="47"/>
        <v/>
      </c>
      <c r="J267" s="1" t="str">
        <f t="shared" si="48"/>
        <v/>
      </c>
      <c r="K267" s="1">
        <f t="shared" si="49"/>
        <v>0.10654205607476636</v>
      </c>
      <c r="L267" s="1" t="str">
        <f t="shared" si="50"/>
        <v/>
      </c>
    </row>
    <row r="268" spans="1:12">
      <c r="A268" t="s">
        <v>214</v>
      </c>
      <c r="B268">
        <v>7</v>
      </c>
      <c r="C268" t="str">
        <f t="shared" si="44"/>
        <v>test.client_7_</v>
      </c>
      <c r="D268">
        <v>3</v>
      </c>
      <c r="E268">
        <v>0.11775700934579439</v>
      </c>
      <c r="F268">
        <v>1.0500000262500007</v>
      </c>
      <c r="G268" s="1" t="str">
        <f t="shared" si="45"/>
        <v/>
      </c>
      <c r="H268" s="1" t="str">
        <f t="shared" si="46"/>
        <v/>
      </c>
      <c r="I268" s="1" t="str">
        <f t="shared" si="47"/>
        <v/>
      </c>
      <c r="J268" s="1" t="str">
        <f t="shared" si="48"/>
        <v/>
      </c>
      <c r="K268" s="1">
        <f t="shared" si="49"/>
        <v>0.11775700934579439</v>
      </c>
      <c r="L268" s="1" t="str">
        <f t="shared" si="50"/>
        <v/>
      </c>
    </row>
    <row r="269" spans="1:12">
      <c r="A269" t="s">
        <v>214</v>
      </c>
      <c r="B269">
        <v>7</v>
      </c>
      <c r="C269" t="str">
        <f t="shared" si="44"/>
        <v>test.client_7_</v>
      </c>
      <c r="D269">
        <v>4</v>
      </c>
      <c r="E269">
        <v>0.15140186915887852</v>
      </c>
      <c r="F269">
        <v>1.15000000375</v>
      </c>
      <c r="G269" s="1" t="str">
        <f t="shared" si="45"/>
        <v/>
      </c>
      <c r="H269" s="1" t="str">
        <f t="shared" si="46"/>
        <v/>
      </c>
      <c r="I269" s="1" t="str">
        <f t="shared" si="47"/>
        <v/>
      </c>
      <c r="J269" s="1" t="str">
        <f t="shared" si="48"/>
        <v/>
      </c>
      <c r="K269" s="1" t="str">
        <f t="shared" si="49"/>
        <v/>
      </c>
      <c r="L269" s="1">
        <f t="shared" si="50"/>
        <v>0.15140186915887852</v>
      </c>
    </row>
    <row r="270" spans="1:12">
      <c r="A270" t="s">
        <v>214</v>
      </c>
      <c r="B270">
        <v>7</v>
      </c>
      <c r="C270" t="str">
        <f t="shared" si="44"/>
        <v>test.client_7_</v>
      </c>
      <c r="D270">
        <v>5</v>
      </c>
      <c r="E270">
        <v>0.15140186915887852</v>
      </c>
      <c r="F270">
        <v>1.2000000300000009</v>
      </c>
      <c r="G270" s="1" t="str">
        <f t="shared" si="45"/>
        <v/>
      </c>
      <c r="H270" s="1" t="str">
        <f t="shared" si="46"/>
        <v/>
      </c>
      <c r="I270" s="1" t="str">
        <f t="shared" si="47"/>
        <v/>
      </c>
      <c r="J270" s="1" t="str">
        <f t="shared" si="48"/>
        <v/>
      </c>
      <c r="K270" s="1" t="str">
        <f t="shared" si="49"/>
        <v/>
      </c>
      <c r="L270" s="1">
        <f t="shared" si="50"/>
        <v>0.15140186915887852</v>
      </c>
    </row>
    <row r="271" spans="1:12">
      <c r="A271" t="s">
        <v>214</v>
      </c>
      <c r="B271">
        <v>7</v>
      </c>
      <c r="C271" t="str">
        <f t="shared" si="44"/>
        <v>test.client_7_</v>
      </c>
      <c r="D271">
        <v>6</v>
      </c>
      <c r="E271">
        <v>1</v>
      </c>
      <c r="F271">
        <v>2</v>
      </c>
      <c r="G271" s="1" t="str">
        <f t="shared" si="45"/>
        <v/>
      </c>
      <c r="H271" s="1" t="str">
        <f t="shared" si="46"/>
        <v/>
      </c>
      <c r="I271" s="1" t="str">
        <f t="shared" si="47"/>
        <v/>
      </c>
      <c r="J271" s="1" t="str">
        <f t="shared" si="48"/>
        <v/>
      </c>
      <c r="K271" s="1" t="str">
        <f t="shared" si="49"/>
        <v/>
      </c>
      <c r="L271" s="1">
        <f t="shared" si="50"/>
        <v>1</v>
      </c>
    </row>
    <row r="272" spans="1:12">
      <c r="A272" t="s">
        <v>214</v>
      </c>
      <c r="B272">
        <v>7</v>
      </c>
      <c r="C272" t="str">
        <f t="shared" si="44"/>
        <v>test.client_7_</v>
      </c>
      <c r="D272">
        <v>7</v>
      </c>
      <c r="E272">
        <v>1</v>
      </c>
      <c r="F272">
        <v>2.1500000037500002</v>
      </c>
      <c r="G272" s="1" t="str">
        <f t="shared" si="45"/>
        <v/>
      </c>
      <c r="H272" s="1" t="str">
        <f t="shared" si="46"/>
        <v/>
      </c>
      <c r="I272" s="1" t="str">
        <f t="shared" si="47"/>
        <v/>
      </c>
      <c r="J272" s="1" t="str">
        <f t="shared" si="48"/>
        <v/>
      </c>
      <c r="K272" s="1" t="str">
        <f t="shared" si="49"/>
        <v/>
      </c>
      <c r="L272" s="1">
        <f t="shared" si="50"/>
        <v>1</v>
      </c>
    </row>
    <row r="273" spans="1:12">
      <c r="A273" t="s">
        <v>247</v>
      </c>
      <c r="B273">
        <v>3</v>
      </c>
      <c r="C273" t="str">
        <f t="shared" si="44"/>
        <v>test.GeoEngine_3_</v>
      </c>
      <c r="D273">
        <v>1</v>
      </c>
      <c r="E273">
        <v>4.4161358811040337E-2</v>
      </c>
      <c r="F273">
        <v>0.59999998285714329</v>
      </c>
      <c r="G273" s="1" t="str">
        <f t="shared" si="45"/>
        <v/>
      </c>
      <c r="H273" s="1" t="str">
        <f t="shared" si="46"/>
        <v/>
      </c>
      <c r="I273" s="1">
        <f t="shared" si="47"/>
        <v>4.4161358811040337E-2</v>
      </c>
      <c r="J273" s="1" t="str">
        <f t="shared" si="48"/>
        <v/>
      </c>
      <c r="K273" s="1" t="str">
        <f t="shared" si="49"/>
        <v/>
      </c>
      <c r="L273" s="1" t="str">
        <f t="shared" si="50"/>
        <v/>
      </c>
    </row>
    <row r="274" spans="1:12">
      <c r="A274" t="s">
        <v>247</v>
      </c>
      <c r="B274">
        <v>3</v>
      </c>
      <c r="C274" t="str">
        <f t="shared" si="44"/>
        <v>test.GeoEngine_3_</v>
      </c>
      <c r="D274">
        <v>2</v>
      </c>
      <c r="E274">
        <v>0.70276008492568998</v>
      </c>
      <c r="F274">
        <v>1.5428570987755115</v>
      </c>
      <c r="G274" s="1" t="str">
        <f t="shared" si="45"/>
        <v/>
      </c>
      <c r="H274" s="1" t="str">
        <f t="shared" si="46"/>
        <v/>
      </c>
      <c r="I274" s="1" t="str">
        <f t="shared" si="47"/>
        <v/>
      </c>
      <c r="J274" s="1" t="str">
        <f t="shared" si="48"/>
        <v/>
      </c>
      <c r="K274" s="1" t="str">
        <f t="shared" si="49"/>
        <v/>
      </c>
      <c r="L274" s="1">
        <f t="shared" si="50"/>
        <v>0.70276008492568998</v>
      </c>
    </row>
    <row r="275" spans="1:12">
      <c r="A275" t="s">
        <v>247</v>
      </c>
      <c r="B275">
        <v>3</v>
      </c>
      <c r="C275" t="str">
        <f t="shared" si="44"/>
        <v>test.GeoEngine_3_</v>
      </c>
      <c r="D275">
        <v>3</v>
      </c>
      <c r="E275">
        <v>1</v>
      </c>
      <c r="F275">
        <v>1.5428656702038379</v>
      </c>
      <c r="G275" s="1" t="str">
        <f t="shared" si="45"/>
        <v/>
      </c>
      <c r="H275" s="1" t="str">
        <f t="shared" si="46"/>
        <v/>
      </c>
      <c r="I275" s="1" t="str">
        <f t="shared" si="47"/>
        <v/>
      </c>
      <c r="J275" s="1" t="str">
        <f t="shared" si="48"/>
        <v/>
      </c>
      <c r="K275" s="1" t="str">
        <f t="shared" si="49"/>
        <v/>
      </c>
      <c r="L275" s="1">
        <f t="shared" si="50"/>
        <v>1</v>
      </c>
    </row>
    <row r="276" spans="1:12">
      <c r="A276" t="s">
        <v>247</v>
      </c>
      <c r="B276">
        <v>7</v>
      </c>
      <c r="C276" t="str">
        <f t="shared" si="44"/>
        <v>test.GeoEngine_7_</v>
      </c>
      <c r="D276">
        <v>1</v>
      </c>
      <c r="E276">
        <v>9.5894607843137261E-2</v>
      </c>
      <c r="F276">
        <v>0.66666669230769238</v>
      </c>
      <c r="G276" s="1" t="str">
        <f t="shared" si="45"/>
        <v/>
      </c>
      <c r="H276" s="1" t="str">
        <f t="shared" si="46"/>
        <v/>
      </c>
      <c r="I276" s="1" t="str">
        <f t="shared" si="47"/>
        <v/>
      </c>
      <c r="J276" s="1">
        <f t="shared" si="48"/>
        <v>9.5894607843137261E-2</v>
      </c>
      <c r="K276" s="1" t="str">
        <f t="shared" si="49"/>
        <v/>
      </c>
      <c r="L276" s="1" t="str">
        <f t="shared" si="50"/>
        <v/>
      </c>
    </row>
    <row r="277" spans="1:12">
      <c r="A277" t="s">
        <v>247</v>
      </c>
      <c r="B277">
        <v>7</v>
      </c>
      <c r="C277" t="str">
        <f t="shared" si="44"/>
        <v>test.GeoEngine_7_</v>
      </c>
      <c r="D277">
        <v>2</v>
      </c>
      <c r="E277">
        <v>0.12285539215686274</v>
      </c>
      <c r="F277">
        <v>0.71794869230769232</v>
      </c>
      <c r="G277" s="1" t="str">
        <f t="shared" si="45"/>
        <v/>
      </c>
      <c r="H277" s="1" t="str">
        <f t="shared" si="46"/>
        <v/>
      </c>
      <c r="I277" s="1" t="str">
        <f t="shared" si="47"/>
        <v/>
      </c>
      <c r="J277" s="1">
        <f t="shared" si="48"/>
        <v>0.12285539215686274</v>
      </c>
      <c r="K277" s="1" t="str">
        <f t="shared" si="49"/>
        <v/>
      </c>
      <c r="L277" s="1" t="str">
        <f t="shared" si="50"/>
        <v/>
      </c>
    </row>
    <row r="278" spans="1:12">
      <c r="A278" t="s">
        <v>247</v>
      </c>
      <c r="B278">
        <v>7</v>
      </c>
      <c r="C278" t="str">
        <f t="shared" si="44"/>
        <v>test.GeoEngine_7_</v>
      </c>
      <c r="D278">
        <v>3</v>
      </c>
      <c r="E278">
        <v>0.29626225490196079</v>
      </c>
      <c r="F278">
        <v>0.84615384615384615</v>
      </c>
      <c r="G278" s="1" t="str">
        <f t="shared" si="45"/>
        <v/>
      </c>
      <c r="H278" s="1" t="str">
        <f t="shared" si="46"/>
        <v/>
      </c>
      <c r="I278" s="1" t="str">
        <f t="shared" si="47"/>
        <v/>
      </c>
      <c r="J278" s="1" t="str">
        <f t="shared" si="48"/>
        <v/>
      </c>
      <c r="K278" s="1">
        <f t="shared" si="49"/>
        <v>0.29626225490196079</v>
      </c>
      <c r="L278" s="1" t="str">
        <f t="shared" si="50"/>
        <v/>
      </c>
    </row>
    <row r="279" spans="1:12">
      <c r="A279" t="s">
        <v>247</v>
      </c>
      <c r="B279">
        <v>7</v>
      </c>
      <c r="C279" t="str">
        <f t="shared" si="44"/>
        <v>test.GeoEngine_7_</v>
      </c>
      <c r="D279">
        <v>4</v>
      </c>
      <c r="E279">
        <v>0.61397058823529416</v>
      </c>
      <c r="F279">
        <v>1.0769230769230769</v>
      </c>
      <c r="G279" s="1" t="str">
        <f t="shared" si="45"/>
        <v/>
      </c>
      <c r="H279" s="1" t="str">
        <f t="shared" si="46"/>
        <v/>
      </c>
      <c r="I279" s="1" t="str">
        <f t="shared" si="47"/>
        <v/>
      </c>
      <c r="J279" s="1" t="str">
        <f t="shared" si="48"/>
        <v/>
      </c>
      <c r="K279" s="1">
        <f t="shared" si="49"/>
        <v>0.61397058823529416</v>
      </c>
      <c r="L279" s="1" t="str">
        <f t="shared" si="50"/>
        <v/>
      </c>
    </row>
    <row r="280" spans="1:12">
      <c r="A280" t="s">
        <v>247</v>
      </c>
      <c r="B280">
        <v>7</v>
      </c>
      <c r="C280" t="str">
        <f t="shared" si="44"/>
        <v>test.GeoEngine_7_</v>
      </c>
      <c r="D280">
        <v>5</v>
      </c>
      <c r="E280">
        <v>0.62438725490196079</v>
      </c>
      <c r="F280">
        <v>1.0769307692307692</v>
      </c>
      <c r="G280" s="1" t="str">
        <f t="shared" si="45"/>
        <v/>
      </c>
      <c r="H280" s="1" t="str">
        <f t="shared" si="46"/>
        <v/>
      </c>
      <c r="I280" s="1" t="str">
        <f t="shared" si="47"/>
        <v/>
      </c>
      <c r="J280" s="1" t="str">
        <f t="shared" si="48"/>
        <v/>
      </c>
      <c r="K280" s="1">
        <f t="shared" si="49"/>
        <v>0.62438725490196079</v>
      </c>
      <c r="L280" s="1" t="str">
        <f t="shared" si="50"/>
        <v/>
      </c>
    </row>
    <row r="281" spans="1:12">
      <c r="A281" t="s">
        <v>247</v>
      </c>
      <c r="B281">
        <v>7</v>
      </c>
      <c r="C281" t="str">
        <f t="shared" si="44"/>
        <v>test.GeoEngine_7_</v>
      </c>
      <c r="D281">
        <v>6</v>
      </c>
      <c r="E281">
        <v>1</v>
      </c>
      <c r="F281">
        <v>1.5384615384615385</v>
      </c>
      <c r="G281" s="1" t="str">
        <f t="shared" si="45"/>
        <v/>
      </c>
      <c r="H281" s="1" t="str">
        <f t="shared" si="46"/>
        <v/>
      </c>
      <c r="I281" s="1" t="str">
        <f t="shared" si="47"/>
        <v/>
      </c>
      <c r="J281" s="1" t="str">
        <f t="shared" si="48"/>
        <v/>
      </c>
      <c r="K281" s="1" t="str">
        <f t="shared" si="49"/>
        <v/>
      </c>
      <c r="L281" s="1">
        <f t="shared" si="50"/>
        <v>1</v>
      </c>
    </row>
    <row r="282" spans="1:12">
      <c r="A282" t="s">
        <v>247</v>
      </c>
      <c r="B282">
        <v>8</v>
      </c>
      <c r="C282" t="str">
        <f t="shared" si="44"/>
        <v>test.GeoEngine_8_</v>
      </c>
      <c r="D282">
        <v>1</v>
      </c>
      <c r="E282">
        <v>4.0228245363766048E-2</v>
      </c>
      <c r="F282">
        <v>0.54545453305785152</v>
      </c>
      <c r="G282" s="1" t="str">
        <f t="shared" si="45"/>
        <v/>
      </c>
      <c r="H282" s="1" t="str">
        <f t="shared" si="46"/>
        <v/>
      </c>
      <c r="I282" s="1">
        <f t="shared" si="47"/>
        <v>4.0228245363766048E-2</v>
      </c>
      <c r="J282" s="1" t="str">
        <f t="shared" si="48"/>
        <v/>
      </c>
      <c r="K282" s="1" t="str">
        <f t="shared" si="49"/>
        <v/>
      </c>
      <c r="L282" s="1" t="str">
        <f t="shared" si="50"/>
        <v/>
      </c>
    </row>
    <row r="283" spans="1:12">
      <c r="A283" t="s">
        <v>247</v>
      </c>
      <c r="B283">
        <v>8</v>
      </c>
      <c r="C283" t="str">
        <f t="shared" si="44"/>
        <v>test.GeoEngine_8_</v>
      </c>
      <c r="D283">
        <v>2</v>
      </c>
      <c r="E283">
        <v>0.14208273894436518</v>
      </c>
      <c r="F283">
        <v>0.6590909168388428</v>
      </c>
      <c r="G283" s="1" t="str">
        <f t="shared" si="45"/>
        <v/>
      </c>
      <c r="H283" s="1" t="str">
        <f t="shared" si="46"/>
        <v/>
      </c>
      <c r="I283" s="1" t="str">
        <f t="shared" si="47"/>
        <v/>
      </c>
      <c r="J283" s="1">
        <f t="shared" si="48"/>
        <v>0.14208273894436518</v>
      </c>
      <c r="K283" s="1" t="str">
        <f t="shared" si="49"/>
        <v/>
      </c>
      <c r="L283" s="1" t="str">
        <f t="shared" si="50"/>
        <v/>
      </c>
    </row>
    <row r="284" spans="1:12">
      <c r="A284" t="s">
        <v>247</v>
      </c>
      <c r="B284">
        <v>8</v>
      </c>
      <c r="C284" t="str">
        <f t="shared" si="44"/>
        <v>test.GeoEngine_8_</v>
      </c>
      <c r="D284">
        <v>3</v>
      </c>
      <c r="E284">
        <v>0.17574893009985734</v>
      </c>
      <c r="F284">
        <v>0.6818181663223144</v>
      </c>
      <c r="G284" s="1" t="str">
        <f t="shared" si="45"/>
        <v/>
      </c>
      <c r="H284" s="1" t="str">
        <f t="shared" si="46"/>
        <v/>
      </c>
      <c r="I284" s="1" t="str">
        <f t="shared" si="47"/>
        <v/>
      </c>
      <c r="J284" s="1">
        <f t="shared" si="48"/>
        <v>0.17574893009985734</v>
      </c>
      <c r="K284" s="1" t="str">
        <f t="shared" si="49"/>
        <v/>
      </c>
      <c r="L284" s="1" t="str">
        <f t="shared" si="50"/>
        <v/>
      </c>
    </row>
    <row r="285" spans="1:12">
      <c r="A285" t="s">
        <v>247</v>
      </c>
      <c r="B285">
        <v>8</v>
      </c>
      <c r="C285" t="str">
        <f t="shared" si="44"/>
        <v>test.GeoEngine_8_</v>
      </c>
      <c r="D285">
        <v>4</v>
      </c>
      <c r="E285">
        <v>0.36833095577746078</v>
      </c>
      <c r="F285">
        <v>0.88636361621900872</v>
      </c>
      <c r="G285" s="1" t="str">
        <f t="shared" si="45"/>
        <v/>
      </c>
      <c r="H285" s="1" t="str">
        <f t="shared" si="46"/>
        <v/>
      </c>
      <c r="I285" s="1" t="str">
        <f t="shared" si="47"/>
        <v/>
      </c>
      <c r="J285" s="1" t="str">
        <f t="shared" si="48"/>
        <v/>
      </c>
      <c r="K285" s="1">
        <f t="shared" si="49"/>
        <v>0.36833095577746078</v>
      </c>
      <c r="L285" s="1" t="str">
        <f t="shared" si="50"/>
        <v/>
      </c>
    </row>
    <row r="286" spans="1:12">
      <c r="A286" t="s">
        <v>247</v>
      </c>
      <c r="B286">
        <v>8</v>
      </c>
      <c r="C286" t="str">
        <f t="shared" si="44"/>
        <v>test.GeoEngine_8_</v>
      </c>
      <c r="D286">
        <v>5</v>
      </c>
      <c r="E286">
        <v>0.37517831669044222</v>
      </c>
      <c r="F286">
        <v>0.90909086570248032</v>
      </c>
      <c r="G286" s="1" t="str">
        <f t="shared" si="45"/>
        <v/>
      </c>
      <c r="H286" s="1" t="str">
        <f t="shared" si="46"/>
        <v/>
      </c>
      <c r="I286" s="1" t="str">
        <f t="shared" si="47"/>
        <v/>
      </c>
      <c r="J286" s="1" t="str">
        <f t="shared" si="48"/>
        <v/>
      </c>
      <c r="K286" s="1">
        <f t="shared" si="49"/>
        <v>0.37517831669044222</v>
      </c>
      <c r="L286" s="1" t="str">
        <f t="shared" si="50"/>
        <v/>
      </c>
    </row>
    <row r="287" spans="1:12">
      <c r="A287" t="s">
        <v>247</v>
      </c>
      <c r="B287">
        <v>8</v>
      </c>
      <c r="C287" t="str">
        <f t="shared" si="44"/>
        <v>test.GeoEngine_8_</v>
      </c>
      <c r="D287">
        <v>6</v>
      </c>
      <c r="E287">
        <v>0.75092724679029954</v>
      </c>
      <c r="F287">
        <v>1.2500000170454542</v>
      </c>
      <c r="G287" s="1" t="str">
        <f t="shared" si="45"/>
        <v/>
      </c>
      <c r="H287" s="1" t="str">
        <f t="shared" si="46"/>
        <v/>
      </c>
      <c r="I287" s="1" t="str">
        <f t="shared" si="47"/>
        <v/>
      </c>
      <c r="J287" s="1" t="str">
        <f t="shared" si="48"/>
        <v/>
      </c>
      <c r="K287" s="1" t="str">
        <f t="shared" si="49"/>
        <v/>
      </c>
      <c r="L287" s="1">
        <f t="shared" si="50"/>
        <v>0.75092724679029954</v>
      </c>
    </row>
    <row r="288" spans="1:12">
      <c r="A288" t="s">
        <v>247</v>
      </c>
      <c r="B288">
        <v>8</v>
      </c>
      <c r="C288" t="str">
        <f t="shared" si="44"/>
        <v>test.GeoEngine_8_</v>
      </c>
      <c r="D288">
        <v>7</v>
      </c>
      <c r="E288">
        <v>0.77660485021398007</v>
      </c>
      <c r="F288">
        <v>1.3409090149793406</v>
      </c>
      <c r="G288" s="1" t="str">
        <f t="shared" si="45"/>
        <v/>
      </c>
      <c r="H288" s="1" t="str">
        <f t="shared" si="46"/>
        <v/>
      </c>
      <c r="I288" s="1" t="str">
        <f t="shared" si="47"/>
        <v/>
      </c>
      <c r="J288" s="1" t="str">
        <f t="shared" si="48"/>
        <v/>
      </c>
      <c r="K288" s="1" t="str">
        <f t="shared" si="49"/>
        <v/>
      </c>
      <c r="L288" s="1">
        <f t="shared" si="50"/>
        <v>0.77660485021398007</v>
      </c>
    </row>
    <row r="289" spans="1:12">
      <c r="A289" t="s">
        <v>247</v>
      </c>
      <c r="B289">
        <v>8</v>
      </c>
      <c r="C289" t="str">
        <f t="shared" si="44"/>
        <v>test.GeoEngine_8_</v>
      </c>
      <c r="D289">
        <v>8</v>
      </c>
      <c r="E289">
        <v>0.78915834522111272</v>
      </c>
      <c r="F289">
        <v>1.409090831611572</v>
      </c>
      <c r="G289" s="1" t="str">
        <f t="shared" si="45"/>
        <v/>
      </c>
      <c r="H289" s="1" t="str">
        <f t="shared" si="46"/>
        <v/>
      </c>
      <c r="I289" s="1" t="str">
        <f t="shared" si="47"/>
        <v/>
      </c>
      <c r="J289" s="1" t="str">
        <f t="shared" si="48"/>
        <v/>
      </c>
      <c r="K289" s="1" t="str">
        <f t="shared" si="49"/>
        <v/>
      </c>
      <c r="L289" s="1">
        <f t="shared" si="50"/>
        <v>0.78915834522111272</v>
      </c>
    </row>
    <row r="290" spans="1:12">
      <c r="A290" t="s">
        <v>247</v>
      </c>
      <c r="B290">
        <v>8</v>
      </c>
      <c r="C290" t="str">
        <f t="shared" si="44"/>
        <v>test.GeoEngine_8_</v>
      </c>
      <c r="D290">
        <v>9</v>
      </c>
      <c r="E290">
        <v>0.85592011412268187</v>
      </c>
      <c r="F290">
        <v>1.5227272835743799</v>
      </c>
      <c r="G290" s="1" t="str">
        <f t="shared" si="45"/>
        <v/>
      </c>
      <c r="H290" s="1" t="str">
        <f t="shared" si="46"/>
        <v/>
      </c>
      <c r="I290" s="1" t="str">
        <f t="shared" si="47"/>
        <v/>
      </c>
      <c r="J290" s="1" t="str">
        <f t="shared" si="48"/>
        <v/>
      </c>
      <c r="K290" s="1" t="str">
        <f t="shared" si="49"/>
        <v/>
      </c>
      <c r="L290" s="1">
        <f t="shared" si="50"/>
        <v>0.85592011412268187</v>
      </c>
    </row>
    <row r="291" spans="1:12">
      <c r="A291" t="s">
        <v>247</v>
      </c>
      <c r="B291">
        <v>8</v>
      </c>
      <c r="C291" t="str">
        <f t="shared" si="44"/>
        <v>test.GeoEngine_8_</v>
      </c>
      <c r="D291">
        <v>10</v>
      </c>
      <c r="E291">
        <v>0.91212553495007131</v>
      </c>
      <c r="F291">
        <v>1.5454544648760349</v>
      </c>
      <c r="G291" s="1" t="str">
        <f t="shared" si="45"/>
        <v/>
      </c>
      <c r="H291" s="1" t="str">
        <f t="shared" si="46"/>
        <v/>
      </c>
      <c r="I291" s="1" t="str">
        <f t="shared" si="47"/>
        <v/>
      </c>
      <c r="J291" s="1" t="str">
        <f t="shared" si="48"/>
        <v/>
      </c>
      <c r="K291" s="1" t="str">
        <f t="shared" si="49"/>
        <v/>
      </c>
      <c r="L291" s="1">
        <f t="shared" si="50"/>
        <v>0.91212553495007131</v>
      </c>
    </row>
    <row r="292" spans="1:12">
      <c r="A292" t="s">
        <v>247</v>
      </c>
      <c r="B292">
        <v>8</v>
      </c>
      <c r="C292" t="str">
        <f t="shared" si="44"/>
        <v>test.GeoEngine_8_</v>
      </c>
      <c r="D292">
        <v>11</v>
      </c>
      <c r="E292">
        <v>1</v>
      </c>
      <c r="F292">
        <v>1.6818180981404978</v>
      </c>
      <c r="G292" s="1" t="str">
        <f t="shared" si="45"/>
        <v/>
      </c>
      <c r="H292" s="1" t="str">
        <f t="shared" si="46"/>
        <v/>
      </c>
      <c r="I292" s="1" t="str">
        <f t="shared" si="47"/>
        <v/>
      </c>
      <c r="J292" s="1" t="str">
        <f t="shared" si="48"/>
        <v/>
      </c>
      <c r="K292" s="1" t="str">
        <f t="shared" si="49"/>
        <v/>
      </c>
      <c r="L292" s="1">
        <f t="shared" si="50"/>
        <v>1</v>
      </c>
    </row>
    <row r="293" spans="1:12">
      <c r="A293" t="s">
        <v>247</v>
      </c>
      <c r="B293">
        <v>9</v>
      </c>
      <c r="C293" t="str">
        <f t="shared" si="44"/>
        <v>test.GeoEngine_9_</v>
      </c>
      <c r="D293">
        <v>1</v>
      </c>
      <c r="E293">
        <v>5.4328358208955221E-2</v>
      </c>
      <c r="F293">
        <v>0.65517240844233071</v>
      </c>
      <c r="G293" s="1" t="str">
        <f t="shared" si="45"/>
        <v/>
      </c>
      <c r="H293" s="1" t="str">
        <f t="shared" si="46"/>
        <v/>
      </c>
      <c r="I293" s="1" t="str">
        <f t="shared" si="47"/>
        <v/>
      </c>
      <c r="J293" s="1">
        <f t="shared" si="48"/>
        <v>5.4328358208955221E-2</v>
      </c>
      <c r="K293" s="1" t="str">
        <f t="shared" si="49"/>
        <v/>
      </c>
      <c r="L293" s="1" t="str">
        <f t="shared" si="50"/>
        <v/>
      </c>
    </row>
    <row r="294" spans="1:12">
      <c r="A294" t="s">
        <v>247</v>
      </c>
      <c r="B294">
        <v>9</v>
      </c>
      <c r="C294" t="str">
        <f t="shared" si="44"/>
        <v>test.GeoEngine_9_</v>
      </c>
      <c r="D294">
        <v>2</v>
      </c>
      <c r="E294">
        <v>0.16417910447761194</v>
      </c>
      <c r="F294">
        <v>0.75862068073721789</v>
      </c>
      <c r="G294" s="1" t="str">
        <f t="shared" si="45"/>
        <v/>
      </c>
      <c r="H294" s="1" t="str">
        <f t="shared" si="46"/>
        <v/>
      </c>
      <c r="I294" s="1" t="str">
        <f t="shared" si="47"/>
        <v/>
      </c>
      <c r="J294" s="1">
        <f t="shared" si="48"/>
        <v>0.16417910447761194</v>
      </c>
      <c r="K294" s="1" t="str">
        <f t="shared" si="49"/>
        <v/>
      </c>
      <c r="L294" s="1" t="str">
        <f t="shared" si="50"/>
        <v/>
      </c>
    </row>
    <row r="295" spans="1:12">
      <c r="A295" t="s">
        <v>247</v>
      </c>
      <c r="B295">
        <v>9</v>
      </c>
      <c r="C295" t="str">
        <f t="shared" si="44"/>
        <v>test.GeoEngine_9_</v>
      </c>
      <c r="D295">
        <v>3</v>
      </c>
      <c r="E295">
        <v>0.52955223880597013</v>
      </c>
      <c r="F295">
        <v>1.1379309952437588</v>
      </c>
      <c r="G295" s="1" t="str">
        <f t="shared" si="45"/>
        <v/>
      </c>
      <c r="H295" s="1" t="str">
        <f t="shared" si="46"/>
        <v/>
      </c>
      <c r="I295" s="1" t="str">
        <f t="shared" si="47"/>
        <v/>
      </c>
      <c r="J295" s="1" t="str">
        <f t="shared" si="48"/>
        <v/>
      </c>
      <c r="K295" s="1" t="str">
        <f t="shared" si="49"/>
        <v/>
      </c>
      <c r="L295" s="1">
        <f t="shared" si="50"/>
        <v>0.52955223880597013</v>
      </c>
    </row>
    <row r="296" spans="1:12">
      <c r="A296" t="s">
        <v>247</v>
      </c>
      <c r="B296">
        <v>9</v>
      </c>
      <c r="C296" t="str">
        <f t="shared" si="44"/>
        <v>test.GeoEngine_9_</v>
      </c>
      <c r="D296">
        <v>4</v>
      </c>
      <c r="E296">
        <v>0.52955223880597013</v>
      </c>
      <c r="F296">
        <v>1.2068965445897744</v>
      </c>
      <c r="G296" s="1" t="str">
        <f t="shared" si="45"/>
        <v/>
      </c>
      <c r="H296" s="1" t="str">
        <f t="shared" si="46"/>
        <v/>
      </c>
      <c r="I296" s="1" t="str">
        <f t="shared" si="47"/>
        <v/>
      </c>
      <c r="J296" s="1" t="str">
        <f t="shared" si="48"/>
        <v/>
      </c>
      <c r="K296" s="1" t="str">
        <f t="shared" si="49"/>
        <v/>
      </c>
      <c r="L296" s="1">
        <f t="shared" si="50"/>
        <v>0.52955223880597013</v>
      </c>
    </row>
    <row r="297" spans="1:12">
      <c r="A297" t="s">
        <v>247</v>
      </c>
      <c r="B297">
        <v>9</v>
      </c>
      <c r="C297" t="str">
        <f t="shared" si="44"/>
        <v>test.GeoEngine_9_</v>
      </c>
      <c r="D297">
        <v>5</v>
      </c>
      <c r="E297">
        <v>1</v>
      </c>
      <c r="F297">
        <v>1.6206896337693228</v>
      </c>
      <c r="G297" s="1" t="str">
        <f t="shared" si="45"/>
        <v/>
      </c>
      <c r="H297" s="1" t="str">
        <f t="shared" si="46"/>
        <v/>
      </c>
      <c r="I297" s="1" t="str">
        <f t="shared" si="47"/>
        <v/>
      </c>
      <c r="J297" s="1" t="str">
        <f t="shared" si="48"/>
        <v/>
      </c>
      <c r="K297" s="1" t="str">
        <f t="shared" si="49"/>
        <v/>
      </c>
      <c r="L297" s="1">
        <f t="shared" si="50"/>
        <v>1</v>
      </c>
    </row>
    <row r="298" spans="1:12">
      <c r="A298" t="s">
        <v>247</v>
      </c>
      <c r="B298">
        <v>10</v>
      </c>
      <c r="C298" t="str">
        <f t="shared" si="44"/>
        <v>test.GeoEngine_10_</v>
      </c>
      <c r="D298">
        <v>1</v>
      </c>
      <c r="E298">
        <v>0.14184397163120568</v>
      </c>
      <c r="F298">
        <v>1.3749999953125001</v>
      </c>
      <c r="G298" s="1" t="str">
        <f t="shared" si="45"/>
        <v/>
      </c>
      <c r="H298" s="1" t="str">
        <f t="shared" si="46"/>
        <v/>
      </c>
      <c r="I298" s="1" t="str">
        <f t="shared" si="47"/>
        <v/>
      </c>
      <c r="J298" s="1" t="str">
        <f t="shared" si="48"/>
        <v/>
      </c>
      <c r="K298" s="1" t="str">
        <f t="shared" si="49"/>
        <v/>
      </c>
      <c r="L298" s="1">
        <f t="shared" si="50"/>
        <v>0.14184397163120568</v>
      </c>
    </row>
    <row r="299" spans="1:12">
      <c r="A299" t="s">
        <v>247</v>
      </c>
      <c r="B299">
        <v>10</v>
      </c>
      <c r="C299" t="str">
        <f t="shared" si="44"/>
        <v>test.GeoEngine_10_</v>
      </c>
      <c r="D299">
        <v>2</v>
      </c>
      <c r="E299">
        <v>0.51773049645390068</v>
      </c>
      <c r="F299">
        <v>1.4999999812500002</v>
      </c>
      <c r="G299" s="1" t="str">
        <f t="shared" si="45"/>
        <v/>
      </c>
      <c r="H299" s="1" t="str">
        <f t="shared" si="46"/>
        <v/>
      </c>
      <c r="I299" s="1" t="str">
        <f t="shared" si="47"/>
        <v/>
      </c>
      <c r="J299" s="1" t="str">
        <f t="shared" si="48"/>
        <v/>
      </c>
      <c r="K299" s="1" t="str">
        <f t="shared" si="49"/>
        <v/>
      </c>
      <c r="L299" s="1">
        <f t="shared" si="50"/>
        <v>0.51773049645390068</v>
      </c>
    </row>
    <row r="300" spans="1:12">
      <c r="A300" t="s">
        <v>247</v>
      </c>
      <c r="B300">
        <v>10</v>
      </c>
      <c r="C300" t="str">
        <f t="shared" si="44"/>
        <v>test.GeoEngine_10_</v>
      </c>
      <c r="D300">
        <v>3</v>
      </c>
      <c r="E300">
        <v>0.56028368794326244</v>
      </c>
      <c r="F300">
        <v>1.5000374812495314</v>
      </c>
      <c r="G300" s="1" t="str">
        <f t="shared" si="45"/>
        <v/>
      </c>
      <c r="H300" s="1" t="str">
        <f t="shared" si="46"/>
        <v/>
      </c>
      <c r="I300" s="1" t="str">
        <f t="shared" si="47"/>
        <v/>
      </c>
      <c r="J300" s="1" t="str">
        <f t="shared" si="48"/>
        <v/>
      </c>
      <c r="K300" s="1" t="str">
        <f t="shared" si="49"/>
        <v/>
      </c>
      <c r="L300" s="1">
        <f t="shared" si="50"/>
        <v>0.56028368794326244</v>
      </c>
    </row>
    <row r="301" spans="1:12">
      <c r="A301" t="s">
        <v>247</v>
      </c>
      <c r="B301">
        <v>10</v>
      </c>
      <c r="C301" t="str">
        <f t="shared" si="44"/>
        <v>test.GeoEngine_10_</v>
      </c>
      <c r="D301">
        <v>4</v>
      </c>
      <c r="E301">
        <v>0.6028368794326241</v>
      </c>
      <c r="F301">
        <v>1.5000750937490615</v>
      </c>
      <c r="G301" s="1" t="str">
        <f t="shared" si="45"/>
        <v/>
      </c>
      <c r="H301" s="1" t="str">
        <f t="shared" si="46"/>
        <v/>
      </c>
      <c r="I301" s="1" t="str">
        <f t="shared" si="47"/>
        <v/>
      </c>
      <c r="J301" s="1" t="str">
        <f t="shared" si="48"/>
        <v/>
      </c>
      <c r="K301" s="1" t="str">
        <f t="shared" si="49"/>
        <v/>
      </c>
      <c r="L301" s="1">
        <f t="shared" si="50"/>
        <v>0.6028368794326241</v>
      </c>
    </row>
    <row r="302" spans="1:12">
      <c r="A302" t="s">
        <v>247</v>
      </c>
      <c r="B302">
        <v>10</v>
      </c>
      <c r="C302" t="str">
        <f t="shared" si="44"/>
        <v>test.GeoEngine_10_</v>
      </c>
      <c r="D302">
        <v>5</v>
      </c>
      <c r="E302">
        <v>0.72340425531914898</v>
      </c>
      <c r="F302">
        <v>1.5001126312485924</v>
      </c>
      <c r="G302" s="1" t="str">
        <f t="shared" si="45"/>
        <v/>
      </c>
      <c r="H302" s="1" t="str">
        <f t="shared" si="46"/>
        <v/>
      </c>
      <c r="I302" s="1" t="str">
        <f t="shared" si="47"/>
        <v/>
      </c>
      <c r="J302" s="1" t="str">
        <f t="shared" si="48"/>
        <v/>
      </c>
      <c r="K302" s="1" t="str">
        <f t="shared" si="49"/>
        <v/>
      </c>
      <c r="L302" s="1">
        <f t="shared" si="50"/>
        <v>0.72340425531914898</v>
      </c>
    </row>
    <row r="303" spans="1:12">
      <c r="A303" t="s">
        <v>247</v>
      </c>
      <c r="B303">
        <v>10</v>
      </c>
      <c r="C303" t="str">
        <f t="shared" si="44"/>
        <v>test.GeoEngine_10_</v>
      </c>
      <c r="D303">
        <v>6</v>
      </c>
      <c r="E303">
        <v>0.77304964539007093</v>
      </c>
      <c r="F303">
        <v>1.6250000421874995</v>
      </c>
      <c r="G303" s="1" t="str">
        <f t="shared" si="45"/>
        <v/>
      </c>
      <c r="H303" s="1" t="str">
        <f t="shared" si="46"/>
        <v/>
      </c>
      <c r="I303" s="1" t="str">
        <f t="shared" si="47"/>
        <v/>
      </c>
      <c r="J303" s="1" t="str">
        <f t="shared" si="48"/>
        <v/>
      </c>
      <c r="K303" s="1" t="str">
        <f t="shared" si="49"/>
        <v/>
      </c>
      <c r="L303" s="1">
        <f t="shared" si="50"/>
        <v>0.77304964539007093</v>
      </c>
    </row>
    <row r="304" spans="1:12">
      <c r="A304" t="s">
        <v>247</v>
      </c>
      <c r="B304">
        <v>10</v>
      </c>
      <c r="C304" t="str">
        <f t="shared" si="44"/>
        <v>test.GeoEngine_10_</v>
      </c>
      <c r="D304">
        <v>7</v>
      </c>
      <c r="E304">
        <v>0.86524822695035464</v>
      </c>
      <c r="F304">
        <v>1.6250375796870304</v>
      </c>
      <c r="G304" s="1" t="str">
        <f t="shared" si="45"/>
        <v/>
      </c>
      <c r="H304" s="1" t="str">
        <f t="shared" si="46"/>
        <v/>
      </c>
      <c r="I304" s="1" t="str">
        <f t="shared" si="47"/>
        <v/>
      </c>
      <c r="J304" s="1" t="str">
        <f t="shared" si="48"/>
        <v/>
      </c>
      <c r="K304" s="1" t="str">
        <f t="shared" si="49"/>
        <v/>
      </c>
      <c r="L304" s="1">
        <f t="shared" si="50"/>
        <v>0.86524822695035464</v>
      </c>
    </row>
    <row r="305" spans="1:12">
      <c r="A305" t="s">
        <v>247</v>
      </c>
      <c r="B305">
        <v>10</v>
      </c>
      <c r="C305" t="str">
        <f t="shared" si="44"/>
        <v>test.GeoEngine_10_</v>
      </c>
      <c r="D305">
        <v>8</v>
      </c>
      <c r="E305">
        <v>0.86524822695035464</v>
      </c>
      <c r="F305">
        <v>1.6250752296865598</v>
      </c>
      <c r="G305" s="1" t="str">
        <f t="shared" si="45"/>
        <v/>
      </c>
      <c r="H305" s="1" t="str">
        <f t="shared" si="46"/>
        <v/>
      </c>
      <c r="I305" s="1" t="str">
        <f t="shared" si="47"/>
        <v/>
      </c>
      <c r="J305" s="1" t="str">
        <f t="shared" si="48"/>
        <v/>
      </c>
      <c r="K305" s="1" t="str">
        <f t="shared" si="49"/>
        <v/>
      </c>
      <c r="L305" s="1">
        <f t="shared" si="50"/>
        <v>0.86524822695035464</v>
      </c>
    </row>
    <row r="306" spans="1:12">
      <c r="A306" t="s">
        <v>247</v>
      </c>
      <c r="B306">
        <v>10</v>
      </c>
      <c r="C306" t="str">
        <f t="shared" si="44"/>
        <v>test.GeoEngine_10_</v>
      </c>
      <c r="D306">
        <v>9</v>
      </c>
      <c r="E306">
        <v>0.92907801418439717</v>
      </c>
      <c r="F306">
        <v>1.625112729686091</v>
      </c>
      <c r="G306" s="1" t="str">
        <f t="shared" si="45"/>
        <v/>
      </c>
      <c r="H306" s="1" t="str">
        <f t="shared" si="46"/>
        <v/>
      </c>
      <c r="I306" s="1" t="str">
        <f t="shared" si="47"/>
        <v/>
      </c>
      <c r="J306" s="1" t="str">
        <f t="shared" si="48"/>
        <v/>
      </c>
      <c r="K306" s="1" t="str">
        <f t="shared" si="49"/>
        <v/>
      </c>
      <c r="L306" s="1">
        <f t="shared" si="50"/>
        <v>0.92907801418439717</v>
      </c>
    </row>
    <row r="307" spans="1:12">
      <c r="A307" t="s">
        <v>247</v>
      </c>
      <c r="B307">
        <v>10</v>
      </c>
      <c r="C307" t="str">
        <f t="shared" si="44"/>
        <v>test.GeoEngine_10_</v>
      </c>
      <c r="D307">
        <v>10</v>
      </c>
      <c r="E307">
        <v>0.95035460992907805</v>
      </c>
      <c r="F307">
        <v>1.6251502296856222</v>
      </c>
      <c r="G307" s="1" t="str">
        <f t="shared" si="45"/>
        <v/>
      </c>
      <c r="H307" s="1" t="str">
        <f t="shared" si="46"/>
        <v/>
      </c>
      <c r="I307" s="1" t="str">
        <f t="shared" si="47"/>
        <v/>
      </c>
      <c r="J307" s="1" t="str">
        <f t="shared" si="48"/>
        <v/>
      </c>
      <c r="K307" s="1" t="str">
        <f t="shared" si="49"/>
        <v/>
      </c>
      <c r="L307" s="1">
        <f t="shared" si="50"/>
        <v>0.95035460992907805</v>
      </c>
    </row>
    <row r="308" spans="1:12">
      <c r="A308" t="s">
        <v>247</v>
      </c>
      <c r="B308">
        <v>10</v>
      </c>
      <c r="C308" t="str">
        <f t="shared" si="44"/>
        <v>test.GeoEngine_10_</v>
      </c>
      <c r="D308">
        <v>11</v>
      </c>
      <c r="E308">
        <v>0.95035460992907805</v>
      </c>
      <c r="F308">
        <v>1.6251877296851536</v>
      </c>
      <c r="G308" s="1" t="str">
        <f t="shared" si="45"/>
        <v/>
      </c>
      <c r="H308" s="1" t="str">
        <f t="shared" si="46"/>
        <v/>
      </c>
      <c r="I308" s="1" t="str">
        <f t="shared" si="47"/>
        <v/>
      </c>
      <c r="J308" s="1" t="str">
        <f t="shared" si="48"/>
        <v/>
      </c>
      <c r="K308" s="1" t="str">
        <f t="shared" si="49"/>
        <v/>
      </c>
      <c r="L308" s="1">
        <f t="shared" si="50"/>
        <v>0.95035460992907805</v>
      </c>
    </row>
    <row r="309" spans="1:12">
      <c r="A309" t="s">
        <v>247</v>
      </c>
      <c r="B309">
        <v>10</v>
      </c>
      <c r="C309" t="str">
        <f t="shared" si="44"/>
        <v>test.GeoEngine_10_</v>
      </c>
      <c r="D309">
        <v>12</v>
      </c>
      <c r="E309">
        <v>0.95035460992907805</v>
      </c>
      <c r="F309">
        <v>1.6252253421846834</v>
      </c>
      <c r="G309" s="1" t="str">
        <f t="shared" si="45"/>
        <v/>
      </c>
      <c r="H309" s="1" t="str">
        <f t="shared" si="46"/>
        <v/>
      </c>
      <c r="I309" s="1" t="str">
        <f t="shared" si="47"/>
        <v/>
      </c>
      <c r="J309" s="1" t="str">
        <f t="shared" si="48"/>
        <v/>
      </c>
      <c r="K309" s="1" t="str">
        <f t="shared" si="49"/>
        <v/>
      </c>
      <c r="L309" s="1">
        <f t="shared" si="50"/>
        <v>0.95035460992907805</v>
      </c>
    </row>
    <row r="310" spans="1:12">
      <c r="A310" t="s">
        <v>247</v>
      </c>
      <c r="B310">
        <v>10</v>
      </c>
      <c r="C310" t="str">
        <f t="shared" si="44"/>
        <v>test.GeoEngine_10_</v>
      </c>
      <c r="D310">
        <v>13</v>
      </c>
      <c r="E310">
        <v>0.95035460992907805</v>
      </c>
      <c r="F310">
        <v>1.749999915625001</v>
      </c>
      <c r="G310" s="1" t="str">
        <f t="shared" si="45"/>
        <v/>
      </c>
      <c r="H310" s="1" t="str">
        <f t="shared" si="46"/>
        <v/>
      </c>
      <c r="I310" s="1" t="str">
        <f t="shared" si="47"/>
        <v/>
      </c>
      <c r="J310" s="1" t="str">
        <f t="shared" si="48"/>
        <v/>
      </c>
      <c r="K310" s="1" t="str">
        <f t="shared" si="49"/>
        <v/>
      </c>
      <c r="L310" s="1">
        <f t="shared" si="50"/>
        <v>0.95035460992907805</v>
      </c>
    </row>
    <row r="311" spans="1:12">
      <c r="A311" t="s">
        <v>247</v>
      </c>
      <c r="B311">
        <v>10</v>
      </c>
      <c r="C311" t="str">
        <f t="shared" si="44"/>
        <v>test.GeoEngine_10_</v>
      </c>
      <c r="D311">
        <v>14</v>
      </c>
      <c r="E311">
        <v>0.97163120567375882</v>
      </c>
      <c r="F311">
        <v>1.7500374531245317</v>
      </c>
      <c r="G311" s="1" t="str">
        <f t="shared" si="45"/>
        <v/>
      </c>
      <c r="H311" s="1" t="str">
        <f t="shared" si="46"/>
        <v/>
      </c>
      <c r="I311" s="1" t="str">
        <f t="shared" si="47"/>
        <v/>
      </c>
      <c r="J311" s="1" t="str">
        <f t="shared" si="48"/>
        <v/>
      </c>
      <c r="K311" s="1" t="str">
        <f t="shared" si="49"/>
        <v/>
      </c>
      <c r="L311" s="1">
        <f t="shared" si="50"/>
        <v>0.97163120567375882</v>
      </c>
    </row>
    <row r="312" spans="1:12">
      <c r="A312" t="s">
        <v>247</v>
      </c>
      <c r="B312">
        <v>10</v>
      </c>
      <c r="C312" t="str">
        <f t="shared" si="44"/>
        <v>test.GeoEngine_10_</v>
      </c>
      <c r="D312">
        <v>15</v>
      </c>
      <c r="E312">
        <v>0.97163120567375882</v>
      </c>
      <c r="F312">
        <v>1.7500751031240611</v>
      </c>
      <c r="G312" s="1" t="str">
        <f t="shared" si="45"/>
        <v/>
      </c>
      <c r="H312" s="1" t="str">
        <f t="shared" si="46"/>
        <v/>
      </c>
      <c r="I312" s="1" t="str">
        <f t="shared" si="47"/>
        <v/>
      </c>
      <c r="J312" s="1" t="str">
        <f t="shared" si="48"/>
        <v/>
      </c>
      <c r="K312" s="1" t="str">
        <f t="shared" si="49"/>
        <v/>
      </c>
      <c r="L312" s="1">
        <f t="shared" si="50"/>
        <v>0.97163120567375882</v>
      </c>
    </row>
    <row r="313" spans="1:12">
      <c r="A313" t="s">
        <v>247</v>
      </c>
      <c r="B313">
        <v>10</v>
      </c>
      <c r="C313" t="str">
        <f t="shared" si="44"/>
        <v>test.GeoEngine_10_</v>
      </c>
      <c r="D313">
        <v>16</v>
      </c>
      <c r="E313">
        <v>0.97163120567375882</v>
      </c>
      <c r="F313">
        <v>1.7501126031235923</v>
      </c>
      <c r="G313" s="1" t="str">
        <f t="shared" si="45"/>
        <v/>
      </c>
      <c r="H313" s="1" t="str">
        <f t="shared" si="46"/>
        <v/>
      </c>
      <c r="I313" s="1" t="str">
        <f t="shared" si="47"/>
        <v/>
      </c>
      <c r="J313" s="1" t="str">
        <f t="shared" si="48"/>
        <v/>
      </c>
      <c r="K313" s="1" t="str">
        <f t="shared" si="49"/>
        <v/>
      </c>
      <c r="L313" s="1">
        <f t="shared" si="50"/>
        <v>0.97163120567375882</v>
      </c>
    </row>
    <row r="314" spans="1:12">
      <c r="A314" t="s">
        <v>247</v>
      </c>
      <c r="B314">
        <v>10</v>
      </c>
      <c r="C314" t="str">
        <f t="shared" si="44"/>
        <v>test.GeoEngine_10_</v>
      </c>
      <c r="D314">
        <v>17</v>
      </c>
      <c r="E314">
        <v>0.97163120567375882</v>
      </c>
      <c r="F314">
        <v>1.7501501031231239</v>
      </c>
      <c r="G314" s="1" t="str">
        <f t="shared" si="45"/>
        <v/>
      </c>
      <c r="H314" s="1" t="str">
        <f t="shared" si="46"/>
        <v/>
      </c>
      <c r="I314" s="1" t="str">
        <f t="shared" si="47"/>
        <v/>
      </c>
      <c r="J314" s="1" t="str">
        <f t="shared" si="48"/>
        <v/>
      </c>
      <c r="K314" s="1" t="str">
        <f t="shared" si="49"/>
        <v/>
      </c>
      <c r="L314" s="1">
        <f t="shared" si="50"/>
        <v>0.97163120567375882</v>
      </c>
    </row>
    <row r="315" spans="1:12">
      <c r="A315" t="s">
        <v>247</v>
      </c>
      <c r="B315">
        <v>10</v>
      </c>
      <c r="C315" t="str">
        <f t="shared" si="44"/>
        <v>test.GeoEngine_10_</v>
      </c>
      <c r="D315">
        <v>18</v>
      </c>
      <c r="E315">
        <v>0.98581560283687941</v>
      </c>
      <c r="F315">
        <v>1.7501876031226551</v>
      </c>
      <c r="G315" s="1" t="str">
        <f t="shared" si="45"/>
        <v/>
      </c>
      <c r="H315" s="1" t="str">
        <f t="shared" si="46"/>
        <v/>
      </c>
      <c r="I315" s="1" t="str">
        <f t="shared" si="47"/>
        <v/>
      </c>
      <c r="J315" s="1" t="str">
        <f t="shared" si="48"/>
        <v/>
      </c>
      <c r="K315" s="1" t="str">
        <f t="shared" si="49"/>
        <v/>
      </c>
      <c r="L315" s="1">
        <f t="shared" si="50"/>
        <v>0.98581560283687941</v>
      </c>
    </row>
    <row r="316" spans="1:12">
      <c r="A316" t="s">
        <v>247</v>
      </c>
      <c r="B316">
        <v>10</v>
      </c>
      <c r="C316" t="str">
        <f t="shared" si="44"/>
        <v>test.GeoEngine_10_</v>
      </c>
      <c r="D316">
        <v>19</v>
      </c>
      <c r="E316">
        <v>0.99290780141843971</v>
      </c>
      <c r="F316">
        <v>1.7502252156221847</v>
      </c>
      <c r="G316" s="1" t="str">
        <f t="shared" si="45"/>
        <v/>
      </c>
      <c r="H316" s="1" t="str">
        <f t="shared" si="46"/>
        <v/>
      </c>
      <c r="I316" s="1" t="str">
        <f t="shared" si="47"/>
        <v/>
      </c>
      <c r="J316" s="1" t="str">
        <f t="shared" si="48"/>
        <v/>
      </c>
      <c r="K316" s="1" t="str">
        <f t="shared" si="49"/>
        <v/>
      </c>
      <c r="L316" s="1">
        <f t="shared" si="50"/>
        <v>0.99290780141843971</v>
      </c>
    </row>
    <row r="317" spans="1:12">
      <c r="A317" t="s">
        <v>247</v>
      </c>
      <c r="B317">
        <v>10</v>
      </c>
      <c r="C317" t="str">
        <f t="shared" si="44"/>
        <v>test.GeoEngine_10_</v>
      </c>
      <c r="D317">
        <v>20</v>
      </c>
      <c r="E317">
        <v>0.99290780141843971</v>
      </c>
      <c r="F317">
        <v>1.8749999765625003</v>
      </c>
      <c r="G317" s="1" t="str">
        <f t="shared" si="45"/>
        <v/>
      </c>
      <c r="H317" s="1" t="str">
        <f t="shared" si="46"/>
        <v/>
      </c>
      <c r="I317" s="1" t="str">
        <f t="shared" si="47"/>
        <v/>
      </c>
      <c r="J317" s="1" t="str">
        <f t="shared" si="48"/>
        <v/>
      </c>
      <c r="K317" s="1" t="str">
        <f t="shared" si="49"/>
        <v/>
      </c>
      <c r="L317" s="1">
        <f t="shared" si="50"/>
        <v>0.99290780141843971</v>
      </c>
    </row>
    <row r="318" spans="1:12">
      <c r="A318" t="s">
        <v>247</v>
      </c>
      <c r="B318">
        <v>10</v>
      </c>
      <c r="C318" t="str">
        <f t="shared" si="44"/>
        <v>test.GeoEngine_10_</v>
      </c>
      <c r="D318">
        <v>21</v>
      </c>
      <c r="E318">
        <v>0.99290780141843971</v>
      </c>
      <c r="F318">
        <v>1.8750374765620315</v>
      </c>
      <c r="G318" s="1" t="str">
        <f t="shared" si="45"/>
        <v/>
      </c>
      <c r="H318" s="1" t="str">
        <f t="shared" si="46"/>
        <v/>
      </c>
      <c r="I318" s="1" t="str">
        <f t="shared" si="47"/>
        <v/>
      </c>
      <c r="J318" s="1" t="str">
        <f t="shared" si="48"/>
        <v/>
      </c>
      <c r="K318" s="1" t="str">
        <f t="shared" si="49"/>
        <v/>
      </c>
      <c r="L318" s="1">
        <f t="shared" si="50"/>
        <v>0.99290780141843971</v>
      </c>
    </row>
    <row r="319" spans="1:12">
      <c r="A319" t="s">
        <v>247</v>
      </c>
      <c r="B319">
        <v>10</v>
      </c>
      <c r="C319" t="str">
        <f t="shared" si="44"/>
        <v>test.GeoEngine_10_</v>
      </c>
      <c r="D319">
        <v>22</v>
      </c>
      <c r="E319">
        <v>0.99290780141843971</v>
      </c>
      <c r="F319">
        <v>1.8750750890615615</v>
      </c>
      <c r="G319" s="1" t="str">
        <f t="shared" si="45"/>
        <v/>
      </c>
      <c r="H319" s="1" t="str">
        <f t="shared" si="46"/>
        <v/>
      </c>
      <c r="I319" s="1" t="str">
        <f t="shared" si="47"/>
        <v/>
      </c>
      <c r="J319" s="1" t="str">
        <f t="shared" si="48"/>
        <v/>
      </c>
      <c r="K319" s="1" t="str">
        <f t="shared" si="49"/>
        <v/>
      </c>
      <c r="L319" s="1">
        <f t="shared" si="50"/>
        <v>0.99290780141843971</v>
      </c>
    </row>
    <row r="320" spans="1:12">
      <c r="A320" t="s">
        <v>247</v>
      </c>
      <c r="B320">
        <v>10</v>
      </c>
      <c r="C320" t="str">
        <f t="shared" si="44"/>
        <v>test.GeoEngine_10_</v>
      </c>
      <c r="D320">
        <v>23</v>
      </c>
      <c r="E320">
        <v>1</v>
      </c>
      <c r="F320">
        <v>1.8751126265610925</v>
      </c>
      <c r="G320" s="1" t="str">
        <f t="shared" si="45"/>
        <v/>
      </c>
      <c r="H320" s="1" t="str">
        <f t="shared" si="46"/>
        <v/>
      </c>
      <c r="I320" s="1" t="str">
        <f t="shared" si="47"/>
        <v/>
      </c>
      <c r="J320" s="1" t="str">
        <f t="shared" si="48"/>
        <v/>
      </c>
      <c r="K320" s="1" t="str">
        <f t="shared" si="49"/>
        <v/>
      </c>
      <c r="L320" s="1">
        <f t="shared" si="50"/>
        <v>1</v>
      </c>
    </row>
    <row r="321" spans="1:12">
      <c r="A321" t="s">
        <v>247</v>
      </c>
      <c r="B321">
        <v>10</v>
      </c>
      <c r="C321" t="str">
        <f t="shared" si="44"/>
        <v>test.GeoEngine_10_</v>
      </c>
      <c r="D321">
        <v>24</v>
      </c>
      <c r="E321">
        <v>1</v>
      </c>
      <c r="F321">
        <v>1.8751501640606227</v>
      </c>
      <c r="G321" s="1" t="str">
        <f t="shared" si="45"/>
        <v/>
      </c>
      <c r="H321" s="1" t="str">
        <f t="shared" si="46"/>
        <v/>
      </c>
      <c r="I321" s="1" t="str">
        <f t="shared" si="47"/>
        <v/>
      </c>
      <c r="J321" s="1" t="str">
        <f t="shared" si="48"/>
        <v/>
      </c>
      <c r="K321" s="1" t="str">
        <f t="shared" si="49"/>
        <v/>
      </c>
      <c r="L321" s="1">
        <f t="shared" si="50"/>
        <v>1</v>
      </c>
    </row>
    <row r="322" spans="1:12">
      <c r="A322" t="s">
        <v>247</v>
      </c>
      <c r="B322">
        <v>10</v>
      </c>
      <c r="C322" t="str">
        <f t="shared" si="44"/>
        <v>test.GeoEngine_10_</v>
      </c>
      <c r="D322">
        <v>25</v>
      </c>
      <c r="E322">
        <v>1</v>
      </c>
      <c r="F322">
        <v>1.8751877390601532</v>
      </c>
      <c r="G322" s="1" t="str">
        <f t="shared" si="45"/>
        <v/>
      </c>
      <c r="H322" s="1" t="str">
        <f t="shared" si="46"/>
        <v/>
      </c>
      <c r="I322" s="1" t="str">
        <f t="shared" si="47"/>
        <v/>
      </c>
      <c r="J322" s="1" t="str">
        <f t="shared" si="48"/>
        <v/>
      </c>
      <c r="K322" s="1" t="str">
        <f t="shared" si="49"/>
        <v/>
      </c>
      <c r="L322" s="1">
        <f t="shared" si="50"/>
        <v>1</v>
      </c>
    </row>
    <row r="323" spans="1:12">
      <c r="A323" t="s">
        <v>247</v>
      </c>
      <c r="B323">
        <v>10</v>
      </c>
      <c r="C323" t="str">
        <f t="shared" ref="C323:C386" si="51">CONCATENATE(A323, "_",B323,"_")</f>
        <v>test.GeoEngine_10_</v>
      </c>
      <c r="D323">
        <v>26</v>
      </c>
      <c r="E323">
        <v>1</v>
      </c>
      <c r="F323">
        <v>1.8752253515596831</v>
      </c>
      <c r="G323" s="1" t="str">
        <f t="shared" ref="G323:G386" si="52">IF($F323 &lt;= 0.2,$E323,"")</f>
        <v/>
      </c>
      <c r="H323" s="1" t="str">
        <f t="shared" ref="H323:H386" si="53">IF(AND($F323 &gt; 0.2,$F323 &lt;= 0.4),$E323,"")</f>
        <v/>
      </c>
      <c r="I323" s="1" t="str">
        <f t="shared" ref="I323:I386" si="54">IF(AND($F323 &gt; 0.4,$F323 &lt;= 0.6),$E323,"")</f>
        <v/>
      </c>
      <c r="J323" s="1" t="str">
        <f t="shared" ref="J323:J386" si="55">IF(AND($F323 &gt; 0.6,$F323 &lt;= 0.8),$E323,"")</f>
        <v/>
      </c>
      <c r="K323" s="1" t="str">
        <f t="shared" ref="K323:K386" si="56">IF(AND($F323 &gt; 0.8, $F323 &lt;=1.1),$E323,"")</f>
        <v/>
      </c>
      <c r="L323" s="1">
        <f t="shared" ref="L323:L386" si="57">IF(AND($F323 &gt; 1.1),$E323,"")</f>
        <v>1</v>
      </c>
    </row>
    <row r="324" spans="1:12">
      <c r="A324" t="s">
        <v>247</v>
      </c>
      <c r="B324">
        <v>10</v>
      </c>
      <c r="C324" t="str">
        <f t="shared" si="51"/>
        <v>test.GeoEngine_10_</v>
      </c>
      <c r="D324">
        <v>27</v>
      </c>
      <c r="E324">
        <v>1</v>
      </c>
      <c r="F324">
        <v>1.8752628515592145</v>
      </c>
      <c r="G324" s="1" t="str">
        <f t="shared" si="52"/>
        <v/>
      </c>
      <c r="H324" s="1" t="str">
        <f t="shared" si="53"/>
        <v/>
      </c>
      <c r="I324" s="1" t="str">
        <f t="shared" si="54"/>
        <v/>
      </c>
      <c r="J324" s="1" t="str">
        <f t="shared" si="55"/>
        <v/>
      </c>
      <c r="K324" s="1" t="str">
        <f t="shared" si="56"/>
        <v/>
      </c>
      <c r="L324" s="1">
        <f t="shared" si="57"/>
        <v>1</v>
      </c>
    </row>
    <row r="325" spans="1:12">
      <c r="A325" t="s">
        <v>247</v>
      </c>
      <c r="B325">
        <v>10</v>
      </c>
      <c r="C325" t="str">
        <f t="shared" si="51"/>
        <v>test.GeoEngine_10_</v>
      </c>
      <c r="D325">
        <v>28</v>
      </c>
      <c r="E325">
        <v>1</v>
      </c>
      <c r="F325">
        <v>1.8753003515587456</v>
      </c>
      <c r="G325" s="1" t="str">
        <f t="shared" si="52"/>
        <v/>
      </c>
      <c r="H325" s="1" t="str">
        <f t="shared" si="53"/>
        <v/>
      </c>
      <c r="I325" s="1" t="str">
        <f t="shared" si="54"/>
        <v/>
      </c>
      <c r="J325" s="1" t="str">
        <f t="shared" si="55"/>
        <v/>
      </c>
      <c r="K325" s="1" t="str">
        <f t="shared" si="56"/>
        <v/>
      </c>
      <c r="L325" s="1">
        <f t="shared" si="57"/>
        <v>1</v>
      </c>
    </row>
    <row r="326" spans="1:12">
      <c r="A326" t="s">
        <v>247</v>
      </c>
      <c r="B326">
        <v>10</v>
      </c>
      <c r="C326" t="str">
        <f t="shared" si="51"/>
        <v>test.GeoEngine_10_</v>
      </c>
      <c r="D326">
        <v>29</v>
      </c>
      <c r="E326">
        <v>1</v>
      </c>
      <c r="F326">
        <v>1.8753378515582768</v>
      </c>
      <c r="G326" s="1" t="str">
        <f t="shared" si="52"/>
        <v/>
      </c>
      <c r="H326" s="1" t="str">
        <f t="shared" si="53"/>
        <v/>
      </c>
      <c r="I326" s="1" t="str">
        <f t="shared" si="54"/>
        <v/>
      </c>
      <c r="J326" s="1" t="str">
        <f t="shared" si="55"/>
        <v/>
      </c>
      <c r="K326" s="1" t="str">
        <f t="shared" si="56"/>
        <v/>
      </c>
      <c r="L326" s="1">
        <f t="shared" si="57"/>
        <v>1</v>
      </c>
    </row>
    <row r="327" spans="1:12">
      <c r="A327" t="s">
        <v>247</v>
      </c>
      <c r="B327">
        <v>10</v>
      </c>
      <c r="C327" t="str">
        <f t="shared" si="51"/>
        <v>test.GeoEngine_10_</v>
      </c>
      <c r="D327">
        <v>30</v>
      </c>
      <c r="E327">
        <v>1</v>
      </c>
      <c r="F327">
        <v>2.0000000374999996</v>
      </c>
      <c r="G327" s="1" t="str">
        <f t="shared" si="52"/>
        <v/>
      </c>
      <c r="H327" s="1" t="str">
        <f t="shared" si="53"/>
        <v/>
      </c>
      <c r="I327" s="1" t="str">
        <f t="shared" si="54"/>
        <v/>
      </c>
      <c r="J327" s="1" t="str">
        <f t="shared" si="55"/>
        <v/>
      </c>
      <c r="K327" s="1" t="str">
        <f t="shared" si="56"/>
        <v/>
      </c>
      <c r="L327" s="1">
        <f t="shared" si="57"/>
        <v>1</v>
      </c>
    </row>
    <row r="328" spans="1:12">
      <c r="A328" t="s">
        <v>247</v>
      </c>
      <c r="B328">
        <v>10</v>
      </c>
      <c r="C328" t="str">
        <f t="shared" si="51"/>
        <v>test.GeoEngine_10_</v>
      </c>
      <c r="D328">
        <v>31</v>
      </c>
      <c r="E328">
        <v>1</v>
      </c>
      <c r="F328">
        <v>2.0000375749995305</v>
      </c>
      <c r="G328" s="1" t="str">
        <f t="shared" si="52"/>
        <v/>
      </c>
      <c r="H328" s="1" t="str">
        <f t="shared" si="53"/>
        <v/>
      </c>
      <c r="I328" s="1" t="str">
        <f t="shared" si="54"/>
        <v/>
      </c>
      <c r="J328" s="1" t="str">
        <f t="shared" si="55"/>
        <v/>
      </c>
      <c r="K328" s="1" t="str">
        <f t="shared" si="56"/>
        <v/>
      </c>
      <c r="L328" s="1">
        <f t="shared" si="57"/>
        <v>1</v>
      </c>
    </row>
    <row r="329" spans="1:12">
      <c r="A329" t="s">
        <v>247</v>
      </c>
      <c r="B329">
        <v>10</v>
      </c>
      <c r="C329" t="str">
        <f t="shared" si="51"/>
        <v>test.GeoEngine_10_</v>
      </c>
      <c r="D329">
        <v>32</v>
      </c>
      <c r="E329">
        <v>1</v>
      </c>
      <c r="F329">
        <v>2.3750000328124998</v>
      </c>
      <c r="G329" s="1" t="str">
        <f t="shared" si="52"/>
        <v/>
      </c>
      <c r="H329" s="1" t="str">
        <f t="shared" si="53"/>
        <v/>
      </c>
      <c r="I329" s="1" t="str">
        <f t="shared" si="54"/>
        <v/>
      </c>
      <c r="J329" s="1" t="str">
        <f t="shared" si="55"/>
        <v/>
      </c>
      <c r="K329" s="1" t="str">
        <f t="shared" si="56"/>
        <v/>
      </c>
      <c r="L329" s="1">
        <f t="shared" si="57"/>
        <v>1</v>
      </c>
    </row>
    <row r="330" spans="1:12">
      <c r="A330" t="s">
        <v>294</v>
      </c>
      <c r="B330">
        <v>3</v>
      </c>
      <c r="C330" t="str">
        <f t="shared" si="51"/>
        <v>test.FastBlurFilter_3_</v>
      </c>
      <c r="D330">
        <v>1</v>
      </c>
      <c r="E330">
        <v>0.96505438555889844</v>
      </c>
      <c r="F330">
        <v>1.6273292018054857</v>
      </c>
      <c r="G330" s="1" t="str">
        <f t="shared" si="52"/>
        <v/>
      </c>
      <c r="H330" s="1" t="str">
        <f t="shared" si="53"/>
        <v/>
      </c>
      <c r="I330" s="1" t="str">
        <f t="shared" si="54"/>
        <v/>
      </c>
      <c r="J330" s="1" t="str">
        <f t="shared" si="55"/>
        <v/>
      </c>
      <c r="K330" s="1" t="str">
        <f t="shared" si="56"/>
        <v/>
      </c>
      <c r="L330" s="1">
        <f t="shared" si="57"/>
        <v>0.96505438555889844</v>
      </c>
    </row>
    <row r="331" spans="1:12">
      <c r="A331" t="s">
        <v>294</v>
      </c>
      <c r="B331">
        <v>3</v>
      </c>
      <c r="C331" t="str">
        <f t="shared" si="51"/>
        <v>test.FastBlurFilter_3_</v>
      </c>
      <c r="D331">
        <v>2</v>
      </c>
      <c r="E331">
        <v>1</v>
      </c>
      <c r="F331">
        <v>1.6273310465259365</v>
      </c>
      <c r="G331" s="1" t="str">
        <f t="shared" si="52"/>
        <v/>
      </c>
      <c r="H331" s="1" t="str">
        <f t="shared" si="53"/>
        <v/>
      </c>
      <c r="I331" s="1" t="str">
        <f t="shared" si="54"/>
        <v/>
      </c>
      <c r="J331" s="1" t="str">
        <f t="shared" si="55"/>
        <v/>
      </c>
      <c r="K331" s="1" t="str">
        <f t="shared" si="56"/>
        <v/>
      </c>
      <c r="L331" s="1">
        <f t="shared" si="57"/>
        <v>1</v>
      </c>
    </row>
    <row r="332" spans="1:12">
      <c r="A332" t="s">
        <v>295</v>
      </c>
      <c r="B332">
        <v>2</v>
      </c>
      <c r="C332" t="str">
        <f t="shared" si="51"/>
        <v>test.ImageData_2_</v>
      </c>
      <c r="D332">
        <v>1</v>
      </c>
      <c r="E332">
        <v>0.11391843971631206</v>
      </c>
      <c r="F332">
        <v>1.037037</v>
      </c>
      <c r="G332" s="1" t="str">
        <f t="shared" si="52"/>
        <v/>
      </c>
      <c r="H332" s="1" t="str">
        <f t="shared" si="53"/>
        <v/>
      </c>
      <c r="I332" s="1" t="str">
        <f t="shared" si="54"/>
        <v/>
      </c>
      <c r="J332" s="1" t="str">
        <f t="shared" si="55"/>
        <v/>
      </c>
      <c r="K332" s="1">
        <f t="shared" si="56"/>
        <v>0.11391843971631206</v>
      </c>
      <c r="L332" s="1" t="str">
        <f t="shared" si="57"/>
        <v/>
      </c>
    </row>
    <row r="333" spans="1:12">
      <c r="A333" t="s">
        <v>295</v>
      </c>
      <c r="B333">
        <v>2</v>
      </c>
      <c r="C333" t="str">
        <f t="shared" si="51"/>
        <v>test.ImageData_2_</v>
      </c>
      <c r="D333">
        <v>2</v>
      </c>
      <c r="E333">
        <v>0.21631205673758866</v>
      </c>
      <c r="F333">
        <v>1.1111111111111112</v>
      </c>
      <c r="G333" s="1" t="str">
        <f t="shared" si="52"/>
        <v/>
      </c>
      <c r="H333" s="1" t="str">
        <f t="shared" si="53"/>
        <v/>
      </c>
      <c r="I333" s="1" t="str">
        <f t="shared" si="54"/>
        <v/>
      </c>
      <c r="J333" s="1" t="str">
        <f t="shared" si="55"/>
        <v/>
      </c>
      <c r="K333" s="1" t="str">
        <f t="shared" si="56"/>
        <v/>
      </c>
      <c r="L333" s="1">
        <f t="shared" si="57"/>
        <v>0.21631205673758866</v>
      </c>
    </row>
    <row r="334" spans="1:12">
      <c r="A334" t="s">
        <v>295</v>
      </c>
      <c r="B334">
        <v>2</v>
      </c>
      <c r="C334" t="str">
        <f t="shared" si="51"/>
        <v>test.ImageData_2_</v>
      </c>
      <c r="D334">
        <v>3</v>
      </c>
      <c r="E334">
        <v>0.24911347517730498</v>
      </c>
      <c r="F334">
        <v>1.1111222222222221</v>
      </c>
      <c r="G334" s="1" t="str">
        <f t="shared" si="52"/>
        <v/>
      </c>
      <c r="H334" s="1" t="str">
        <f t="shared" si="53"/>
        <v/>
      </c>
      <c r="I334" s="1" t="str">
        <f t="shared" si="54"/>
        <v/>
      </c>
      <c r="J334" s="1" t="str">
        <f t="shared" si="55"/>
        <v/>
      </c>
      <c r="K334" s="1" t="str">
        <f t="shared" si="56"/>
        <v/>
      </c>
      <c r="L334" s="1">
        <f t="shared" si="57"/>
        <v>0.24911347517730498</v>
      </c>
    </row>
    <row r="335" spans="1:12">
      <c r="A335" t="s">
        <v>295</v>
      </c>
      <c r="B335">
        <v>2</v>
      </c>
      <c r="C335" t="str">
        <f t="shared" si="51"/>
        <v>test.ImageData_2_</v>
      </c>
      <c r="D335">
        <v>4</v>
      </c>
      <c r="E335">
        <v>0.33865248226950356</v>
      </c>
      <c r="F335">
        <v>1.1481481111111111</v>
      </c>
      <c r="G335" s="1" t="str">
        <f t="shared" si="52"/>
        <v/>
      </c>
      <c r="H335" s="1" t="str">
        <f t="shared" si="53"/>
        <v/>
      </c>
      <c r="I335" s="1" t="str">
        <f t="shared" si="54"/>
        <v/>
      </c>
      <c r="J335" s="1" t="str">
        <f t="shared" si="55"/>
        <v/>
      </c>
      <c r="K335" s="1" t="str">
        <f t="shared" si="56"/>
        <v/>
      </c>
      <c r="L335" s="1">
        <f t="shared" si="57"/>
        <v>0.33865248226950356</v>
      </c>
    </row>
    <row r="336" spans="1:12">
      <c r="A336" t="s">
        <v>295</v>
      </c>
      <c r="B336">
        <v>2</v>
      </c>
      <c r="C336" t="str">
        <f t="shared" si="51"/>
        <v>test.ImageData_2_</v>
      </c>
      <c r="D336">
        <v>5</v>
      </c>
      <c r="E336">
        <v>0.44237588652482268</v>
      </c>
      <c r="F336">
        <v>1.1851852222222223</v>
      </c>
      <c r="G336" s="1" t="str">
        <f t="shared" si="52"/>
        <v/>
      </c>
      <c r="H336" s="1" t="str">
        <f t="shared" si="53"/>
        <v/>
      </c>
      <c r="I336" s="1" t="str">
        <f t="shared" si="54"/>
        <v/>
      </c>
      <c r="J336" s="1" t="str">
        <f t="shared" si="55"/>
        <v/>
      </c>
      <c r="K336" s="1" t="str">
        <f t="shared" si="56"/>
        <v/>
      </c>
      <c r="L336" s="1">
        <f t="shared" si="57"/>
        <v>0.44237588652482268</v>
      </c>
    </row>
    <row r="337" spans="1:12">
      <c r="A337" t="s">
        <v>295</v>
      </c>
      <c r="B337">
        <v>2</v>
      </c>
      <c r="C337" t="str">
        <f t="shared" si="51"/>
        <v>test.ImageData_2_</v>
      </c>
      <c r="D337">
        <v>6</v>
      </c>
      <c r="E337">
        <v>0.55718085106382975</v>
      </c>
      <c r="F337">
        <v>1.2222222222222223</v>
      </c>
      <c r="G337" s="1" t="str">
        <f t="shared" si="52"/>
        <v/>
      </c>
      <c r="H337" s="1" t="str">
        <f t="shared" si="53"/>
        <v/>
      </c>
      <c r="I337" s="1" t="str">
        <f t="shared" si="54"/>
        <v/>
      </c>
      <c r="J337" s="1" t="str">
        <f t="shared" si="55"/>
        <v/>
      </c>
      <c r="K337" s="1" t="str">
        <f t="shared" si="56"/>
        <v/>
      </c>
      <c r="L337" s="1">
        <f t="shared" si="57"/>
        <v>0.55718085106382975</v>
      </c>
    </row>
    <row r="338" spans="1:12">
      <c r="A338" t="s">
        <v>295</v>
      </c>
      <c r="B338">
        <v>2</v>
      </c>
      <c r="C338" t="str">
        <f t="shared" si="51"/>
        <v>test.ImageData_2_</v>
      </c>
      <c r="D338">
        <v>7</v>
      </c>
      <c r="E338">
        <v>0.73404255319148937</v>
      </c>
      <c r="F338">
        <v>1.2592592222222221</v>
      </c>
      <c r="G338" s="1" t="str">
        <f t="shared" si="52"/>
        <v/>
      </c>
      <c r="H338" s="1" t="str">
        <f t="shared" si="53"/>
        <v/>
      </c>
      <c r="I338" s="1" t="str">
        <f t="shared" si="54"/>
        <v/>
      </c>
      <c r="J338" s="1" t="str">
        <f t="shared" si="55"/>
        <v/>
      </c>
      <c r="K338" s="1" t="str">
        <f t="shared" si="56"/>
        <v/>
      </c>
      <c r="L338" s="1">
        <f t="shared" si="57"/>
        <v>0.73404255319148937</v>
      </c>
    </row>
    <row r="339" spans="1:12">
      <c r="A339" t="s">
        <v>295</v>
      </c>
      <c r="B339">
        <v>2</v>
      </c>
      <c r="C339" t="str">
        <f t="shared" si="51"/>
        <v>test.ImageData_2_</v>
      </c>
      <c r="D339">
        <v>8</v>
      </c>
      <c r="E339">
        <v>1</v>
      </c>
      <c r="F339">
        <v>1.3333333333333333</v>
      </c>
      <c r="G339" s="1" t="str">
        <f t="shared" si="52"/>
        <v/>
      </c>
      <c r="H339" s="1" t="str">
        <f t="shared" si="53"/>
        <v/>
      </c>
      <c r="I339" s="1" t="str">
        <f t="shared" si="54"/>
        <v/>
      </c>
      <c r="J339" s="1" t="str">
        <f t="shared" si="55"/>
        <v/>
      </c>
      <c r="K339" s="1" t="str">
        <f t="shared" si="56"/>
        <v/>
      </c>
      <c r="L339" s="1">
        <f t="shared" si="57"/>
        <v>1</v>
      </c>
    </row>
    <row r="340" spans="1:12">
      <c r="A340" t="s">
        <v>295</v>
      </c>
      <c r="B340">
        <v>3</v>
      </c>
      <c r="C340" t="str">
        <f t="shared" si="51"/>
        <v>test.ImageData_3_</v>
      </c>
      <c r="D340">
        <v>1</v>
      </c>
      <c r="E340">
        <v>5.1291721666980955E-2</v>
      </c>
      <c r="F340">
        <v>0.23684209903047107</v>
      </c>
      <c r="G340" s="1" t="str">
        <f t="shared" si="52"/>
        <v/>
      </c>
      <c r="H340" s="1">
        <f t="shared" si="53"/>
        <v>5.1291721666980955E-2</v>
      </c>
      <c r="I340" s="1" t="str">
        <f t="shared" si="54"/>
        <v/>
      </c>
      <c r="J340" s="1" t="str">
        <f t="shared" si="55"/>
        <v/>
      </c>
      <c r="K340" s="1" t="str">
        <f t="shared" si="56"/>
        <v/>
      </c>
      <c r="L340" s="1" t="str">
        <f t="shared" si="57"/>
        <v/>
      </c>
    </row>
    <row r="341" spans="1:12">
      <c r="A341" t="s">
        <v>295</v>
      </c>
      <c r="B341">
        <v>3</v>
      </c>
      <c r="C341" t="str">
        <f t="shared" si="51"/>
        <v>test.ImageData_3_</v>
      </c>
      <c r="D341">
        <v>2</v>
      </c>
      <c r="E341">
        <v>9.6360550631717889E-2</v>
      </c>
      <c r="F341">
        <v>0.25657894061634368</v>
      </c>
      <c r="G341" s="1" t="str">
        <f t="shared" si="52"/>
        <v/>
      </c>
      <c r="H341" s="1">
        <f t="shared" si="53"/>
        <v>9.6360550631717889E-2</v>
      </c>
      <c r="I341" s="1" t="str">
        <f t="shared" si="54"/>
        <v/>
      </c>
      <c r="J341" s="1" t="str">
        <f t="shared" si="55"/>
        <v/>
      </c>
      <c r="K341" s="1" t="str">
        <f t="shared" si="56"/>
        <v/>
      </c>
      <c r="L341" s="1" t="str">
        <f t="shared" si="57"/>
        <v/>
      </c>
    </row>
    <row r="342" spans="1:12">
      <c r="A342" t="s">
        <v>295</v>
      </c>
      <c r="B342">
        <v>3</v>
      </c>
      <c r="C342" t="str">
        <f t="shared" si="51"/>
        <v>test.ImageData_3_</v>
      </c>
      <c r="D342">
        <v>3</v>
      </c>
      <c r="E342">
        <v>0.18197246841410522</v>
      </c>
      <c r="F342">
        <v>0.32236842572714669</v>
      </c>
      <c r="G342" s="1" t="str">
        <f t="shared" si="52"/>
        <v/>
      </c>
      <c r="H342" s="1">
        <f t="shared" si="53"/>
        <v>0.18197246841410522</v>
      </c>
      <c r="I342" s="1" t="str">
        <f t="shared" si="54"/>
        <v/>
      </c>
      <c r="J342" s="1" t="str">
        <f t="shared" si="55"/>
        <v/>
      </c>
      <c r="K342" s="1" t="str">
        <f t="shared" si="56"/>
        <v/>
      </c>
      <c r="L342" s="1" t="str">
        <f t="shared" si="57"/>
        <v/>
      </c>
    </row>
    <row r="343" spans="1:12">
      <c r="A343" t="s">
        <v>295</v>
      </c>
      <c r="B343">
        <v>3</v>
      </c>
      <c r="C343" t="str">
        <f t="shared" si="51"/>
        <v>test.ImageData_3_</v>
      </c>
      <c r="D343">
        <v>4</v>
      </c>
      <c r="E343">
        <v>0.41957382613614935</v>
      </c>
      <c r="F343">
        <v>0.53289472281855987</v>
      </c>
      <c r="G343" s="1" t="str">
        <f t="shared" si="52"/>
        <v/>
      </c>
      <c r="H343" s="1" t="str">
        <f t="shared" si="53"/>
        <v/>
      </c>
      <c r="I343" s="1">
        <f t="shared" si="54"/>
        <v>0.41957382613614935</v>
      </c>
      <c r="J343" s="1" t="str">
        <f t="shared" si="55"/>
        <v/>
      </c>
      <c r="K343" s="1" t="str">
        <f t="shared" si="56"/>
        <v/>
      </c>
      <c r="L343" s="1" t="str">
        <f t="shared" si="57"/>
        <v/>
      </c>
    </row>
    <row r="344" spans="1:12">
      <c r="A344" t="s">
        <v>295</v>
      </c>
      <c r="B344">
        <v>3</v>
      </c>
      <c r="C344" t="str">
        <f t="shared" si="51"/>
        <v>test.ImageData_3_</v>
      </c>
      <c r="D344">
        <v>5</v>
      </c>
      <c r="E344">
        <v>0.6360550631717895</v>
      </c>
      <c r="F344">
        <v>0.59868420792936294</v>
      </c>
      <c r="G344" s="1" t="str">
        <f t="shared" si="52"/>
        <v/>
      </c>
      <c r="H344" s="1" t="str">
        <f t="shared" si="53"/>
        <v/>
      </c>
      <c r="I344" s="1">
        <f t="shared" si="54"/>
        <v>0.6360550631717895</v>
      </c>
      <c r="J344" s="1" t="str">
        <f t="shared" si="55"/>
        <v/>
      </c>
      <c r="K344" s="1" t="str">
        <f t="shared" si="56"/>
        <v/>
      </c>
      <c r="L344" s="1" t="str">
        <f t="shared" si="57"/>
        <v/>
      </c>
    </row>
    <row r="345" spans="1:12">
      <c r="A345" t="s">
        <v>295</v>
      </c>
      <c r="B345">
        <v>3</v>
      </c>
      <c r="C345" t="str">
        <f t="shared" si="51"/>
        <v>test.ImageData_3_</v>
      </c>
      <c r="D345">
        <v>6</v>
      </c>
      <c r="E345">
        <v>1</v>
      </c>
      <c r="F345">
        <v>0.7236842177977838</v>
      </c>
      <c r="G345" s="1" t="str">
        <f t="shared" si="52"/>
        <v/>
      </c>
      <c r="H345" s="1" t="str">
        <f t="shared" si="53"/>
        <v/>
      </c>
      <c r="I345" s="1" t="str">
        <f t="shared" si="54"/>
        <v/>
      </c>
      <c r="J345" s="1">
        <f t="shared" si="55"/>
        <v>1</v>
      </c>
      <c r="K345" s="1" t="str">
        <f t="shared" si="56"/>
        <v/>
      </c>
      <c r="L345" s="1" t="str">
        <f t="shared" si="57"/>
        <v/>
      </c>
    </row>
    <row r="346" spans="1:12">
      <c r="A346" t="s">
        <v>295</v>
      </c>
      <c r="B346">
        <v>4</v>
      </c>
      <c r="C346" t="str">
        <f t="shared" si="51"/>
        <v>test.ImageData_4_</v>
      </c>
      <c r="D346">
        <v>1</v>
      </c>
      <c r="E346">
        <v>3.1631585068031168E-2</v>
      </c>
      <c r="F346">
        <v>0.24698796378284252</v>
      </c>
      <c r="G346" s="1" t="str">
        <f t="shared" si="52"/>
        <v/>
      </c>
      <c r="H346" s="1">
        <f t="shared" si="53"/>
        <v>3.1631585068031168E-2</v>
      </c>
      <c r="I346" s="1" t="str">
        <f t="shared" si="54"/>
        <v/>
      </c>
      <c r="J346" s="1" t="str">
        <f t="shared" si="55"/>
        <v/>
      </c>
      <c r="K346" s="1" t="str">
        <f t="shared" si="56"/>
        <v/>
      </c>
      <c r="L346" s="1" t="str">
        <f t="shared" si="57"/>
        <v/>
      </c>
    </row>
    <row r="347" spans="1:12">
      <c r="A347" t="s">
        <v>295</v>
      </c>
      <c r="B347">
        <v>4</v>
      </c>
      <c r="C347" t="str">
        <f t="shared" si="51"/>
        <v>test.ImageData_4_</v>
      </c>
      <c r="D347">
        <v>2</v>
      </c>
      <c r="E347">
        <v>6.3263170136062336E-2</v>
      </c>
      <c r="F347">
        <v>0.26506025337494588</v>
      </c>
      <c r="G347" s="1" t="str">
        <f t="shared" si="52"/>
        <v/>
      </c>
      <c r="H347" s="1">
        <f t="shared" si="53"/>
        <v>6.3263170136062336E-2</v>
      </c>
      <c r="I347" s="1" t="str">
        <f t="shared" si="54"/>
        <v/>
      </c>
      <c r="J347" s="1" t="str">
        <f t="shared" si="55"/>
        <v/>
      </c>
      <c r="K347" s="1" t="str">
        <f t="shared" si="56"/>
        <v/>
      </c>
      <c r="L347" s="1" t="str">
        <f t="shared" si="57"/>
        <v/>
      </c>
    </row>
    <row r="348" spans="1:12">
      <c r="A348" t="s">
        <v>295</v>
      </c>
      <c r="B348">
        <v>4</v>
      </c>
      <c r="C348" t="str">
        <f t="shared" si="51"/>
        <v>test.ImageData_4_</v>
      </c>
      <c r="D348">
        <v>3</v>
      </c>
      <c r="E348">
        <v>0.15664612164205141</v>
      </c>
      <c r="F348">
        <v>0.32530121265786055</v>
      </c>
      <c r="G348" s="1" t="str">
        <f t="shared" si="52"/>
        <v/>
      </c>
      <c r="H348" s="1">
        <f t="shared" si="53"/>
        <v>0.15664612164205141</v>
      </c>
      <c r="I348" s="1" t="str">
        <f t="shared" si="54"/>
        <v/>
      </c>
      <c r="J348" s="1" t="str">
        <f t="shared" si="55"/>
        <v/>
      </c>
      <c r="K348" s="1" t="str">
        <f t="shared" si="56"/>
        <v/>
      </c>
      <c r="L348" s="1" t="str">
        <f t="shared" si="57"/>
        <v/>
      </c>
    </row>
    <row r="349" spans="1:12">
      <c r="A349" t="s">
        <v>295</v>
      </c>
      <c r="B349">
        <v>4</v>
      </c>
      <c r="C349" t="str">
        <f t="shared" si="51"/>
        <v>test.ImageData_4_</v>
      </c>
      <c r="D349">
        <v>4</v>
      </c>
      <c r="E349">
        <v>0.21200139551110594</v>
      </c>
      <c r="F349">
        <v>0.3373493936710697</v>
      </c>
      <c r="G349" s="1" t="str">
        <f t="shared" si="52"/>
        <v/>
      </c>
      <c r="H349" s="1">
        <f t="shared" si="53"/>
        <v>0.21200139551110594</v>
      </c>
      <c r="I349" s="1" t="str">
        <f t="shared" si="54"/>
        <v/>
      </c>
      <c r="J349" s="1" t="str">
        <f t="shared" si="55"/>
        <v/>
      </c>
      <c r="K349" s="1" t="str">
        <f t="shared" si="56"/>
        <v/>
      </c>
      <c r="L349" s="1" t="str">
        <f t="shared" si="57"/>
        <v/>
      </c>
    </row>
    <row r="350" spans="1:12">
      <c r="A350" t="s">
        <v>295</v>
      </c>
      <c r="B350">
        <v>4</v>
      </c>
      <c r="C350" t="str">
        <f t="shared" si="51"/>
        <v>test.ImageData_4_</v>
      </c>
      <c r="D350">
        <v>5</v>
      </c>
      <c r="E350">
        <v>0.34724968019537156</v>
      </c>
      <c r="F350">
        <v>0.41566266061837737</v>
      </c>
      <c r="G350" s="1" t="str">
        <f t="shared" si="52"/>
        <v/>
      </c>
      <c r="H350" s="1" t="str">
        <f t="shared" si="53"/>
        <v/>
      </c>
      <c r="I350" s="1">
        <f t="shared" si="54"/>
        <v>0.34724968019537156</v>
      </c>
      <c r="J350" s="1" t="str">
        <f t="shared" si="55"/>
        <v/>
      </c>
      <c r="K350" s="1" t="str">
        <f t="shared" si="56"/>
        <v/>
      </c>
      <c r="L350" s="1" t="str">
        <f t="shared" si="57"/>
        <v/>
      </c>
    </row>
    <row r="351" spans="1:12">
      <c r="A351" t="s">
        <v>295</v>
      </c>
      <c r="B351">
        <v>4</v>
      </c>
      <c r="C351" t="str">
        <f t="shared" si="51"/>
        <v>test.ImageData_4_</v>
      </c>
      <c r="D351">
        <v>6</v>
      </c>
      <c r="E351">
        <v>0.53948133503895801</v>
      </c>
      <c r="F351">
        <v>0.46987952939468747</v>
      </c>
      <c r="G351" s="1" t="str">
        <f t="shared" si="52"/>
        <v/>
      </c>
      <c r="H351" s="1" t="str">
        <f t="shared" si="53"/>
        <v/>
      </c>
      <c r="I351" s="1">
        <f t="shared" si="54"/>
        <v>0.53948133503895801</v>
      </c>
      <c r="J351" s="1" t="str">
        <f t="shared" si="55"/>
        <v/>
      </c>
      <c r="K351" s="1" t="str">
        <f t="shared" si="56"/>
        <v/>
      </c>
      <c r="L351" s="1" t="str">
        <f t="shared" si="57"/>
        <v/>
      </c>
    </row>
    <row r="352" spans="1:12">
      <c r="A352" t="s">
        <v>295</v>
      </c>
      <c r="B352">
        <v>4</v>
      </c>
      <c r="C352" t="str">
        <f t="shared" si="51"/>
        <v>test.ImageData_4_</v>
      </c>
      <c r="D352">
        <v>7</v>
      </c>
      <c r="E352">
        <v>0.68193976043726012</v>
      </c>
      <c r="F352">
        <v>0.48795181898679085</v>
      </c>
      <c r="G352" s="1" t="str">
        <f t="shared" si="52"/>
        <v/>
      </c>
      <c r="H352" s="1" t="str">
        <f t="shared" si="53"/>
        <v/>
      </c>
      <c r="I352" s="1">
        <f t="shared" si="54"/>
        <v>0.68193976043726012</v>
      </c>
      <c r="J352" s="1" t="str">
        <f t="shared" si="55"/>
        <v/>
      </c>
      <c r="K352" s="1" t="str">
        <f t="shared" si="56"/>
        <v/>
      </c>
      <c r="L352" s="1" t="str">
        <f t="shared" si="57"/>
        <v/>
      </c>
    </row>
    <row r="353" spans="1:12">
      <c r="A353" t="s">
        <v>295</v>
      </c>
      <c r="B353">
        <v>4</v>
      </c>
      <c r="C353" t="str">
        <f t="shared" si="51"/>
        <v>test.ImageData_4_</v>
      </c>
      <c r="D353">
        <v>8</v>
      </c>
      <c r="E353">
        <v>0.87056634492382834</v>
      </c>
      <c r="F353">
        <v>0.53614457918420677</v>
      </c>
      <c r="G353" s="1" t="str">
        <f t="shared" si="52"/>
        <v/>
      </c>
      <c r="H353" s="1" t="str">
        <f t="shared" si="53"/>
        <v/>
      </c>
      <c r="I353" s="1">
        <f t="shared" si="54"/>
        <v>0.87056634492382834</v>
      </c>
      <c r="J353" s="1" t="str">
        <f t="shared" si="55"/>
        <v/>
      </c>
      <c r="K353" s="1" t="str">
        <f t="shared" si="56"/>
        <v/>
      </c>
      <c r="L353" s="1" t="str">
        <f t="shared" si="57"/>
        <v/>
      </c>
    </row>
    <row r="354" spans="1:12">
      <c r="A354" t="s">
        <v>295</v>
      </c>
      <c r="B354">
        <v>4</v>
      </c>
      <c r="C354" t="str">
        <f t="shared" si="51"/>
        <v>test.ImageData_4_</v>
      </c>
      <c r="D354">
        <v>9</v>
      </c>
      <c r="E354">
        <v>1</v>
      </c>
      <c r="F354">
        <v>0.57228915836841343</v>
      </c>
      <c r="G354" s="1" t="str">
        <f t="shared" si="52"/>
        <v/>
      </c>
      <c r="H354" s="1" t="str">
        <f t="shared" si="53"/>
        <v/>
      </c>
      <c r="I354" s="1">
        <f t="shared" si="54"/>
        <v>1</v>
      </c>
      <c r="J354" s="1" t="str">
        <f t="shared" si="55"/>
        <v/>
      </c>
      <c r="K354" s="1" t="str">
        <f t="shared" si="56"/>
        <v/>
      </c>
      <c r="L354" s="1" t="str">
        <f t="shared" si="57"/>
        <v/>
      </c>
    </row>
    <row r="355" spans="1:12">
      <c r="A355" t="s">
        <v>295</v>
      </c>
      <c r="B355">
        <v>5</v>
      </c>
      <c r="C355" t="str">
        <f t="shared" si="51"/>
        <v>test.ImageData_5_</v>
      </c>
      <c r="D355">
        <v>1</v>
      </c>
      <c r="E355">
        <v>0.8614718614718615</v>
      </c>
      <c r="F355">
        <v>2.1111111666666669</v>
      </c>
      <c r="G355" s="1" t="str">
        <f t="shared" si="52"/>
        <v/>
      </c>
      <c r="H355" s="1" t="str">
        <f t="shared" si="53"/>
        <v/>
      </c>
      <c r="I355" s="1" t="str">
        <f t="shared" si="54"/>
        <v/>
      </c>
      <c r="J355" s="1" t="str">
        <f t="shared" si="55"/>
        <v/>
      </c>
      <c r="K355" s="1" t="str">
        <f t="shared" si="56"/>
        <v/>
      </c>
      <c r="L355" s="1">
        <f t="shared" si="57"/>
        <v>0.8614718614718615</v>
      </c>
    </row>
    <row r="356" spans="1:12">
      <c r="A356" t="s">
        <v>295</v>
      </c>
      <c r="B356">
        <v>5</v>
      </c>
      <c r="C356" t="str">
        <f t="shared" si="51"/>
        <v>test.ImageData_5_</v>
      </c>
      <c r="D356">
        <v>2</v>
      </c>
      <c r="E356">
        <v>0.8614718614718615</v>
      </c>
      <c r="F356">
        <v>2.1111445333333334</v>
      </c>
      <c r="G356" s="1" t="str">
        <f t="shared" si="52"/>
        <v/>
      </c>
      <c r="H356" s="1" t="str">
        <f t="shared" si="53"/>
        <v/>
      </c>
      <c r="I356" s="1" t="str">
        <f t="shared" si="54"/>
        <v/>
      </c>
      <c r="J356" s="1" t="str">
        <f t="shared" si="55"/>
        <v/>
      </c>
      <c r="K356" s="1" t="str">
        <f t="shared" si="56"/>
        <v/>
      </c>
      <c r="L356" s="1">
        <f t="shared" si="57"/>
        <v>0.8614718614718615</v>
      </c>
    </row>
    <row r="357" spans="1:12">
      <c r="A357" t="s">
        <v>295</v>
      </c>
      <c r="B357">
        <v>5</v>
      </c>
      <c r="C357" t="str">
        <f t="shared" si="51"/>
        <v>test.ImageData_5_</v>
      </c>
      <c r="D357">
        <v>3</v>
      </c>
      <c r="E357">
        <v>0.96536796536796532</v>
      </c>
      <c r="F357">
        <v>2.1111780000000002</v>
      </c>
      <c r="G357" s="1" t="str">
        <f t="shared" si="52"/>
        <v/>
      </c>
      <c r="H357" s="1" t="str">
        <f t="shared" si="53"/>
        <v/>
      </c>
      <c r="I357" s="1" t="str">
        <f t="shared" si="54"/>
        <v/>
      </c>
      <c r="J357" s="1" t="str">
        <f t="shared" si="55"/>
        <v/>
      </c>
      <c r="K357" s="1" t="str">
        <f t="shared" si="56"/>
        <v/>
      </c>
      <c r="L357" s="1">
        <f t="shared" si="57"/>
        <v>0.96536796536796532</v>
      </c>
    </row>
    <row r="358" spans="1:12">
      <c r="A358" t="s">
        <v>295</v>
      </c>
      <c r="B358">
        <v>5</v>
      </c>
      <c r="C358" t="str">
        <f t="shared" si="51"/>
        <v>test.ImageData_5_</v>
      </c>
      <c r="D358">
        <v>4</v>
      </c>
      <c r="E358">
        <v>1</v>
      </c>
      <c r="F358">
        <v>2.2222221666666666</v>
      </c>
      <c r="G358" s="1" t="str">
        <f t="shared" si="52"/>
        <v/>
      </c>
      <c r="H358" s="1" t="str">
        <f t="shared" si="53"/>
        <v/>
      </c>
      <c r="I358" s="1" t="str">
        <f t="shared" si="54"/>
        <v/>
      </c>
      <c r="J358" s="1" t="str">
        <f t="shared" si="55"/>
        <v/>
      </c>
      <c r="K358" s="1" t="str">
        <f t="shared" si="56"/>
        <v/>
      </c>
      <c r="L358" s="1">
        <f t="shared" si="57"/>
        <v>1</v>
      </c>
    </row>
    <row r="359" spans="1:12">
      <c r="A359" t="s">
        <v>295</v>
      </c>
      <c r="B359">
        <v>5</v>
      </c>
      <c r="C359" t="str">
        <f t="shared" si="51"/>
        <v>test.ImageData_5_</v>
      </c>
      <c r="D359">
        <v>5</v>
      </c>
      <c r="E359">
        <v>1</v>
      </c>
      <c r="F359">
        <v>2.3333333333333335</v>
      </c>
      <c r="G359" s="1" t="str">
        <f t="shared" si="52"/>
        <v/>
      </c>
      <c r="H359" s="1" t="str">
        <f t="shared" si="53"/>
        <v/>
      </c>
      <c r="I359" s="1" t="str">
        <f t="shared" si="54"/>
        <v/>
      </c>
      <c r="J359" s="1" t="str">
        <f t="shared" si="55"/>
        <v/>
      </c>
      <c r="K359" s="1" t="str">
        <f t="shared" si="56"/>
        <v/>
      </c>
      <c r="L359" s="1">
        <f t="shared" si="57"/>
        <v>1</v>
      </c>
    </row>
    <row r="360" spans="1:12">
      <c r="A360" t="s">
        <v>295</v>
      </c>
      <c r="B360">
        <v>5</v>
      </c>
      <c r="C360" t="str">
        <f t="shared" si="51"/>
        <v>test.ImageData_5_</v>
      </c>
      <c r="D360">
        <v>6</v>
      </c>
      <c r="E360">
        <v>1</v>
      </c>
      <c r="F360">
        <v>2.4444444999999999</v>
      </c>
      <c r="G360" s="1" t="str">
        <f t="shared" si="52"/>
        <v/>
      </c>
      <c r="H360" s="1" t="str">
        <f t="shared" si="53"/>
        <v/>
      </c>
      <c r="I360" s="1" t="str">
        <f t="shared" si="54"/>
        <v/>
      </c>
      <c r="J360" s="1" t="str">
        <f t="shared" si="55"/>
        <v/>
      </c>
      <c r="K360" s="1" t="str">
        <f t="shared" si="56"/>
        <v/>
      </c>
      <c r="L360" s="1">
        <f t="shared" si="57"/>
        <v>1</v>
      </c>
    </row>
    <row r="361" spans="1:12">
      <c r="A361" t="s">
        <v>295</v>
      </c>
      <c r="B361">
        <v>6</v>
      </c>
      <c r="C361" t="str">
        <f t="shared" si="51"/>
        <v>test.ImageData_6_</v>
      </c>
      <c r="D361">
        <v>1</v>
      </c>
      <c r="E361">
        <v>0.40729483282674772</v>
      </c>
      <c r="F361">
        <v>2</v>
      </c>
      <c r="G361" s="1" t="str">
        <f t="shared" si="52"/>
        <v/>
      </c>
      <c r="H361" s="1" t="str">
        <f t="shared" si="53"/>
        <v/>
      </c>
      <c r="I361" s="1" t="str">
        <f t="shared" si="54"/>
        <v/>
      </c>
      <c r="J361" s="1" t="str">
        <f t="shared" si="55"/>
        <v/>
      </c>
      <c r="K361" s="1" t="str">
        <f t="shared" si="56"/>
        <v/>
      </c>
      <c r="L361" s="1">
        <f t="shared" si="57"/>
        <v>0.40729483282674772</v>
      </c>
    </row>
    <row r="362" spans="1:12">
      <c r="A362" t="s">
        <v>295</v>
      </c>
      <c r="B362">
        <v>6</v>
      </c>
      <c r="C362" t="str">
        <f t="shared" si="51"/>
        <v>test.ImageData_6_</v>
      </c>
      <c r="D362">
        <v>2</v>
      </c>
      <c r="E362">
        <v>0.50759878419452886</v>
      </c>
      <c r="F362">
        <v>2.1111111666666669</v>
      </c>
      <c r="G362" s="1" t="str">
        <f t="shared" si="52"/>
        <v/>
      </c>
      <c r="H362" s="1" t="str">
        <f t="shared" si="53"/>
        <v/>
      </c>
      <c r="I362" s="1" t="str">
        <f t="shared" si="54"/>
        <v/>
      </c>
      <c r="J362" s="1" t="str">
        <f t="shared" si="55"/>
        <v/>
      </c>
      <c r="K362" s="1" t="str">
        <f t="shared" si="56"/>
        <v/>
      </c>
      <c r="L362" s="1">
        <f t="shared" si="57"/>
        <v>0.50759878419452886</v>
      </c>
    </row>
    <row r="363" spans="1:12">
      <c r="A363" t="s">
        <v>295</v>
      </c>
      <c r="B363">
        <v>6</v>
      </c>
      <c r="C363" t="str">
        <f t="shared" si="51"/>
        <v>test.ImageData_6_</v>
      </c>
      <c r="D363">
        <v>3</v>
      </c>
      <c r="E363">
        <v>0.50759878419452886</v>
      </c>
      <c r="F363">
        <v>2.1111445333333334</v>
      </c>
      <c r="G363" s="1" t="str">
        <f t="shared" si="52"/>
        <v/>
      </c>
      <c r="H363" s="1" t="str">
        <f t="shared" si="53"/>
        <v/>
      </c>
      <c r="I363" s="1" t="str">
        <f t="shared" si="54"/>
        <v/>
      </c>
      <c r="J363" s="1" t="str">
        <f t="shared" si="55"/>
        <v/>
      </c>
      <c r="K363" s="1" t="str">
        <f t="shared" si="56"/>
        <v/>
      </c>
      <c r="L363" s="1">
        <f t="shared" si="57"/>
        <v>0.50759878419452886</v>
      </c>
    </row>
    <row r="364" spans="1:12">
      <c r="A364" t="s">
        <v>295</v>
      </c>
      <c r="B364">
        <v>6</v>
      </c>
      <c r="C364" t="str">
        <f t="shared" si="51"/>
        <v>test.ImageData_6_</v>
      </c>
      <c r="D364">
        <v>4</v>
      </c>
      <c r="E364">
        <v>0.50759878419452886</v>
      </c>
      <c r="F364">
        <v>2.2222221666666666</v>
      </c>
      <c r="G364" s="1" t="str">
        <f t="shared" si="52"/>
        <v/>
      </c>
      <c r="H364" s="1" t="str">
        <f t="shared" si="53"/>
        <v/>
      </c>
      <c r="I364" s="1" t="str">
        <f t="shared" si="54"/>
        <v/>
      </c>
      <c r="J364" s="1" t="str">
        <f t="shared" si="55"/>
        <v/>
      </c>
      <c r="K364" s="1" t="str">
        <f t="shared" si="56"/>
        <v/>
      </c>
      <c r="L364" s="1">
        <f t="shared" si="57"/>
        <v>0.50759878419452886</v>
      </c>
    </row>
    <row r="365" spans="1:12">
      <c r="A365" t="s">
        <v>295</v>
      </c>
      <c r="B365">
        <v>6</v>
      </c>
      <c r="C365" t="str">
        <f t="shared" si="51"/>
        <v>test.ImageData_6_</v>
      </c>
      <c r="D365">
        <v>5</v>
      </c>
      <c r="E365">
        <v>0.54103343465045595</v>
      </c>
      <c r="F365">
        <v>2.2222555333333331</v>
      </c>
      <c r="G365" s="1" t="str">
        <f t="shared" si="52"/>
        <v/>
      </c>
      <c r="H365" s="1" t="str">
        <f t="shared" si="53"/>
        <v/>
      </c>
      <c r="I365" s="1" t="str">
        <f t="shared" si="54"/>
        <v/>
      </c>
      <c r="J365" s="1" t="str">
        <f t="shared" si="55"/>
        <v/>
      </c>
      <c r="K365" s="1" t="str">
        <f t="shared" si="56"/>
        <v/>
      </c>
      <c r="L365" s="1">
        <f t="shared" si="57"/>
        <v>0.54103343465045595</v>
      </c>
    </row>
    <row r="366" spans="1:12">
      <c r="A366" t="s">
        <v>295</v>
      </c>
      <c r="B366">
        <v>6</v>
      </c>
      <c r="C366" t="str">
        <f t="shared" si="51"/>
        <v>test.ImageData_6_</v>
      </c>
      <c r="D366">
        <v>6</v>
      </c>
      <c r="E366">
        <v>1</v>
      </c>
      <c r="F366">
        <v>2.3333333333333335</v>
      </c>
      <c r="G366" s="1" t="str">
        <f t="shared" si="52"/>
        <v/>
      </c>
      <c r="H366" s="1" t="str">
        <f t="shared" si="53"/>
        <v/>
      </c>
      <c r="I366" s="1" t="str">
        <f t="shared" si="54"/>
        <v/>
      </c>
      <c r="J366" s="1" t="str">
        <f t="shared" si="55"/>
        <v/>
      </c>
      <c r="K366" s="1" t="str">
        <f t="shared" si="56"/>
        <v/>
      </c>
      <c r="L366" s="1">
        <f t="shared" si="57"/>
        <v>1</v>
      </c>
    </row>
    <row r="367" spans="1:12">
      <c r="A367" t="s">
        <v>295</v>
      </c>
      <c r="B367">
        <v>6</v>
      </c>
      <c r="C367" t="str">
        <f t="shared" si="51"/>
        <v>test.ImageData_6_</v>
      </c>
      <c r="D367">
        <v>7</v>
      </c>
      <c r="E367">
        <v>1</v>
      </c>
      <c r="F367">
        <v>2.4444444999999999</v>
      </c>
      <c r="G367" s="1" t="str">
        <f t="shared" si="52"/>
        <v/>
      </c>
      <c r="H367" s="1" t="str">
        <f t="shared" si="53"/>
        <v/>
      </c>
      <c r="I367" s="1" t="str">
        <f t="shared" si="54"/>
        <v/>
      </c>
      <c r="J367" s="1" t="str">
        <f t="shared" si="55"/>
        <v/>
      </c>
      <c r="K367" s="1" t="str">
        <f t="shared" si="56"/>
        <v/>
      </c>
      <c r="L367" s="1">
        <f t="shared" si="57"/>
        <v>1</v>
      </c>
    </row>
    <row r="368" spans="1:12">
      <c r="A368" t="s">
        <v>295</v>
      </c>
      <c r="B368">
        <v>6</v>
      </c>
      <c r="C368" t="str">
        <f t="shared" si="51"/>
        <v>test.ImageData_6_</v>
      </c>
      <c r="D368">
        <v>8</v>
      </c>
      <c r="E368">
        <v>1</v>
      </c>
      <c r="F368">
        <v>2.5555555000000001</v>
      </c>
      <c r="G368" s="1" t="str">
        <f t="shared" si="52"/>
        <v/>
      </c>
      <c r="H368" s="1" t="str">
        <f t="shared" si="53"/>
        <v/>
      </c>
      <c r="I368" s="1" t="str">
        <f t="shared" si="54"/>
        <v/>
      </c>
      <c r="J368" s="1" t="str">
        <f t="shared" si="55"/>
        <v/>
      </c>
      <c r="K368" s="1" t="str">
        <f t="shared" si="56"/>
        <v/>
      </c>
      <c r="L368" s="1">
        <f t="shared" si="57"/>
        <v>1</v>
      </c>
    </row>
    <row r="369" spans="1:12">
      <c r="A369" t="s">
        <v>295</v>
      </c>
      <c r="B369">
        <v>6</v>
      </c>
      <c r="C369" t="str">
        <f t="shared" si="51"/>
        <v>test.ImageData_6_</v>
      </c>
      <c r="D369">
        <v>9</v>
      </c>
      <c r="E369">
        <v>1</v>
      </c>
      <c r="F369">
        <v>2.5555888666666666</v>
      </c>
      <c r="G369" s="1" t="str">
        <f t="shared" si="52"/>
        <v/>
      </c>
      <c r="H369" s="1" t="str">
        <f t="shared" si="53"/>
        <v/>
      </c>
      <c r="I369" s="1" t="str">
        <f t="shared" si="54"/>
        <v/>
      </c>
      <c r="J369" s="1" t="str">
        <f t="shared" si="55"/>
        <v/>
      </c>
      <c r="K369" s="1" t="str">
        <f t="shared" si="56"/>
        <v/>
      </c>
      <c r="L369" s="1">
        <f t="shared" si="57"/>
        <v>1</v>
      </c>
    </row>
    <row r="370" spans="1:12">
      <c r="A370" t="s">
        <v>295</v>
      </c>
      <c r="B370">
        <v>6</v>
      </c>
      <c r="C370" t="str">
        <f t="shared" si="51"/>
        <v>test.ImageData_6_</v>
      </c>
      <c r="D370">
        <v>10</v>
      </c>
      <c r="E370">
        <v>1</v>
      </c>
      <c r="F370">
        <v>2.6666666666666665</v>
      </c>
      <c r="G370" s="1" t="str">
        <f t="shared" si="52"/>
        <v/>
      </c>
      <c r="H370" s="1" t="str">
        <f t="shared" si="53"/>
        <v/>
      </c>
      <c r="I370" s="1" t="str">
        <f t="shared" si="54"/>
        <v/>
      </c>
      <c r="J370" s="1" t="str">
        <f t="shared" si="55"/>
        <v/>
      </c>
      <c r="K370" s="1" t="str">
        <f t="shared" si="56"/>
        <v/>
      </c>
      <c r="L370" s="1">
        <f t="shared" si="57"/>
        <v>1</v>
      </c>
    </row>
    <row r="371" spans="1:12">
      <c r="A371" t="s">
        <v>295</v>
      </c>
      <c r="B371">
        <v>7</v>
      </c>
      <c r="C371" t="str">
        <f t="shared" si="51"/>
        <v>test.ImageData_7_</v>
      </c>
      <c r="D371">
        <v>1</v>
      </c>
      <c r="E371">
        <v>8.7901394745377878E-2</v>
      </c>
      <c r="F371">
        <v>0.96874993847656432</v>
      </c>
      <c r="G371" s="1" t="str">
        <f t="shared" si="52"/>
        <v/>
      </c>
      <c r="H371" s="1" t="str">
        <f t="shared" si="53"/>
        <v/>
      </c>
      <c r="I371" s="1" t="str">
        <f t="shared" si="54"/>
        <v/>
      </c>
      <c r="J371" s="1" t="str">
        <f t="shared" si="55"/>
        <v/>
      </c>
      <c r="K371" s="1">
        <f t="shared" si="56"/>
        <v>8.7901394745377878E-2</v>
      </c>
      <c r="L371" s="1" t="str">
        <f t="shared" si="57"/>
        <v/>
      </c>
    </row>
    <row r="372" spans="1:12">
      <c r="A372" t="s">
        <v>295</v>
      </c>
      <c r="B372">
        <v>7</v>
      </c>
      <c r="C372" t="str">
        <f t="shared" si="51"/>
        <v>test.ImageData_7_</v>
      </c>
      <c r="D372">
        <v>2</v>
      </c>
      <c r="E372">
        <v>0.12390528705806034</v>
      </c>
      <c r="F372">
        <v>1</v>
      </c>
      <c r="G372" s="1" t="str">
        <f t="shared" si="52"/>
        <v/>
      </c>
      <c r="H372" s="1" t="str">
        <f t="shared" si="53"/>
        <v/>
      </c>
      <c r="I372" s="1" t="str">
        <f t="shared" si="54"/>
        <v/>
      </c>
      <c r="J372" s="1" t="str">
        <f t="shared" si="55"/>
        <v/>
      </c>
      <c r="K372" s="1">
        <f t="shared" si="56"/>
        <v>0.12390528705806034</v>
      </c>
      <c r="L372" s="1" t="str">
        <f t="shared" si="57"/>
        <v/>
      </c>
    </row>
    <row r="373" spans="1:12">
      <c r="A373" t="s">
        <v>295</v>
      </c>
      <c r="B373">
        <v>7</v>
      </c>
      <c r="C373" t="str">
        <f t="shared" si="51"/>
        <v>test.ImageData_7_</v>
      </c>
      <c r="D373">
        <v>3</v>
      </c>
      <c r="E373">
        <v>0.22737593253324684</v>
      </c>
      <c r="F373">
        <v>1.0312499677734386</v>
      </c>
      <c r="G373" s="1" t="str">
        <f t="shared" si="52"/>
        <v/>
      </c>
      <c r="H373" s="1" t="str">
        <f t="shared" si="53"/>
        <v/>
      </c>
      <c r="I373" s="1" t="str">
        <f t="shared" si="54"/>
        <v/>
      </c>
      <c r="J373" s="1" t="str">
        <f t="shared" si="55"/>
        <v/>
      </c>
      <c r="K373" s="1">
        <f t="shared" si="56"/>
        <v>0.22737593253324684</v>
      </c>
      <c r="L373" s="1" t="str">
        <f t="shared" si="57"/>
        <v/>
      </c>
    </row>
    <row r="374" spans="1:12">
      <c r="A374" t="s">
        <v>295</v>
      </c>
      <c r="B374">
        <v>7</v>
      </c>
      <c r="C374" t="str">
        <f t="shared" si="51"/>
        <v>test.ImageData_7_</v>
      </c>
      <c r="D374">
        <v>4</v>
      </c>
      <c r="E374">
        <v>0.31397988971780733</v>
      </c>
      <c r="F374">
        <v>1.0624999355468769</v>
      </c>
      <c r="G374" s="1" t="str">
        <f t="shared" si="52"/>
        <v/>
      </c>
      <c r="H374" s="1" t="str">
        <f t="shared" si="53"/>
        <v/>
      </c>
      <c r="I374" s="1" t="str">
        <f t="shared" si="54"/>
        <v/>
      </c>
      <c r="J374" s="1" t="str">
        <f t="shared" si="55"/>
        <v/>
      </c>
      <c r="K374" s="1">
        <f t="shared" si="56"/>
        <v>0.31397988971780733</v>
      </c>
      <c r="L374" s="1" t="str">
        <f t="shared" si="57"/>
        <v/>
      </c>
    </row>
    <row r="375" spans="1:12">
      <c r="A375" t="s">
        <v>295</v>
      </c>
      <c r="B375">
        <v>7</v>
      </c>
      <c r="C375" t="str">
        <f t="shared" si="51"/>
        <v>test.ImageData_7_</v>
      </c>
      <c r="D375">
        <v>5</v>
      </c>
      <c r="E375">
        <v>0.45961725591955888</v>
      </c>
      <c r="F375">
        <v>1.0625093105465839</v>
      </c>
      <c r="G375" s="1" t="str">
        <f t="shared" si="52"/>
        <v/>
      </c>
      <c r="H375" s="1" t="str">
        <f t="shared" si="53"/>
        <v/>
      </c>
      <c r="I375" s="1" t="str">
        <f t="shared" si="54"/>
        <v/>
      </c>
      <c r="J375" s="1" t="str">
        <f t="shared" si="55"/>
        <v/>
      </c>
      <c r="K375" s="1">
        <f t="shared" si="56"/>
        <v>0.45961725591955888</v>
      </c>
      <c r="L375" s="1" t="str">
        <f t="shared" si="57"/>
        <v/>
      </c>
    </row>
    <row r="376" spans="1:12">
      <c r="A376" t="s">
        <v>295</v>
      </c>
      <c r="B376">
        <v>7</v>
      </c>
      <c r="C376" t="str">
        <f t="shared" si="51"/>
        <v>test.ImageData_7_</v>
      </c>
      <c r="D376">
        <v>6</v>
      </c>
      <c r="E376">
        <v>0.54492377554330196</v>
      </c>
      <c r="F376">
        <v>1.0625186855462909</v>
      </c>
      <c r="G376" s="1" t="str">
        <f t="shared" si="52"/>
        <v/>
      </c>
      <c r="H376" s="1" t="str">
        <f t="shared" si="53"/>
        <v/>
      </c>
      <c r="I376" s="1" t="str">
        <f t="shared" si="54"/>
        <v/>
      </c>
      <c r="J376" s="1" t="str">
        <f t="shared" si="55"/>
        <v/>
      </c>
      <c r="K376" s="1">
        <f t="shared" si="56"/>
        <v>0.54492377554330196</v>
      </c>
      <c r="L376" s="1" t="str">
        <f t="shared" si="57"/>
        <v/>
      </c>
    </row>
    <row r="377" spans="1:12">
      <c r="A377" t="s">
        <v>295</v>
      </c>
      <c r="B377">
        <v>7</v>
      </c>
      <c r="C377" t="str">
        <f t="shared" si="51"/>
        <v>test.ImageData_7_</v>
      </c>
      <c r="D377">
        <v>7</v>
      </c>
      <c r="E377">
        <v>0.6169315601686669</v>
      </c>
      <c r="F377">
        <v>1.0937499970703126</v>
      </c>
      <c r="G377" s="1" t="str">
        <f t="shared" si="52"/>
        <v/>
      </c>
      <c r="H377" s="1" t="str">
        <f t="shared" si="53"/>
        <v/>
      </c>
      <c r="I377" s="1" t="str">
        <f t="shared" si="54"/>
        <v/>
      </c>
      <c r="J377" s="1" t="str">
        <f t="shared" si="55"/>
        <v/>
      </c>
      <c r="K377" s="1">
        <f t="shared" si="56"/>
        <v>0.6169315601686669</v>
      </c>
      <c r="L377" s="1" t="str">
        <f t="shared" si="57"/>
        <v/>
      </c>
    </row>
    <row r="378" spans="1:12">
      <c r="A378" t="s">
        <v>295</v>
      </c>
      <c r="B378">
        <v>7</v>
      </c>
      <c r="C378" t="str">
        <f t="shared" si="51"/>
        <v>test.ImageData_7_</v>
      </c>
      <c r="D378">
        <v>8</v>
      </c>
      <c r="E378">
        <v>0.75673045734674016</v>
      </c>
      <c r="F378">
        <v>1.124999964843751</v>
      </c>
      <c r="G378" s="1" t="str">
        <f t="shared" si="52"/>
        <v/>
      </c>
      <c r="H378" s="1" t="str">
        <f t="shared" si="53"/>
        <v/>
      </c>
      <c r="I378" s="1" t="str">
        <f t="shared" si="54"/>
        <v/>
      </c>
      <c r="J378" s="1" t="str">
        <f t="shared" si="55"/>
        <v/>
      </c>
      <c r="K378" s="1" t="str">
        <f t="shared" si="56"/>
        <v/>
      </c>
      <c r="L378" s="1">
        <f t="shared" si="57"/>
        <v>0.75673045734674016</v>
      </c>
    </row>
    <row r="379" spans="1:12">
      <c r="A379" t="s">
        <v>295</v>
      </c>
      <c r="B379">
        <v>7</v>
      </c>
      <c r="C379" t="str">
        <f t="shared" si="51"/>
        <v>test.ImageData_7_</v>
      </c>
      <c r="D379">
        <v>9</v>
      </c>
      <c r="E379">
        <v>0.7969510217320791</v>
      </c>
      <c r="F379">
        <v>1.1562499326171896</v>
      </c>
      <c r="G379" s="1" t="str">
        <f t="shared" si="52"/>
        <v/>
      </c>
      <c r="H379" s="1" t="str">
        <f t="shared" si="53"/>
        <v/>
      </c>
      <c r="I379" s="1" t="str">
        <f t="shared" si="54"/>
        <v/>
      </c>
      <c r="J379" s="1" t="str">
        <f t="shared" si="55"/>
        <v/>
      </c>
      <c r="K379" s="1" t="str">
        <f t="shared" si="56"/>
        <v/>
      </c>
      <c r="L379" s="1">
        <f t="shared" si="57"/>
        <v>0.7969510217320791</v>
      </c>
    </row>
    <row r="380" spans="1:12">
      <c r="A380" t="s">
        <v>295</v>
      </c>
      <c r="B380">
        <v>7</v>
      </c>
      <c r="C380" t="str">
        <f t="shared" si="51"/>
        <v>test.ImageData_7_</v>
      </c>
      <c r="D380">
        <v>10</v>
      </c>
      <c r="E380">
        <v>1</v>
      </c>
      <c r="F380">
        <v>1.3437499267578148</v>
      </c>
      <c r="G380" s="1" t="str">
        <f t="shared" si="52"/>
        <v/>
      </c>
      <c r="H380" s="1" t="str">
        <f t="shared" si="53"/>
        <v/>
      </c>
      <c r="I380" s="1" t="str">
        <f t="shared" si="54"/>
        <v/>
      </c>
      <c r="J380" s="1" t="str">
        <f t="shared" si="55"/>
        <v/>
      </c>
      <c r="K380" s="1" t="str">
        <f t="shared" si="56"/>
        <v/>
      </c>
      <c r="L380" s="1">
        <f t="shared" si="57"/>
        <v>1</v>
      </c>
    </row>
    <row r="381" spans="1:12">
      <c r="A381" t="s">
        <v>295</v>
      </c>
      <c r="B381">
        <v>8</v>
      </c>
      <c r="C381" t="str">
        <f t="shared" si="51"/>
        <v>test.ImageData_8_</v>
      </c>
      <c r="D381">
        <v>1</v>
      </c>
      <c r="E381">
        <v>4.8519443453442737E-2</v>
      </c>
      <c r="F381">
        <v>0.19576719047619048</v>
      </c>
      <c r="G381" s="1">
        <f t="shared" si="52"/>
        <v>4.8519443453442737E-2</v>
      </c>
      <c r="H381" s="1" t="str">
        <f t="shared" si="53"/>
        <v/>
      </c>
      <c r="I381" s="1" t="str">
        <f t="shared" si="54"/>
        <v/>
      </c>
      <c r="J381" s="1" t="str">
        <f t="shared" si="55"/>
        <v/>
      </c>
      <c r="K381" s="1" t="str">
        <f t="shared" si="56"/>
        <v/>
      </c>
      <c r="L381" s="1" t="str">
        <f t="shared" si="57"/>
        <v/>
      </c>
    </row>
    <row r="382" spans="1:12">
      <c r="A382" t="s">
        <v>295</v>
      </c>
      <c r="B382">
        <v>8</v>
      </c>
      <c r="C382" t="str">
        <f t="shared" si="51"/>
        <v>test.ImageData_8_</v>
      </c>
      <c r="D382">
        <v>2</v>
      </c>
      <c r="E382">
        <v>8.6336068498037821E-2</v>
      </c>
      <c r="F382">
        <v>0.21693122222222222</v>
      </c>
      <c r="G382" s="1" t="str">
        <f t="shared" si="52"/>
        <v/>
      </c>
      <c r="H382" s="1">
        <f t="shared" si="53"/>
        <v>8.6336068498037821E-2</v>
      </c>
      <c r="I382" s="1" t="str">
        <f t="shared" si="54"/>
        <v/>
      </c>
      <c r="J382" s="1" t="str">
        <f t="shared" si="55"/>
        <v/>
      </c>
      <c r="K382" s="1" t="str">
        <f t="shared" si="56"/>
        <v/>
      </c>
      <c r="L382" s="1" t="str">
        <f t="shared" si="57"/>
        <v/>
      </c>
    </row>
    <row r="383" spans="1:12">
      <c r="A383" t="s">
        <v>295</v>
      </c>
      <c r="B383">
        <v>8</v>
      </c>
      <c r="C383" t="str">
        <f t="shared" si="51"/>
        <v>test.ImageData_8_</v>
      </c>
      <c r="D383">
        <v>3</v>
      </c>
      <c r="E383">
        <v>0.17873706742775597</v>
      </c>
      <c r="F383">
        <v>0.2857142857142857</v>
      </c>
      <c r="G383" s="1" t="str">
        <f t="shared" si="52"/>
        <v/>
      </c>
      <c r="H383" s="1">
        <f t="shared" si="53"/>
        <v>0.17873706742775597</v>
      </c>
      <c r="I383" s="1" t="str">
        <f t="shared" si="54"/>
        <v/>
      </c>
      <c r="J383" s="1" t="str">
        <f t="shared" si="55"/>
        <v/>
      </c>
      <c r="K383" s="1" t="str">
        <f t="shared" si="56"/>
        <v/>
      </c>
      <c r="L383" s="1" t="str">
        <f t="shared" si="57"/>
        <v/>
      </c>
    </row>
    <row r="384" spans="1:12">
      <c r="A384" t="s">
        <v>295</v>
      </c>
      <c r="B384">
        <v>8</v>
      </c>
      <c r="C384" t="str">
        <f t="shared" si="51"/>
        <v>test.ImageData_8_</v>
      </c>
      <c r="D384">
        <v>4</v>
      </c>
      <c r="E384">
        <v>0.49768105601141632</v>
      </c>
      <c r="F384">
        <v>0.49735450793650793</v>
      </c>
      <c r="G384" s="1" t="str">
        <f t="shared" si="52"/>
        <v/>
      </c>
      <c r="H384" s="1" t="str">
        <f t="shared" si="53"/>
        <v/>
      </c>
      <c r="I384" s="1">
        <f t="shared" si="54"/>
        <v>0.49768105601141632</v>
      </c>
      <c r="J384" s="1" t="str">
        <f t="shared" si="55"/>
        <v/>
      </c>
      <c r="K384" s="1" t="str">
        <f t="shared" si="56"/>
        <v/>
      </c>
      <c r="L384" s="1" t="str">
        <f t="shared" si="57"/>
        <v/>
      </c>
    </row>
    <row r="385" spans="1:12">
      <c r="A385" t="s">
        <v>295</v>
      </c>
      <c r="B385">
        <v>8</v>
      </c>
      <c r="C385" t="str">
        <f t="shared" si="51"/>
        <v>test.ImageData_8_</v>
      </c>
      <c r="D385">
        <v>5</v>
      </c>
      <c r="E385">
        <v>0.73599714591509102</v>
      </c>
      <c r="F385">
        <v>0.51851853968253969</v>
      </c>
      <c r="G385" s="1" t="str">
        <f t="shared" si="52"/>
        <v/>
      </c>
      <c r="H385" s="1" t="str">
        <f t="shared" si="53"/>
        <v/>
      </c>
      <c r="I385" s="1">
        <f t="shared" si="54"/>
        <v>0.73599714591509102</v>
      </c>
      <c r="J385" s="1" t="str">
        <f t="shared" si="55"/>
        <v/>
      </c>
      <c r="K385" s="1" t="str">
        <f t="shared" si="56"/>
        <v/>
      </c>
      <c r="L385" s="1" t="str">
        <f t="shared" si="57"/>
        <v/>
      </c>
    </row>
    <row r="386" spans="1:12">
      <c r="A386" t="s">
        <v>295</v>
      </c>
      <c r="B386">
        <v>8</v>
      </c>
      <c r="C386" t="str">
        <f t="shared" si="51"/>
        <v>test.ImageData_8_</v>
      </c>
      <c r="D386">
        <v>6</v>
      </c>
      <c r="E386">
        <v>1</v>
      </c>
      <c r="F386">
        <v>0.53968253968253965</v>
      </c>
      <c r="G386" s="1" t="str">
        <f t="shared" si="52"/>
        <v/>
      </c>
      <c r="H386" s="1" t="str">
        <f t="shared" si="53"/>
        <v/>
      </c>
      <c r="I386" s="1">
        <f t="shared" si="54"/>
        <v>1</v>
      </c>
      <c r="J386" s="1" t="str">
        <f t="shared" si="55"/>
        <v/>
      </c>
      <c r="K386" s="1" t="str">
        <f t="shared" si="56"/>
        <v/>
      </c>
      <c r="L386" s="1" t="str">
        <f t="shared" si="57"/>
        <v/>
      </c>
    </row>
    <row r="387" spans="1:12">
      <c r="A387" t="s">
        <v>295</v>
      </c>
      <c r="B387">
        <v>9</v>
      </c>
      <c r="C387" t="str">
        <f t="shared" ref="C387:C450" si="58">CONCATENATE(A387, "_",B387,"_")</f>
        <v>test.ImageData_9_</v>
      </c>
      <c r="D387">
        <v>1</v>
      </c>
      <c r="E387">
        <v>2.9411764705882353E-2</v>
      </c>
      <c r="F387">
        <v>0.26060605454545455</v>
      </c>
      <c r="G387" s="1" t="str">
        <f t="shared" ref="G387:G450" si="59">IF($F387 &lt;= 0.2,$E387,"")</f>
        <v/>
      </c>
      <c r="H387" s="1">
        <f t="shared" ref="H387:H450" si="60">IF(AND($F387 &gt; 0.2,$F387 &lt;= 0.4),$E387,"")</f>
        <v>2.9411764705882353E-2</v>
      </c>
      <c r="I387" s="1" t="str">
        <f t="shared" ref="I387:I450" si="61">IF(AND($F387 &gt; 0.4,$F387 &lt;= 0.6),$E387,"")</f>
        <v/>
      </c>
      <c r="J387" s="1" t="str">
        <f t="shared" ref="J387:J450" si="62">IF(AND($F387 &gt; 0.6,$F387 &lt;= 0.8),$E387,"")</f>
        <v/>
      </c>
      <c r="K387" s="1" t="str">
        <f t="shared" ref="K387:K450" si="63">IF(AND($F387 &gt; 0.8, $F387 &lt;=1.1),$E387,"")</f>
        <v/>
      </c>
      <c r="L387" s="1" t="str">
        <f t="shared" ref="L387:L450" si="64">IF(AND($F387 &gt; 1.1),$E387,"")</f>
        <v/>
      </c>
    </row>
    <row r="388" spans="1:12">
      <c r="A388" t="s">
        <v>295</v>
      </c>
      <c r="B388">
        <v>9</v>
      </c>
      <c r="C388" t="str">
        <f t="shared" si="58"/>
        <v>test.ImageData_9_</v>
      </c>
      <c r="D388">
        <v>2</v>
      </c>
      <c r="E388">
        <v>5.8823529411764705E-2</v>
      </c>
      <c r="F388">
        <v>0.26666667272727274</v>
      </c>
      <c r="G388" s="1" t="str">
        <f t="shared" si="59"/>
        <v/>
      </c>
      <c r="H388" s="1">
        <f t="shared" si="60"/>
        <v>5.8823529411764705E-2</v>
      </c>
      <c r="I388" s="1" t="str">
        <f t="shared" si="61"/>
        <v/>
      </c>
      <c r="J388" s="1" t="str">
        <f t="shared" si="62"/>
        <v/>
      </c>
      <c r="K388" s="1" t="str">
        <f t="shared" si="63"/>
        <v/>
      </c>
      <c r="L388" s="1" t="str">
        <f t="shared" si="64"/>
        <v/>
      </c>
    </row>
    <row r="389" spans="1:12">
      <c r="A389" t="s">
        <v>295</v>
      </c>
      <c r="B389">
        <v>9</v>
      </c>
      <c r="C389" t="str">
        <f t="shared" si="58"/>
        <v>test.ImageData_9_</v>
      </c>
      <c r="D389">
        <v>3</v>
      </c>
      <c r="E389">
        <v>0.1148356401384083</v>
      </c>
      <c r="F389">
        <v>0.32727272727272727</v>
      </c>
      <c r="G389" s="1" t="str">
        <f t="shared" si="59"/>
        <v/>
      </c>
      <c r="H389" s="1">
        <f t="shared" si="60"/>
        <v>0.1148356401384083</v>
      </c>
      <c r="I389" s="1" t="str">
        <f t="shared" si="61"/>
        <v/>
      </c>
      <c r="J389" s="1" t="str">
        <f t="shared" si="62"/>
        <v/>
      </c>
      <c r="K389" s="1" t="str">
        <f t="shared" si="63"/>
        <v/>
      </c>
      <c r="L389" s="1" t="str">
        <f t="shared" si="64"/>
        <v/>
      </c>
    </row>
    <row r="390" spans="1:12">
      <c r="A390" t="s">
        <v>295</v>
      </c>
      <c r="B390">
        <v>9</v>
      </c>
      <c r="C390" t="str">
        <f t="shared" si="58"/>
        <v>test.ImageData_9_</v>
      </c>
      <c r="D390">
        <v>4</v>
      </c>
      <c r="E390">
        <v>0.20523356401384082</v>
      </c>
      <c r="F390">
        <v>0.37575756363636365</v>
      </c>
      <c r="G390" s="1" t="str">
        <f t="shared" si="59"/>
        <v/>
      </c>
      <c r="H390" s="1">
        <f t="shared" si="60"/>
        <v>0.20523356401384082</v>
      </c>
      <c r="I390" s="1" t="str">
        <f t="shared" si="61"/>
        <v/>
      </c>
      <c r="J390" s="1" t="str">
        <f t="shared" si="62"/>
        <v/>
      </c>
      <c r="K390" s="1" t="str">
        <f t="shared" si="63"/>
        <v/>
      </c>
      <c r="L390" s="1" t="str">
        <f t="shared" si="64"/>
        <v/>
      </c>
    </row>
    <row r="391" spans="1:12">
      <c r="A391" t="s">
        <v>295</v>
      </c>
      <c r="B391">
        <v>9</v>
      </c>
      <c r="C391" t="str">
        <f t="shared" si="58"/>
        <v>test.ImageData_9_</v>
      </c>
      <c r="D391">
        <v>5</v>
      </c>
      <c r="E391">
        <v>0.37521626297577854</v>
      </c>
      <c r="F391">
        <v>0.41212119999999997</v>
      </c>
      <c r="G391" s="1" t="str">
        <f t="shared" si="59"/>
        <v/>
      </c>
      <c r="H391" s="1" t="str">
        <f t="shared" si="60"/>
        <v/>
      </c>
      <c r="I391" s="1">
        <f t="shared" si="61"/>
        <v>0.37521626297577854</v>
      </c>
      <c r="J391" s="1" t="str">
        <f t="shared" si="62"/>
        <v/>
      </c>
      <c r="K391" s="1" t="str">
        <f t="shared" si="63"/>
        <v/>
      </c>
      <c r="L391" s="1" t="str">
        <f t="shared" si="64"/>
        <v/>
      </c>
    </row>
    <row r="392" spans="1:12">
      <c r="A392" t="s">
        <v>295</v>
      </c>
      <c r="B392">
        <v>9</v>
      </c>
      <c r="C392" t="str">
        <f t="shared" si="58"/>
        <v>test.ImageData_9_</v>
      </c>
      <c r="D392">
        <v>6</v>
      </c>
      <c r="E392">
        <v>0.50216262975778547</v>
      </c>
      <c r="F392">
        <v>0.4242424363636364</v>
      </c>
      <c r="G392" s="1" t="str">
        <f t="shared" si="59"/>
        <v/>
      </c>
      <c r="H392" s="1" t="str">
        <f t="shared" si="60"/>
        <v/>
      </c>
      <c r="I392" s="1">
        <f t="shared" si="61"/>
        <v>0.50216262975778547</v>
      </c>
      <c r="J392" s="1" t="str">
        <f t="shared" si="62"/>
        <v/>
      </c>
      <c r="K392" s="1" t="str">
        <f t="shared" si="63"/>
        <v/>
      </c>
      <c r="L392" s="1" t="str">
        <f t="shared" si="64"/>
        <v/>
      </c>
    </row>
    <row r="393" spans="1:12">
      <c r="A393" t="s">
        <v>295</v>
      </c>
      <c r="B393">
        <v>9</v>
      </c>
      <c r="C393" t="str">
        <f t="shared" si="58"/>
        <v>test.ImageData_9_</v>
      </c>
      <c r="D393">
        <v>7</v>
      </c>
      <c r="E393">
        <v>0.64662629757785473</v>
      </c>
      <c r="F393">
        <v>0.67878785454545454</v>
      </c>
      <c r="G393" s="1" t="str">
        <f t="shared" si="59"/>
        <v/>
      </c>
      <c r="H393" s="1" t="str">
        <f t="shared" si="60"/>
        <v/>
      </c>
      <c r="I393" s="1" t="str">
        <f t="shared" si="61"/>
        <v/>
      </c>
      <c r="J393" s="1">
        <f t="shared" si="62"/>
        <v>0.64662629757785473</v>
      </c>
      <c r="K393" s="1" t="str">
        <f t="shared" si="63"/>
        <v/>
      </c>
      <c r="L393" s="1" t="str">
        <f t="shared" si="64"/>
        <v/>
      </c>
    </row>
    <row r="394" spans="1:12">
      <c r="A394" t="s">
        <v>295</v>
      </c>
      <c r="B394">
        <v>9</v>
      </c>
      <c r="C394" t="str">
        <f t="shared" si="58"/>
        <v>test.ImageData_9_</v>
      </c>
      <c r="D394">
        <v>8</v>
      </c>
      <c r="E394">
        <v>0.83996539792387548</v>
      </c>
      <c r="F394">
        <v>0.90909090909090906</v>
      </c>
      <c r="G394" s="1" t="str">
        <f t="shared" si="59"/>
        <v/>
      </c>
      <c r="H394" s="1" t="str">
        <f t="shared" si="60"/>
        <v/>
      </c>
      <c r="I394" s="1" t="str">
        <f t="shared" si="61"/>
        <v/>
      </c>
      <c r="J394" s="1" t="str">
        <f t="shared" si="62"/>
        <v/>
      </c>
      <c r="K394" s="1">
        <f t="shared" si="63"/>
        <v>0.83996539792387548</v>
      </c>
      <c r="L394" s="1" t="str">
        <f t="shared" si="64"/>
        <v/>
      </c>
    </row>
    <row r="395" spans="1:12">
      <c r="A395" t="s">
        <v>295</v>
      </c>
      <c r="B395">
        <v>9</v>
      </c>
      <c r="C395" t="str">
        <f t="shared" si="58"/>
        <v>test.ImageData_9_</v>
      </c>
      <c r="D395">
        <v>9</v>
      </c>
      <c r="E395">
        <v>1</v>
      </c>
      <c r="F395">
        <v>0.95151512727272725</v>
      </c>
      <c r="G395" s="1" t="str">
        <f t="shared" si="59"/>
        <v/>
      </c>
      <c r="H395" s="1" t="str">
        <f t="shared" si="60"/>
        <v/>
      </c>
      <c r="I395" s="1" t="str">
        <f t="shared" si="61"/>
        <v/>
      </c>
      <c r="J395" s="1" t="str">
        <f t="shared" si="62"/>
        <v/>
      </c>
      <c r="K395" s="1">
        <f t="shared" si="63"/>
        <v>1</v>
      </c>
      <c r="L395" s="1" t="str">
        <f t="shared" si="64"/>
        <v/>
      </c>
    </row>
    <row r="396" spans="1:12">
      <c r="A396" t="s">
        <v>295</v>
      </c>
      <c r="B396">
        <v>11</v>
      </c>
      <c r="C396" t="str">
        <f t="shared" si="58"/>
        <v>test.ImageData_11_</v>
      </c>
      <c r="D396">
        <v>1</v>
      </c>
      <c r="E396">
        <v>0.31725265739983649</v>
      </c>
      <c r="F396">
        <v>1.0800000432000019</v>
      </c>
      <c r="G396" s="1" t="str">
        <f t="shared" si="59"/>
        <v/>
      </c>
      <c r="H396" s="1" t="str">
        <f t="shared" si="60"/>
        <v/>
      </c>
      <c r="I396" s="1" t="str">
        <f t="shared" si="61"/>
        <v/>
      </c>
      <c r="J396" s="1" t="str">
        <f t="shared" si="62"/>
        <v/>
      </c>
      <c r="K396" s="1">
        <f t="shared" si="63"/>
        <v>0.31725265739983649</v>
      </c>
      <c r="L396" s="1" t="str">
        <f t="shared" si="64"/>
        <v/>
      </c>
    </row>
    <row r="397" spans="1:12">
      <c r="A397" t="s">
        <v>295</v>
      </c>
      <c r="B397">
        <v>11</v>
      </c>
      <c r="C397" t="str">
        <f t="shared" si="58"/>
        <v>test.ImageData_11_</v>
      </c>
      <c r="D397">
        <v>2</v>
      </c>
      <c r="E397">
        <v>1</v>
      </c>
      <c r="F397">
        <v>1.8800001152000048</v>
      </c>
      <c r="G397" s="1" t="str">
        <f t="shared" si="59"/>
        <v/>
      </c>
      <c r="H397" s="1" t="str">
        <f t="shared" si="60"/>
        <v/>
      </c>
      <c r="I397" s="1" t="str">
        <f t="shared" si="61"/>
        <v/>
      </c>
      <c r="J397" s="1" t="str">
        <f t="shared" si="62"/>
        <v/>
      </c>
      <c r="K397" s="1" t="str">
        <f t="shared" si="63"/>
        <v/>
      </c>
      <c r="L397" s="1">
        <f t="shared" si="64"/>
        <v>1</v>
      </c>
    </row>
    <row r="398" spans="1:12">
      <c r="A398" t="s">
        <v>295</v>
      </c>
      <c r="B398">
        <v>13</v>
      </c>
      <c r="C398" t="str">
        <f t="shared" si="58"/>
        <v>test.ImageData_13_</v>
      </c>
      <c r="D398">
        <v>1</v>
      </c>
      <c r="E398">
        <v>1.85566314652991E-3</v>
      </c>
      <c r="F398">
        <v>1.9467213114754099E-2</v>
      </c>
      <c r="G398" s="1">
        <f t="shared" si="59"/>
        <v>1.85566314652991E-3</v>
      </c>
      <c r="H398" s="1" t="str">
        <f t="shared" si="60"/>
        <v/>
      </c>
      <c r="I398" s="1" t="str">
        <f t="shared" si="61"/>
        <v/>
      </c>
      <c r="J398" s="1" t="str">
        <f t="shared" si="62"/>
        <v/>
      </c>
      <c r="K398" s="1" t="str">
        <f t="shared" si="63"/>
        <v/>
      </c>
      <c r="L398" s="1" t="str">
        <f t="shared" si="64"/>
        <v/>
      </c>
    </row>
    <row r="399" spans="1:12">
      <c r="A399" t="s">
        <v>295</v>
      </c>
      <c r="B399">
        <v>13</v>
      </c>
      <c r="C399" t="str">
        <f t="shared" si="58"/>
        <v>test.ImageData_13_</v>
      </c>
      <c r="D399">
        <v>2</v>
      </c>
      <c r="E399">
        <v>2.0805920127759596E-3</v>
      </c>
      <c r="F399">
        <v>2.2540983606557378E-2</v>
      </c>
      <c r="G399" s="1">
        <f t="shared" si="59"/>
        <v>2.0805920127759596E-3</v>
      </c>
      <c r="H399" s="1" t="str">
        <f t="shared" si="60"/>
        <v/>
      </c>
      <c r="I399" s="1" t="str">
        <f t="shared" si="61"/>
        <v/>
      </c>
      <c r="J399" s="1" t="str">
        <f t="shared" si="62"/>
        <v/>
      </c>
      <c r="K399" s="1" t="str">
        <f t="shared" si="63"/>
        <v/>
      </c>
      <c r="L399" s="1" t="str">
        <f t="shared" si="64"/>
        <v/>
      </c>
    </row>
    <row r="400" spans="1:12">
      <c r="A400" t="s">
        <v>295</v>
      </c>
      <c r="B400">
        <v>13</v>
      </c>
      <c r="C400" t="str">
        <f t="shared" si="58"/>
        <v>test.ImageData_13_</v>
      </c>
      <c r="D400">
        <v>3</v>
      </c>
      <c r="E400">
        <v>2.0805920127759596E-3</v>
      </c>
      <c r="F400">
        <v>3.0737704918032786E-2</v>
      </c>
      <c r="G400" s="1">
        <f t="shared" si="59"/>
        <v>2.0805920127759596E-3</v>
      </c>
      <c r="H400" s="1" t="str">
        <f t="shared" si="60"/>
        <v/>
      </c>
      <c r="I400" s="1" t="str">
        <f t="shared" si="61"/>
        <v/>
      </c>
      <c r="J400" s="1" t="str">
        <f t="shared" si="62"/>
        <v/>
      </c>
      <c r="K400" s="1" t="str">
        <f t="shared" si="63"/>
        <v/>
      </c>
      <c r="L400" s="1" t="str">
        <f t="shared" si="64"/>
        <v/>
      </c>
    </row>
    <row r="401" spans="1:12">
      <c r="A401" t="s">
        <v>295</v>
      </c>
      <c r="B401">
        <v>13</v>
      </c>
      <c r="C401" t="str">
        <f t="shared" si="58"/>
        <v>test.ImageData_13_</v>
      </c>
      <c r="D401">
        <v>4</v>
      </c>
      <c r="E401">
        <v>1</v>
      </c>
      <c r="F401">
        <v>1.5068305327868852</v>
      </c>
      <c r="G401" s="1" t="str">
        <f t="shared" si="59"/>
        <v/>
      </c>
      <c r="H401" s="1" t="str">
        <f t="shared" si="60"/>
        <v/>
      </c>
      <c r="I401" s="1" t="str">
        <f t="shared" si="61"/>
        <v/>
      </c>
      <c r="J401" s="1" t="str">
        <f t="shared" si="62"/>
        <v/>
      </c>
      <c r="K401" s="1" t="str">
        <f t="shared" si="63"/>
        <v/>
      </c>
      <c r="L401" s="1">
        <f t="shared" si="64"/>
        <v>1</v>
      </c>
    </row>
    <row r="402" spans="1:12">
      <c r="A402" t="s">
        <v>295</v>
      </c>
      <c r="B402">
        <v>14</v>
      </c>
      <c r="C402" t="str">
        <f t="shared" si="58"/>
        <v>test.ImageData_14_</v>
      </c>
      <c r="D402">
        <v>1</v>
      </c>
      <c r="E402">
        <v>2.3685563987115052E-3</v>
      </c>
      <c r="F402">
        <v>2.5138474867425431E-2</v>
      </c>
      <c r="G402" s="1">
        <f t="shared" si="59"/>
        <v>2.3685563987115052E-3</v>
      </c>
      <c r="H402" s="1" t="str">
        <f t="shared" si="60"/>
        <v/>
      </c>
      <c r="I402" s="1" t="str">
        <f t="shared" si="61"/>
        <v/>
      </c>
      <c r="J402" s="1" t="str">
        <f t="shared" si="62"/>
        <v/>
      </c>
      <c r="K402" s="1" t="str">
        <f t="shared" si="63"/>
        <v/>
      </c>
      <c r="L402" s="1" t="str">
        <f t="shared" si="64"/>
        <v/>
      </c>
    </row>
    <row r="403" spans="1:12">
      <c r="A403" t="s">
        <v>295</v>
      </c>
      <c r="B403">
        <v>14</v>
      </c>
      <c r="C403" t="str">
        <f t="shared" si="58"/>
        <v>test.ImageData_14_</v>
      </c>
      <c r="D403">
        <v>2</v>
      </c>
      <c r="E403">
        <v>2.5039024786378769E-3</v>
      </c>
      <c r="F403">
        <v>2.726885586999812E-2</v>
      </c>
      <c r="G403" s="1">
        <f t="shared" si="59"/>
        <v>2.5039024786378769E-3</v>
      </c>
      <c r="H403" s="1" t="str">
        <f t="shared" si="60"/>
        <v/>
      </c>
      <c r="I403" s="1" t="str">
        <f t="shared" si="61"/>
        <v/>
      </c>
      <c r="J403" s="1" t="str">
        <f t="shared" si="62"/>
        <v/>
      </c>
      <c r="K403" s="1" t="str">
        <f t="shared" si="63"/>
        <v/>
      </c>
      <c r="L403" s="1" t="str">
        <f t="shared" si="64"/>
        <v/>
      </c>
    </row>
    <row r="404" spans="1:12">
      <c r="A404" t="s">
        <v>295</v>
      </c>
      <c r="B404">
        <v>14</v>
      </c>
      <c r="C404" t="str">
        <f t="shared" si="58"/>
        <v>test.ImageData_14_</v>
      </c>
      <c r="D404">
        <v>3</v>
      </c>
      <c r="E404">
        <v>2.5039024786378769E-3</v>
      </c>
      <c r="F404">
        <v>2.8121006737154099E-2</v>
      </c>
      <c r="G404" s="1">
        <f t="shared" si="59"/>
        <v>2.5039024786378769E-3</v>
      </c>
      <c r="H404" s="1" t="str">
        <f t="shared" si="60"/>
        <v/>
      </c>
      <c r="I404" s="1" t="str">
        <f t="shared" si="61"/>
        <v/>
      </c>
      <c r="J404" s="1" t="str">
        <f t="shared" si="62"/>
        <v/>
      </c>
      <c r="K404" s="1" t="str">
        <f t="shared" si="63"/>
        <v/>
      </c>
      <c r="L404" s="1" t="str">
        <f t="shared" si="64"/>
        <v/>
      </c>
    </row>
    <row r="405" spans="1:12">
      <c r="A405" t="s">
        <v>295</v>
      </c>
      <c r="B405">
        <v>14</v>
      </c>
      <c r="C405" t="str">
        <f t="shared" si="58"/>
        <v>test.ImageData_14_</v>
      </c>
      <c r="D405">
        <v>4</v>
      </c>
      <c r="E405">
        <v>0.19752858058054446</v>
      </c>
      <c r="F405">
        <v>0.2164465324433972</v>
      </c>
      <c r="G405" s="1" t="str">
        <f t="shared" si="59"/>
        <v/>
      </c>
      <c r="H405" s="1">
        <f t="shared" si="60"/>
        <v>0.19752858058054446</v>
      </c>
      <c r="I405" s="1" t="str">
        <f t="shared" si="61"/>
        <v/>
      </c>
      <c r="J405" s="1" t="str">
        <f t="shared" si="62"/>
        <v/>
      </c>
      <c r="K405" s="1" t="str">
        <f t="shared" si="63"/>
        <v/>
      </c>
      <c r="L405" s="1" t="str">
        <f t="shared" si="64"/>
        <v/>
      </c>
    </row>
    <row r="406" spans="1:12">
      <c r="A406" t="s">
        <v>295</v>
      </c>
      <c r="B406">
        <v>14</v>
      </c>
      <c r="C406" t="str">
        <f t="shared" si="58"/>
        <v>test.ImageData_14_</v>
      </c>
      <c r="D406">
        <v>5</v>
      </c>
      <c r="E406">
        <v>0.19752858058054446</v>
      </c>
      <c r="F406">
        <v>0.25351513223328215</v>
      </c>
      <c r="G406" s="1" t="str">
        <f t="shared" si="59"/>
        <v/>
      </c>
      <c r="H406" s="1">
        <f t="shared" si="60"/>
        <v>0.19752858058054446</v>
      </c>
      <c r="I406" s="1" t="str">
        <f t="shared" si="61"/>
        <v/>
      </c>
      <c r="J406" s="1" t="str">
        <f t="shared" si="62"/>
        <v/>
      </c>
      <c r="K406" s="1" t="str">
        <f t="shared" si="63"/>
        <v/>
      </c>
      <c r="L406" s="1" t="str">
        <f t="shared" si="64"/>
        <v/>
      </c>
    </row>
    <row r="407" spans="1:12">
      <c r="A407" t="s">
        <v>295</v>
      </c>
      <c r="B407">
        <v>14</v>
      </c>
      <c r="C407" t="str">
        <f t="shared" si="58"/>
        <v>test.ImageData_14_</v>
      </c>
      <c r="D407">
        <v>6</v>
      </c>
      <c r="E407">
        <v>0.37500338365199815</v>
      </c>
      <c r="F407">
        <v>0.50021306775513708</v>
      </c>
      <c r="G407" s="1" t="str">
        <f t="shared" si="59"/>
        <v/>
      </c>
      <c r="H407" s="1" t="str">
        <f t="shared" si="60"/>
        <v/>
      </c>
      <c r="I407" s="1">
        <f t="shared" si="61"/>
        <v>0.37500338365199815</v>
      </c>
      <c r="J407" s="1" t="str">
        <f t="shared" si="62"/>
        <v/>
      </c>
      <c r="K407" s="1" t="str">
        <f t="shared" si="63"/>
        <v/>
      </c>
      <c r="L407" s="1" t="str">
        <f t="shared" si="64"/>
        <v/>
      </c>
    </row>
    <row r="408" spans="1:12">
      <c r="A408" t="s">
        <v>295</v>
      </c>
      <c r="B408">
        <v>14</v>
      </c>
      <c r="C408" t="str">
        <f t="shared" si="58"/>
        <v>test.ImageData_14_</v>
      </c>
      <c r="D408">
        <v>7</v>
      </c>
      <c r="E408">
        <v>0.37500338365199815</v>
      </c>
      <c r="F408">
        <v>0.52662976253215865</v>
      </c>
      <c r="G408" s="1" t="str">
        <f t="shared" si="59"/>
        <v/>
      </c>
      <c r="H408" s="1" t="str">
        <f t="shared" si="60"/>
        <v/>
      </c>
      <c r="I408" s="1">
        <f t="shared" si="61"/>
        <v>0.37500338365199815</v>
      </c>
      <c r="J408" s="1" t="str">
        <f t="shared" si="62"/>
        <v/>
      </c>
      <c r="K408" s="1" t="str">
        <f t="shared" si="63"/>
        <v/>
      </c>
      <c r="L408" s="1" t="str">
        <f t="shared" si="64"/>
        <v/>
      </c>
    </row>
    <row r="409" spans="1:12">
      <c r="A409" t="s">
        <v>295</v>
      </c>
      <c r="B409">
        <v>14</v>
      </c>
      <c r="C409" t="str">
        <f t="shared" si="58"/>
        <v>test.ImageData_14_</v>
      </c>
      <c r="D409">
        <v>8</v>
      </c>
      <c r="E409">
        <v>0.37500338365199815</v>
      </c>
      <c r="F409">
        <v>0.55986367958515892</v>
      </c>
      <c r="G409" s="1" t="str">
        <f t="shared" si="59"/>
        <v/>
      </c>
      <c r="H409" s="1" t="str">
        <f t="shared" si="60"/>
        <v/>
      </c>
      <c r="I409" s="1">
        <f t="shared" si="61"/>
        <v>0.37500338365199815</v>
      </c>
      <c r="J409" s="1" t="str">
        <f t="shared" si="62"/>
        <v/>
      </c>
      <c r="K409" s="1" t="str">
        <f t="shared" si="63"/>
        <v/>
      </c>
      <c r="L409" s="1" t="str">
        <f t="shared" si="64"/>
        <v/>
      </c>
    </row>
    <row r="410" spans="1:12">
      <c r="A410" t="s">
        <v>295</v>
      </c>
      <c r="B410">
        <v>14</v>
      </c>
      <c r="C410" t="str">
        <f t="shared" si="58"/>
        <v>test.ImageData_14_</v>
      </c>
      <c r="D410">
        <v>9</v>
      </c>
      <c r="E410">
        <v>0.37500338365199815</v>
      </c>
      <c r="F410">
        <v>0.5679591294400993</v>
      </c>
      <c r="G410" s="1" t="str">
        <f t="shared" si="59"/>
        <v/>
      </c>
      <c r="H410" s="1" t="str">
        <f t="shared" si="60"/>
        <v/>
      </c>
      <c r="I410" s="1">
        <f t="shared" si="61"/>
        <v>0.37500338365199815</v>
      </c>
      <c r="J410" s="1" t="str">
        <f t="shared" si="62"/>
        <v/>
      </c>
      <c r="K410" s="1" t="str">
        <f t="shared" si="63"/>
        <v/>
      </c>
      <c r="L410" s="1" t="str">
        <f t="shared" si="64"/>
        <v/>
      </c>
    </row>
    <row r="411" spans="1:12">
      <c r="A411" t="s">
        <v>295</v>
      </c>
      <c r="B411">
        <v>14</v>
      </c>
      <c r="C411" t="str">
        <f t="shared" si="58"/>
        <v>test.ImageData_14_</v>
      </c>
      <c r="D411">
        <v>10</v>
      </c>
      <c r="E411">
        <v>1</v>
      </c>
      <c r="F411">
        <v>1.1478483659074719</v>
      </c>
      <c r="G411" s="1" t="str">
        <f t="shared" si="59"/>
        <v/>
      </c>
      <c r="H411" s="1" t="str">
        <f t="shared" si="60"/>
        <v/>
      </c>
      <c r="I411" s="1" t="str">
        <f t="shared" si="61"/>
        <v/>
      </c>
      <c r="J411" s="1" t="str">
        <f t="shared" si="62"/>
        <v/>
      </c>
      <c r="K411" s="1" t="str">
        <f t="shared" si="63"/>
        <v/>
      </c>
      <c r="L411" s="1">
        <f t="shared" si="64"/>
        <v>1</v>
      </c>
    </row>
    <row r="412" spans="1:12">
      <c r="A412" t="s">
        <v>295</v>
      </c>
      <c r="B412">
        <v>14</v>
      </c>
      <c r="C412" t="str">
        <f t="shared" si="58"/>
        <v>test.ImageData_14_</v>
      </c>
      <c r="D412">
        <v>11</v>
      </c>
      <c r="E412">
        <v>1</v>
      </c>
      <c r="F412">
        <v>1.1563699257081348</v>
      </c>
      <c r="G412" s="1" t="str">
        <f t="shared" si="59"/>
        <v/>
      </c>
      <c r="H412" s="1" t="str">
        <f t="shared" si="60"/>
        <v/>
      </c>
      <c r="I412" s="1" t="str">
        <f t="shared" si="61"/>
        <v/>
      </c>
      <c r="J412" s="1" t="str">
        <f t="shared" si="62"/>
        <v/>
      </c>
      <c r="K412" s="1" t="str">
        <f t="shared" si="63"/>
        <v/>
      </c>
      <c r="L412" s="1">
        <f t="shared" si="64"/>
        <v>1</v>
      </c>
    </row>
    <row r="413" spans="1:12">
      <c r="A413" t="s">
        <v>295</v>
      </c>
      <c r="B413">
        <v>15</v>
      </c>
      <c r="C413" t="str">
        <f t="shared" si="58"/>
        <v>test.ImageData_15_</v>
      </c>
      <c r="D413">
        <v>1</v>
      </c>
      <c r="E413">
        <v>3.2680170068925449E-3</v>
      </c>
      <c r="F413">
        <v>2.3772609302325581E-2</v>
      </c>
      <c r="G413" s="1">
        <f t="shared" si="59"/>
        <v>3.2680170068925449E-3</v>
      </c>
      <c r="H413" s="1" t="str">
        <f t="shared" si="60"/>
        <v/>
      </c>
      <c r="I413" s="1" t="str">
        <f t="shared" si="61"/>
        <v/>
      </c>
      <c r="J413" s="1" t="str">
        <f t="shared" si="62"/>
        <v/>
      </c>
      <c r="K413" s="1" t="str">
        <f t="shared" si="63"/>
        <v/>
      </c>
      <c r="L413" s="1" t="str">
        <f t="shared" si="64"/>
        <v/>
      </c>
    </row>
    <row r="414" spans="1:12">
      <c r="A414" t="s">
        <v>295</v>
      </c>
      <c r="B414">
        <v>15</v>
      </c>
      <c r="C414" t="str">
        <f t="shared" si="58"/>
        <v>test.ImageData_15_</v>
      </c>
      <c r="D414">
        <v>2</v>
      </c>
      <c r="E414">
        <v>3.6641402804552777E-3</v>
      </c>
      <c r="F414">
        <v>2.4289406201550387E-2</v>
      </c>
      <c r="G414" s="1">
        <f t="shared" si="59"/>
        <v>3.6641402804552777E-3</v>
      </c>
      <c r="H414" s="1" t="str">
        <f t="shared" si="60"/>
        <v/>
      </c>
      <c r="I414" s="1" t="str">
        <f t="shared" si="61"/>
        <v/>
      </c>
      <c r="J414" s="1" t="str">
        <f t="shared" si="62"/>
        <v/>
      </c>
      <c r="K414" s="1" t="str">
        <f t="shared" si="63"/>
        <v/>
      </c>
      <c r="L414" s="1" t="str">
        <f t="shared" si="64"/>
        <v/>
      </c>
    </row>
    <row r="415" spans="1:12">
      <c r="A415" t="s">
        <v>295</v>
      </c>
      <c r="B415">
        <v>15</v>
      </c>
      <c r="C415" t="str">
        <f t="shared" si="58"/>
        <v>test.ImageData_15_</v>
      </c>
      <c r="D415">
        <v>3</v>
      </c>
      <c r="E415">
        <v>3.6641402804552777E-3</v>
      </c>
      <c r="F415">
        <v>2.687338604651163E-2</v>
      </c>
      <c r="G415" s="1">
        <f t="shared" si="59"/>
        <v>3.6641402804552777E-3</v>
      </c>
      <c r="H415" s="1" t="str">
        <f t="shared" si="60"/>
        <v/>
      </c>
      <c r="I415" s="1" t="str">
        <f t="shared" si="61"/>
        <v/>
      </c>
      <c r="J415" s="1" t="str">
        <f t="shared" si="62"/>
        <v/>
      </c>
      <c r="K415" s="1" t="str">
        <f t="shared" si="63"/>
        <v/>
      </c>
      <c r="L415" s="1" t="str">
        <f t="shared" si="64"/>
        <v/>
      </c>
    </row>
    <row r="416" spans="1:12">
      <c r="A416" t="s">
        <v>295</v>
      </c>
      <c r="B416">
        <v>15</v>
      </c>
      <c r="C416" t="str">
        <f t="shared" si="58"/>
        <v>test.ImageData_15_</v>
      </c>
      <c r="D416">
        <v>4</v>
      </c>
      <c r="E416">
        <v>1</v>
      </c>
      <c r="F416">
        <v>1.413953488372093</v>
      </c>
      <c r="G416" s="1" t="str">
        <f t="shared" si="59"/>
        <v/>
      </c>
      <c r="H416" s="1" t="str">
        <f t="shared" si="60"/>
        <v/>
      </c>
      <c r="I416" s="1" t="str">
        <f t="shared" si="61"/>
        <v/>
      </c>
      <c r="J416" s="1" t="str">
        <f t="shared" si="62"/>
        <v/>
      </c>
      <c r="K416" s="1" t="str">
        <f t="shared" si="63"/>
        <v/>
      </c>
      <c r="L416" s="1">
        <f t="shared" si="64"/>
        <v>1</v>
      </c>
    </row>
    <row r="417" spans="1:12">
      <c r="A417" t="s">
        <v>295</v>
      </c>
      <c r="B417">
        <v>16</v>
      </c>
      <c r="C417" t="str">
        <f t="shared" si="58"/>
        <v>test.ImageData_16_</v>
      </c>
      <c r="D417">
        <v>1</v>
      </c>
      <c r="E417">
        <v>2.4198189713807356E-3</v>
      </c>
      <c r="F417">
        <v>2.3592716208307791E-2</v>
      </c>
      <c r="G417" s="1">
        <f t="shared" si="59"/>
        <v>2.4198189713807356E-3</v>
      </c>
      <c r="H417" s="1" t="str">
        <f t="shared" si="60"/>
        <v/>
      </c>
      <c r="I417" s="1" t="str">
        <f t="shared" si="61"/>
        <v/>
      </c>
      <c r="J417" s="1" t="str">
        <f t="shared" si="62"/>
        <v/>
      </c>
      <c r="K417" s="1" t="str">
        <f t="shared" si="63"/>
        <v/>
      </c>
      <c r="L417" s="1" t="str">
        <f t="shared" si="64"/>
        <v/>
      </c>
    </row>
    <row r="418" spans="1:12">
      <c r="A418" t="s">
        <v>295</v>
      </c>
      <c r="B418">
        <v>16</v>
      </c>
      <c r="C418" t="str">
        <f t="shared" si="58"/>
        <v>test.ImageData_16_</v>
      </c>
      <c r="D418">
        <v>2</v>
      </c>
      <c r="E418">
        <v>2.4198189713807356E-3</v>
      </c>
      <c r="F418">
        <v>2.4006624338022531E-2</v>
      </c>
      <c r="G418" s="1">
        <f t="shared" si="59"/>
        <v>2.4198189713807356E-3</v>
      </c>
      <c r="H418" s="1" t="str">
        <f t="shared" si="60"/>
        <v/>
      </c>
      <c r="I418" s="1" t="str">
        <f t="shared" si="61"/>
        <v/>
      </c>
      <c r="J418" s="1" t="str">
        <f t="shared" si="62"/>
        <v/>
      </c>
      <c r="K418" s="1" t="str">
        <f t="shared" si="63"/>
        <v/>
      </c>
      <c r="L418" s="1" t="str">
        <f t="shared" si="64"/>
        <v/>
      </c>
    </row>
    <row r="419" spans="1:12">
      <c r="A419" t="s">
        <v>295</v>
      </c>
      <c r="B419">
        <v>16</v>
      </c>
      <c r="C419" t="str">
        <f t="shared" si="58"/>
        <v>test.ImageData_16_</v>
      </c>
      <c r="D419">
        <v>3</v>
      </c>
      <c r="E419">
        <v>2.4198189713807356E-3</v>
      </c>
      <c r="F419">
        <v>2.4420529984293459E-2</v>
      </c>
      <c r="G419" s="1">
        <f t="shared" si="59"/>
        <v>2.4198189713807356E-3</v>
      </c>
      <c r="H419" s="1" t="str">
        <f t="shared" si="60"/>
        <v/>
      </c>
      <c r="I419" s="1" t="str">
        <f t="shared" si="61"/>
        <v/>
      </c>
      <c r="J419" s="1" t="str">
        <f t="shared" si="62"/>
        <v/>
      </c>
      <c r="K419" s="1" t="str">
        <f t="shared" si="63"/>
        <v/>
      </c>
      <c r="L419" s="1" t="str">
        <f t="shared" si="64"/>
        <v/>
      </c>
    </row>
    <row r="420" spans="1:12">
      <c r="A420" t="s">
        <v>295</v>
      </c>
      <c r="B420">
        <v>16</v>
      </c>
      <c r="C420" t="str">
        <f t="shared" si="58"/>
        <v>test.ImageData_16_</v>
      </c>
      <c r="D420">
        <v>4</v>
      </c>
      <c r="E420">
        <v>1</v>
      </c>
      <c r="F420">
        <v>1.2673841998089486</v>
      </c>
      <c r="G420" s="1" t="str">
        <f t="shared" si="59"/>
        <v/>
      </c>
      <c r="H420" s="1" t="str">
        <f t="shared" si="60"/>
        <v/>
      </c>
      <c r="I420" s="1" t="str">
        <f t="shared" si="61"/>
        <v/>
      </c>
      <c r="J420" s="1" t="str">
        <f t="shared" si="62"/>
        <v/>
      </c>
      <c r="K420" s="1" t="str">
        <f t="shared" si="63"/>
        <v/>
      </c>
      <c r="L420" s="1">
        <f t="shared" si="64"/>
        <v>1</v>
      </c>
    </row>
    <row r="421" spans="1:12">
      <c r="A421" t="s">
        <v>295</v>
      </c>
      <c r="B421">
        <v>20</v>
      </c>
      <c r="C421" t="str">
        <f t="shared" si="58"/>
        <v>test.ImageData_20_</v>
      </c>
      <c r="D421">
        <v>1</v>
      </c>
      <c r="E421">
        <v>0.61643835616438358</v>
      </c>
      <c r="F421">
        <v>1.6666665999999999</v>
      </c>
      <c r="G421" s="1" t="str">
        <f t="shared" si="59"/>
        <v/>
      </c>
      <c r="H421" s="1" t="str">
        <f t="shared" si="60"/>
        <v/>
      </c>
      <c r="I421" s="1" t="str">
        <f t="shared" si="61"/>
        <v/>
      </c>
      <c r="J421" s="1" t="str">
        <f t="shared" si="62"/>
        <v/>
      </c>
      <c r="K421" s="1" t="str">
        <f t="shared" si="63"/>
        <v/>
      </c>
      <c r="L421" s="1">
        <f t="shared" si="64"/>
        <v>0.61643835616438358</v>
      </c>
    </row>
    <row r="422" spans="1:12">
      <c r="A422" t="s">
        <v>295</v>
      </c>
      <c r="B422">
        <v>20</v>
      </c>
      <c r="C422" t="str">
        <f t="shared" si="58"/>
        <v>test.ImageData_20_</v>
      </c>
      <c r="D422">
        <v>2</v>
      </c>
      <c r="E422">
        <v>1</v>
      </c>
      <c r="F422">
        <v>1.6666865999999998</v>
      </c>
      <c r="G422" s="1" t="str">
        <f t="shared" si="59"/>
        <v/>
      </c>
      <c r="H422" s="1" t="str">
        <f t="shared" si="60"/>
        <v/>
      </c>
      <c r="I422" s="1" t="str">
        <f t="shared" si="61"/>
        <v/>
      </c>
      <c r="J422" s="1" t="str">
        <f t="shared" si="62"/>
        <v/>
      </c>
      <c r="K422" s="1" t="str">
        <f t="shared" si="63"/>
        <v/>
      </c>
      <c r="L422" s="1">
        <f t="shared" si="64"/>
        <v>1</v>
      </c>
    </row>
    <row r="423" spans="1:12">
      <c r="A423" t="s">
        <v>295</v>
      </c>
      <c r="B423">
        <v>21</v>
      </c>
      <c r="C423" t="str">
        <f t="shared" si="58"/>
        <v>test.ImageData_21_</v>
      </c>
      <c r="D423">
        <v>1</v>
      </c>
      <c r="E423">
        <v>0.53979460847240046</v>
      </c>
      <c r="F423">
        <v>1.2619047142857143</v>
      </c>
      <c r="G423" s="1" t="str">
        <f t="shared" si="59"/>
        <v/>
      </c>
      <c r="H423" s="1" t="str">
        <f t="shared" si="60"/>
        <v/>
      </c>
      <c r="I423" s="1" t="str">
        <f t="shared" si="61"/>
        <v/>
      </c>
      <c r="J423" s="1" t="str">
        <f t="shared" si="62"/>
        <v/>
      </c>
      <c r="K423" s="1" t="str">
        <f t="shared" si="63"/>
        <v/>
      </c>
      <c r="L423" s="1">
        <f t="shared" si="64"/>
        <v>0.53979460847240046</v>
      </c>
    </row>
    <row r="424" spans="1:12">
      <c r="A424" t="s">
        <v>295</v>
      </c>
      <c r="B424">
        <v>21</v>
      </c>
      <c r="C424" t="str">
        <f t="shared" si="58"/>
        <v>test.ImageData_21_</v>
      </c>
      <c r="D424">
        <v>2</v>
      </c>
      <c r="E424">
        <v>1</v>
      </c>
      <c r="F424">
        <v>1.2857142857142858</v>
      </c>
      <c r="G424" s="1" t="str">
        <f t="shared" si="59"/>
        <v/>
      </c>
      <c r="H424" s="1" t="str">
        <f t="shared" si="60"/>
        <v/>
      </c>
      <c r="I424" s="1" t="str">
        <f t="shared" si="61"/>
        <v/>
      </c>
      <c r="J424" s="1" t="str">
        <f t="shared" si="62"/>
        <v/>
      </c>
      <c r="K424" s="1" t="str">
        <f t="shared" si="63"/>
        <v/>
      </c>
      <c r="L424" s="1">
        <f t="shared" si="64"/>
        <v>1</v>
      </c>
    </row>
    <row r="425" spans="1:12">
      <c r="A425" t="s">
        <v>344</v>
      </c>
      <c r="B425">
        <v>0</v>
      </c>
      <c r="C425" t="str">
        <f t="shared" si="58"/>
        <v>test.QRCodeDataBlockReader_0_</v>
      </c>
      <c r="D425">
        <v>1</v>
      </c>
      <c r="E425">
        <v>0.80622837370242217</v>
      </c>
      <c r="F425">
        <v>1.75</v>
      </c>
      <c r="G425" s="1" t="str">
        <f t="shared" si="59"/>
        <v/>
      </c>
      <c r="H425" s="1" t="str">
        <f t="shared" si="60"/>
        <v/>
      </c>
      <c r="I425" s="1" t="str">
        <f t="shared" si="61"/>
        <v/>
      </c>
      <c r="J425" s="1" t="str">
        <f t="shared" si="62"/>
        <v/>
      </c>
      <c r="K425" s="1" t="str">
        <f t="shared" si="63"/>
        <v/>
      </c>
      <c r="L425" s="1">
        <f t="shared" si="64"/>
        <v>0.80622837370242217</v>
      </c>
    </row>
    <row r="426" spans="1:12">
      <c r="A426" t="s">
        <v>344</v>
      </c>
      <c r="B426">
        <v>0</v>
      </c>
      <c r="C426" t="str">
        <f t="shared" si="58"/>
        <v>test.QRCodeDataBlockReader_0_</v>
      </c>
      <c r="D426">
        <v>2</v>
      </c>
      <c r="E426">
        <v>0.91695501730103801</v>
      </c>
      <c r="F426">
        <v>1.833333375</v>
      </c>
      <c r="G426" s="1" t="str">
        <f t="shared" si="59"/>
        <v/>
      </c>
      <c r="H426" s="1" t="str">
        <f t="shared" si="60"/>
        <v/>
      </c>
      <c r="I426" s="1" t="str">
        <f t="shared" si="61"/>
        <v/>
      </c>
      <c r="J426" s="1" t="str">
        <f t="shared" si="62"/>
        <v/>
      </c>
      <c r="K426" s="1" t="str">
        <f t="shared" si="63"/>
        <v/>
      </c>
      <c r="L426" s="1">
        <f t="shared" si="64"/>
        <v>0.91695501730103801</v>
      </c>
    </row>
    <row r="427" spans="1:12">
      <c r="A427" t="s">
        <v>344</v>
      </c>
      <c r="B427">
        <v>0</v>
      </c>
      <c r="C427" t="str">
        <f t="shared" si="58"/>
        <v>test.QRCodeDataBlockReader_0_</v>
      </c>
      <c r="D427">
        <v>3</v>
      </c>
      <c r="E427">
        <v>0.94463667820069208</v>
      </c>
      <c r="F427">
        <v>2</v>
      </c>
      <c r="G427" s="1" t="str">
        <f t="shared" si="59"/>
        <v/>
      </c>
      <c r="H427" s="1" t="str">
        <f t="shared" si="60"/>
        <v/>
      </c>
      <c r="I427" s="1" t="str">
        <f t="shared" si="61"/>
        <v/>
      </c>
      <c r="J427" s="1" t="str">
        <f t="shared" si="62"/>
        <v/>
      </c>
      <c r="K427" s="1" t="str">
        <f t="shared" si="63"/>
        <v/>
      </c>
      <c r="L427" s="1">
        <f t="shared" si="64"/>
        <v>0.94463667820069208</v>
      </c>
    </row>
    <row r="428" spans="1:12">
      <c r="A428" t="s">
        <v>344</v>
      </c>
      <c r="B428">
        <v>0</v>
      </c>
      <c r="C428" t="str">
        <f t="shared" si="58"/>
        <v>test.QRCodeDataBlockReader_0_</v>
      </c>
      <c r="D428">
        <v>4</v>
      </c>
      <c r="E428">
        <v>1</v>
      </c>
      <c r="F428">
        <v>2.1666667500000001</v>
      </c>
      <c r="G428" s="1" t="str">
        <f t="shared" si="59"/>
        <v/>
      </c>
      <c r="H428" s="1" t="str">
        <f t="shared" si="60"/>
        <v/>
      </c>
      <c r="I428" s="1" t="str">
        <f t="shared" si="61"/>
        <v/>
      </c>
      <c r="J428" s="1" t="str">
        <f t="shared" si="62"/>
        <v/>
      </c>
      <c r="K428" s="1" t="str">
        <f t="shared" si="63"/>
        <v/>
      </c>
      <c r="L428" s="1">
        <f t="shared" si="64"/>
        <v>1</v>
      </c>
    </row>
    <row r="429" spans="1:12">
      <c r="A429" t="s">
        <v>344</v>
      </c>
      <c r="B429">
        <v>1</v>
      </c>
      <c r="C429" t="str">
        <f t="shared" si="58"/>
        <v>test.QRCodeDataBlockReader_1_</v>
      </c>
      <c r="D429">
        <v>1</v>
      </c>
      <c r="E429">
        <v>4.1444398851046366E-2</v>
      </c>
      <c r="F429">
        <v>0.64516129500520303</v>
      </c>
      <c r="G429" s="1" t="str">
        <f t="shared" si="59"/>
        <v/>
      </c>
      <c r="H429" s="1" t="str">
        <f t="shared" si="60"/>
        <v/>
      </c>
      <c r="I429" s="1" t="str">
        <f t="shared" si="61"/>
        <v/>
      </c>
      <c r="J429" s="1">
        <f t="shared" si="62"/>
        <v>4.1444398851046366E-2</v>
      </c>
      <c r="K429" s="1" t="str">
        <f t="shared" si="63"/>
        <v/>
      </c>
      <c r="L429" s="1" t="str">
        <f t="shared" si="64"/>
        <v/>
      </c>
    </row>
    <row r="430" spans="1:12">
      <c r="A430" t="s">
        <v>344</v>
      </c>
      <c r="B430">
        <v>1</v>
      </c>
      <c r="C430" t="str">
        <f t="shared" si="58"/>
        <v>test.QRCodeDataBlockReader_1_</v>
      </c>
      <c r="D430">
        <v>2</v>
      </c>
      <c r="E430">
        <v>0.12802626179729176</v>
      </c>
      <c r="F430">
        <v>0.83870973673257221</v>
      </c>
      <c r="G430" s="1" t="str">
        <f t="shared" si="59"/>
        <v/>
      </c>
      <c r="H430" s="1" t="str">
        <f t="shared" si="60"/>
        <v/>
      </c>
      <c r="I430" s="1" t="str">
        <f t="shared" si="61"/>
        <v/>
      </c>
      <c r="J430" s="1" t="str">
        <f t="shared" si="62"/>
        <v/>
      </c>
      <c r="K430" s="1">
        <f t="shared" si="63"/>
        <v>0.12802626179729176</v>
      </c>
      <c r="L430" s="1" t="str">
        <f t="shared" si="64"/>
        <v/>
      </c>
    </row>
    <row r="431" spans="1:12">
      <c r="A431" t="s">
        <v>344</v>
      </c>
      <c r="B431">
        <v>1</v>
      </c>
      <c r="C431" t="str">
        <f t="shared" si="58"/>
        <v>test.QRCodeDataBlockReader_1_</v>
      </c>
      <c r="D431">
        <v>3</v>
      </c>
      <c r="E431">
        <v>0.32663110381616745</v>
      </c>
      <c r="F431">
        <v>1.0645161633714892</v>
      </c>
      <c r="G431" s="1" t="str">
        <f t="shared" si="59"/>
        <v/>
      </c>
      <c r="H431" s="1" t="str">
        <f t="shared" si="60"/>
        <v/>
      </c>
      <c r="I431" s="1" t="str">
        <f t="shared" si="61"/>
        <v/>
      </c>
      <c r="J431" s="1" t="str">
        <f t="shared" si="62"/>
        <v/>
      </c>
      <c r="K431" s="1">
        <f t="shared" si="63"/>
        <v>0.32663110381616745</v>
      </c>
      <c r="L431" s="1" t="str">
        <f t="shared" si="64"/>
        <v/>
      </c>
    </row>
    <row r="432" spans="1:12">
      <c r="A432" t="s">
        <v>344</v>
      </c>
      <c r="B432">
        <v>1</v>
      </c>
      <c r="C432" t="str">
        <f t="shared" si="58"/>
        <v>test.QRCodeDataBlockReader_1_</v>
      </c>
      <c r="D432">
        <v>4</v>
      </c>
      <c r="E432">
        <v>1</v>
      </c>
      <c r="F432">
        <v>1.6774194734651444</v>
      </c>
      <c r="G432" s="1" t="str">
        <f t="shared" si="59"/>
        <v/>
      </c>
      <c r="H432" s="1" t="str">
        <f t="shared" si="60"/>
        <v/>
      </c>
      <c r="I432" s="1" t="str">
        <f t="shared" si="61"/>
        <v/>
      </c>
      <c r="J432" s="1" t="str">
        <f t="shared" si="62"/>
        <v/>
      </c>
      <c r="K432" s="1" t="str">
        <f t="shared" si="63"/>
        <v/>
      </c>
      <c r="L432" s="1">
        <f t="shared" si="64"/>
        <v>1</v>
      </c>
    </row>
    <row r="433" spans="1:12">
      <c r="A433" t="s">
        <v>348</v>
      </c>
      <c r="B433">
        <v>1</v>
      </c>
      <c r="C433" t="str">
        <f t="shared" si="58"/>
        <v>test.StructurePanel_1_</v>
      </c>
      <c r="D433">
        <v>1</v>
      </c>
      <c r="E433">
        <v>6.1995597945707998E-2</v>
      </c>
      <c r="F433">
        <v>0.83870973673257221</v>
      </c>
      <c r="G433" s="1" t="str">
        <f t="shared" si="59"/>
        <v/>
      </c>
      <c r="H433" s="1" t="str">
        <f t="shared" si="60"/>
        <v/>
      </c>
      <c r="I433" s="1" t="str">
        <f t="shared" si="61"/>
        <v/>
      </c>
      <c r="J433" s="1" t="str">
        <f t="shared" si="62"/>
        <v/>
      </c>
      <c r="K433" s="1">
        <f t="shared" si="63"/>
        <v>6.1995597945707998E-2</v>
      </c>
      <c r="L433" s="1" t="str">
        <f t="shared" si="64"/>
        <v/>
      </c>
    </row>
    <row r="434" spans="1:12">
      <c r="A434" t="s">
        <v>348</v>
      </c>
      <c r="B434">
        <v>1</v>
      </c>
      <c r="C434" t="str">
        <f t="shared" si="58"/>
        <v>test.StructurePanel_1_</v>
      </c>
      <c r="D434">
        <v>2</v>
      </c>
      <c r="E434">
        <v>0.11665443873807776</v>
      </c>
      <c r="F434">
        <v>0.93548393340270763</v>
      </c>
      <c r="G434" s="1" t="str">
        <f t="shared" si="59"/>
        <v/>
      </c>
      <c r="H434" s="1" t="str">
        <f t="shared" si="60"/>
        <v/>
      </c>
      <c r="I434" s="1" t="str">
        <f t="shared" si="61"/>
        <v/>
      </c>
      <c r="J434" s="1" t="str">
        <f t="shared" si="62"/>
        <v/>
      </c>
      <c r="K434" s="1">
        <f t="shared" si="63"/>
        <v>0.11665443873807776</v>
      </c>
      <c r="L434" s="1" t="str">
        <f t="shared" si="64"/>
        <v/>
      </c>
    </row>
    <row r="435" spans="1:12">
      <c r="A435" t="s">
        <v>348</v>
      </c>
      <c r="B435">
        <v>1</v>
      </c>
      <c r="C435" t="str">
        <f t="shared" si="58"/>
        <v>test.StructurePanel_1_</v>
      </c>
      <c r="D435">
        <v>3</v>
      </c>
      <c r="E435">
        <v>0.25678650036683787</v>
      </c>
      <c r="F435">
        <v>1.0322581300728431</v>
      </c>
      <c r="G435" s="1" t="str">
        <f t="shared" si="59"/>
        <v/>
      </c>
      <c r="H435" s="1" t="str">
        <f t="shared" si="60"/>
        <v/>
      </c>
      <c r="I435" s="1" t="str">
        <f t="shared" si="61"/>
        <v/>
      </c>
      <c r="J435" s="1" t="str">
        <f t="shared" si="62"/>
        <v/>
      </c>
      <c r="K435" s="1">
        <f t="shared" si="63"/>
        <v>0.25678650036683787</v>
      </c>
      <c r="L435" s="1" t="str">
        <f t="shared" si="64"/>
        <v/>
      </c>
    </row>
    <row r="436" spans="1:12">
      <c r="A436" t="s">
        <v>348</v>
      </c>
      <c r="B436">
        <v>1</v>
      </c>
      <c r="C436" t="str">
        <f t="shared" si="58"/>
        <v>test.StructurePanel_1_</v>
      </c>
      <c r="D436">
        <v>4</v>
      </c>
      <c r="E436">
        <v>0.40572267057960382</v>
      </c>
      <c r="F436">
        <v>1.0645161633714892</v>
      </c>
      <c r="G436" s="1" t="str">
        <f t="shared" si="59"/>
        <v/>
      </c>
      <c r="H436" s="1" t="str">
        <f t="shared" si="60"/>
        <v/>
      </c>
      <c r="I436" s="1" t="str">
        <f t="shared" si="61"/>
        <v/>
      </c>
      <c r="J436" s="1" t="str">
        <f t="shared" si="62"/>
        <v/>
      </c>
      <c r="K436" s="1">
        <f t="shared" si="63"/>
        <v>0.40572267057960382</v>
      </c>
      <c r="L436" s="1" t="str">
        <f t="shared" si="64"/>
        <v/>
      </c>
    </row>
    <row r="437" spans="1:12">
      <c r="A437" t="s">
        <v>348</v>
      </c>
      <c r="B437">
        <v>1</v>
      </c>
      <c r="C437" t="str">
        <f t="shared" si="58"/>
        <v>test.StructurePanel_1_</v>
      </c>
      <c r="D437">
        <v>5</v>
      </c>
      <c r="E437">
        <v>0.54622157006603078</v>
      </c>
      <c r="F437">
        <v>1.0645258407911562</v>
      </c>
      <c r="G437" s="1" t="str">
        <f t="shared" si="59"/>
        <v/>
      </c>
      <c r="H437" s="1" t="str">
        <f t="shared" si="60"/>
        <v/>
      </c>
      <c r="I437" s="1" t="str">
        <f t="shared" si="61"/>
        <v/>
      </c>
      <c r="J437" s="1" t="str">
        <f t="shared" si="62"/>
        <v/>
      </c>
      <c r="K437" s="1">
        <f t="shared" si="63"/>
        <v>0.54622157006603078</v>
      </c>
      <c r="L437" s="1" t="str">
        <f t="shared" si="64"/>
        <v/>
      </c>
    </row>
    <row r="438" spans="1:12">
      <c r="A438" t="s">
        <v>348</v>
      </c>
      <c r="B438">
        <v>1</v>
      </c>
      <c r="C438" t="str">
        <f t="shared" si="58"/>
        <v>test.StructurePanel_1_</v>
      </c>
      <c r="D438">
        <v>6</v>
      </c>
      <c r="E438">
        <v>0.67754952311078498</v>
      </c>
      <c r="F438">
        <v>1.0645355182108232</v>
      </c>
      <c r="G438" s="1" t="str">
        <f t="shared" si="59"/>
        <v/>
      </c>
      <c r="H438" s="1" t="str">
        <f t="shared" si="60"/>
        <v/>
      </c>
      <c r="I438" s="1" t="str">
        <f t="shared" si="61"/>
        <v/>
      </c>
      <c r="J438" s="1" t="str">
        <f t="shared" si="62"/>
        <v/>
      </c>
      <c r="K438" s="1">
        <f t="shared" si="63"/>
        <v>0.67754952311078498</v>
      </c>
      <c r="L438" s="1" t="str">
        <f t="shared" si="64"/>
        <v/>
      </c>
    </row>
    <row r="439" spans="1:12">
      <c r="A439" t="s">
        <v>348</v>
      </c>
      <c r="B439">
        <v>1</v>
      </c>
      <c r="C439" t="str">
        <f t="shared" si="58"/>
        <v>test.StructurePanel_1_</v>
      </c>
      <c r="D439">
        <v>7</v>
      </c>
      <c r="E439">
        <v>0.85106382978723405</v>
      </c>
      <c r="F439">
        <v>1.1290323267429783</v>
      </c>
      <c r="G439" s="1" t="str">
        <f t="shared" si="59"/>
        <v/>
      </c>
      <c r="H439" s="1" t="str">
        <f t="shared" si="60"/>
        <v/>
      </c>
      <c r="I439" s="1" t="str">
        <f t="shared" si="61"/>
        <v/>
      </c>
      <c r="J439" s="1" t="str">
        <f t="shared" si="62"/>
        <v/>
      </c>
      <c r="K439" s="1" t="str">
        <f t="shared" si="63"/>
        <v/>
      </c>
      <c r="L439" s="1">
        <f t="shared" si="64"/>
        <v>0.85106382978723405</v>
      </c>
    </row>
    <row r="440" spans="1:12">
      <c r="A440" t="s">
        <v>348</v>
      </c>
      <c r="B440">
        <v>1</v>
      </c>
      <c r="C440" t="str">
        <f t="shared" si="58"/>
        <v>test.StructurePanel_1_</v>
      </c>
      <c r="D440">
        <v>8</v>
      </c>
      <c r="E440">
        <v>1</v>
      </c>
      <c r="F440">
        <v>1.2258065234131137</v>
      </c>
      <c r="G440" s="1" t="str">
        <f t="shared" si="59"/>
        <v/>
      </c>
      <c r="H440" s="1" t="str">
        <f t="shared" si="60"/>
        <v/>
      </c>
      <c r="I440" s="1" t="str">
        <f t="shared" si="61"/>
        <v/>
      </c>
      <c r="J440" s="1" t="str">
        <f t="shared" si="62"/>
        <v/>
      </c>
      <c r="K440" s="1" t="str">
        <f t="shared" si="63"/>
        <v/>
      </c>
      <c r="L440" s="1">
        <f t="shared" si="64"/>
        <v>1</v>
      </c>
    </row>
    <row r="441" spans="1:12">
      <c r="A441" t="s">
        <v>354</v>
      </c>
      <c r="B441">
        <v>1</v>
      </c>
      <c r="C441" t="str">
        <f t="shared" si="58"/>
        <v>test.WorldController_1_</v>
      </c>
      <c r="D441">
        <v>1</v>
      </c>
      <c r="E441">
        <v>0.22747349823321555</v>
      </c>
      <c r="F441">
        <v>0.52</v>
      </c>
      <c r="G441" s="1" t="str">
        <f t="shared" si="59"/>
        <v/>
      </c>
      <c r="H441" s="1" t="str">
        <f t="shared" si="60"/>
        <v/>
      </c>
      <c r="I441" s="1">
        <f t="shared" si="61"/>
        <v>0.22747349823321555</v>
      </c>
      <c r="J441" s="1" t="str">
        <f t="shared" si="62"/>
        <v/>
      </c>
      <c r="K441" s="1" t="str">
        <f t="shared" si="63"/>
        <v/>
      </c>
      <c r="L441" s="1" t="str">
        <f t="shared" si="64"/>
        <v/>
      </c>
    </row>
    <row r="442" spans="1:12">
      <c r="A442" t="s">
        <v>354</v>
      </c>
      <c r="B442">
        <v>1</v>
      </c>
      <c r="C442" t="str">
        <f t="shared" si="58"/>
        <v>test.WorldController_1_</v>
      </c>
      <c r="D442">
        <v>2</v>
      </c>
      <c r="E442">
        <v>0.42137809187279152</v>
      </c>
      <c r="F442">
        <v>0.53333332</v>
      </c>
      <c r="G442" s="1" t="str">
        <f t="shared" si="59"/>
        <v/>
      </c>
      <c r="H442" s="1" t="str">
        <f t="shared" si="60"/>
        <v/>
      </c>
      <c r="I442" s="1">
        <f t="shared" si="61"/>
        <v>0.42137809187279152</v>
      </c>
      <c r="J442" s="1" t="str">
        <f t="shared" si="62"/>
        <v/>
      </c>
      <c r="K442" s="1" t="str">
        <f t="shared" si="63"/>
        <v/>
      </c>
      <c r="L442" s="1" t="str">
        <f t="shared" si="64"/>
        <v/>
      </c>
    </row>
    <row r="443" spans="1:12">
      <c r="A443" t="s">
        <v>354</v>
      </c>
      <c r="B443">
        <v>1</v>
      </c>
      <c r="C443" t="str">
        <f t="shared" si="58"/>
        <v>test.WorldController_1_</v>
      </c>
      <c r="D443">
        <v>3</v>
      </c>
      <c r="E443">
        <v>0.60379858657243812</v>
      </c>
      <c r="F443">
        <v>0.56000000000000005</v>
      </c>
      <c r="G443" s="1" t="str">
        <f t="shared" si="59"/>
        <v/>
      </c>
      <c r="H443" s="1" t="str">
        <f t="shared" si="60"/>
        <v/>
      </c>
      <c r="I443" s="1">
        <f t="shared" si="61"/>
        <v>0.60379858657243812</v>
      </c>
      <c r="J443" s="1" t="str">
        <f t="shared" si="62"/>
        <v/>
      </c>
      <c r="K443" s="1" t="str">
        <f t="shared" si="63"/>
        <v/>
      </c>
      <c r="L443" s="1" t="str">
        <f t="shared" si="64"/>
        <v/>
      </c>
    </row>
    <row r="444" spans="1:12">
      <c r="A444" t="s">
        <v>354</v>
      </c>
      <c r="B444">
        <v>1</v>
      </c>
      <c r="C444" t="str">
        <f t="shared" si="58"/>
        <v>test.WorldController_1_</v>
      </c>
      <c r="D444">
        <v>4</v>
      </c>
      <c r="E444">
        <v>0.79196113074204944</v>
      </c>
      <c r="F444">
        <v>0.56000399999999995</v>
      </c>
      <c r="G444" s="1" t="str">
        <f t="shared" si="59"/>
        <v/>
      </c>
      <c r="H444" s="1" t="str">
        <f t="shared" si="60"/>
        <v/>
      </c>
      <c r="I444" s="1">
        <f t="shared" si="61"/>
        <v>0.79196113074204944</v>
      </c>
      <c r="J444" s="1" t="str">
        <f t="shared" si="62"/>
        <v/>
      </c>
      <c r="K444" s="1" t="str">
        <f t="shared" si="63"/>
        <v/>
      </c>
      <c r="L444" s="1" t="str">
        <f t="shared" si="64"/>
        <v/>
      </c>
    </row>
    <row r="445" spans="1:12">
      <c r="A445" t="s">
        <v>354</v>
      </c>
      <c r="B445">
        <v>1</v>
      </c>
      <c r="C445" t="str">
        <f t="shared" si="58"/>
        <v>test.WorldController_1_</v>
      </c>
      <c r="D445">
        <v>5</v>
      </c>
      <c r="E445">
        <v>1</v>
      </c>
      <c r="F445">
        <v>0.56000799999999995</v>
      </c>
      <c r="G445" s="1" t="str">
        <f t="shared" si="59"/>
        <v/>
      </c>
      <c r="H445" s="1" t="str">
        <f t="shared" si="60"/>
        <v/>
      </c>
      <c r="I445" s="1">
        <f t="shared" si="61"/>
        <v>1</v>
      </c>
      <c r="J445" s="1" t="str">
        <f t="shared" si="62"/>
        <v/>
      </c>
      <c r="K445" s="1" t="str">
        <f t="shared" si="63"/>
        <v/>
      </c>
      <c r="L445" s="1" t="str">
        <f t="shared" si="64"/>
        <v/>
      </c>
    </row>
    <row r="446" spans="1:12">
      <c r="A446" t="s">
        <v>358</v>
      </c>
      <c r="B446">
        <v>5</v>
      </c>
      <c r="C446" t="str">
        <f t="shared" si="58"/>
        <v>test.TIFFFaxDecoder_5_</v>
      </c>
      <c r="D446">
        <v>1</v>
      </c>
      <c r="E446">
        <v>0.2127927474187862</v>
      </c>
      <c r="F446">
        <v>0.44736839612188428</v>
      </c>
      <c r="G446" s="1" t="str">
        <f t="shared" si="59"/>
        <v/>
      </c>
      <c r="H446" s="1" t="str">
        <f t="shared" si="60"/>
        <v/>
      </c>
      <c r="I446" s="1">
        <f t="shared" si="61"/>
        <v>0.2127927474187862</v>
      </c>
      <c r="J446" s="1" t="str">
        <f t="shared" si="62"/>
        <v/>
      </c>
      <c r="K446" s="1" t="str">
        <f t="shared" si="63"/>
        <v/>
      </c>
      <c r="L446" s="1" t="str">
        <f t="shared" si="64"/>
        <v/>
      </c>
    </row>
    <row r="447" spans="1:12">
      <c r="A447" t="s">
        <v>358</v>
      </c>
      <c r="B447">
        <v>5</v>
      </c>
      <c r="C447" t="str">
        <f t="shared" si="58"/>
        <v>test.TIFFFaxDecoder_5_</v>
      </c>
      <c r="D447">
        <v>2</v>
      </c>
      <c r="E447">
        <v>0.29337698312767563</v>
      </c>
      <c r="F447">
        <v>0.50328946043975098</v>
      </c>
      <c r="G447" s="1" t="str">
        <f t="shared" si="59"/>
        <v/>
      </c>
      <c r="H447" s="1" t="str">
        <f t="shared" si="60"/>
        <v/>
      </c>
      <c r="I447" s="1">
        <f t="shared" si="61"/>
        <v>0.29337698312767563</v>
      </c>
      <c r="J447" s="1" t="str">
        <f t="shared" si="62"/>
        <v/>
      </c>
      <c r="K447" s="1" t="str">
        <f t="shared" si="63"/>
        <v/>
      </c>
      <c r="L447" s="1" t="str">
        <f t="shared" si="64"/>
        <v/>
      </c>
    </row>
    <row r="448" spans="1:12">
      <c r="A448" t="s">
        <v>358</v>
      </c>
      <c r="B448">
        <v>5</v>
      </c>
      <c r="C448" t="str">
        <f t="shared" si="58"/>
        <v>test.TIFFFaxDecoder_5_</v>
      </c>
      <c r="D448">
        <v>3</v>
      </c>
      <c r="E448">
        <v>0.42483001762780154</v>
      </c>
      <c r="F448">
        <v>0.59210524757617766</v>
      </c>
      <c r="G448" s="1" t="str">
        <f t="shared" si="59"/>
        <v/>
      </c>
      <c r="H448" s="1" t="str">
        <f t="shared" si="60"/>
        <v/>
      </c>
      <c r="I448" s="1">
        <f t="shared" si="61"/>
        <v>0.42483001762780154</v>
      </c>
      <c r="J448" s="1" t="str">
        <f t="shared" si="62"/>
        <v/>
      </c>
      <c r="K448" s="1" t="str">
        <f t="shared" si="63"/>
        <v/>
      </c>
      <c r="L448" s="1" t="str">
        <f t="shared" si="64"/>
        <v/>
      </c>
    </row>
    <row r="449" spans="1:12">
      <c r="A449" t="s">
        <v>358</v>
      </c>
      <c r="B449">
        <v>5</v>
      </c>
      <c r="C449" t="str">
        <f t="shared" si="58"/>
        <v>test.TIFFFaxDecoder_5_</v>
      </c>
      <c r="D449">
        <v>4</v>
      </c>
      <c r="E449">
        <v>0.61218836565096957</v>
      </c>
      <c r="F449">
        <v>0.62171050995498656</v>
      </c>
      <c r="G449" s="1" t="str">
        <f t="shared" si="59"/>
        <v/>
      </c>
      <c r="H449" s="1" t="str">
        <f t="shared" si="60"/>
        <v/>
      </c>
      <c r="I449" s="1" t="str">
        <f t="shared" si="61"/>
        <v/>
      </c>
      <c r="J449" s="1">
        <f t="shared" si="62"/>
        <v>0.61218836565096957</v>
      </c>
      <c r="K449" s="1" t="str">
        <f t="shared" si="63"/>
        <v/>
      </c>
      <c r="L449" s="1" t="str">
        <f t="shared" si="64"/>
        <v/>
      </c>
    </row>
    <row r="450" spans="1:12">
      <c r="A450" t="s">
        <v>358</v>
      </c>
      <c r="B450">
        <v>5</v>
      </c>
      <c r="C450" t="str">
        <f t="shared" si="58"/>
        <v>test.TIFFFaxDecoder_5_</v>
      </c>
      <c r="D450">
        <v>5</v>
      </c>
      <c r="E450">
        <v>1</v>
      </c>
      <c r="F450">
        <v>0.89473679224376856</v>
      </c>
      <c r="G450" s="1" t="str">
        <f t="shared" si="59"/>
        <v/>
      </c>
      <c r="H450" s="1" t="str">
        <f t="shared" si="60"/>
        <v/>
      </c>
      <c r="I450" s="1" t="str">
        <f t="shared" si="61"/>
        <v/>
      </c>
      <c r="J450" s="1" t="str">
        <f t="shared" si="62"/>
        <v/>
      </c>
      <c r="K450" s="1">
        <f t="shared" si="63"/>
        <v>1</v>
      </c>
      <c r="L450" s="1" t="str">
        <f t="shared" si="64"/>
        <v/>
      </c>
    </row>
    <row r="451" spans="1:12">
      <c r="A451" t="s">
        <v>358</v>
      </c>
      <c r="B451">
        <v>7</v>
      </c>
      <c r="C451" t="str">
        <f t="shared" ref="C451:C514" si="65">CONCATENATE(A451, "_",B451,"_")</f>
        <v>test.TIFFFaxDecoder_7_</v>
      </c>
      <c r="D451">
        <v>1</v>
      </c>
      <c r="E451">
        <v>0.15352112676056337</v>
      </c>
      <c r="F451">
        <v>0.61538461094674568</v>
      </c>
      <c r="G451" s="1" t="str">
        <f t="shared" ref="G451:G514" si="66">IF($F451 &lt;= 0.2,$E451,"")</f>
        <v/>
      </c>
      <c r="H451" s="1" t="str">
        <f t="shared" ref="H451:H514" si="67">IF(AND($F451 &gt; 0.2,$F451 &lt;= 0.4),$E451,"")</f>
        <v/>
      </c>
      <c r="I451" s="1" t="str">
        <f t="shared" ref="I451:I514" si="68">IF(AND($F451 &gt; 0.4,$F451 &lt;= 0.6),$E451,"")</f>
        <v/>
      </c>
      <c r="J451" s="1">
        <f t="shared" ref="J451:J514" si="69">IF(AND($F451 &gt; 0.6,$F451 &lt;= 0.8),$E451,"")</f>
        <v>0.15352112676056337</v>
      </c>
      <c r="K451" s="1" t="str">
        <f t="shared" ref="K451:K514" si="70">IF(AND($F451 &gt; 0.8, $F451 &lt;=1.1),$E451,"")</f>
        <v/>
      </c>
      <c r="L451" s="1" t="str">
        <f t="shared" ref="L451:L514" si="71">IF(AND($F451 &gt; 1.1),$E451,"")</f>
        <v/>
      </c>
    </row>
    <row r="452" spans="1:12">
      <c r="A452" t="s">
        <v>358</v>
      </c>
      <c r="B452">
        <v>7</v>
      </c>
      <c r="C452" t="str">
        <f t="shared" si="65"/>
        <v>test.TIFFFaxDecoder_7_</v>
      </c>
      <c r="D452">
        <v>2</v>
      </c>
      <c r="E452">
        <v>0.75352112676056338</v>
      </c>
      <c r="F452">
        <v>1.2307692218934914</v>
      </c>
      <c r="G452" s="1" t="str">
        <f t="shared" si="66"/>
        <v/>
      </c>
      <c r="H452" s="1" t="str">
        <f t="shared" si="67"/>
        <v/>
      </c>
      <c r="I452" s="1" t="str">
        <f t="shared" si="68"/>
        <v/>
      </c>
      <c r="J452" s="1" t="str">
        <f t="shared" si="69"/>
        <v/>
      </c>
      <c r="K452" s="1" t="str">
        <f t="shared" si="70"/>
        <v/>
      </c>
      <c r="L452" s="1">
        <f t="shared" si="71"/>
        <v>0.75352112676056338</v>
      </c>
    </row>
    <row r="453" spans="1:12">
      <c r="A453" t="s">
        <v>358</v>
      </c>
      <c r="B453">
        <v>7</v>
      </c>
      <c r="C453" t="str">
        <f t="shared" si="65"/>
        <v>test.TIFFFaxDecoder_7_</v>
      </c>
      <c r="D453">
        <v>3</v>
      </c>
      <c r="E453">
        <v>1</v>
      </c>
      <c r="F453">
        <v>1.269230720414203</v>
      </c>
      <c r="G453" s="1" t="str">
        <f t="shared" si="66"/>
        <v/>
      </c>
      <c r="H453" s="1" t="str">
        <f t="shared" si="67"/>
        <v/>
      </c>
      <c r="I453" s="1" t="str">
        <f t="shared" si="68"/>
        <v/>
      </c>
      <c r="J453" s="1" t="str">
        <f t="shared" si="69"/>
        <v/>
      </c>
      <c r="K453" s="1" t="str">
        <f t="shared" si="70"/>
        <v/>
      </c>
      <c r="L453" s="1">
        <f t="shared" si="71"/>
        <v>1</v>
      </c>
    </row>
    <row r="454" spans="1:12">
      <c r="A454" t="s">
        <v>358</v>
      </c>
      <c r="B454">
        <v>9</v>
      </c>
      <c r="C454" t="str">
        <f t="shared" si="65"/>
        <v>test.TIFFFaxDecoder_9_</v>
      </c>
      <c r="D454">
        <v>1</v>
      </c>
      <c r="E454">
        <v>0.11186440677966102</v>
      </c>
      <c r="F454">
        <v>0.92307688757396578</v>
      </c>
      <c r="G454" s="1" t="str">
        <f t="shared" si="66"/>
        <v/>
      </c>
      <c r="H454" s="1" t="str">
        <f t="shared" si="67"/>
        <v/>
      </c>
      <c r="I454" s="1" t="str">
        <f t="shared" si="68"/>
        <v/>
      </c>
      <c r="J454" s="1" t="str">
        <f t="shared" si="69"/>
        <v/>
      </c>
      <c r="K454" s="1">
        <f t="shared" si="70"/>
        <v>0.11186440677966102</v>
      </c>
      <c r="L454" s="1" t="str">
        <f t="shared" si="71"/>
        <v/>
      </c>
    </row>
    <row r="455" spans="1:12">
      <c r="A455" t="s">
        <v>358</v>
      </c>
      <c r="B455">
        <v>9</v>
      </c>
      <c r="C455" t="str">
        <f t="shared" si="65"/>
        <v>test.TIFFFaxDecoder_9_</v>
      </c>
      <c r="D455">
        <v>2</v>
      </c>
      <c r="E455">
        <v>0.21016949152542372</v>
      </c>
      <c r="F455">
        <v>1</v>
      </c>
      <c r="G455" s="1" t="str">
        <f t="shared" si="66"/>
        <v/>
      </c>
      <c r="H455" s="1" t="str">
        <f t="shared" si="67"/>
        <v/>
      </c>
      <c r="I455" s="1" t="str">
        <f t="shared" si="68"/>
        <v/>
      </c>
      <c r="J455" s="1" t="str">
        <f t="shared" si="69"/>
        <v/>
      </c>
      <c r="K455" s="1">
        <f t="shared" si="70"/>
        <v>0.21016949152542372</v>
      </c>
      <c r="L455" s="1" t="str">
        <f t="shared" si="71"/>
        <v/>
      </c>
    </row>
    <row r="456" spans="1:12">
      <c r="A456" t="s">
        <v>358</v>
      </c>
      <c r="B456">
        <v>9</v>
      </c>
      <c r="C456" t="str">
        <f t="shared" si="65"/>
        <v>test.TIFFFaxDecoder_9_</v>
      </c>
      <c r="D456">
        <v>3</v>
      </c>
      <c r="E456">
        <v>0.25423728813559321</v>
      </c>
      <c r="F456">
        <v>1.0769229970414231</v>
      </c>
      <c r="G456" s="1" t="str">
        <f t="shared" si="66"/>
        <v/>
      </c>
      <c r="H456" s="1" t="str">
        <f t="shared" si="67"/>
        <v/>
      </c>
      <c r="I456" s="1" t="str">
        <f t="shared" si="68"/>
        <v/>
      </c>
      <c r="J456" s="1" t="str">
        <f t="shared" si="69"/>
        <v/>
      </c>
      <c r="K456" s="1">
        <f t="shared" si="70"/>
        <v>0.25423728813559321</v>
      </c>
      <c r="L456" s="1" t="str">
        <f t="shared" si="71"/>
        <v/>
      </c>
    </row>
    <row r="457" spans="1:12">
      <c r="A457" t="s">
        <v>358</v>
      </c>
      <c r="B457">
        <v>9</v>
      </c>
      <c r="C457" t="str">
        <f t="shared" si="65"/>
        <v>test.TIFFFaxDecoder_9_</v>
      </c>
      <c r="D457">
        <v>4</v>
      </c>
      <c r="E457">
        <v>0.27796610169491526</v>
      </c>
      <c r="F457">
        <v>1.0769460970405347</v>
      </c>
      <c r="G457" s="1" t="str">
        <f t="shared" si="66"/>
        <v/>
      </c>
      <c r="H457" s="1" t="str">
        <f t="shared" si="67"/>
        <v/>
      </c>
      <c r="I457" s="1" t="str">
        <f t="shared" si="68"/>
        <v/>
      </c>
      <c r="J457" s="1" t="str">
        <f t="shared" si="69"/>
        <v/>
      </c>
      <c r="K457" s="1">
        <f t="shared" si="70"/>
        <v>0.27796610169491526</v>
      </c>
      <c r="L457" s="1" t="str">
        <f t="shared" si="71"/>
        <v/>
      </c>
    </row>
    <row r="458" spans="1:12">
      <c r="A458" t="s">
        <v>358</v>
      </c>
      <c r="B458">
        <v>9</v>
      </c>
      <c r="C458" t="str">
        <f t="shared" si="65"/>
        <v>test.TIFFFaxDecoder_9_</v>
      </c>
      <c r="D458">
        <v>5</v>
      </c>
      <c r="E458">
        <v>0.31186440677966104</v>
      </c>
      <c r="F458">
        <v>1.0769692662704127</v>
      </c>
      <c r="G458" s="1" t="str">
        <f t="shared" si="66"/>
        <v/>
      </c>
      <c r="H458" s="1" t="str">
        <f t="shared" si="67"/>
        <v/>
      </c>
      <c r="I458" s="1" t="str">
        <f t="shared" si="68"/>
        <v/>
      </c>
      <c r="J458" s="1" t="str">
        <f t="shared" si="69"/>
        <v/>
      </c>
      <c r="K458" s="1">
        <f t="shared" si="70"/>
        <v>0.31186440677966104</v>
      </c>
      <c r="L458" s="1" t="str">
        <f t="shared" si="71"/>
        <v/>
      </c>
    </row>
    <row r="459" spans="1:12">
      <c r="A459" t="s">
        <v>358</v>
      </c>
      <c r="B459">
        <v>9</v>
      </c>
      <c r="C459" t="str">
        <f t="shared" si="65"/>
        <v>test.TIFFFaxDecoder_9_</v>
      </c>
      <c r="D459">
        <v>6</v>
      </c>
      <c r="E459">
        <v>0.31186440677966104</v>
      </c>
      <c r="F459">
        <v>1.0769923431926021</v>
      </c>
      <c r="G459" s="1" t="str">
        <f t="shared" si="66"/>
        <v/>
      </c>
      <c r="H459" s="1" t="str">
        <f t="shared" si="67"/>
        <v/>
      </c>
      <c r="I459" s="1" t="str">
        <f t="shared" si="68"/>
        <v/>
      </c>
      <c r="J459" s="1" t="str">
        <f t="shared" si="69"/>
        <v/>
      </c>
      <c r="K459" s="1">
        <f t="shared" si="70"/>
        <v>0.31186440677966104</v>
      </c>
      <c r="L459" s="1" t="str">
        <f t="shared" si="71"/>
        <v/>
      </c>
    </row>
    <row r="460" spans="1:12">
      <c r="A460" t="s">
        <v>358</v>
      </c>
      <c r="B460">
        <v>9</v>
      </c>
      <c r="C460" t="str">
        <f t="shared" si="65"/>
        <v>test.TIFFFaxDecoder_9_</v>
      </c>
      <c r="D460">
        <v>7</v>
      </c>
      <c r="E460">
        <v>0.31525423728813562</v>
      </c>
      <c r="F460">
        <v>1.0770154201147915</v>
      </c>
      <c r="G460" s="1" t="str">
        <f t="shared" si="66"/>
        <v/>
      </c>
      <c r="H460" s="1" t="str">
        <f t="shared" si="67"/>
        <v/>
      </c>
      <c r="I460" s="1" t="str">
        <f t="shared" si="68"/>
        <v/>
      </c>
      <c r="J460" s="1" t="str">
        <f t="shared" si="69"/>
        <v/>
      </c>
      <c r="K460" s="1">
        <f t="shared" si="70"/>
        <v>0.31525423728813562</v>
      </c>
      <c r="L460" s="1" t="str">
        <f t="shared" si="71"/>
        <v/>
      </c>
    </row>
    <row r="461" spans="1:12">
      <c r="A461" t="s">
        <v>358</v>
      </c>
      <c r="B461">
        <v>9</v>
      </c>
      <c r="C461" t="str">
        <f t="shared" si="65"/>
        <v>test.TIFFFaxDecoder_9_</v>
      </c>
      <c r="D461">
        <v>8</v>
      </c>
      <c r="E461">
        <v>0.31525423728813562</v>
      </c>
      <c r="F461">
        <v>1.0770384970369808</v>
      </c>
      <c r="G461" s="1" t="str">
        <f t="shared" si="66"/>
        <v/>
      </c>
      <c r="H461" s="1" t="str">
        <f t="shared" si="67"/>
        <v/>
      </c>
      <c r="I461" s="1" t="str">
        <f t="shared" si="68"/>
        <v/>
      </c>
      <c r="J461" s="1" t="str">
        <f t="shared" si="69"/>
        <v/>
      </c>
      <c r="K461" s="1">
        <f t="shared" si="70"/>
        <v>0.31525423728813562</v>
      </c>
      <c r="L461" s="1" t="str">
        <f t="shared" si="71"/>
        <v/>
      </c>
    </row>
    <row r="462" spans="1:12">
      <c r="A462" t="s">
        <v>358</v>
      </c>
      <c r="B462">
        <v>9</v>
      </c>
      <c r="C462" t="str">
        <f t="shared" si="65"/>
        <v>test.TIFFFaxDecoder_9_</v>
      </c>
      <c r="D462">
        <v>9</v>
      </c>
      <c r="E462">
        <v>0.33559322033898303</v>
      </c>
      <c r="F462">
        <v>1.1538461094674572</v>
      </c>
      <c r="G462" s="1" t="str">
        <f t="shared" si="66"/>
        <v/>
      </c>
      <c r="H462" s="1" t="str">
        <f t="shared" si="67"/>
        <v/>
      </c>
      <c r="I462" s="1" t="str">
        <f t="shared" si="68"/>
        <v/>
      </c>
      <c r="J462" s="1" t="str">
        <f t="shared" si="69"/>
        <v/>
      </c>
      <c r="K462" s="1" t="str">
        <f t="shared" si="70"/>
        <v/>
      </c>
      <c r="L462" s="1">
        <f t="shared" si="71"/>
        <v>0.33559322033898303</v>
      </c>
    </row>
    <row r="463" spans="1:12">
      <c r="A463" t="s">
        <v>358</v>
      </c>
      <c r="B463">
        <v>9</v>
      </c>
      <c r="C463" t="str">
        <f t="shared" si="65"/>
        <v>test.TIFFFaxDecoder_9_</v>
      </c>
      <c r="D463">
        <v>10</v>
      </c>
      <c r="E463">
        <v>0.33559322033898303</v>
      </c>
      <c r="F463">
        <v>1.1538691863896466</v>
      </c>
      <c r="G463" s="1" t="str">
        <f t="shared" si="66"/>
        <v/>
      </c>
      <c r="H463" s="1" t="str">
        <f t="shared" si="67"/>
        <v/>
      </c>
      <c r="I463" s="1" t="str">
        <f t="shared" si="68"/>
        <v/>
      </c>
      <c r="J463" s="1" t="str">
        <f t="shared" si="69"/>
        <v/>
      </c>
      <c r="K463" s="1" t="str">
        <f t="shared" si="70"/>
        <v/>
      </c>
      <c r="L463" s="1">
        <f t="shared" si="71"/>
        <v>0.33559322033898303</v>
      </c>
    </row>
    <row r="464" spans="1:12">
      <c r="A464" t="s">
        <v>358</v>
      </c>
      <c r="B464">
        <v>9</v>
      </c>
      <c r="C464" t="str">
        <f t="shared" si="65"/>
        <v>test.TIFFFaxDecoder_9_</v>
      </c>
      <c r="D464">
        <v>11</v>
      </c>
      <c r="E464">
        <v>0.57288135593220335</v>
      </c>
      <c r="F464">
        <v>1.1538923325426027</v>
      </c>
      <c r="G464" s="1" t="str">
        <f t="shared" si="66"/>
        <v/>
      </c>
      <c r="H464" s="1" t="str">
        <f t="shared" si="67"/>
        <v/>
      </c>
      <c r="I464" s="1" t="str">
        <f t="shared" si="68"/>
        <v/>
      </c>
      <c r="J464" s="1" t="str">
        <f t="shared" si="69"/>
        <v/>
      </c>
      <c r="K464" s="1" t="str">
        <f t="shared" si="70"/>
        <v/>
      </c>
      <c r="L464" s="1">
        <f t="shared" si="71"/>
        <v>0.57288135593220335</v>
      </c>
    </row>
    <row r="465" spans="1:12">
      <c r="A465" t="s">
        <v>358</v>
      </c>
      <c r="B465">
        <v>9</v>
      </c>
      <c r="C465" t="str">
        <f t="shared" si="65"/>
        <v>test.TIFFFaxDecoder_9_</v>
      </c>
      <c r="D465">
        <v>12</v>
      </c>
      <c r="E465">
        <v>0.6508474576271186</v>
      </c>
      <c r="F465">
        <v>1.1539154325417142</v>
      </c>
      <c r="G465" s="1" t="str">
        <f t="shared" si="66"/>
        <v/>
      </c>
      <c r="H465" s="1" t="str">
        <f t="shared" si="67"/>
        <v/>
      </c>
      <c r="I465" s="1" t="str">
        <f t="shared" si="68"/>
        <v/>
      </c>
      <c r="J465" s="1" t="str">
        <f t="shared" si="69"/>
        <v/>
      </c>
      <c r="K465" s="1" t="str">
        <f t="shared" si="70"/>
        <v/>
      </c>
      <c r="L465" s="1">
        <f t="shared" si="71"/>
        <v>0.6508474576271186</v>
      </c>
    </row>
    <row r="466" spans="1:12">
      <c r="A466" t="s">
        <v>358</v>
      </c>
      <c r="B466">
        <v>9</v>
      </c>
      <c r="C466" t="str">
        <f t="shared" si="65"/>
        <v>test.TIFFFaxDecoder_9_</v>
      </c>
      <c r="D466">
        <v>13</v>
      </c>
      <c r="E466">
        <v>0.6508474576271186</v>
      </c>
      <c r="F466">
        <v>1.2307692218934914</v>
      </c>
      <c r="G466" s="1" t="str">
        <f t="shared" si="66"/>
        <v/>
      </c>
      <c r="H466" s="1" t="str">
        <f t="shared" si="67"/>
        <v/>
      </c>
      <c r="I466" s="1" t="str">
        <f t="shared" si="68"/>
        <v/>
      </c>
      <c r="J466" s="1" t="str">
        <f t="shared" si="69"/>
        <v/>
      </c>
      <c r="K466" s="1" t="str">
        <f t="shared" si="70"/>
        <v/>
      </c>
      <c r="L466" s="1">
        <f t="shared" si="71"/>
        <v>0.6508474576271186</v>
      </c>
    </row>
    <row r="467" spans="1:12">
      <c r="A467" t="s">
        <v>358</v>
      </c>
      <c r="B467">
        <v>9</v>
      </c>
      <c r="C467" t="str">
        <f t="shared" si="65"/>
        <v>test.TIFFFaxDecoder_9_</v>
      </c>
      <c r="D467">
        <v>14</v>
      </c>
      <c r="E467">
        <v>0.65423728813559323</v>
      </c>
      <c r="F467">
        <v>1.2307923218926029</v>
      </c>
      <c r="G467" s="1" t="str">
        <f t="shared" si="66"/>
        <v/>
      </c>
      <c r="H467" s="1" t="str">
        <f t="shared" si="67"/>
        <v/>
      </c>
      <c r="I467" s="1" t="str">
        <f t="shared" si="68"/>
        <v/>
      </c>
      <c r="J467" s="1" t="str">
        <f t="shared" si="69"/>
        <v/>
      </c>
      <c r="K467" s="1" t="str">
        <f t="shared" si="70"/>
        <v/>
      </c>
      <c r="L467" s="1">
        <f t="shared" si="71"/>
        <v>0.65423728813559323</v>
      </c>
    </row>
    <row r="468" spans="1:12">
      <c r="A468" t="s">
        <v>358</v>
      </c>
      <c r="B468">
        <v>9</v>
      </c>
      <c r="C468" t="str">
        <f t="shared" si="65"/>
        <v>test.TIFFFaxDecoder_9_</v>
      </c>
      <c r="D468">
        <v>15</v>
      </c>
      <c r="E468">
        <v>0.94237288135593222</v>
      </c>
      <c r="F468">
        <v>1.6923076656804743</v>
      </c>
      <c r="G468" s="1" t="str">
        <f t="shared" si="66"/>
        <v/>
      </c>
      <c r="H468" s="1" t="str">
        <f t="shared" si="67"/>
        <v/>
      </c>
      <c r="I468" s="1" t="str">
        <f t="shared" si="68"/>
        <v/>
      </c>
      <c r="J468" s="1" t="str">
        <f t="shared" si="69"/>
        <v/>
      </c>
      <c r="K468" s="1" t="str">
        <f t="shared" si="70"/>
        <v/>
      </c>
      <c r="L468" s="1">
        <f t="shared" si="71"/>
        <v>0.94237288135593222</v>
      </c>
    </row>
    <row r="469" spans="1:12">
      <c r="A469" t="s">
        <v>358</v>
      </c>
      <c r="B469">
        <v>9</v>
      </c>
      <c r="C469" t="str">
        <f t="shared" si="65"/>
        <v>test.TIFFFaxDecoder_9_</v>
      </c>
      <c r="D469">
        <v>16</v>
      </c>
      <c r="E469">
        <v>0.95932203389830506</v>
      </c>
      <c r="F469">
        <v>1.6923307656795858</v>
      </c>
      <c r="G469" s="1" t="str">
        <f t="shared" si="66"/>
        <v/>
      </c>
      <c r="H469" s="1" t="str">
        <f t="shared" si="67"/>
        <v/>
      </c>
      <c r="I469" s="1" t="str">
        <f t="shared" si="68"/>
        <v/>
      </c>
      <c r="J469" s="1" t="str">
        <f t="shared" si="69"/>
        <v/>
      </c>
      <c r="K469" s="1" t="str">
        <f t="shared" si="70"/>
        <v/>
      </c>
      <c r="L469" s="1">
        <f t="shared" si="71"/>
        <v>0.95932203389830506</v>
      </c>
    </row>
    <row r="470" spans="1:12">
      <c r="A470" t="s">
        <v>358</v>
      </c>
      <c r="B470">
        <v>9</v>
      </c>
      <c r="C470" t="str">
        <f t="shared" si="65"/>
        <v>test.TIFFFaxDecoder_9_</v>
      </c>
      <c r="D470">
        <v>17</v>
      </c>
      <c r="E470">
        <v>0.99322033898305084</v>
      </c>
      <c r="F470">
        <v>1.6923539349094641</v>
      </c>
      <c r="G470" s="1" t="str">
        <f t="shared" si="66"/>
        <v/>
      </c>
      <c r="H470" s="1" t="str">
        <f t="shared" si="67"/>
        <v/>
      </c>
      <c r="I470" s="1" t="str">
        <f t="shared" si="68"/>
        <v/>
      </c>
      <c r="J470" s="1" t="str">
        <f t="shared" si="69"/>
        <v/>
      </c>
      <c r="K470" s="1" t="str">
        <f t="shared" si="70"/>
        <v/>
      </c>
      <c r="L470" s="1">
        <f t="shared" si="71"/>
        <v>0.99322033898305084</v>
      </c>
    </row>
    <row r="471" spans="1:12">
      <c r="A471" t="s">
        <v>358</v>
      </c>
      <c r="B471">
        <v>9</v>
      </c>
      <c r="C471" t="str">
        <f t="shared" si="65"/>
        <v>test.TIFFFaxDecoder_9_</v>
      </c>
      <c r="D471">
        <v>18</v>
      </c>
      <c r="E471">
        <v>1</v>
      </c>
      <c r="F471">
        <v>1.7692306627218974</v>
      </c>
      <c r="G471" s="1" t="str">
        <f t="shared" si="66"/>
        <v/>
      </c>
      <c r="H471" s="1" t="str">
        <f t="shared" si="67"/>
        <v/>
      </c>
      <c r="I471" s="1" t="str">
        <f t="shared" si="68"/>
        <v/>
      </c>
      <c r="J471" s="1" t="str">
        <f t="shared" si="69"/>
        <v/>
      </c>
      <c r="K471" s="1" t="str">
        <f t="shared" si="70"/>
        <v/>
      </c>
      <c r="L471" s="1">
        <f t="shared" si="71"/>
        <v>1</v>
      </c>
    </row>
    <row r="472" spans="1:12">
      <c r="A472" t="s">
        <v>358</v>
      </c>
      <c r="B472">
        <v>10</v>
      </c>
      <c r="C472" t="str">
        <f t="shared" si="65"/>
        <v>test.TIFFFaxDecoder_10_</v>
      </c>
      <c r="D472">
        <v>1</v>
      </c>
      <c r="E472">
        <v>0.797427652733119</v>
      </c>
      <c r="F472">
        <v>2.1666667500000001</v>
      </c>
      <c r="G472" s="1" t="str">
        <f t="shared" si="66"/>
        <v/>
      </c>
      <c r="H472" s="1" t="str">
        <f t="shared" si="67"/>
        <v/>
      </c>
      <c r="I472" s="1" t="str">
        <f t="shared" si="68"/>
        <v/>
      </c>
      <c r="J472" s="1" t="str">
        <f t="shared" si="69"/>
        <v/>
      </c>
      <c r="K472" s="1" t="str">
        <f t="shared" si="70"/>
        <v/>
      </c>
      <c r="L472" s="1">
        <f t="shared" si="71"/>
        <v>0.797427652733119</v>
      </c>
    </row>
    <row r="473" spans="1:12">
      <c r="A473" t="s">
        <v>358</v>
      </c>
      <c r="B473">
        <v>10</v>
      </c>
      <c r="C473" t="str">
        <f t="shared" si="65"/>
        <v>test.TIFFFaxDecoder_10_</v>
      </c>
      <c r="D473">
        <v>2</v>
      </c>
      <c r="E473">
        <v>0.99678456591639875</v>
      </c>
      <c r="F473">
        <v>2.25</v>
      </c>
      <c r="G473" s="1" t="str">
        <f t="shared" si="66"/>
        <v/>
      </c>
      <c r="H473" s="1" t="str">
        <f t="shared" si="67"/>
        <v/>
      </c>
      <c r="I473" s="1" t="str">
        <f t="shared" si="68"/>
        <v/>
      </c>
      <c r="J473" s="1" t="str">
        <f t="shared" si="69"/>
        <v/>
      </c>
      <c r="K473" s="1" t="str">
        <f t="shared" si="70"/>
        <v/>
      </c>
      <c r="L473" s="1">
        <f t="shared" si="71"/>
        <v>0.99678456591639875</v>
      </c>
    </row>
    <row r="474" spans="1:12">
      <c r="A474" t="s">
        <v>358</v>
      </c>
      <c r="B474">
        <v>10</v>
      </c>
      <c r="C474" t="str">
        <f t="shared" si="65"/>
        <v>test.TIFFFaxDecoder_10_</v>
      </c>
      <c r="D474">
        <v>3</v>
      </c>
      <c r="E474">
        <v>1</v>
      </c>
      <c r="F474">
        <v>2.3333332499999999</v>
      </c>
      <c r="G474" s="1" t="str">
        <f t="shared" si="66"/>
        <v/>
      </c>
      <c r="H474" s="1" t="str">
        <f t="shared" si="67"/>
        <v/>
      </c>
      <c r="I474" s="1" t="str">
        <f t="shared" si="68"/>
        <v/>
      </c>
      <c r="J474" s="1" t="str">
        <f t="shared" si="69"/>
        <v/>
      </c>
      <c r="K474" s="1" t="str">
        <f t="shared" si="70"/>
        <v/>
      </c>
      <c r="L474" s="1">
        <f t="shared" si="71"/>
        <v>1</v>
      </c>
    </row>
    <row r="475" spans="1:12">
      <c r="A475" t="s">
        <v>358</v>
      </c>
      <c r="B475">
        <v>10</v>
      </c>
      <c r="C475" t="str">
        <f t="shared" si="65"/>
        <v>test.TIFFFaxDecoder_10_</v>
      </c>
      <c r="D475">
        <v>4</v>
      </c>
      <c r="E475">
        <v>1</v>
      </c>
      <c r="F475">
        <v>2.3333582499999999</v>
      </c>
      <c r="G475" s="1" t="str">
        <f t="shared" si="66"/>
        <v/>
      </c>
      <c r="H475" s="1" t="str">
        <f t="shared" si="67"/>
        <v/>
      </c>
      <c r="I475" s="1" t="str">
        <f t="shared" si="68"/>
        <v/>
      </c>
      <c r="J475" s="1" t="str">
        <f t="shared" si="69"/>
        <v/>
      </c>
      <c r="K475" s="1" t="str">
        <f t="shared" si="70"/>
        <v/>
      </c>
      <c r="L475" s="1">
        <f t="shared" si="71"/>
        <v>1</v>
      </c>
    </row>
    <row r="476" spans="1:12">
      <c r="A476" t="s">
        <v>358</v>
      </c>
      <c r="B476">
        <v>11</v>
      </c>
      <c r="C476" t="str">
        <f t="shared" si="65"/>
        <v>test.TIFFFaxDecoder_11_</v>
      </c>
      <c r="D476">
        <v>1</v>
      </c>
      <c r="E476">
        <v>2.2157996146435453E-2</v>
      </c>
      <c r="F476">
        <v>0.58064518002081222</v>
      </c>
      <c r="G476" s="1" t="str">
        <f t="shared" si="66"/>
        <v/>
      </c>
      <c r="H476" s="1" t="str">
        <f t="shared" si="67"/>
        <v/>
      </c>
      <c r="I476" s="1">
        <f t="shared" si="68"/>
        <v>2.2157996146435453E-2</v>
      </c>
      <c r="J476" s="1" t="str">
        <f t="shared" si="69"/>
        <v/>
      </c>
      <c r="K476" s="1" t="str">
        <f t="shared" si="70"/>
        <v/>
      </c>
      <c r="L476" s="1" t="str">
        <f t="shared" si="71"/>
        <v/>
      </c>
    </row>
    <row r="477" spans="1:12">
      <c r="A477" t="s">
        <v>358</v>
      </c>
      <c r="B477">
        <v>11</v>
      </c>
      <c r="C477" t="str">
        <f t="shared" si="65"/>
        <v>test.TIFFFaxDecoder_11_</v>
      </c>
      <c r="D477">
        <v>2</v>
      </c>
      <c r="E477">
        <v>0.24727039177906229</v>
      </c>
      <c r="F477">
        <v>1.0322581300728431</v>
      </c>
      <c r="G477" s="1" t="str">
        <f t="shared" si="66"/>
        <v/>
      </c>
      <c r="H477" s="1" t="str">
        <f t="shared" si="67"/>
        <v/>
      </c>
      <c r="I477" s="1" t="str">
        <f t="shared" si="68"/>
        <v/>
      </c>
      <c r="J477" s="1" t="str">
        <f t="shared" si="69"/>
        <v/>
      </c>
      <c r="K477" s="1">
        <f t="shared" si="70"/>
        <v>0.24727039177906229</v>
      </c>
      <c r="L477" s="1" t="str">
        <f t="shared" si="71"/>
        <v/>
      </c>
    </row>
    <row r="478" spans="1:12">
      <c r="A478" t="s">
        <v>358</v>
      </c>
      <c r="B478">
        <v>11</v>
      </c>
      <c r="C478" t="str">
        <f t="shared" si="65"/>
        <v>test.TIFFFaxDecoder_11_</v>
      </c>
      <c r="D478">
        <v>3</v>
      </c>
      <c r="E478">
        <v>0.30154142581888249</v>
      </c>
      <c r="F478">
        <v>1.0645161633714892</v>
      </c>
      <c r="G478" s="1" t="str">
        <f t="shared" si="66"/>
        <v/>
      </c>
      <c r="H478" s="1" t="str">
        <f t="shared" si="67"/>
        <v/>
      </c>
      <c r="I478" s="1" t="str">
        <f t="shared" si="68"/>
        <v/>
      </c>
      <c r="J478" s="1" t="str">
        <f t="shared" si="69"/>
        <v/>
      </c>
      <c r="K478" s="1">
        <f t="shared" si="70"/>
        <v>0.30154142581888249</v>
      </c>
      <c r="L478" s="1" t="str">
        <f t="shared" si="71"/>
        <v/>
      </c>
    </row>
    <row r="479" spans="1:12">
      <c r="A479" t="s">
        <v>358</v>
      </c>
      <c r="B479">
        <v>11</v>
      </c>
      <c r="C479" t="str">
        <f t="shared" si="65"/>
        <v>test.TIFFFaxDecoder_11_</v>
      </c>
      <c r="D479">
        <v>4</v>
      </c>
      <c r="E479">
        <v>0.31053307642903016</v>
      </c>
      <c r="F479">
        <v>1.0967741966701354</v>
      </c>
      <c r="G479" s="1" t="str">
        <f t="shared" si="66"/>
        <v/>
      </c>
      <c r="H479" s="1" t="str">
        <f t="shared" si="67"/>
        <v/>
      </c>
      <c r="I479" s="1" t="str">
        <f t="shared" si="68"/>
        <v/>
      </c>
      <c r="J479" s="1" t="str">
        <f t="shared" si="69"/>
        <v/>
      </c>
      <c r="K479" s="1">
        <f t="shared" si="70"/>
        <v>0.31053307642903016</v>
      </c>
      <c r="L479" s="1" t="str">
        <f t="shared" si="71"/>
        <v/>
      </c>
    </row>
    <row r="480" spans="1:12">
      <c r="A480" t="s">
        <v>358</v>
      </c>
      <c r="B480">
        <v>11</v>
      </c>
      <c r="C480" t="str">
        <f t="shared" si="65"/>
        <v>test.TIFFFaxDecoder_11_</v>
      </c>
      <c r="D480">
        <v>5</v>
      </c>
      <c r="E480">
        <v>0.3734746307000642</v>
      </c>
      <c r="F480">
        <v>1.0967838740898024</v>
      </c>
      <c r="G480" s="1" t="str">
        <f t="shared" si="66"/>
        <v/>
      </c>
      <c r="H480" s="1" t="str">
        <f t="shared" si="67"/>
        <v/>
      </c>
      <c r="I480" s="1" t="str">
        <f t="shared" si="68"/>
        <v/>
      </c>
      <c r="J480" s="1" t="str">
        <f t="shared" si="69"/>
        <v/>
      </c>
      <c r="K480" s="1">
        <f t="shared" si="70"/>
        <v>0.3734746307000642</v>
      </c>
      <c r="L480" s="1" t="str">
        <f t="shared" si="71"/>
        <v/>
      </c>
    </row>
    <row r="481" spans="1:12">
      <c r="A481" t="s">
        <v>358</v>
      </c>
      <c r="B481">
        <v>11</v>
      </c>
      <c r="C481" t="str">
        <f t="shared" si="65"/>
        <v>test.TIFFFaxDecoder_11_</v>
      </c>
      <c r="D481">
        <v>6</v>
      </c>
      <c r="E481">
        <v>0.37411689145793192</v>
      </c>
      <c r="F481">
        <v>1.1290323267429783</v>
      </c>
      <c r="G481" s="1" t="str">
        <f t="shared" si="66"/>
        <v/>
      </c>
      <c r="H481" s="1" t="str">
        <f t="shared" si="67"/>
        <v/>
      </c>
      <c r="I481" s="1" t="str">
        <f t="shared" si="68"/>
        <v/>
      </c>
      <c r="J481" s="1" t="str">
        <f t="shared" si="69"/>
        <v/>
      </c>
      <c r="K481" s="1" t="str">
        <f t="shared" si="70"/>
        <v/>
      </c>
      <c r="L481" s="1">
        <f t="shared" si="71"/>
        <v>0.37411689145793192</v>
      </c>
    </row>
    <row r="482" spans="1:12">
      <c r="A482" t="s">
        <v>358</v>
      </c>
      <c r="B482">
        <v>11</v>
      </c>
      <c r="C482" t="str">
        <f t="shared" si="65"/>
        <v>test.TIFFFaxDecoder_11_</v>
      </c>
      <c r="D482">
        <v>7</v>
      </c>
      <c r="E482">
        <v>0.449582530507386</v>
      </c>
      <c r="F482">
        <v>1.1290420041626454</v>
      </c>
      <c r="G482" s="1" t="str">
        <f t="shared" si="66"/>
        <v/>
      </c>
      <c r="H482" s="1" t="str">
        <f t="shared" si="67"/>
        <v/>
      </c>
      <c r="I482" s="1" t="str">
        <f t="shared" si="68"/>
        <v/>
      </c>
      <c r="J482" s="1" t="str">
        <f t="shared" si="69"/>
        <v/>
      </c>
      <c r="K482" s="1" t="str">
        <f t="shared" si="70"/>
        <v/>
      </c>
      <c r="L482" s="1">
        <f t="shared" si="71"/>
        <v>0.449582530507386</v>
      </c>
    </row>
    <row r="483" spans="1:12">
      <c r="A483" t="s">
        <v>358</v>
      </c>
      <c r="B483">
        <v>11</v>
      </c>
      <c r="C483" t="str">
        <f t="shared" si="65"/>
        <v>test.TIFFFaxDecoder_11_</v>
      </c>
      <c r="D483">
        <v>8</v>
      </c>
      <c r="E483">
        <v>0.45761078998073218</v>
      </c>
      <c r="F483">
        <v>1.1612903600416244</v>
      </c>
      <c r="G483" s="1" t="str">
        <f t="shared" si="66"/>
        <v/>
      </c>
      <c r="H483" s="1" t="str">
        <f t="shared" si="67"/>
        <v/>
      </c>
      <c r="I483" s="1" t="str">
        <f t="shared" si="68"/>
        <v/>
      </c>
      <c r="J483" s="1" t="str">
        <f t="shared" si="69"/>
        <v/>
      </c>
      <c r="K483" s="1" t="str">
        <f t="shared" si="70"/>
        <v/>
      </c>
      <c r="L483" s="1">
        <f t="shared" si="71"/>
        <v>0.45761078998073218</v>
      </c>
    </row>
    <row r="484" spans="1:12">
      <c r="A484" t="s">
        <v>358</v>
      </c>
      <c r="B484">
        <v>11</v>
      </c>
      <c r="C484" t="str">
        <f t="shared" si="65"/>
        <v>test.TIFFFaxDecoder_11_</v>
      </c>
      <c r="D484">
        <v>9</v>
      </c>
      <c r="E484">
        <v>0.46403339755940914</v>
      </c>
      <c r="F484">
        <v>1.1935483933402709</v>
      </c>
      <c r="G484" s="1" t="str">
        <f t="shared" si="66"/>
        <v/>
      </c>
      <c r="H484" s="1" t="str">
        <f t="shared" si="67"/>
        <v/>
      </c>
      <c r="I484" s="1" t="str">
        <f t="shared" si="68"/>
        <v/>
      </c>
      <c r="J484" s="1" t="str">
        <f t="shared" si="69"/>
        <v/>
      </c>
      <c r="K484" s="1" t="str">
        <f t="shared" si="70"/>
        <v/>
      </c>
      <c r="L484" s="1">
        <f t="shared" si="71"/>
        <v>0.46403339755940914</v>
      </c>
    </row>
    <row r="485" spans="1:12">
      <c r="A485" t="s">
        <v>358</v>
      </c>
      <c r="B485">
        <v>11</v>
      </c>
      <c r="C485" t="str">
        <f t="shared" si="65"/>
        <v>test.TIFFFaxDecoder_11_</v>
      </c>
      <c r="D485">
        <v>10</v>
      </c>
      <c r="E485">
        <v>0.59569685292228647</v>
      </c>
      <c r="F485">
        <v>1.1935580707599378</v>
      </c>
      <c r="G485" s="1" t="str">
        <f t="shared" si="66"/>
        <v/>
      </c>
      <c r="H485" s="1" t="str">
        <f t="shared" si="67"/>
        <v/>
      </c>
      <c r="I485" s="1" t="str">
        <f t="shared" si="68"/>
        <v/>
      </c>
      <c r="J485" s="1" t="str">
        <f t="shared" si="69"/>
        <v/>
      </c>
      <c r="K485" s="1" t="str">
        <f t="shared" si="70"/>
        <v/>
      </c>
      <c r="L485" s="1">
        <f t="shared" si="71"/>
        <v>0.59569685292228647</v>
      </c>
    </row>
    <row r="486" spans="1:12">
      <c r="A486" t="s">
        <v>358</v>
      </c>
      <c r="B486">
        <v>11</v>
      </c>
      <c r="C486" t="str">
        <f t="shared" si="65"/>
        <v>test.TIFFFaxDecoder_11_</v>
      </c>
      <c r="D486">
        <v>11</v>
      </c>
      <c r="E486">
        <v>0.61496467565831725</v>
      </c>
      <c r="F486">
        <v>1.1935677481796048</v>
      </c>
      <c r="G486" s="1" t="str">
        <f t="shared" si="66"/>
        <v/>
      </c>
      <c r="H486" s="1" t="str">
        <f t="shared" si="67"/>
        <v/>
      </c>
      <c r="I486" s="1" t="str">
        <f t="shared" si="68"/>
        <v/>
      </c>
      <c r="J486" s="1" t="str">
        <f t="shared" si="69"/>
        <v/>
      </c>
      <c r="K486" s="1" t="str">
        <f t="shared" si="70"/>
        <v/>
      </c>
      <c r="L486" s="1">
        <f t="shared" si="71"/>
        <v>0.61496467565831725</v>
      </c>
    </row>
    <row r="487" spans="1:12">
      <c r="A487" t="s">
        <v>358</v>
      </c>
      <c r="B487">
        <v>11</v>
      </c>
      <c r="C487" t="str">
        <f t="shared" si="65"/>
        <v>test.TIFFFaxDecoder_11_</v>
      </c>
      <c r="D487">
        <v>12</v>
      </c>
      <c r="E487">
        <v>0.62267180475272965</v>
      </c>
      <c r="F487">
        <v>1.1935774255992719</v>
      </c>
      <c r="G487" s="1" t="str">
        <f t="shared" si="66"/>
        <v/>
      </c>
      <c r="H487" s="1" t="str">
        <f t="shared" si="67"/>
        <v/>
      </c>
      <c r="I487" s="1" t="str">
        <f t="shared" si="68"/>
        <v/>
      </c>
      <c r="J487" s="1" t="str">
        <f t="shared" si="69"/>
        <v/>
      </c>
      <c r="K487" s="1" t="str">
        <f t="shared" si="70"/>
        <v/>
      </c>
      <c r="L487" s="1">
        <f t="shared" si="71"/>
        <v>0.62267180475272965</v>
      </c>
    </row>
    <row r="488" spans="1:12">
      <c r="A488" t="s">
        <v>358</v>
      </c>
      <c r="B488">
        <v>11</v>
      </c>
      <c r="C488" t="str">
        <f t="shared" si="65"/>
        <v>test.TIFFFaxDecoder_11_</v>
      </c>
      <c r="D488">
        <v>13</v>
      </c>
      <c r="E488">
        <v>0.64193962748876043</v>
      </c>
      <c r="F488">
        <v>1.2258065234131137</v>
      </c>
      <c r="G488" s="1" t="str">
        <f t="shared" si="66"/>
        <v/>
      </c>
      <c r="H488" s="1" t="str">
        <f t="shared" si="67"/>
        <v/>
      </c>
      <c r="I488" s="1" t="str">
        <f t="shared" si="68"/>
        <v/>
      </c>
      <c r="J488" s="1" t="str">
        <f t="shared" si="69"/>
        <v/>
      </c>
      <c r="K488" s="1" t="str">
        <f t="shared" si="70"/>
        <v/>
      </c>
      <c r="L488" s="1">
        <f t="shared" si="71"/>
        <v>0.64193962748876043</v>
      </c>
    </row>
    <row r="489" spans="1:12">
      <c r="A489" t="s">
        <v>358</v>
      </c>
      <c r="B489">
        <v>11</v>
      </c>
      <c r="C489" t="str">
        <f t="shared" si="65"/>
        <v>test.TIFFFaxDecoder_11_</v>
      </c>
      <c r="D489">
        <v>14</v>
      </c>
      <c r="E489">
        <v>0.74566473988439308</v>
      </c>
      <c r="F489">
        <v>1.2258162008327806</v>
      </c>
      <c r="G489" s="1" t="str">
        <f t="shared" si="66"/>
        <v/>
      </c>
      <c r="H489" s="1" t="str">
        <f t="shared" si="67"/>
        <v/>
      </c>
      <c r="I489" s="1" t="str">
        <f t="shared" si="68"/>
        <v/>
      </c>
      <c r="J489" s="1" t="str">
        <f t="shared" si="69"/>
        <v/>
      </c>
      <c r="K489" s="1" t="str">
        <f t="shared" si="70"/>
        <v/>
      </c>
      <c r="L489" s="1">
        <f t="shared" si="71"/>
        <v>0.74566473988439308</v>
      </c>
    </row>
    <row r="490" spans="1:12">
      <c r="A490" t="s">
        <v>358</v>
      </c>
      <c r="B490">
        <v>11</v>
      </c>
      <c r="C490" t="str">
        <f t="shared" si="65"/>
        <v>test.TIFFFaxDecoder_11_</v>
      </c>
      <c r="D490">
        <v>15</v>
      </c>
      <c r="E490">
        <v>0.9126525369299936</v>
      </c>
      <c r="F490">
        <v>1.2580645567117599</v>
      </c>
      <c r="G490" s="1" t="str">
        <f t="shared" si="66"/>
        <v/>
      </c>
      <c r="H490" s="1" t="str">
        <f t="shared" si="67"/>
        <v/>
      </c>
      <c r="I490" s="1" t="str">
        <f t="shared" si="68"/>
        <v/>
      </c>
      <c r="J490" s="1" t="str">
        <f t="shared" si="69"/>
        <v/>
      </c>
      <c r="K490" s="1" t="str">
        <f t="shared" si="70"/>
        <v/>
      </c>
      <c r="L490" s="1">
        <f t="shared" si="71"/>
        <v>0.9126525369299936</v>
      </c>
    </row>
    <row r="491" spans="1:12">
      <c r="A491" t="s">
        <v>358</v>
      </c>
      <c r="B491">
        <v>11</v>
      </c>
      <c r="C491" t="str">
        <f t="shared" si="65"/>
        <v>test.TIFFFaxDecoder_11_</v>
      </c>
      <c r="D491">
        <v>16</v>
      </c>
      <c r="E491">
        <v>0.93577392421323058</v>
      </c>
      <c r="F491">
        <v>1.2903225900104061</v>
      </c>
      <c r="G491" s="1" t="str">
        <f t="shared" si="66"/>
        <v/>
      </c>
      <c r="H491" s="1" t="str">
        <f t="shared" si="67"/>
        <v/>
      </c>
      <c r="I491" s="1" t="str">
        <f t="shared" si="68"/>
        <v/>
      </c>
      <c r="J491" s="1" t="str">
        <f t="shared" si="69"/>
        <v/>
      </c>
      <c r="K491" s="1" t="str">
        <f t="shared" si="70"/>
        <v/>
      </c>
      <c r="L491" s="1">
        <f t="shared" si="71"/>
        <v>0.93577392421323058</v>
      </c>
    </row>
    <row r="492" spans="1:12">
      <c r="A492" t="s">
        <v>358</v>
      </c>
      <c r="B492">
        <v>11</v>
      </c>
      <c r="C492" t="str">
        <f t="shared" si="65"/>
        <v>test.TIFFFaxDecoder_11_</v>
      </c>
      <c r="D492">
        <v>17</v>
      </c>
      <c r="E492">
        <v>0.94540783558124597</v>
      </c>
      <c r="F492">
        <v>1.2903322674300732</v>
      </c>
      <c r="G492" s="1" t="str">
        <f t="shared" si="66"/>
        <v/>
      </c>
      <c r="H492" s="1" t="str">
        <f t="shared" si="67"/>
        <v/>
      </c>
      <c r="I492" s="1" t="str">
        <f t="shared" si="68"/>
        <v/>
      </c>
      <c r="J492" s="1" t="str">
        <f t="shared" si="69"/>
        <v/>
      </c>
      <c r="K492" s="1" t="str">
        <f t="shared" si="70"/>
        <v/>
      </c>
      <c r="L492" s="1">
        <f t="shared" si="71"/>
        <v>0.94540783558124597</v>
      </c>
    </row>
    <row r="493" spans="1:12">
      <c r="A493" t="s">
        <v>358</v>
      </c>
      <c r="B493">
        <v>11</v>
      </c>
      <c r="C493" t="str">
        <f t="shared" si="65"/>
        <v>test.TIFFFaxDecoder_11_</v>
      </c>
      <c r="D493">
        <v>18</v>
      </c>
      <c r="E493">
        <v>0.96146435452793833</v>
      </c>
      <c r="F493">
        <v>1.3225807200832491</v>
      </c>
      <c r="G493" s="1" t="str">
        <f t="shared" si="66"/>
        <v/>
      </c>
      <c r="H493" s="1" t="str">
        <f t="shared" si="67"/>
        <v/>
      </c>
      <c r="I493" s="1" t="str">
        <f t="shared" si="68"/>
        <v/>
      </c>
      <c r="J493" s="1" t="str">
        <f t="shared" si="69"/>
        <v/>
      </c>
      <c r="K493" s="1" t="str">
        <f t="shared" si="70"/>
        <v/>
      </c>
      <c r="L493" s="1">
        <f t="shared" si="71"/>
        <v>0.96146435452793833</v>
      </c>
    </row>
    <row r="494" spans="1:12">
      <c r="A494" t="s">
        <v>358</v>
      </c>
      <c r="B494">
        <v>11</v>
      </c>
      <c r="C494" t="str">
        <f t="shared" si="65"/>
        <v>test.TIFFFaxDecoder_11_</v>
      </c>
      <c r="D494">
        <v>19</v>
      </c>
      <c r="E494">
        <v>1</v>
      </c>
      <c r="F494">
        <v>1.4193549167533845</v>
      </c>
      <c r="G494" s="1" t="str">
        <f t="shared" si="66"/>
        <v/>
      </c>
      <c r="H494" s="1" t="str">
        <f t="shared" si="67"/>
        <v/>
      </c>
      <c r="I494" s="1" t="str">
        <f t="shared" si="68"/>
        <v/>
      </c>
      <c r="J494" s="1" t="str">
        <f t="shared" si="69"/>
        <v/>
      </c>
      <c r="K494" s="1" t="str">
        <f t="shared" si="70"/>
        <v/>
      </c>
      <c r="L494" s="1">
        <f t="shared" si="71"/>
        <v>1</v>
      </c>
    </row>
    <row r="495" spans="1:12">
      <c r="A495" t="s">
        <v>358</v>
      </c>
      <c r="B495">
        <v>12</v>
      </c>
      <c r="C495" t="str">
        <f t="shared" si="65"/>
        <v>test.TIFFFaxDecoder_12_</v>
      </c>
      <c r="D495">
        <v>1</v>
      </c>
      <c r="E495">
        <v>4.7422680412371132E-2</v>
      </c>
      <c r="F495">
        <v>0.84999999624999989</v>
      </c>
      <c r="G495" s="1" t="str">
        <f t="shared" si="66"/>
        <v/>
      </c>
      <c r="H495" s="1" t="str">
        <f t="shared" si="67"/>
        <v/>
      </c>
      <c r="I495" s="1" t="str">
        <f t="shared" si="68"/>
        <v/>
      </c>
      <c r="J495" s="1" t="str">
        <f t="shared" si="69"/>
        <v/>
      </c>
      <c r="K495" s="1">
        <f t="shared" si="70"/>
        <v>4.7422680412371132E-2</v>
      </c>
      <c r="L495" s="1" t="str">
        <f t="shared" si="71"/>
        <v/>
      </c>
    </row>
    <row r="496" spans="1:12">
      <c r="A496" t="s">
        <v>358</v>
      </c>
      <c r="B496">
        <v>12</v>
      </c>
      <c r="C496" t="str">
        <f t="shared" si="65"/>
        <v>test.TIFFFaxDecoder_12_</v>
      </c>
      <c r="D496">
        <v>2</v>
      </c>
      <c r="E496">
        <v>0.31958762886597936</v>
      </c>
      <c r="F496">
        <v>1.3500000337500009</v>
      </c>
      <c r="G496" s="1" t="str">
        <f t="shared" si="66"/>
        <v/>
      </c>
      <c r="H496" s="1" t="str">
        <f t="shared" si="67"/>
        <v/>
      </c>
      <c r="I496" s="1" t="str">
        <f t="shared" si="68"/>
        <v/>
      </c>
      <c r="J496" s="1" t="str">
        <f t="shared" si="69"/>
        <v/>
      </c>
      <c r="K496" s="1" t="str">
        <f t="shared" si="70"/>
        <v/>
      </c>
      <c r="L496" s="1">
        <f t="shared" si="71"/>
        <v>0.31958762886597936</v>
      </c>
    </row>
    <row r="497" spans="1:12">
      <c r="A497" t="s">
        <v>358</v>
      </c>
      <c r="B497">
        <v>12</v>
      </c>
      <c r="C497" t="str">
        <f t="shared" si="65"/>
        <v>test.TIFFFaxDecoder_12_</v>
      </c>
      <c r="D497">
        <v>3</v>
      </c>
      <c r="E497">
        <v>0.54364261168384875</v>
      </c>
      <c r="F497">
        <v>1.3999999849999996</v>
      </c>
      <c r="G497" s="1" t="str">
        <f t="shared" si="66"/>
        <v/>
      </c>
      <c r="H497" s="1" t="str">
        <f t="shared" si="67"/>
        <v/>
      </c>
      <c r="I497" s="1" t="str">
        <f t="shared" si="68"/>
        <v/>
      </c>
      <c r="J497" s="1" t="str">
        <f t="shared" si="69"/>
        <v/>
      </c>
      <c r="K497" s="1" t="str">
        <f t="shared" si="70"/>
        <v/>
      </c>
      <c r="L497" s="1">
        <f t="shared" si="71"/>
        <v>0.54364261168384875</v>
      </c>
    </row>
    <row r="498" spans="1:12">
      <c r="A498" t="s">
        <v>358</v>
      </c>
      <c r="B498">
        <v>12</v>
      </c>
      <c r="C498" t="str">
        <f t="shared" si="65"/>
        <v>test.TIFFFaxDecoder_12_</v>
      </c>
      <c r="D498">
        <v>4</v>
      </c>
      <c r="E498">
        <v>0.67422680412371139</v>
      </c>
      <c r="F498">
        <v>1.5000000375000009</v>
      </c>
      <c r="G498" s="1" t="str">
        <f t="shared" si="66"/>
        <v/>
      </c>
      <c r="H498" s="1" t="str">
        <f t="shared" si="67"/>
        <v/>
      </c>
      <c r="I498" s="1" t="str">
        <f t="shared" si="68"/>
        <v/>
      </c>
      <c r="J498" s="1" t="str">
        <f t="shared" si="69"/>
        <v/>
      </c>
      <c r="K498" s="1" t="str">
        <f t="shared" si="70"/>
        <v/>
      </c>
      <c r="L498" s="1">
        <f t="shared" si="71"/>
        <v>0.67422680412371139</v>
      </c>
    </row>
    <row r="499" spans="1:12">
      <c r="A499" t="s">
        <v>358</v>
      </c>
      <c r="B499">
        <v>12</v>
      </c>
      <c r="C499" t="str">
        <f t="shared" si="65"/>
        <v>test.TIFFFaxDecoder_12_</v>
      </c>
      <c r="D499">
        <v>5</v>
      </c>
      <c r="E499">
        <v>0.72577319587628863</v>
      </c>
      <c r="F499">
        <v>1.500015037500376</v>
      </c>
      <c r="G499" s="1" t="str">
        <f t="shared" si="66"/>
        <v/>
      </c>
      <c r="H499" s="1" t="str">
        <f t="shared" si="67"/>
        <v/>
      </c>
      <c r="I499" s="1" t="str">
        <f t="shared" si="68"/>
        <v/>
      </c>
      <c r="J499" s="1" t="str">
        <f t="shared" si="69"/>
        <v/>
      </c>
      <c r="K499" s="1" t="str">
        <f t="shared" si="70"/>
        <v/>
      </c>
      <c r="L499" s="1">
        <f t="shared" si="71"/>
        <v>0.72577319587628863</v>
      </c>
    </row>
    <row r="500" spans="1:12">
      <c r="A500" t="s">
        <v>358</v>
      </c>
      <c r="B500">
        <v>12</v>
      </c>
      <c r="C500" t="str">
        <f t="shared" si="65"/>
        <v>test.TIFFFaxDecoder_12_</v>
      </c>
      <c r="D500">
        <v>6</v>
      </c>
      <c r="E500">
        <v>0.78213058419243986</v>
      </c>
      <c r="F500">
        <v>1.6000000900000024</v>
      </c>
      <c r="G500" s="1" t="str">
        <f t="shared" si="66"/>
        <v/>
      </c>
      <c r="H500" s="1" t="str">
        <f t="shared" si="67"/>
        <v/>
      </c>
      <c r="I500" s="1" t="str">
        <f t="shared" si="68"/>
        <v/>
      </c>
      <c r="J500" s="1" t="str">
        <f t="shared" si="69"/>
        <v/>
      </c>
      <c r="K500" s="1" t="str">
        <f t="shared" si="70"/>
        <v/>
      </c>
      <c r="L500" s="1">
        <f t="shared" si="71"/>
        <v>0.78213058419243986</v>
      </c>
    </row>
    <row r="501" spans="1:12">
      <c r="A501" t="s">
        <v>358</v>
      </c>
      <c r="B501">
        <v>12</v>
      </c>
      <c r="C501" t="str">
        <f t="shared" si="65"/>
        <v>test.TIFFFaxDecoder_12_</v>
      </c>
      <c r="D501">
        <v>7</v>
      </c>
      <c r="E501">
        <v>0.93127147766323026</v>
      </c>
      <c r="F501">
        <v>1.6000150900003773</v>
      </c>
      <c r="G501" s="1" t="str">
        <f t="shared" si="66"/>
        <v/>
      </c>
      <c r="H501" s="1" t="str">
        <f t="shared" si="67"/>
        <v/>
      </c>
      <c r="I501" s="1" t="str">
        <f t="shared" si="68"/>
        <v/>
      </c>
      <c r="J501" s="1" t="str">
        <f t="shared" si="69"/>
        <v/>
      </c>
      <c r="K501" s="1" t="str">
        <f t="shared" si="70"/>
        <v/>
      </c>
      <c r="L501" s="1">
        <f t="shared" si="71"/>
        <v>0.93127147766323026</v>
      </c>
    </row>
    <row r="502" spans="1:12">
      <c r="A502" t="s">
        <v>358</v>
      </c>
      <c r="B502">
        <v>12</v>
      </c>
      <c r="C502" t="str">
        <f t="shared" si="65"/>
        <v>test.TIFFFaxDecoder_12_</v>
      </c>
      <c r="D502">
        <v>8</v>
      </c>
      <c r="E502">
        <v>0.95189003436426112</v>
      </c>
      <c r="F502">
        <v>1.6500000412500011</v>
      </c>
      <c r="G502" s="1" t="str">
        <f t="shared" si="66"/>
        <v/>
      </c>
      <c r="H502" s="1" t="str">
        <f t="shared" si="67"/>
        <v/>
      </c>
      <c r="I502" s="1" t="str">
        <f t="shared" si="68"/>
        <v/>
      </c>
      <c r="J502" s="1" t="str">
        <f t="shared" si="69"/>
        <v/>
      </c>
      <c r="K502" s="1" t="str">
        <f t="shared" si="70"/>
        <v/>
      </c>
      <c r="L502" s="1">
        <f t="shared" si="71"/>
        <v>0.95189003436426112</v>
      </c>
    </row>
    <row r="503" spans="1:12">
      <c r="A503" t="s">
        <v>358</v>
      </c>
      <c r="B503">
        <v>12</v>
      </c>
      <c r="C503" t="str">
        <f t="shared" si="65"/>
        <v>test.TIFFFaxDecoder_12_</v>
      </c>
      <c r="D503">
        <v>9</v>
      </c>
      <c r="E503">
        <v>1</v>
      </c>
      <c r="F503">
        <v>1.650015041250376</v>
      </c>
      <c r="G503" s="1" t="str">
        <f t="shared" si="66"/>
        <v/>
      </c>
      <c r="H503" s="1" t="str">
        <f t="shared" si="67"/>
        <v/>
      </c>
      <c r="I503" s="1" t="str">
        <f t="shared" si="68"/>
        <v/>
      </c>
      <c r="J503" s="1" t="str">
        <f t="shared" si="69"/>
        <v/>
      </c>
      <c r="K503" s="1" t="str">
        <f t="shared" si="70"/>
        <v/>
      </c>
      <c r="L503" s="1">
        <f t="shared" si="71"/>
        <v>1</v>
      </c>
    </row>
    <row r="504" spans="1:12">
      <c r="A504" t="s">
        <v>358</v>
      </c>
      <c r="B504">
        <v>13</v>
      </c>
      <c r="C504" t="str">
        <f t="shared" si="65"/>
        <v>test.TIFFFaxDecoder_13_</v>
      </c>
      <c r="D504">
        <v>1</v>
      </c>
      <c r="E504">
        <v>0.32142857142857145</v>
      </c>
      <c r="F504">
        <v>1.2857143040816328</v>
      </c>
      <c r="G504" s="1" t="str">
        <f t="shared" si="66"/>
        <v/>
      </c>
      <c r="H504" s="1" t="str">
        <f t="shared" si="67"/>
        <v/>
      </c>
      <c r="I504" s="1" t="str">
        <f t="shared" si="68"/>
        <v/>
      </c>
      <c r="J504" s="1" t="str">
        <f t="shared" si="69"/>
        <v/>
      </c>
      <c r="K504" s="1" t="str">
        <f t="shared" si="70"/>
        <v/>
      </c>
      <c r="L504" s="1">
        <f t="shared" si="71"/>
        <v>0.32142857142857145</v>
      </c>
    </row>
    <row r="505" spans="1:12">
      <c r="A505" t="s">
        <v>358</v>
      </c>
      <c r="B505">
        <v>13</v>
      </c>
      <c r="C505" t="str">
        <f t="shared" si="65"/>
        <v>test.TIFFFaxDecoder_13_</v>
      </c>
      <c r="D505">
        <v>2</v>
      </c>
      <c r="E505">
        <v>1</v>
      </c>
      <c r="F505">
        <v>1.7142857387755106</v>
      </c>
      <c r="G505" s="1" t="str">
        <f t="shared" si="66"/>
        <v/>
      </c>
      <c r="H505" s="1" t="str">
        <f t="shared" si="67"/>
        <v/>
      </c>
      <c r="I505" s="1" t="str">
        <f t="shared" si="68"/>
        <v/>
      </c>
      <c r="J505" s="1" t="str">
        <f t="shared" si="69"/>
        <v/>
      </c>
      <c r="K505" s="1" t="str">
        <f t="shared" si="70"/>
        <v/>
      </c>
      <c r="L505" s="1">
        <f t="shared" si="71"/>
        <v>1</v>
      </c>
    </row>
    <row r="506" spans="1:12">
      <c r="A506" t="s">
        <v>405</v>
      </c>
      <c r="B506">
        <v>2</v>
      </c>
      <c r="C506" t="str">
        <f t="shared" si="65"/>
        <v>test.TIFFFaxEncoder_2_</v>
      </c>
      <c r="D506">
        <v>1</v>
      </c>
      <c r="E506">
        <v>0.31790123456790126</v>
      </c>
      <c r="F506">
        <v>1.3043478544423448</v>
      </c>
      <c r="G506" s="1" t="str">
        <f t="shared" si="66"/>
        <v/>
      </c>
      <c r="H506" s="1" t="str">
        <f t="shared" si="67"/>
        <v/>
      </c>
      <c r="I506" s="1" t="str">
        <f t="shared" si="68"/>
        <v/>
      </c>
      <c r="J506" s="1" t="str">
        <f t="shared" si="69"/>
        <v/>
      </c>
      <c r="K506" s="1" t="str">
        <f t="shared" si="70"/>
        <v/>
      </c>
      <c r="L506" s="1">
        <f t="shared" si="71"/>
        <v>0.31790123456790126</v>
      </c>
    </row>
    <row r="507" spans="1:12">
      <c r="A507" t="s">
        <v>405</v>
      </c>
      <c r="B507">
        <v>2</v>
      </c>
      <c r="C507" t="str">
        <f t="shared" si="65"/>
        <v>test.TIFFFaxEncoder_2_</v>
      </c>
      <c r="D507">
        <v>2</v>
      </c>
      <c r="E507">
        <v>0.68595679012345678</v>
      </c>
      <c r="F507">
        <v>1.5652174253308135</v>
      </c>
      <c r="G507" s="1" t="str">
        <f t="shared" si="66"/>
        <v/>
      </c>
      <c r="H507" s="1" t="str">
        <f t="shared" si="67"/>
        <v/>
      </c>
      <c r="I507" s="1" t="str">
        <f t="shared" si="68"/>
        <v/>
      </c>
      <c r="J507" s="1" t="str">
        <f t="shared" si="69"/>
        <v/>
      </c>
      <c r="K507" s="1" t="str">
        <f t="shared" si="70"/>
        <v/>
      </c>
      <c r="L507" s="1">
        <f t="shared" si="71"/>
        <v>0.68595679012345678</v>
      </c>
    </row>
    <row r="508" spans="1:12">
      <c r="A508" t="s">
        <v>405</v>
      </c>
      <c r="B508">
        <v>2</v>
      </c>
      <c r="C508" t="str">
        <f t="shared" si="65"/>
        <v>test.TIFFFaxEncoder_2_</v>
      </c>
      <c r="D508">
        <v>3</v>
      </c>
      <c r="E508">
        <v>1</v>
      </c>
      <c r="F508">
        <v>1.6086956436672966</v>
      </c>
      <c r="G508" s="1" t="str">
        <f t="shared" si="66"/>
        <v/>
      </c>
      <c r="H508" s="1" t="str">
        <f t="shared" si="67"/>
        <v/>
      </c>
      <c r="I508" s="1" t="str">
        <f t="shared" si="68"/>
        <v/>
      </c>
      <c r="J508" s="1" t="str">
        <f t="shared" si="69"/>
        <v/>
      </c>
      <c r="K508" s="1" t="str">
        <f t="shared" si="70"/>
        <v/>
      </c>
      <c r="L508" s="1">
        <f t="shared" si="71"/>
        <v>1</v>
      </c>
    </row>
    <row r="509" spans="1:12">
      <c r="A509" t="s">
        <v>405</v>
      </c>
      <c r="B509">
        <v>6</v>
      </c>
      <c r="C509" t="str">
        <f t="shared" si="65"/>
        <v>test.TIFFFaxEncoder_6_</v>
      </c>
      <c r="D509">
        <v>1</v>
      </c>
      <c r="E509">
        <v>0.72233400402414483</v>
      </c>
      <c r="F509">
        <v>1.9333334</v>
      </c>
      <c r="G509" s="1" t="str">
        <f t="shared" si="66"/>
        <v/>
      </c>
      <c r="H509" s="1" t="str">
        <f t="shared" si="67"/>
        <v/>
      </c>
      <c r="I509" s="1" t="str">
        <f t="shared" si="68"/>
        <v/>
      </c>
      <c r="J509" s="1" t="str">
        <f t="shared" si="69"/>
        <v/>
      </c>
      <c r="K509" s="1" t="str">
        <f t="shared" si="70"/>
        <v/>
      </c>
      <c r="L509" s="1">
        <f t="shared" si="71"/>
        <v>0.72233400402414483</v>
      </c>
    </row>
    <row r="510" spans="1:12">
      <c r="A510" t="s">
        <v>405</v>
      </c>
      <c r="B510">
        <v>6</v>
      </c>
      <c r="C510" t="str">
        <f t="shared" si="65"/>
        <v>test.TIFFFaxEncoder_6_</v>
      </c>
      <c r="D510">
        <v>2</v>
      </c>
      <c r="E510">
        <v>0.9758551307847082</v>
      </c>
      <c r="F510">
        <v>2</v>
      </c>
      <c r="G510" s="1" t="str">
        <f t="shared" si="66"/>
        <v/>
      </c>
      <c r="H510" s="1" t="str">
        <f t="shared" si="67"/>
        <v/>
      </c>
      <c r="I510" s="1" t="str">
        <f t="shared" si="68"/>
        <v/>
      </c>
      <c r="J510" s="1" t="str">
        <f t="shared" si="69"/>
        <v/>
      </c>
      <c r="K510" s="1" t="str">
        <f t="shared" si="70"/>
        <v/>
      </c>
      <c r="L510" s="1">
        <f t="shared" si="71"/>
        <v>0.9758551307847082</v>
      </c>
    </row>
    <row r="511" spans="1:12">
      <c r="A511" t="s">
        <v>405</v>
      </c>
      <c r="B511">
        <v>6</v>
      </c>
      <c r="C511" t="str">
        <f t="shared" si="65"/>
        <v>test.TIFFFaxEncoder_6_</v>
      </c>
      <c r="D511">
        <v>3</v>
      </c>
      <c r="E511">
        <v>1</v>
      </c>
      <c r="F511">
        <v>2.0000200000000001</v>
      </c>
      <c r="G511" s="1" t="str">
        <f t="shared" si="66"/>
        <v/>
      </c>
      <c r="H511" s="1" t="str">
        <f t="shared" si="67"/>
        <v/>
      </c>
      <c r="I511" s="1" t="str">
        <f t="shared" si="68"/>
        <v/>
      </c>
      <c r="J511" s="1" t="str">
        <f t="shared" si="69"/>
        <v/>
      </c>
      <c r="K511" s="1" t="str">
        <f t="shared" si="70"/>
        <v/>
      </c>
      <c r="L511" s="1">
        <f t="shared" si="71"/>
        <v>1</v>
      </c>
    </row>
    <row r="512" spans="1:12">
      <c r="A512" t="s">
        <v>405</v>
      </c>
      <c r="B512">
        <v>6</v>
      </c>
      <c r="C512" t="str">
        <f t="shared" si="65"/>
        <v>test.TIFFFaxEncoder_6_</v>
      </c>
      <c r="D512">
        <v>4</v>
      </c>
      <c r="E512">
        <v>1</v>
      </c>
      <c r="F512">
        <v>2.1333334000000002</v>
      </c>
      <c r="G512" s="1" t="str">
        <f t="shared" si="66"/>
        <v/>
      </c>
      <c r="H512" s="1" t="str">
        <f t="shared" si="67"/>
        <v/>
      </c>
      <c r="I512" s="1" t="str">
        <f t="shared" si="68"/>
        <v/>
      </c>
      <c r="J512" s="1" t="str">
        <f t="shared" si="69"/>
        <v/>
      </c>
      <c r="K512" s="1" t="str">
        <f t="shared" si="70"/>
        <v/>
      </c>
      <c r="L512" s="1">
        <f t="shared" si="71"/>
        <v>1</v>
      </c>
    </row>
    <row r="513" spans="1:12">
      <c r="A513" t="s">
        <v>405</v>
      </c>
      <c r="B513">
        <v>6</v>
      </c>
      <c r="C513" t="str">
        <f t="shared" si="65"/>
        <v>test.TIFFFaxEncoder_6_</v>
      </c>
      <c r="D513">
        <v>5</v>
      </c>
      <c r="E513">
        <v>1</v>
      </c>
      <c r="F513">
        <v>2.1333533999999998</v>
      </c>
      <c r="G513" s="1" t="str">
        <f t="shared" si="66"/>
        <v/>
      </c>
      <c r="H513" s="1" t="str">
        <f t="shared" si="67"/>
        <v/>
      </c>
      <c r="I513" s="1" t="str">
        <f t="shared" si="68"/>
        <v/>
      </c>
      <c r="J513" s="1" t="str">
        <f t="shared" si="69"/>
        <v/>
      </c>
      <c r="K513" s="1" t="str">
        <f t="shared" si="70"/>
        <v/>
      </c>
      <c r="L513" s="1">
        <f t="shared" si="71"/>
        <v>1</v>
      </c>
    </row>
    <row r="514" spans="1:12">
      <c r="A514" t="s">
        <v>405</v>
      </c>
      <c r="B514">
        <v>6</v>
      </c>
      <c r="C514" t="str">
        <f t="shared" si="65"/>
        <v>test.TIFFFaxEncoder_6_</v>
      </c>
      <c r="D514">
        <v>6</v>
      </c>
      <c r="E514">
        <v>1</v>
      </c>
      <c r="F514">
        <v>2.2000000000000002</v>
      </c>
      <c r="G514" s="1" t="str">
        <f t="shared" si="66"/>
        <v/>
      </c>
      <c r="H514" s="1" t="str">
        <f t="shared" si="67"/>
        <v/>
      </c>
      <c r="I514" s="1" t="str">
        <f t="shared" si="68"/>
        <v/>
      </c>
      <c r="J514" s="1" t="str">
        <f t="shared" si="69"/>
        <v/>
      </c>
      <c r="K514" s="1" t="str">
        <f t="shared" si="70"/>
        <v/>
      </c>
      <c r="L514" s="1">
        <f t="shared" si="71"/>
        <v>1</v>
      </c>
    </row>
    <row r="515" spans="1:12">
      <c r="A515" t="s">
        <v>405</v>
      </c>
      <c r="B515">
        <v>8</v>
      </c>
      <c r="C515" t="str">
        <f t="shared" ref="C515:C516" si="72">CONCATENATE(A515, "_",B515,"_")</f>
        <v>test.TIFFFaxEncoder_8_</v>
      </c>
      <c r="D515">
        <v>1</v>
      </c>
      <c r="E515">
        <v>0.92438563327032142</v>
      </c>
      <c r="F515">
        <v>2.3333333999999999</v>
      </c>
      <c r="G515" s="1" t="str">
        <f t="shared" ref="G515:G516" si="73">IF($F515 &lt;= 0.2,$E515,"")</f>
        <v/>
      </c>
      <c r="H515" s="1" t="str">
        <f t="shared" ref="H515:H516" si="74">IF(AND($F515 &gt; 0.2,$F515 &lt;= 0.4),$E515,"")</f>
        <v/>
      </c>
      <c r="I515" s="1" t="str">
        <f t="shared" ref="I515:I516" si="75">IF(AND($F515 &gt; 0.4,$F515 &lt;= 0.6),$E515,"")</f>
        <v/>
      </c>
      <c r="J515" s="1" t="str">
        <f t="shared" ref="J515:J516" si="76">IF(AND($F515 &gt; 0.6,$F515 &lt;= 0.8),$E515,"")</f>
        <v/>
      </c>
      <c r="K515" s="1" t="str">
        <f t="shared" ref="K515:K516" si="77">IF(AND($F515 &gt; 0.8, $F515 &lt;=1.1),$E515,"")</f>
        <v/>
      </c>
      <c r="L515" s="1">
        <f t="shared" ref="L515:L516" si="78">IF(AND($F515 &gt; 1.1),$E515,"")</f>
        <v>0.92438563327032142</v>
      </c>
    </row>
    <row r="516" spans="1:12">
      <c r="A516" t="s">
        <v>405</v>
      </c>
      <c r="B516">
        <v>8</v>
      </c>
      <c r="C516" t="str">
        <f t="shared" si="72"/>
        <v>test.TIFFFaxEncoder_8_</v>
      </c>
      <c r="D516">
        <v>2</v>
      </c>
      <c r="E516">
        <v>1</v>
      </c>
      <c r="F516">
        <v>2.4666665999999999</v>
      </c>
      <c r="G516" s="1" t="str">
        <f t="shared" si="73"/>
        <v/>
      </c>
      <c r="H516" s="1" t="str">
        <f t="shared" si="74"/>
        <v/>
      </c>
      <c r="I516" s="1" t="str">
        <f t="shared" si="75"/>
        <v/>
      </c>
      <c r="J516" s="1" t="str">
        <f t="shared" si="76"/>
        <v/>
      </c>
      <c r="K516" s="1" t="str">
        <f t="shared" si="77"/>
        <v/>
      </c>
      <c r="L516" s="1">
        <f t="shared" si="78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7"/>
  <sheetViews>
    <sheetView workbookViewId="0">
      <pane xSplit="3" ySplit="1" topLeftCell="D289" activePane="bottomRight" state="frozen"/>
      <selection pane="topRight" activeCell="D1" sqref="D1"/>
      <selection pane="bottomLeft" activeCell="A2" sqref="A2"/>
      <selection pane="bottomRight" activeCell="E499" sqref="E499"/>
    </sheetView>
  </sheetViews>
  <sheetFormatPr baseColWidth="10" defaultRowHeight="15" x14ac:dyDescent="0"/>
  <cols>
    <col min="1" max="2" width="20.6640625" customWidth="1"/>
  </cols>
  <sheetData>
    <row r="1" spans="1:10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419</v>
      </c>
      <c r="H1" t="s">
        <v>418</v>
      </c>
      <c r="I1" t="s">
        <v>421</v>
      </c>
      <c r="J1" t="s">
        <v>420</v>
      </c>
    </row>
    <row r="2" spans="1:10">
      <c r="A2" t="s">
        <v>4</v>
      </c>
      <c r="B2">
        <v>1</v>
      </c>
      <c r="C2" t="s">
        <v>2</v>
      </c>
      <c r="D2">
        <v>1</v>
      </c>
      <c r="E2">
        <v>15</v>
      </c>
      <c r="F2">
        <v>14.666667</v>
      </c>
      <c r="G2">
        <v>2466</v>
      </c>
      <c r="H2">
        <v>2518</v>
      </c>
      <c r="I2" s="1">
        <f>F2/E2</f>
        <v>0.97777780000000003</v>
      </c>
      <c r="J2" s="1">
        <f>G2/H2</f>
        <v>0.97934868943606035</v>
      </c>
    </row>
    <row r="3" spans="1:10">
      <c r="A3" t="s">
        <v>4</v>
      </c>
      <c r="B3">
        <v>1</v>
      </c>
      <c r="C3" t="s">
        <v>0</v>
      </c>
      <c r="D3">
        <v>2</v>
      </c>
      <c r="E3">
        <v>15</v>
      </c>
      <c r="F3">
        <v>15</v>
      </c>
      <c r="G3">
        <v>2485</v>
      </c>
      <c r="H3">
        <v>2518</v>
      </c>
      <c r="I3" s="1">
        <f t="shared" ref="I3:I66" si="0">F3/E3</f>
        <v>1</v>
      </c>
      <c r="J3" s="1">
        <f t="shared" ref="J3:J66" si="1">G3/H3</f>
        <v>0.98689436060365365</v>
      </c>
    </row>
    <row r="4" spans="1:10">
      <c r="A4" t="s">
        <v>4</v>
      </c>
      <c r="B4">
        <v>1</v>
      </c>
      <c r="C4" t="s">
        <v>1</v>
      </c>
      <c r="D4">
        <v>3</v>
      </c>
      <c r="E4">
        <v>15</v>
      </c>
      <c r="F4">
        <v>15.333333</v>
      </c>
      <c r="G4">
        <v>2518</v>
      </c>
      <c r="H4">
        <v>2518</v>
      </c>
      <c r="I4" s="1">
        <f t="shared" si="0"/>
        <v>1.0222222000000001</v>
      </c>
      <c r="J4" s="1">
        <f t="shared" si="1"/>
        <v>1</v>
      </c>
    </row>
    <row r="5" spans="1:10">
      <c r="A5" t="s">
        <v>4</v>
      </c>
      <c r="B5">
        <v>1</v>
      </c>
      <c r="C5" t="s">
        <v>3</v>
      </c>
      <c r="D5">
        <v>4</v>
      </c>
      <c r="E5">
        <v>15</v>
      </c>
      <c r="F5">
        <v>15.333432999999999</v>
      </c>
      <c r="G5">
        <v>2518</v>
      </c>
      <c r="H5">
        <v>2518</v>
      </c>
      <c r="I5" s="1">
        <f t="shared" si="0"/>
        <v>1.0222288666666666</v>
      </c>
      <c r="J5" s="1">
        <f t="shared" si="1"/>
        <v>1</v>
      </c>
    </row>
    <row r="6" spans="1:10">
      <c r="A6" t="s">
        <v>4</v>
      </c>
      <c r="B6">
        <v>2</v>
      </c>
      <c r="C6" t="s">
        <v>3</v>
      </c>
      <c r="D6">
        <v>1</v>
      </c>
      <c r="E6">
        <v>6</v>
      </c>
      <c r="F6">
        <v>3.3333333000000001</v>
      </c>
      <c r="G6">
        <v>232</v>
      </c>
      <c r="H6">
        <v>1238</v>
      </c>
      <c r="I6" s="1">
        <f t="shared" si="0"/>
        <v>0.55555555000000001</v>
      </c>
      <c r="J6" s="1">
        <f t="shared" si="1"/>
        <v>0.18739903069466882</v>
      </c>
    </row>
    <row r="7" spans="1:10">
      <c r="A7" t="s">
        <v>4</v>
      </c>
      <c r="B7">
        <v>2</v>
      </c>
      <c r="C7" t="s">
        <v>18</v>
      </c>
      <c r="D7">
        <v>2</v>
      </c>
      <c r="E7">
        <v>6</v>
      </c>
      <c r="F7">
        <v>3.3334332</v>
      </c>
      <c r="G7">
        <v>526</v>
      </c>
      <c r="H7">
        <v>1238</v>
      </c>
      <c r="I7" s="1">
        <f t="shared" si="0"/>
        <v>0.55557219999999996</v>
      </c>
      <c r="J7" s="1">
        <f t="shared" si="1"/>
        <v>0.42487883683360256</v>
      </c>
    </row>
    <row r="8" spans="1:10">
      <c r="A8" t="s">
        <v>4</v>
      </c>
      <c r="B8">
        <v>2</v>
      </c>
      <c r="C8" t="s">
        <v>12</v>
      </c>
      <c r="D8">
        <v>3</v>
      </c>
      <c r="E8">
        <v>6</v>
      </c>
      <c r="F8">
        <v>4</v>
      </c>
      <c r="G8">
        <v>823</v>
      </c>
      <c r="H8">
        <v>1238</v>
      </c>
      <c r="I8" s="1">
        <f t="shared" si="0"/>
        <v>0.66666666666666663</v>
      </c>
      <c r="J8" s="1">
        <f t="shared" si="1"/>
        <v>0.66478190630048462</v>
      </c>
    </row>
    <row r="9" spans="1:10">
      <c r="A9" t="s">
        <v>4</v>
      </c>
      <c r="B9">
        <v>2</v>
      </c>
      <c r="C9" t="s">
        <v>5</v>
      </c>
      <c r="D9">
        <v>4</v>
      </c>
      <c r="E9">
        <v>6</v>
      </c>
      <c r="F9">
        <v>4.0000999999999998</v>
      </c>
      <c r="G9">
        <v>823</v>
      </c>
      <c r="H9">
        <v>1238</v>
      </c>
      <c r="I9" s="1">
        <f t="shared" si="0"/>
        <v>0.66668333333333329</v>
      </c>
      <c r="J9" s="1">
        <f t="shared" si="1"/>
        <v>0.66478190630048462</v>
      </c>
    </row>
    <row r="10" spans="1:10">
      <c r="A10" t="s">
        <v>4</v>
      </c>
      <c r="B10">
        <v>2</v>
      </c>
      <c r="C10" t="s">
        <v>9</v>
      </c>
      <c r="D10">
        <v>5</v>
      </c>
      <c r="E10">
        <v>6</v>
      </c>
      <c r="F10">
        <v>4.6666664999999998</v>
      </c>
      <c r="G10">
        <v>847</v>
      </c>
      <c r="H10">
        <v>1238</v>
      </c>
      <c r="I10" s="1">
        <f t="shared" si="0"/>
        <v>0.77777774999999993</v>
      </c>
      <c r="J10" s="1">
        <f t="shared" si="1"/>
        <v>0.68416801292407103</v>
      </c>
    </row>
    <row r="11" spans="1:10">
      <c r="A11" t="s">
        <v>4</v>
      </c>
      <c r="B11">
        <v>2</v>
      </c>
      <c r="C11" t="s">
        <v>7</v>
      </c>
      <c r="D11">
        <v>6</v>
      </c>
      <c r="E11">
        <v>6</v>
      </c>
      <c r="F11">
        <v>4.6667665999999999</v>
      </c>
      <c r="G11">
        <v>1214</v>
      </c>
      <c r="H11">
        <v>1238</v>
      </c>
      <c r="I11" s="1">
        <f t="shared" si="0"/>
        <v>0.77779443333333331</v>
      </c>
      <c r="J11" s="1">
        <f t="shared" si="1"/>
        <v>0.98061389337641358</v>
      </c>
    </row>
    <row r="12" spans="1:10">
      <c r="A12" t="s">
        <v>4</v>
      </c>
      <c r="B12">
        <v>2</v>
      </c>
      <c r="C12" t="s">
        <v>6</v>
      </c>
      <c r="D12">
        <v>7</v>
      </c>
      <c r="E12">
        <v>6</v>
      </c>
      <c r="F12">
        <v>4.6668669999999999</v>
      </c>
      <c r="G12">
        <v>1214</v>
      </c>
      <c r="H12">
        <v>1238</v>
      </c>
      <c r="I12" s="1">
        <f t="shared" si="0"/>
        <v>0.77781116666666661</v>
      </c>
      <c r="J12" s="1">
        <f t="shared" si="1"/>
        <v>0.98061389337641358</v>
      </c>
    </row>
    <row r="13" spans="1:10">
      <c r="A13" t="s">
        <v>4</v>
      </c>
      <c r="B13">
        <v>2</v>
      </c>
      <c r="C13" t="s">
        <v>15</v>
      </c>
      <c r="D13">
        <v>8</v>
      </c>
      <c r="E13">
        <v>6</v>
      </c>
      <c r="F13">
        <v>4.6669669999999996</v>
      </c>
      <c r="G13">
        <v>1214</v>
      </c>
      <c r="H13">
        <v>1238</v>
      </c>
      <c r="I13" s="1">
        <f t="shared" si="0"/>
        <v>0.77782783333333327</v>
      </c>
      <c r="J13" s="1">
        <f t="shared" si="1"/>
        <v>0.98061389337641358</v>
      </c>
    </row>
    <row r="14" spans="1:10">
      <c r="A14" t="s">
        <v>4</v>
      </c>
      <c r="B14">
        <v>2</v>
      </c>
      <c r="C14" t="s">
        <v>16</v>
      </c>
      <c r="D14">
        <v>9</v>
      </c>
      <c r="E14">
        <v>6</v>
      </c>
      <c r="F14">
        <v>4.6670670000000003</v>
      </c>
      <c r="G14">
        <v>1226</v>
      </c>
      <c r="H14">
        <v>1238</v>
      </c>
      <c r="I14" s="1">
        <f t="shared" si="0"/>
        <v>0.77784450000000005</v>
      </c>
      <c r="J14" s="1">
        <f t="shared" si="1"/>
        <v>0.99030694668820674</v>
      </c>
    </row>
    <row r="15" spans="1:10">
      <c r="A15" t="s">
        <v>4</v>
      </c>
      <c r="B15">
        <v>2</v>
      </c>
      <c r="C15" t="s">
        <v>8</v>
      </c>
      <c r="D15">
        <v>10</v>
      </c>
      <c r="E15">
        <v>6</v>
      </c>
      <c r="F15">
        <v>5</v>
      </c>
      <c r="G15">
        <v>1226</v>
      </c>
      <c r="H15">
        <v>1238</v>
      </c>
      <c r="I15" s="1">
        <f t="shared" si="0"/>
        <v>0.83333333333333337</v>
      </c>
      <c r="J15" s="1">
        <f t="shared" si="1"/>
        <v>0.99030694668820674</v>
      </c>
    </row>
    <row r="16" spans="1:10">
      <c r="A16" t="s">
        <v>4</v>
      </c>
      <c r="B16">
        <v>2</v>
      </c>
      <c r="C16" t="s">
        <v>13</v>
      </c>
      <c r="D16">
        <v>11</v>
      </c>
      <c r="E16">
        <v>6</v>
      </c>
      <c r="F16">
        <v>5.0000999999999998</v>
      </c>
      <c r="G16">
        <v>1238</v>
      </c>
      <c r="H16">
        <v>1238</v>
      </c>
      <c r="I16" s="1">
        <f t="shared" si="0"/>
        <v>0.83334999999999992</v>
      </c>
      <c r="J16" s="1">
        <f t="shared" si="1"/>
        <v>1</v>
      </c>
    </row>
    <row r="17" spans="1:10">
      <c r="A17" t="s">
        <v>4</v>
      </c>
      <c r="B17">
        <v>2</v>
      </c>
      <c r="C17" t="s">
        <v>10</v>
      </c>
      <c r="D17">
        <v>12</v>
      </c>
      <c r="E17">
        <v>6</v>
      </c>
      <c r="F17">
        <v>5.3333335000000002</v>
      </c>
      <c r="G17">
        <v>1238</v>
      </c>
      <c r="H17">
        <v>1238</v>
      </c>
      <c r="I17" s="1">
        <f t="shared" si="0"/>
        <v>0.8888889166666667</v>
      </c>
      <c r="J17" s="1">
        <f t="shared" si="1"/>
        <v>1</v>
      </c>
    </row>
    <row r="18" spans="1:10">
      <c r="A18" t="s">
        <v>4</v>
      </c>
      <c r="B18">
        <v>2</v>
      </c>
      <c r="C18" t="s">
        <v>14</v>
      </c>
      <c r="D18">
        <v>13</v>
      </c>
      <c r="E18">
        <v>6</v>
      </c>
      <c r="F18">
        <v>5.3334336000000002</v>
      </c>
      <c r="G18">
        <v>1238</v>
      </c>
      <c r="H18">
        <v>1238</v>
      </c>
      <c r="I18" s="1">
        <f t="shared" si="0"/>
        <v>0.88890560000000007</v>
      </c>
      <c r="J18" s="1">
        <f t="shared" si="1"/>
        <v>1</v>
      </c>
    </row>
    <row r="19" spans="1:10">
      <c r="A19" t="s">
        <v>4</v>
      </c>
      <c r="B19">
        <v>2</v>
      </c>
      <c r="C19" t="s">
        <v>11</v>
      </c>
      <c r="D19">
        <v>14</v>
      </c>
      <c r="E19">
        <v>6</v>
      </c>
      <c r="F19">
        <v>5.3335340000000002</v>
      </c>
      <c r="G19">
        <v>1238</v>
      </c>
      <c r="H19">
        <v>1238</v>
      </c>
      <c r="I19" s="1">
        <f t="shared" si="0"/>
        <v>0.88892233333333337</v>
      </c>
      <c r="J19" s="1">
        <f t="shared" si="1"/>
        <v>1</v>
      </c>
    </row>
    <row r="20" spans="1:10">
      <c r="A20" t="s">
        <v>4</v>
      </c>
      <c r="B20">
        <v>2</v>
      </c>
      <c r="C20" t="s">
        <v>17</v>
      </c>
      <c r="D20">
        <v>15</v>
      </c>
      <c r="E20">
        <v>6</v>
      </c>
      <c r="F20">
        <v>5.6666664999999998</v>
      </c>
      <c r="G20">
        <v>1238</v>
      </c>
      <c r="H20">
        <v>1238</v>
      </c>
      <c r="I20" s="1">
        <f t="shared" si="0"/>
        <v>0.94444441666666668</v>
      </c>
      <c r="J20" s="1">
        <f t="shared" si="1"/>
        <v>1</v>
      </c>
    </row>
    <row r="21" spans="1:10">
      <c r="A21" t="s">
        <v>4</v>
      </c>
      <c r="B21">
        <v>6</v>
      </c>
      <c r="C21" t="s">
        <v>19</v>
      </c>
      <c r="D21">
        <v>1</v>
      </c>
      <c r="E21">
        <v>2</v>
      </c>
      <c r="F21">
        <v>2</v>
      </c>
      <c r="G21">
        <v>14</v>
      </c>
      <c r="H21">
        <v>80</v>
      </c>
      <c r="I21" s="1">
        <f t="shared" si="0"/>
        <v>1</v>
      </c>
      <c r="J21" s="1">
        <f t="shared" si="1"/>
        <v>0.17499999999999999</v>
      </c>
    </row>
    <row r="22" spans="1:10">
      <c r="A22" t="s">
        <v>4</v>
      </c>
      <c r="B22">
        <v>6</v>
      </c>
      <c r="C22" t="s">
        <v>1</v>
      </c>
      <c r="D22">
        <v>2</v>
      </c>
      <c r="E22">
        <v>2</v>
      </c>
      <c r="F22">
        <v>2.3333333000000001</v>
      </c>
      <c r="G22">
        <v>24</v>
      </c>
      <c r="H22">
        <v>80</v>
      </c>
      <c r="I22" s="1">
        <f t="shared" si="0"/>
        <v>1.16666665</v>
      </c>
      <c r="J22" s="1">
        <f t="shared" si="1"/>
        <v>0.3</v>
      </c>
    </row>
    <row r="23" spans="1:10">
      <c r="A23" t="s">
        <v>4</v>
      </c>
      <c r="B23">
        <v>6</v>
      </c>
      <c r="C23" t="s">
        <v>20</v>
      </c>
      <c r="D23">
        <v>3</v>
      </c>
      <c r="E23">
        <v>2</v>
      </c>
      <c r="F23">
        <v>2.3334332</v>
      </c>
      <c r="G23">
        <v>71</v>
      </c>
      <c r="H23">
        <v>80</v>
      </c>
      <c r="I23" s="1">
        <f t="shared" si="0"/>
        <v>1.1667166</v>
      </c>
      <c r="J23" s="1">
        <f t="shared" si="1"/>
        <v>0.88749999999999996</v>
      </c>
    </row>
    <row r="24" spans="1:10">
      <c r="A24" t="s">
        <v>4</v>
      </c>
      <c r="B24">
        <v>6</v>
      </c>
      <c r="C24" t="s">
        <v>21</v>
      </c>
      <c r="D24">
        <v>4</v>
      </c>
      <c r="E24">
        <v>2</v>
      </c>
      <c r="F24">
        <v>2.3335330000000001</v>
      </c>
      <c r="G24">
        <v>80</v>
      </c>
      <c r="H24">
        <v>80</v>
      </c>
      <c r="I24" s="1">
        <f t="shared" si="0"/>
        <v>1.1667665</v>
      </c>
      <c r="J24" s="1">
        <f t="shared" si="1"/>
        <v>1</v>
      </c>
    </row>
    <row r="25" spans="1:10">
      <c r="A25" t="s">
        <v>4</v>
      </c>
      <c r="B25">
        <v>6</v>
      </c>
      <c r="C25" t="s">
        <v>22</v>
      </c>
      <c r="D25">
        <v>5</v>
      </c>
      <c r="E25">
        <v>2</v>
      </c>
      <c r="F25">
        <v>2.6666666999999999</v>
      </c>
      <c r="G25">
        <v>80</v>
      </c>
      <c r="H25">
        <v>80</v>
      </c>
      <c r="I25" s="1">
        <f t="shared" si="0"/>
        <v>1.33333335</v>
      </c>
      <c r="J25" s="1">
        <f t="shared" si="1"/>
        <v>1</v>
      </c>
    </row>
    <row r="26" spans="1:10">
      <c r="A26" t="s">
        <v>4</v>
      </c>
      <c r="B26">
        <v>9</v>
      </c>
      <c r="C26" t="s">
        <v>23</v>
      </c>
      <c r="D26">
        <v>1</v>
      </c>
      <c r="E26">
        <v>14.666667</v>
      </c>
      <c r="F26">
        <v>3</v>
      </c>
      <c r="G26">
        <v>131</v>
      </c>
      <c r="H26">
        <v>5239</v>
      </c>
      <c r="I26" s="1">
        <f t="shared" si="0"/>
        <v>0.20454544989669432</v>
      </c>
      <c r="J26" s="1">
        <f t="shared" si="1"/>
        <v>2.500477190303493E-2</v>
      </c>
    </row>
    <row r="27" spans="1:10">
      <c r="A27" t="s">
        <v>4</v>
      </c>
      <c r="B27">
        <v>9</v>
      </c>
      <c r="C27" t="s">
        <v>26</v>
      </c>
      <c r="D27">
        <v>2</v>
      </c>
      <c r="E27">
        <v>14.666667</v>
      </c>
      <c r="F27">
        <v>4</v>
      </c>
      <c r="G27">
        <v>647</v>
      </c>
      <c r="H27">
        <v>5239</v>
      </c>
      <c r="I27" s="1">
        <f t="shared" si="0"/>
        <v>0.27272726652892576</v>
      </c>
      <c r="J27" s="1">
        <f t="shared" si="1"/>
        <v>0.12349685054399695</v>
      </c>
    </row>
    <row r="28" spans="1:10">
      <c r="A28" t="s">
        <v>4</v>
      </c>
      <c r="B28">
        <v>9</v>
      </c>
      <c r="C28" t="s">
        <v>24</v>
      </c>
      <c r="D28">
        <v>3</v>
      </c>
      <c r="E28">
        <v>14.666667</v>
      </c>
      <c r="F28">
        <v>4.0000999999999998</v>
      </c>
      <c r="G28">
        <v>762</v>
      </c>
      <c r="H28">
        <v>5239</v>
      </c>
      <c r="I28" s="1">
        <f t="shared" si="0"/>
        <v>0.27273408471058896</v>
      </c>
      <c r="J28" s="1">
        <f t="shared" si="1"/>
        <v>0.14544760450467648</v>
      </c>
    </row>
    <row r="29" spans="1:10">
      <c r="A29" t="s">
        <v>4</v>
      </c>
      <c r="B29">
        <v>9</v>
      </c>
      <c r="C29" t="s">
        <v>25</v>
      </c>
      <c r="D29">
        <v>4</v>
      </c>
      <c r="E29">
        <v>14.666667</v>
      </c>
      <c r="F29">
        <v>4.3333335000000002</v>
      </c>
      <c r="G29">
        <v>997</v>
      </c>
      <c r="H29">
        <v>5239</v>
      </c>
      <c r="I29" s="1">
        <f t="shared" si="0"/>
        <v>0.29545455010330568</v>
      </c>
      <c r="J29" s="1">
        <f t="shared" si="1"/>
        <v>0.19030349303302158</v>
      </c>
    </row>
    <row r="30" spans="1:10">
      <c r="A30" t="s">
        <v>4</v>
      </c>
      <c r="B30">
        <v>9</v>
      </c>
      <c r="C30" t="s">
        <v>3</v>
      </c>
      <c r="D30">
        <v>5</v>
      </c>
      <c r="E30">
        <v>14.666667</v>
      </c>
      <c r="F30">
        <v>4.3334336000000002</v>
      </c>
      <c r="G30">
        <v>1210</v>
      </c>
      <c r="H30">
        <v>5239</v>
      </c>
      <c r="I30" s="1">
        <f t="shared" si="0"/>
        <v>0.29546137510315057</v>
      </c>
      <c r="J30" s="1">
        <f t="shared" si="1"/>
        <v>0.23096010689062799</v>
      </c>
    </row>
    <row r="31" spans="1:10">
      <c r="A31" t="s">
        <v>4</v>
      </c>
      <c r="B31">
        <v>9</v>
      </c>
      <c r="C31" t="s">
        <v>30</v>
      </c>
      <c r="D31">
        <v>6</v>
      </c>
      <c r="E31">
        <v>14.666667</v>
      </c>
      <c r="F31">
        <v>5.3333335000000002</v>
      </c>
      <c r="G31">
        <v>2255</v>
      </c>
      <c r="H31">
        <v>5239</v>
      </c>
      <c r="I31" s="1">
        <f t="shared" si="0"/>
        <v>0.36363636673553712</v>
      </c>
      <c r="J31" s="1">
        <f t="shared" si="1"/>
        <v>0.43042565375071579</v>
      </c>
    </row>
    <row r="32" spans="1:10">
      <c r="A32" t="s">
        <v>4</v>
      </c>
      <c r="B32">
        <v>9</v>
      </c>
      <c r="C32" t="s">
        <v>31</v>
      </c>
      <c r="D32">
        <v>7</v>
      </c>
      <c r="E32">
        <v>14.666667</v>
      </c>
      <c r="F32">
        <v>6.3333335000000002</v>
      </c>
      <c r="G32">
        <v>3633</v>
      </c>
      <c r="H32">
        <v>5239</v>
      </c>
      <c r="I32" s="1">
        <f t="shared" si="0"/>
        <v>0.43181818336776856</v>
      </c>
      <c r="J32" s="1">
        <f t="shared" si="1"/>
        <v>0.69345294903607557</v>
      </c>
    </row>
    <row r="33" spans="1:10">
      <c r="A33" t="s">
        <v>4</v>
      </c>
      <c r="B33">
        <v>9</v>
      </c>
      <c r="C33" t="s">
        <v>27</v>
      </c>
      <c r="D33">
        <v>8</v>
      </c>
      <c r="E33">
        <v>14.666667</v>
      </c>
      <c r="F33">
        <v>6.6666664999999998</v>
      </c>
      <c r="G33">
        <v>4397</v>
      </c>
      <c r="H33">
        <v>5239</v>
      </c>
      <c r="I33" s="1">
        <f t="shared" si="0"/>
        <v>0.45454543285124016</v>
      </c>
      <c r="J33" s="1">
        <f t="shared" si="1"/>
        <v>0.83928230578354646</v>
      </c>
    </row>
    <row r="34" spans="1:10">
      <c r="A34" t="s">
        <v>4</v>
      </c>
      <c r="B34">
        <v>9</v>
      </c>
      <c r="C34" t="s">
        <v>28</v>
      </c>
      <c r="D34">
        <v>9</v>
      </c>
      <c r="E34">
        <v>14.666667</v>
      </c>
      <c r="F34">
        <v>7</v>
      </c>
      <c r="G34">
        <v>5039</v>
      </c>
      <c r="H34">
        <v>5239</v>
      </c>
      <c r="I34" s="1">
        <f t="shared" si="0"/>
        <v>0.47727271642562008</v>
      </c>
      <c r="J34" s="1">
        <f t="shared" si="1"/>
        <v>0.96182477572055736</v>
      </c>
    </row>
    <row r="35" spans="1:10">
      <c r="A35" t="s">
        <v>4</v>
      </c>
      <c r="B35">
        <v>9</v>
      </c>
      <c r="C35" t="s">
        <v>29</v>
      </c>
      <c r="D35">
        <v>10</v>
      </c>
      <c r="E35">
        <v>14.666667</v>
      </c>
      <c r="F35">
        <v>7.0000999999999998</v>
      </c>
      <c r="G35">
        <v>5239</v>
      </c>
      <c r="H35">
        <v>5239</v>
      </c>
      <c r="I35" s="1">
        <f t="shared" si="0"/>
        <v>0.47727953460728328</v>
      </c>
      <c r="J35" s="1">
        <f t="shared" si="1"/>
        <v>1</v>
      </c>
    </row>
    <row r="36" spans="1:10">
      <c r="A36" t="s">
        <v>32</v>
      </c>
      <c r="B36">
        <v>2</v>
      </c>
      <c r="C36" t="s">
        <v>33</v>
      </c>
      <c r="D36">
        <v>1</v>
      </c>
      <c r="E36">
        <v>3.3333333000000001</v>
      </c>
      <c r="F36">
        <v>2.3333333000000001</v>
      </c>
      <c r="G36">
        <v>41</v>
      </c>
      <c r="H36">
        <v>364</v>
      </c>
      <c r="I36" s="1">
        <f t="shared" si="0"/>
        <v>0.69999999699999993</v>
      </c>
      <c r="J36" s="1">
        <f t="shared" si="1"/>
        <v>0.11263736263736264</v>
      </c>
    </row>
    <row r="37" spans="1:10">
      <c r="A37" t="s">
        <v>32</v>
      </c>
      <c r="B37">
        <v>2</v>
      </c>
      <c r="C37" t="s">
        <v>0</v>
      </c>
      <c r="D37">
        <v>2</v>
      </c>
      <c r="E37">
        <v>3.3333333000000001</v>
      </c>
      <c r="F37">
        <v>3</v>
      </c>
      <c r="G37">
        <v>244</v>
      </c>
      <c r="H37">
        <v>364</v>
      </c>
      <c r="I37" s="1">
        <f t="shared" si="0"/>
        <v>0.9000000090000001</v>
      </c>
      <c r="J37" s="1">
        <f t="shared" si="1"/>
        <v>0.67032967032967028</v>
      </c>
    </row>
    <row r="38" spans="1:10">
      <c r="A38" t="s">
        <v>32</v>
      </c>
      <c r="B38">
        <v>2</v>
      </c>
      <c r="C38" t="s">
        <v>35</v>
      </c>
      <c r="D38">
        <v>3</v>
      </c>
      <c r="E38">
        <v>3.3333333000000001</v>
      </c>
      <c r="F38">
        <v>3.3333333000000001</v>
      </c>
      <c r="G38">
        <v>351</v>
      </c>
      <c r="H38">
        <v>364</v>
      </c>
      <c r="I38" s="1">
        <f t="shared" si="0"/>
        <v>1</v>
      </c>
      <c r="J38" s="1">
        <f t="shared" si="1"/>
        <v>0.9642857142857143</v>
      </c>
    </row>
    <row r="39" spans="1:10">
      <c r="A39" t="s">
        <v>32</v>
      </c>
      <c r="B39">
        <v>2</v>
      </c>
      <c r="C39" t="s">
        <v>34</v>
      </c>
      <c r="D39">
        <v>4</v>
      </c>
      <c r="E39">
        <v>3.3333333000000001</v>
      </c>
      <c r="F39">
        <v>3.6666666999999999</v>
      </c>
      <c r="G39">
        <v>364</v>
      </c>
      <c r="H39">
        <v>364</v>
      </c>
      <c r="I39" s="1">
        <f t="shared" si="0"/>
        <v>1.1000000210000003</v>
      </c>
      <c r="J39" s="1">
        <f t="shared" si="1"/>
        <v>1</v>
      </c>
    </row>
    <row r="40" spans="1:10">
      <c r="A40" t="s">
        <v>32</v>
      </c>
      <c r="B40">
        <v>4</v>
      </c>
      <c r="C40" t="s">
        <v>33</v>
      </c>
      <c r="D40">
        <v>1</v>
      </c>
      <c r="E40">
        <v>3.6666666999999999</v>
      </c>
      <c r="F40">
        <v>2.3333333000000001</v>
      </c>
      <c r="G40">
        <v>41</v>
      </c>
      <c r="H40">
        <v>364</v>
      </c>
      <c r="I40" s="1">
        <f t="shared" si="0"/>
        <v>0.6363636214876035</v>
      </c>
      <c r="J40" s="1">
        <f t="shared" si="1"/>
        <v>0.11263736263736264</v>
      </c>
    </row>
    <row r="41" spans="1:10">
      <c r="A41" t="s">
        <v>32</v>
      </c>
      <c r="B41">
        <v>4</v>
      </c>
      <c r="C41" t="s">
        <v>34</v>
      </c>
      <c r="D41">
        <v>2</v>
      </c>
      <c r="E41">
        <v>3.6666666999999999</v>
      </c>
      <c r="F41">
        <v>2.6666666999999999</v>
      </c>
      <c r="G41">
        <v>139</v>
      </c>
      <c r="H41">
        <v>364</v>
      </c>
      <c r="I41" s="1">
        <f t="shared" si="0"/>
        <v>0.72727272975206614</v>
      </c>
      <c r="J41" s="1">
        <f t="shared" si="1"/>
        <v>0.38186813186813184</v>
      </c>
    </row>
    <row r="42" spans="1:10">
      <c r="A42" t="s">
        <v>32</v>
      </c>
      <c r="B42">
        <v>4</v>
      </c>
      <c r="C42" t="s">
        <v>0</v>
      </c>
      <c r="D42">
        <v>3</v>
      </c>
      <c r="E42">
        <v>3.6666666999999999</v>
      </c>
      <c r="F42">
        <v>3</v>
      </c>
      <c r="G42">
        <v>312</v>
      </c>
      <c r="H42">
        <v>364</v>
      </c>
      <c r="I42" s="1">
        <f t="shared" si="0"/>
        <v>0.8181818107438017</v>
      </c>
      <c r="J42" s="1">
        <f t="shared" si="1"/>
        <v>0.8571428571428571</v>
      </c>
    </row>
    <row r="43" spans="1:10">
      <c r="A43" t="s">
        <v>32</v>
      </c>
      <c r="B43">
        <v>4</v>
      </c>
      <c r="C43" t="s">
        <v>35</v>
      </c>
      <c r="D43">
        <v>4</v>
      </c>
      <c r="E43">
        <v>3.6666666999999999</v>
      </c>
      <c r="F43">
        <v>4</v>
      </c>
      <c r="G43">
        <v>364</v>
      </c>
      <c r="H43">
        <v>364</v>
      </c>
      <c r="I43" s="1">
        <f t="shared" si="0"/>
        <v>1.0909090809917357</v>
      </c>
      <c r="J43" s="1">
        <f t="shared" si="1"/>
        <v>1</v>
      </c>
    </row>
    <row r="44" spans="1:10">
      <c r="A44" t="s">
        <v>32</v>
      </c>
      <c r="B44">
        <v>13</v>
      </c>
      <c r="C44" t="s">
        <v>1</v>
      </c>
      <c r="D44">
        <v>1</v>
      </c>
      <c r="E44">
        <v>2</v>
      </c>
      <c r="F44">
        <v>1.6666666000000001</v>
      </c>
      <c r="G44">
        <v>3</v>
      </c>
      <c r="H44">
        <v>6</v>
      </c>
      <c r="I44" s="1">
        <f t="shared" si="0"/>
        <v>0.83333330000000005</v>
      </c>
      <c r="J44" s="1">
        <f t="shared" si="1"/>
        <v>0.5</v>
      </c>
    </row>
    <row r="45" spans="1:10">
      <c r="A45" t="s">
        <v>32</v>
      </c>
      <c r="B45">
        <v>13</v>
      </c>
      <c r="C45" t="s">
        <v>19</v>
      </c>
      <c r="D45">
        <v>2</v>
      </c>
      <c r="E45">
        <v>2</v>
      </c>
      <c r="F45">
        <v>1.6667666000000001</v>
      </c>
      <c r="G45">
        <v>3</v>
      </c>
      <c r="H45">
        <v>6</v>
      </c>
      <c r="I45" s="1">
        <f t="shared" si="0"/>
        <v>0.83338330000000005</v>
      </c>
      <c r="J45" s="1">
        <f t="shared" si="1"/>
        <v>0.5</v>
      </c>
    </row>
    <row r="46" spans="1:10">
      <c r="A46" t="s">
        <v>32</v>
      </c>
      <c r="B46">
        <v>13</v>
      </c>
      <c r="C46" t="s">
        <v>20</v>
      </c>
      <c r="D46">
        <v>3</v>
      </c>
      <c r="E46">
        <v>2</v>
      </c>
      <c r="F46">
        <v>2</v>
      </c>
      <c r="G46">
        <v>5</v>
      </c>
      <c r="H46">
        <v>6</v>
      </c>
      <c r="I46" s="1">
        <f t="shared" si="0"/>
        <v>1</v>
      </c>
      <c r="J46" s="1">
        <f t="shared" si="1"/>
        <v>0.83333333333333337</v>
      </c>
    </row>
    <row r="47" spans="1:10">
      <c r="A47" t="s">
        <v>32</v>
      </c>
      <c r="B47">
        <v>13</v>
      </c>
      <c r="C47" t="s">
        <v>21</v>
      </c>
      <c r="D47">
        <v>4</v>
      </c>
      <c r="E47">
        <v>2</v>
      </c>
      <c r="F47">
        <v>2.0001000000000002</v>
      </c>
      <c r="G47">
        <v>6</v>
      </c>
      <c r="H47">
        <v>6</v>
      </c>
      <c r="I47" s="1">
        <f t="shared" si="0"/>
        <v>1.0000500000000001</v>
      </c>
      <c r="J47" s="1">
        <f t="shared" si="1"/>
        <v>1</v>
      </c>
    </row>
    <row r="48" spans="1:10">
      <c r="A48" t="s">
        <v>32</v>
      </c>
      <c r="B48">
        <v>13</v>
      </c>
      <c r="C48" t="s">
        <v>22</v>
      </c>
      <c r="D48">
        <v>5</v>
      </c>
      <c r="E48">
        <v>2</v>
      </c>
      <c r="F48">
        <v>2.0001997999999999</v>
      </c>
      <c r="G48">
        <v>6</v>
      </c>
      <c r="H48">
        <v>6</v>
      </c>
      <c r="I48" s="1">
        <f t="shared" si="0"/>
        <v>1.0000998999999999</v>
      </c>
      <c r="J48" s="1">
        <f t="shared" si="1"/>
        <v>1</v>
      </c>
    </row>
    <row r="49" spans="1:10">
      <c r="A49" t="s">
        <v>32</v>
      </c>
      <c r="B49">
        <v>16</v>
      </c>
      <c r="C49" t="s">
        <v>36</v>
      </c>
      <c r="D49">
        <v>1</v>
      </c>
      <c r="E49">
        <v>45.333331999999999</v>
      </c>
      <c r="F49">
        <v>4</v>
      </c>
      <c r="G49">
        <v>9</v>
      </c>
      <c r="H49">
        <v>19454</v>
      </c>
      <c r="I49" s="1">
        <f t="shared" si="0"/>
        <v>8.8235296712802849E-2</v>
      </c>
      <c r="J49" s="1">
        <f t="shared" si="1"/>
        <v>4.6262979335869232E-4</v>
      </c>
    </row>
    <row r="50" spans="1:10">
      <c r="A50" t="s">
        <v>32</v>
      </c>
      <c r="B50">
        <v>16</v>
      </c>
      <c r="C50" t="s">
        <v>37</v>
      </c>
      <c r="D50">
        <v>2</v>
      </c>
      <c r="E50">
        <v>45.333331999999999</v>
      </c>
      <c r="F50">
        <v>4.0000999999999998</v>
      </c>
      <c r="G50">
        <v>22</v>
      </c>
      <c r="H50">
        <v>19454</v>
      </c>
      <c r="I50" s="1">
        <f t="shared" si="0"/>
        <v>8.823750259522066E-2</v>
      </c>
      <c r="J50" s="1">
        <f t="shared" si="1"/>
        <v>1.1308728282101368E-3</v>
      </c>
    </row>
    <row r="51" spans="1:10">
      <c r="A51" t="s">
        <v>32</v>
      </c>
      <c r="B51">
        <v>16</v>
      </c>
      <c r="C51" t="s">
        <v>38</v>
      </c>
      <c r="D51">
        <v>3</v>
      </c>
      <c r="E51">
        <v>45.333331999999999</v>
      </c>
      <c r="F51">
        <v>41.333331999999999</v>
      </c>
      <c r="G51">
        <v>14267</v>
      </c>
      <c r="H51">
        <v>19454</v>
      </c>
      <c r="I51" s="1">
        <f t="shared" si="0"/>
        <v>0.91176470328719716</v>
      </c>
      <c r="J51" s="1">
        <f t="shared" si="1"/>
        <v>0.73337102909427365</v>
      </c>
    </row>
    <row r="52" spans="1:10">
      <c r="A52" t="s">
        <v>32</v>
      </c>
      <c r="B52">
        <v>16</v>
      </c>
      <c r="C52" t="s">
        <v>39</v>
      </c>
      <c r="D52">
        <v>4</v>
      </c>
      <c r="E52">
        <v>45.333331999999999</v>
      </c>
      <c r="F52">
        <v>46</v>
      </c>
      <c r="G52">
        <v>19454</v>
      </c>
      <c r="H52">
        <v>19454</v>
      </c>
      <c r="I52" s="1">
        <f t="shared" si="0"/>
        <v>1.0147059121972328</v>
      </c>
      <c r="J52" s="1">
        <f t="shared" si="1"/>
        <v>1</v>
      </c>
    </row>
    <row r="53" spans="1:10">
      <c r="A53" t="s">
        <v>32</v>
      </c>
      <c r="B53">
        <v>18</v>
      </c>
      <c r="C53" t="s">
        <v>2</v>
      </c>
      <c r="D53">
        <v>1</v>
      </c>
      <c r="E53">
        <v>46.333331999999999</v>
      </c>
      <c r="F53">
        <v>3.6666666999999999</v>
      </c>
      <c r="G53">
        <v>22</v>
      </c>
      <c r="H53">
        <v>9280</v>
      </c>
      <c r="I53" s="1">
        <f t="shared" si="0"/>
        <v>7.9136693644221406E-2</v>
      </c>
      <c r="J53" s="1">
        <f t="shared" si="1"/>
        <v>2.3706896551724138E-3</v>
      </c>
    </row>
    <row r="54" spans="1:10">
      <c r="A54" t="s">
        <v>32</v>
      </c>
      <c r="B54">
        <v>18</v>
      </c>
      <c r="C54" t="s">
        <v>41</v>
      </c>
      <c r="D54">
        <v>2</v>
      </c>
      <c r="E54">
        <v>46.333331999999999</v>
      </c>
      <c r="F54">
        <v>4</v>
      </c>
      <c r="G54">
        <v>235</v>
      </c>
      <c r="H54">
        <v>9280</v>
      </c>
      <c r="I54" s="1">
        <f t="shared" si="0"/>
        <v>8.6330937736142102E-2</v>
      </c>
      <c r="J54" s="1">
        <f t="shared" si="1"/>
        <v>2.5323275862068964E-2</v>
      </c>
    </row>
    <row r="55" spans="1:10">
      <c r="A55" t="s">
        <v>32</v>
      </c>
      <c r="B55">
        <v>18</v>
      </c>
      <c r="C55" t="s">
        <v>33</v>
      </c>
      <c r="D55">
        <v>3</v>
      </c>
      <c r="E55">
        <v>46.333331999999999</v>
      </c>
      <c r="F55">
        <v>4.0000999999999998</v>
      </c>
      <c r="G55">
        <v>246</v>
      </c>
      <c r="H55">
        <v>9280</v>
      </c>
      <c r="I55" s="1">
        <f t="shared" si="0"/>
        <v>8.6333096009585497E-2</v>
      </c>
      <c r="J55" s="1">
        <f t="shared" si="1"/>
        <v>2.6508620689655173E-2</v>
      </c>
    </row>
    <row r="56" spans="1:10">
      <c r="A56" t="s">
        <v>32</v>
      </c>
      <c r="B56">
        <v>18</v>
      </c>
      <c r="C56" t="s">
        <v>40</v>
      </c>
      <c r="D56">
        <v>4</v>
      </c>
      <c r="E56">
        <v>46.333331999999999</v>
      </c>
      <c r="F56">
        <v>4.0002003000000004</v>
      </c>
      <c r="G56">
        <v>246</v>
      </c>
      <c r="H56">
        <v>9280</v>
      </c>
      <c r="I56" s="1">
        <f t="shared" si="0"/>
        <v>8.6335260757849239E-2</v>
      </c>
      <c r="J56" s="1">
        <f t="shared" si="1"/>
        <v>2.6508620689655173E-2</v>
      </c>
    </row>
    <row r="57" spans="1:10">
      <c r="A57" t="s">
        <v>32</v>
      </c>
      <c r="B57">
        <v>18</v>
      </c>
      <c r="C57" t="s">
        <v>44</v>
      </c>
      <c r="D57">
        <v>5</v>
      </c>
      <c r="E57">
        <v>46.333331999999999</v>
      </c>
      <c r="F57">
        <v>5.3333335000000002</v>
      </c>
      <c r="G57">
        <v>680</v>
      </c>
      <c r="H57">
        <v>9280</v>
      </c>
      <c r="I57" s="1">
        <f t="shared" si="0"/>
        <v>0.1151079205786452</v>
      </c>
      <c r="J57" s="1">
        <f t="shared" si="1"/>
        <v>7.3275862068965511E-2</v>
      </c>
    </row>
    <row r="58" spans="1:10">
      <c r="A58" t="s">
        <v>32</v>
      </c>
      <c r="B58">
        <v>18</v>
      </c>
      <c r="C58" t="s">
        <v>68</v>
      </c>
      <c r="D58">
        <v>6</v>
      </c>
      <c r="E58">
        <v>46.333331999999999</v>
      </c>
      <c r="F58">
        <v>5.3334336000000002</v>
      </c>
      <c r="G58">
        <v>680</v>
      </c>
      <c r="H58">
        <v>9280</v>
      </c>
      <c r="I58" s="1">
        <f t="shared" si="0"/>
        <v>0.11511008101036205</v>
      </c>
      <c r="J58" s="1">
        <f t="shared" si="1"/>
        <v>7.3275862068965511E-2</v>
      </c>
    </row>
    <row r="59" spans="1:10">
      <c r="A59" t="s">
        <v>32</v>
      </c>
      <c r="B59">
        <v>18</v>
      </c>
      <c r="C59" t="s">
        <v>67</v>
      </c>
      <c r="D59">
        <v>7</v>
      </c>
      <c r="E59">
        <v>46.333331999999999</v>
      </c>
      <c r="F59">
        <v>5.6666664999999998</v>
      </c>
      <c r="G59">
        <v>798</v>
      </c>
      <c r="H59">
        <v>9280</v>
      </c>
      <c r="I59" s="1">
        <f t="shared" si="0"/>
        <v>0.12230215819574555</v>
      </c>
      <c r="J59" s="1">
        <f t="shared" si="1"/>
        <v>8.5991379310344826E-2</v>
      </c>
    </row>
    <row r="60" spans="1:10">
      <c r="A60" t="s">
        <v>32</v>
      </c>
      <c r="B60">
        <v>18</v>
      </c>
      <c r="C60" t="s">
        <v>47</v>
      </c>
      <c r="D60">
        <v>8</v>
      </c>
      <c r="E60">
        <v>46.333331999999999</v>
      </c>
      <c r="F60">
        <v>6</v>
      </c>
      <c r="G60">
        <v>798</v>
      </c>
      <c r="H60">
        <v>9280</v>
      </c>
      <c r="I60" s="1">
        <f t="shared" si="0"/>
        <v>0.12949640660421313</v>
      </c>
      <c r="J60" s="1">
        <f t="shared" si="1"/>
        <v>8.5991379310344826E-2</v>
      </c>
    </row>
    <row r="61" spans="1:10">
      <c r="A61" t="s">
        <v>32</v>
      </c>
      <c r="B61">
        <v>18</v>
      </c>
      <c r="C61" t="s">
        <v>46</v>
      </c>
      <c r="D61">
        <v>9</v>
      </c>
      <c r="E61">
        <v>46.333331999999999</v>
      </c>
      <c r="F61">
        <v>6.0000999999999998</v>
      </c>
      <c r="G61">
        <v>1018</v>
      </c>
      <c r="H61">
        <v>9280</v>
      </c>
      <c r="I61" s="1">
        <f t="shared" si="0"/>
        <v>0.12949856487765654</v>
      </c>
      <c r="J61" s="1">
        <f t="shared" si="1"/>
        <v>0.10969827586206897</v>
      </c>
    </row>
    <row r="62" spans="1:10">
      <c r="A62" t="s">
        <v>32</v>
      </c>
      <c r="B62">
        <v>18</v>
      </c>
      <c r="C62" t="s">
        <v>42</v>
      </c>
      <c r="D62">
        <v>10</v>
      </c>
      <c r="E62">
        <v>46.333331999999999</v>
      </c>
      <c r="F62">
        <v>6.0002003000000004</v>
      </c>
      <c r="G62">
        <v>1159</v>
      </c>
      <c r="H62">
        <v>9280</v>
      </c>
      <c r="I62" s="1">
        <f t="shared" si="0"/>
        <v>0.1295007296259203</v>
      </c>
      <c r="J62" s="1">
        <f t="shared" si="1"/>
        <v>0.12489224137931035</v>
      </c>
    </row>
    <row r="63" spans="1:10">
      <c r="A63" t="s">
        <v>32</v>
      </c>
      <c r="B63">
        <v>18</v>
      </c>
      <c r="C63" t="s">
        <v>43</v>
      </c>
      <c r="D63">
        <v>11</v>
      </c>
      <c r="E63">
        <v>46.333331999999999</v>
      </c>
      <c r="F63">
        <v>6.0003004000000004</v>
      </c>
      <c r="G63">
        <v>1163</v>
      </c>
      <c r="H63">
        <v>9280</v>
      </c>
      <c r="I63" s="1">
        <f t="shared" si="0"/>
        <v>0.12950289005763713</v>
      </c>
      <c r="J63" s="1">
        <f t="shared" si="1"/>
        <v>0.12532327586206896</v>
      </c>
    </row>
    <row r="64" spans="1:10">
      <c r="A64" t="s">
        <v>32</v>
      </c>
      <c r="B64">
        <v>18</v>
      </c>
      <c r="C64" t="s">
        <v>69</v>
      </c>
      <c r="D64">
        <v>12</v>
      </c>
      <c r="E64">
        <v>46.333331999999999</v>
      </c>
      <c r="F64">
        <v>6.0004004999999996</v>
      </c>
      <c r="G64">
        <v>1163</v>
      </c>
      <c r="H64">
        <v>9280</v>
      </c>
      <c r="I64" s="1">
        <f t="shared" si="0"/>
        <v>0.12950505048935396</v>
      </c>
      <c r="J64" s="1">
        <f t="shared" si="1"/>
        <v>0.12532327586206896</v>
      </c>
    </row>
    <row r="65" spans="1:10">
      <c r="A65" t="s">
        <v>32</v>
      </c>
      <c r="B65">
        <v>18</v>
      </c>
      <c r="C65" t="s">
        <v>75</v>
      </c>
      <c r="D65">
        <v>13</v>
      </c>
      <c r="E65">
        <v>46.333331999999999</v>
      </c>
      <c r="F65">
        <v>6.0005006999999999</v>
      </c>
      <c r="G65">
        <v>1163</v>
      </c>
      <c r="H65">
        <v>9280</v>
      </c>
      <c r="I65" s="1">
        <f t="shared" si="0"/>
        <v>0.12950721307934426</v>
      </c>
      <c r="J65" s="1">
        <f t="shared" si="1"/>
        <v>0.12532327586206896</v>
      </c>
    </row>
    <row r="66" spans="1:10">
      <c r="A66" t="s">
        <v>32</v>
      </c>
      <c r="B66">
        <v>18</v>
      </c>
      <c r="C66" t="s">
        <v>45</v>
      </c>
      <c r="D66">
        <v>14</v>
      </c>
      <c r="E66">
        <v>46.333331999999999</v>
      </c>
      <c r="F66">
        <v>6.3333335000000002</v>
      </c>
      <c r="G66">
        <v>1163</v>
      </c>
      <c r="H66">
        <v>9280</v>
      </c>
      <c r="I66" s="1">
        <f t="shared" si="0"/>
        <v>0.13669065501268074</v>
      </c>
      <c r="J66" s="1">
        <f t="shared" si="1"/>
        <v>0.12532327586206896</v>
      </c>
    </row>
    <row r="67" spans="1:10">
      <c r="A67" t="s">
        <v>32</v>
      </c>
      <c r="B67">
        <v>18</v>
      </c>
      <c r="C67" t="s">
        <v>52</v>
      </c>
      <c r="D67">
        <v>15</v>
      </c>
      <c r="E67">
        <v>46.333331999999999</v>
      </c>
      <c r="F67">
        <v>6.3334336000000002</v>
      </c>
      <c r="G67">
        <v>1170</v>
      </c>
      <c r="H67">
        <v>9280</v>
      </c>
      <c r="I67" s="1">
        <f t="shared" ref="I67:I130" si="2">F67/E67</f>
        <v>0.13669281544439757</v>
      </c>
      <c r="J67" s="1">
        <f t="shared" ref="J67:J130" si="3">G67/H67</f>
        <v>0.12607758620689655</v>
      </c>
    </row>
    <row r="68" spans="1:10">
      <c r="A68" t="s">
        <v>32</v>
      </c>
      <c r="B68">
        <v>18</v>
      </c>
      <c r="C68" t="s">
        <v>49</v>
      </c>
      <c r="D68">
        <v>16</v>
      </c>
      <c r="E68">
        <v>46.333331999999999</v>
      </c>
      <c r="F68">
        <v>6.3335340000000002</v>
      </c>
      <c r="G68">
        <v>1170</v>
      </c>
      <c r="H68">
        <v>9280</v>
      </c>
      <c r="I68" s="1">
        <f t="shared" si="2"/>
        <v>0.13669498235093475</v>
      </c>
      <c r="J68" s="1">
        <f t="shared" si="3"/>
        <v>0.12607758620689655</v>
      </c>
    </row>
    <row r="69" spans="1:10">
      <c r="A69" t="s">
        <v>32</v>
      </c>
      <c r="B69">
        <v>18</v>
      </c>
      <c r="C69" t="s">
        <v>66</v>
      </c>
      <c r="D69">
        <v>17</v>
      </c>
      <c r="E69">
        <v>46.333331999999999</v>
      </c>
      <c r="F69">
        <v>6.333634</v>
      </c>
      <c r="G69">
        <v>1175</v>
      </c>
      <c r="H69">
        <v>9280</v>
      </c>
      <c r="I69" s="1">
        <f t="shared" si="2"/>
        <v>0.13669714062437816</v>
      </c>
      <c r="J69" s="1">
        <f t="shared" si="3"/>
        <v>0.12661637931034483</v>
      </c>
    </row>
    <row r="70" spans="1:10">
      <c r="A70" t="s">
        <v>32</v>
      </c>
      <c r="B70">
        <v>18</v>
      </c>
      <c r="C70" t="s">
        <v>48</v>
      </c>
      <c r="D70">
        <v>18</v>
      </c>
      <c r="E70">
        <v>46.333331999999999</v>
      </c>
      <c r="F70">
        <v>6.6666664999999998</v>
      </c>
      <c r="G70">
        <v>1175</v>
      </c>
      <c r="H70">
        <v>9280</v>
      </c>
      <c r="I70" s="1">
        <f t="shared" si="2"/>
        <v>0.14388489262978107</v>
      </c>
      <c r="J70" s="1">
        <f t="shared" si="3"/>
        <v>0.12661637931034483</v>
      </c>
    </row>
    <row r="71" spans="1:10">
      <c r="A71" t="s">
        <v>32</v>
      </c>
      <c r="B71">
        <v>18</v>
      </c>
      <c r="C71" t="s">
        <v>76</v>
      </c>
      <c r="D71">
        <v>19</v>
      </c>
      <c r="E71">
        <v>46.333331999999999</v>
      </c>
      <c r="F71">
        <v>7</v>
      </c>
      <c r="G71">
        <v>1961</v>
      </c>
      <c r="H71">
        <v>9280</v>
      </c>
      <c r="I71" s="1">
        <f t="shared" si="2"/>
        <v>0.15107914103824865</v>
      </c>
      <c r="J71" s="1">
        <f t="shared" si="3"/>
        <v>0.2113146551724138</v>
      </c>
    </row>
    <row r="72" spans="1:10">
      <c r="A72" t="s">
        <v>32</v>
      </c>
      <c r="B72">
        <v>18</v>
      </c>
      <c r="C72" t="s">
        <v>63</v>
      </c>
      <c r="D72">
        <v>20</v>
      </c>
      <c r="E72">
        <v>46.333331999999999</v>
      </c>
      <c r="F72">
        <v>7.3333335000000002</v>
      </c>
      <c r="G72">
        <v>2188</v>
      </c>
      <c r="H72">
        <v>9280</v>
      </c>
      <c r="I72" s="1">
        <f t="shared" si="2"/>
        <v>0.15827338944671626</v>
      </c>
      <c r="J72" s="1">
        <f t="shared" si="3"/>
        <v>0.23577586206896553</v>
      </c>
    </row>
    <row r="73" spans="1:10">
      <c r="A73" t="s">
        <v>32</v>
      </c>
      <c r="B73">
        <v>18</v>
      </c>
      <c r="C73" t="s">
        <v>74</v>
      </c>
      <c r="D73">
        <v>21</v>
      </c>
      <c r="E73">
        <v>46.333331999999999</v>
      </c>
      <c r="F73">
        <v>7.3334336000000002</v>
      </c>
      <c r="G73">
        <v>2210</v>
      </c>
      <c r="H73">
        <v>9280</v>
      </c>
      <c r="I73" s="1">
        <f t="shared" si="2"/>
        <v>0.15827554987843309</v>
      </c>
      <c r="J73" s="1">
        <f t="shared" si="3"/>
        <v>0.23814655172413793</v>
      </c>
    </row>
    <row r="74" spans="1:10">
      <c r="A74" t="s">
        <v>32</v>
      </c>
      <c r="B74">
        <v>18</v>
      </c>
      <c r="C74" t="s">
        <v>50</v>
      </c>
      <c r="D74">
        <v>22</v>
      </c>
      <c r="E74">
        <v>46.333331999999999</v>
      </c>
      <c r="F74">
        <v>8</v>
      </c>
      <c r="G74">
        <v>2215</v>
      </c>
      <c r="H74">
        <v>9280</v>
      </c>
      <c r="I74" s="1">
        <f t="shared" si="2"/>
        <v>0.1726618754722842</v>
      </c>
      <c r="J74" s="1">
        <f t="shared" si="3"/>
        <v>0.23868534482758622</v>
      </c>
    </row>
    <row r="75" spans="1:10">
      <c r="A75" t="s">
        <v>32</v>
      </c>
      <c r="B75">
        <v>18</v>
      </c>
      <c r="C75" t="s">
        <v>61</v>
      </c>
      <c r="D75">
        <v>23</v>
      </c>
      <c r="E75">
        <v>46.333331999999999</v>
      </c>
      <c r="F75">
        <v>8.3333329999999997</v>
      </c>
      <c r="G75">
        <v>3379</v>
      </c>
      <c r="H75">
        <v>9280</v>
      </c>
      <c r="I75" s="1">
        <f t="shared" si="2"/>
        <v>0.17985611308938454</v>
      </c>
      <c r="J75" s="1">
        <f t="shared" si="3"/>
        <v>0.36411637931034485</v>
      </c>
    </row>
    <row r="76" spans="1:10">
      <c r="A76" t="s">
        <v>32</v>
      </c>
      <c r="B76">
        <v>18</v>
      </c>
      <c r="C76" t="s">
        <v>56</v>
      </c>
      <c r="D76">
        <v>24</v>
      </c>
      <c r="E76">
        <v>46.333331999999999</v>
      </c>
      <c r="F76">
        <v>8.3334329999999994</v>
      </c>
      <c r="G76">
        <v>3626</v>
      </c>
      <c r="H76">
        <v>9280</v>
      </c>
      <c r="I76" s="1">
        <f t="shared" si="2"/>
        <v>0.17985827136282795</v>
      </c>
      <c r="J76" s="1">
        <f t="shared" si="3"/>
        <v>0.39073275862068968</v>
      </c>
    </row>
    <row r="77" spans="1:10">
      <c r="A77" t="s">
        <v>32</v>
      </c>
      <c r="B77">
        <v>18</v>
      </c>
      <c r="C77" t="s">
        <v>51</v>
      </c>
      <c r="D77">
        <v>25</v>
      </c>
      <c r="E77">
        <v>46.333331999999999</v>
      </c>
      <c r="F77">
        <v>8.6666670000000003</v>
      </c>
      <c r="G77">
        <v>4471</v>
      </c>
      <c r="H77">
        <v>9280</v>
      </c>
      <c r="I77" s="1">
        <f t="shared" si="2"/>
        <v>0.18705037228921936</v>
      </c>
      <c r="J77" s="1">
        <f t="shared" si="3"/>
        <v>0.4817887931034483</v>
      </c>
    </row>
    <row r="78" spans="1:10">
      <c r="A78" t="s">
        <v>32</v>
      </c>
      <c r="B78">
        <v>18</v>
      </c>
      <c r="C78" t="s">
        <v>55</v>
      </c>
      <c r="D78">
        <v>26</v>
      </c>
      <c r="E78">
        <v>46.333331999999999</v>
      </c>
      <c r="F78">
        <v>8.6667670000000001</v>
      </c>
      <c r="G78">
        <v>4556</v>
      </c>
      <c r="H78">
        <v>9280</v>
      </c>
      <c r="I78" s="1">
        <f t="shared" si="2"/>
        <v>0.18705253056266274</v>
      </c>
      <c r="J78" s="1">
        <f t="shared" si="3"/>
        <v>0.49094827586206896</v>
      </c>
    </row>
    <row r="79" spans="1:10">
      <c r="A79" t="s">
        <v>32</v>
      </c>
      <c r="B79">
        <v>18</v>
      </c>
      <c r="C79" t="s">
        <v>64</v>
      </c>
      <c r="D79">
        <v>27</v>
      </c>
      <c r="E79">
        <v>46.333331999999999</v>
      </c>
      <c r="F79">
        <v>9</v>
      </c>
      <c r="G79">
        <v>4561</v>
      </c>
      <c r="H79">
        <v>9280</v>
      </c>
      <c r="I79" s="1">
        <f t="shared" si="2"/>
        <v>0.19424460990631973</v>
      </c>
      <c r="J79" s="1">
        <f t="shared" si="3"/>
        <v>0.49148706896551725</v>
      </c>
    </row>
    <row r="80" spans="1:10">
      <c r="A80" t="s">
        <v>32</v>
      </c>
      <c r="B80">
        <v>18</v>
      </c>
      <c r="C80" t="s">
        <v>73</v>
      </c>
      <c r="D80">
        <v>28</v>
      </c>
      <c r="E80">
        <v>46.333331999999999</v>
      </c>
      <c r="F80">
        <v>9.0000999999999998</v>
      </c>
      <c r="G80">
        <v>4661</v>
      </c>
      <c r="H80">
        <v>9280</v>
      </c>
      <c r="I80" s="1">
        <f t="shared" si="2"/>
        <v>0.19424676817976311</v>
      </c>
      <c r="J80" s="1">
        <f t="shared" si="3"/>
        <v>0.50226293103448272</v>
      </c>
    </row>
    <row r="81" spans="1:10">
      <c r="A81" t="s">
        <v>32</v>
      </c>
      <c r="B81">
        <v>18</v>
      </c>
      <c r="C81" t="s">
        <v>60</v>
      </c>
      <c r="D81">
        <v>29</v>
      </c>
      <c r="E81">
        <v>46.333331999999999</v>
      </c>
      <c r="F81">
        <v>9.3333329999999997</v>
      </c>
      <c r="G81">
        <v>4693</v>
      </c>
      <c r="H81">
        <v>9280</v>
      </c>
      <c r="I81" s="1">
        <f t="shared" si="2"/>
        <v>0.20143884752342006</v>
      </c>
      <c r="J81" s="1">
        <f t="shared" si="3"/>
        <v>0.50571120689655169</v>
      </c>
    </row>
    <row r="82" spans="1:10">
      <c r="A82" t="s">
        <v>32</v>
      </c>
      <c r="B82">
        <v>18</v>
      </c>
      <c r="C82" t="s">
        <v>59</v>
      </c>
      <c r="D82">
        <v>30</v>
      </c>
      <c r="E82">
        <v>46.333331999999999</v>
      </c>
      <c r="F82">
        <v>9.3334329999999994</v>
      </c>
      <c r="G82">
        <v>4693</v>
      </c>
      <c r="H82">
        <v>9280</v>
      </c>
      <c r="I82" s="1">
        <f t="shared" si="2"/>
        <v>0.20144100579686347</v>
      </c>
      <c r="J82" s="1">
        <f t="shared" si="3"/>
        <v>0.50571120689655169</v>
      </c>
    </row>
    <row r="83" spans="1:10">
      <c r="A83" t="s">
        <v>32</v>
      </c>
      <c r="B83">
        <v>18</v>
      </c>
      <c r="C83" t="s">
        <v>71</v>
      </c>
      <c r="D83">
        <v>31</v>
      </c>
      <c r="E83">
        <v>46.333331999999999</v>
      </c>
      <c r="F83">
        <v>9.3335329999999992</v>
      </c>
      <c r="G83">
        <v>4693</v>
      </c>
      <c r="H83">
        <v>9280</v>
      </c>
      <c r="I83" s="1">
        <f t="shared" si="2"/>
        <v>0.20144316407030688</v>
      </c>
      <c r="J83" s="1">
        <f t="shared" si="3"/>
        <v>0.50571120689655169</v>
      </c>
    </row>
    <row r="84" spans="1:10">
      <c r="A84" t="s">
        <v>32</v>
      </c>
      <c r="B84">
        <v>18</v>
      </c>
      <c r="C84" t="s">
        <v>57</v>
      </c>
      <c r="D84">
        <v>32</v>
      </c>
      <c r="E84">
        <v>46.333331999999999</v>
      </c>
      <c r="F84">
        <v>9.6666670000000003</v>
      </c>
      <c r="G84">
        <v>4693</v>
      </c>
      <c r="H84">
        <v>9280</v>
      </c>
      <c r="I84" s="1">
        <f t="shared" si="2"/>
        <v>0.20863310672325489</v>
      </c>
      <c r="J84" s="1">
        <f t="shared" si="3"/>
        <v>0.50571120689655169</v>
      </c>
    </row>
    <row r="85" spans="1:10">
      <c r="A85" t="s">
        <v>32</v>
      </c>
      <c r="B85">
        <v>18</v>
      </c>
      <c r="C85" t="s">
        <v>53</v>
      </c>
      <c r="D85">
        <v>33</v>
      </c>
      <c r="E85">
        <v>46.333331999999999</v>
      </c>
      <c r="F85">
        <v>9.6667670000000001</v>
      </c>
      <c r="G85">
        <v>4693</v>
      </c>
      <c r="H85">
        <v>9280</v>
      </c>
      <c r="I85" s="1">
        <f t="shared" si="2"/>
        <v>0.20863526499669829</v>
      </c>
      <c r="J85" s="1">
        <f t="shared" si="3"/>
        <v>0.50571120689655169</v>
      </c>
    </row>
    <row r="86" spans="1:10">
      <c r="A86" t="s">
        <v>32</v>
      </c>
      <c r="B86">
        <v>18</v>
      </c>
      <c r="C86" t="s">
        <v>65</v>
      </c>
      <c r="D86">
        <v>34</v>
      </c>
      <c r="E86">
        <v>46.333331999999999</v>
      </c>
      <c r="F86">
        <v>9.6668669999999999</v>
      </c>
      <c r="G86">
        <v>4793</v>
      </c>
      <c r="H86">
        <v>9280</v>
      </c>
      <c r="I86" s="1">
        <f t="shared" si="2"/>
        <v>0.20863742327014168</v>
      </c>
      <c r="J86" s="1">
        <f t="shared" si="3"/>
        <v>0.51648706896551722</v>
      </c>
    </row>
    <row r="87" spans="1:10">
      <c r="A87" t="s">
        <v>32</v>
      </c>
      <c r="B87">
        <v>18</v>
      </c>
      <c r="C87" t="s">
        <v>62</v>
      </c>
      <c r="D87">
        <v>35</v>
      </c>
      <c r="E87">
        <v>46.333331999999999</v>
      </c>
      <c r="F87">
        <v>10</v>
      </c>
      <c r="G87">
        <v>4878</v>
      </c>
      <c r="H87">
        <v>9280</v>
      </c>
      <c r="I87" s="1">
        <f t="shared" si="2"/>
        <v>0.21582734434035525</v>
      </c>
      <c r="J87" s="1">
        <f t="shared" si="3"/>
        <v>0.52564655172413788</v>
      </c>
    </row>
    <row r="88" spans="1:10">
      <c r="A88" t="s">
        <v>32</v>
      </c>
      <c r="B88">
        <v>18</v>
      </c>
      <c r="C88" t="s">
        <v>70</v>
      </c>
      <c r="D88">
        <v>36</v>
      </c>
      <c r="E88">
        <v>46.333331999999999</v>
      </c>
      <c r="F88">
        <v>10.0001</v>
      </c>
      <c r="G88">
        <v>4878</v>
      </c>
      <c r="H88">
        <v>9280</v>
      </c>
      <c r="I88" s="1">
        <f t="shared" si="2"/>
        <v>0.21582950261379863</v>
      </c>
      <c r="J88" s="1">
        <f t="shared" si="3"/>
        <v>0.52564655172413788</v>
      </c>
    </row>
    <row r="89" spans="1:10">
      <c r="A89" t="s">
        <v>32</v>
      </c>
      <c r="B89">
        <v>18</v>
      </c>
      <c r="C89" t="s">
        <v>54</v>
      </c>
      <c r="D89">
        <v>37</v>
      </c>
      <c r="E89">
        <v>46.333331999999999</v>
      </c>
      <c r="F89">
        <v>10.666667</v>
      </c>
      <c r="G89">
        <v>4878</v>
      </c>
      <c r="H89">
        <v>9280</v>
      </c>
      <c r="I89" s="1">
        <f t="shared" si="2"/>
        <v>0.23021584115729041</v>
      </c>
      <c r="J89" s="1">
        <f t="shared" si="3"/>
        <v>0.52564655172413788</v>
      </c>
    </row>
    <row r="90" spans="1:10">
      <c r="A90" t="s">
        <v>32</v>
      </c>
      <c r="B90">
        <v>18</v>
      </c>
      <c r="C90" t="s">
        <v>72</v>
      </c>
      <c r="D90">
        <v>38</v>
      </c>
      <c r="E90">
        <v>46.333331999999999</v>
      </c>
      <c r="F90">
        <v>10.666767</v>
      </c>
      <c r="G90">
        <v>4878</v>
      </c>
      <c r="H90">
        <v>9280</v>
      </c>
      <c r="I90" s="1">
        <f t="shared" si="2"/>
        <v>0.23021799943073382</v>
      </c>
      <c r="J90" s="1">
        <f t="shared" si="3"/>
        <v>0.52564655172413788</v>
      </c>
    </row>
    <row r="91" spans="1:10">
      <c r="A91" t="s">
        <v>32</v>
      </c>
      <c r="B91">
        <v>18</v>
      </c>
      <c r="C91" t="s">
        <v>58</v>
      </c>
      <c r="D91">
        <v>39</v>
      </c>
      <c r="E91">
        <v>46.333331999999999</v>
      </c>
      <c r="F91">
        <v>11</v>
      </c>
      <c r="G91">
        <v>4878</v>
      </c>
      <c r="H91">
        <v>9280</v>
      </c>
      <c r="I91" s="1">
        <f t="shared" si="2"/>
        <v>0.23741007877439077</v>
      </c>
      <c r="J91" s="1">
        <f t="shared" si="3"/>
        <v>0.52564655172413788</v>
      </c>
    </row>
    <row r="92" spans="1:10">
      <c r="A92" t="s">
        <v>32</v>
      </c>
      <c r="B92">
        <v>18</v>
      </c>
      <c r="C92" t="s">
        <v>82</v>
      </c>
      <c r="D92">
        <v>40</v>
      </c>
      <c r="E92">
        <v>46.333331999999999</v>
      </c>
      <c r="F92">
        <v>39.666668000000001</v>
      </c>
      <c r="G92">
        <v>8422</v>
      </c>
      <c r="H92">
        <v>9280</v>
      </c>
      <c r="I92" s="1">
        <f t="shared" si="2"/>
        <v>0.85611516132705501</v>
      </c>
      <c r="J92" s="1">
        <f t="shared" si="3"/>
        <v>0.90754310344827582</v>
      </c>
    </row>
    <row r="93" spans="1:10">
      <c r="A93" t="s">
        <v>32</v>
      </c>
      <c r="B93">
        <v>18</v>
      </c>
      <c r="C93" t="s">
        <v>81</v>
      </c>
      <c r="D93">
        <v>41</v>
      </c>
      <c r="E93">
        <v>46.333331999999999</v>
      </c>
      <c r="F93">
        <v>40</v>
      </c>
      <c r="G93">
        <v>9082</v>
      </c>
      <c r="H93">
        <v>9280</v>
      </c>
      <c r="I93" s="1">
        <f t="shared" si="2"/>
        <v>0.86330937736142099</v>
      </c>
      <c r="J93" s="1">
        <f t="shared" si="3"/>
        <v>0.97866379310344831</v>
      </c>
    </row>
    <row r="94" spans="1:10">
      <c r="A94" t="s">
        <v>32</v>
      </c>
      <c r="B94">
        <v>18</v>
      </c>
      <c r="C94" t="s">
        <v>78</v>
      </c>
      <c r="D94">
        <v>42</v>
      </c>
      <c r="E94">
        <v>46.333331999999999</v>
      </c>
      <c r="F94">
        <v>40.000100000000003</v>
      </c>
      <c r="G94">
        <v>9280</v>
      </c>
      <c r="H94">
        <v>9280</v>
      </c>
      <c r="I94" s="1">
        <f t="shared" si="2"/>
        <v>0.8633115356348644</v>
      </c>
      <c r="J94" s="1">
        <f t="shared" si="3"/>
        <v>1</v>
      </c>
    </row>
    <row r="95" spans="1:10">
      <c r="A95" t="s">
        <v>32</v>
      </c>
      <c r="B95">
        <v>18</v>
      </c>
      <c r="C95" t="s">
        <v>77</v>
      </c>
      <c r="D95">
        <v>43</v>
      </c>
      <c r="E95">
        <v>46.333331999999999</v>
      </c>
      <c r="F95">
        <v>40.0002</v>
      </c>
      <c r="G95">
        <v>9280</v>
      </c>
      <c r="H95">
        <v>9280</v>
      </c>
      <c r="I95" s="1">
        <f t="shared" si="2"/>
        <v>0.8633136939083077</v>
      </c>
      <c r="J95" s="1">
        <f t="shared" si="3"/>
        <v>1</v>
      </c>
    </row>
    <row r="96" spans="1:10">
      <c r="A96" t="s">
        <v>32</v>
      </c>
      <c r="B96">
        <v>18</v>
      </c>
      <c r="C96" t="s">
        <v>80</v>
      </c>
      <c r="D96">
        <v>44</v>
      </c>
      <c r="E96">
        <v>46.333331999999999</v>
      </c>
      <c r="F96">
        <v>41</v>
      </c>
      <c r="G96">
        <v>9280</v>
      </c>
      <c r="H96">
        <v>9280</v>
      </c>
      <c r="I96" s="1">
        <f t="shared" si="2"/>
        <v>0.88489211179545646</v>
      </c>
      <c r="J96" s="1">
        <f t="shared" si="3"/>
        <v>1</v>
      </c>
    </row>
    <row r="97" spans="1:10">
      <c r="A97" t="s">
        <v>32</v>
      </c>
      <c r="B97">
        <v>18</v>
      </c>
      <c r="C97" t="s">
        <v>79</v>
      </c>
      <c r="D97">
        <v>45</v>
      </c>
      <c r="E97">
        <v>46.333331999999999</v>
      </c>
      <c r="F97">
        <v>41.000100000000003</v>
      </c>
      <c r="G97">
        <v>9280</v>
      </c>
      <c r="H97">
        <v>9280</v>
      </c>
      <c r="I97" s="1">
        <f t="shared" si="2"/>
        <v>0.88489427006889998</v>
      </c>
      <c r="J97" s="1">
        <f t="shared" si="3"/>
        <v>1</v>
      </c>
    </row>
    <row r="98" spans="1:10">
      <c r="A98" t="s">
        <v>32</v>
      </c>
      <c r="B98">
        <v>18</v>
      </c>
      <c r="C98" t="s">
        <v>83</v>
      </c>
      <c r="D98">
        <v>46</v>
      </c>
      <c r="E98">
        <v>46.333331999999999</v>
      </c>
      <c r="F98">
        <v>42.333331999999999</v>
      </c>
      <c r="G98">
        <v>9280</v>
      </c>
      <c r="H98">
        <v>9280</v>
      </c>
      <c r="I98" s="1">
        <f t="shared" si="2"/>
        <v>0.91366906226385791</v>
      </c>
      <c r="J98" s="1">
        <f t="shared" si="3"/>
        <v>1</v>
      </c>
    </row>
    <row r="99" spans="1:10">
      <c r="A99" t="s">
        <v>32</v>
      </c>
      <c r="B99">
        <v>19</v>
      </c>
      <c r="C99" t="s">
        <v>33</v>
      </c>
      <c r="D99">
        <v>1</v>
      </c>
      <c r="E99">
        <v>50</v>
      </c>
      <c r="F99">
        <v>2.3333333000000001</v>
      </c>
      <c r="G99">
        <v>24</v>
      </c>
      <c r="H99">
        <v>9183</v>
      </c>
      <c r="I99" s="1">
        <f t="shared" si="2"/>
        <v>4.6666666000000002E-2</v>
      </c>
      <c r="J99" s="1">
        <f t="shared" si="3"/>
        <v>2.6135249918327343E-3</v>
      </c>
    </row>
    <row r="100" spans="1:10">
      <c r="A100" t="s">
        <v>32</v>
      </c>
      <c r="B100">
        <v>19</v>
      </c>
      <c r="C100" t="s">
        <v>2</v>
      </c>
      <c r="D100">
        <v>2</v>
      </c>
      <c r="E100">
        <v>50</v>
      </c>
      <c r="F100">
        <v>2.6666666999999999</v>
      </c>
      <c r="G100">
        <v>38</v>
      </c>
      <c r="H100">
        <v>9183</v>
      </c>
      <c r="I100" s="1">
        <f t="shared" si="2"/>
        <v>5.3333333999999996E-2</v>
      </c>
      <c r="J100" s="1">
        <f t="shared" si="3"/>
        <v>4.138081237068496E-3</v>
      </c>
    </row>
    <row r="101" spans="1:10">
      <c r="A101" t="s">
        <v>32</v>
      </c>
      <c r="B101">
        <v>19</v>
      </c>
      <c r="C101" t="s">
        <v>84</v>
      </c>
      <c r="D101">
        <v>3</v>
      </c>
      <c r="E101">
        <v>50</v>
      </c>
      <c r="F101">
        <v>10.666667</v>
      </c>
      <c r="G101">
        <v>3718</v>
      </c>
      <c r="H101">
        <v>9183</v>
      </c>
      <c r="I101" s="1">
        <f t="shared" si="2"/>
        <v>0.21333334000000001</v>
      </c>
      <c r="J101" s="1">
        <f t="shared" si="3"/>
        <v>0.40487857998475446</v>
      </c>
    </row>
    <row r="102" spans="1:10">
      <c r="A102" t="s">
        <v>32</v>
      </c>
      <c r="B102">
        <v>19</v>
      </c>
      <c r="C102" t="s">
        <v>40</v>
      </c>
      <c r="D102">
        <v>4</v>
      </c>
      <c r="E102">
        <v>50</v>
      </c>
      <c r="F102">
        <v>11</v>
      </c>
      <c r="G102">
        <v>3718</v>
      </c>
      <c r="H102">
        <v>9183</v>
      </c>
      <c r="I102" s="1">
        <f t="shared" si="2"/>
        <v>0.22</v>
      </c>
      <c r="J102" s="1">
        <f t="shared" si="3"/>
        <v>0.40487857998475446</v>
      </c>
    </row>
    <row r="103" spans="1:10">
      <c r="A103" t="s">
        <v>32</v>
      </c>
      <c r="B103">
        <v>19</v>
      </c>
      <c r="C103" t="s">
        <v>85</v>
      </c>
      <c r="D103">
        <v>5</v>
      </c>
      <c r="E103">
        <v>50</v>
      </c>
      <c r="F103">
        <v>11.333333</v>
      </c>
      <c r="G103">
        <v>3860</v>
      </c>
      <c r="H103">
        <v>9183</v>
      </c>
      <c r="I103" s="1">
        <f t="shared" si="2"/>
        <v>0.22666665999999999</v>
      </c>
      <c r="J103" s="1">
        <f t="shared" si="3"/>
        <v>0.42034193618643145</v>
      </c>
    </row>
    <row r="104" spans="1:10">
      <c r="A104" t="s">
        <v>32</v>
      </c>
      <c r="B104">
        <v>19</v>
      </c>
      <c r="C104" t="s">
        <v>90</v>
      </c>
      <c r="D104">
        <v>6</v>
      </c>
      <c r="E104">
        <v>50</v>
      </c>
      <c r="F104">
        <v>13.666667</v>
      </c>
      <c r="G104">
        <v>6987</v>
      </c>
      <c r="H104">
        <v>9183</v>
      </c>
      <c r="I104" s="1">
        <f t="shared" si="2"/>
        <v>0.27333333999999998</v>
      </c>
      <c r="J104" s="1">
        <f t="shared" si="3"/>
        <v>0.76086246324730478</v>
      </c>
    </row>
    <row r="105" spans="1:10">
      <c r="A105" t="s">
        <v>32</v>
      </c>
      <c r="B105">
        <v>19</v>
      </c>
      <c r="C105" t="s">
        <v>87</v>
      </c>
      <c r="D105">
        <v>7</v>
      </c>
      <c r="E105">
        <v>50</v>
      </c>
      <c r="F105">
        <v>14</v>
      </c>
      <c r="G105">
        <v>7095</v>
      </c>
      <c r="H105">
        <v>9183</v>
      </c>
      <c r="I105" s="1">
        <f t="shared" si="2"/>
        <v>0.28000000000000003</v>
      </c>
      <c r="J105" s="1">
        <f t="shared" si="3"/>
        <v>0.77262332571055214</v>
      </c>
    </row>
    <row r="106" spans="1:10">
      <c r="A106" t="s">
        <v>32</v>
      </c>
      <c r="B106">
        <v>19</v>
      </c>
      <c r="C106" t="s">
        <v>86</v>
      </c>
      <c r="D106">
        <v>8</v>
      </c>
      <c r="E106">
        <v>50</v>
      </c>
      <c r="F106">
        <v>14.0001</v>
      </c>
      <c r="G106">
        <v>7095</v>
      </c>
      <c r="H106">
        <v>9183</v>
      </c>
      <c r="I106" s="1">
        <f t="shared" si="2"/>
        <v>0.28000199999999997</v>
      </c>
      <c r="J106" s="1">
        <f t="shared" si="3"/>
        <v>0.77262332571055214</v>
      </c>
    </row>
    <row r="107" spans="1:10">
      <c r="A107" t="s">
        <v>32</v>
      </c>
      <c r="B107">
        <v>19</v>
      </c>
      <c r="C107" t="s">
        <v>88</v>
      </c>
      <c r="D107">
        <v>9</v>
      </c>
      <c r="E107">
        <v>50</v>
      </c>
      <c r="F107">
        <v>14.333333</v>
      </c>
      <c r="G107">
        <v>7167</v>
      </c>
      <c r="H107">
        <v>9183</v>
      </c>
      <c r="I107" s="1">
        <f t="shared" si="2"/>
        <v>0.28666666000000002</v>
      </c>
      <c r="J107" s="1">
        <f t="shared" si="3"/>
        <v>0.78046390068605032</v>
      </c>
    </row>
    <row r="108" spans="1:10">
      <c r="A108" t="s">
        <v>32</v>
      </c>
      <c r="B108">
        <v>19</v>
      </c>
      <c r="C108" t="s">
        <v>93</v>
      </c>
      <c r="D108">
        <v>10</v>
      </c>
      <c r="E108">
        <v>50</v>
      </c>
      <c r="F108">
        <v>16</v>
      </c>
      <c r="G108">
        <v>7563</v>
      </c>
      <c r="H108">
        <v>9183</v>
      </c>
      <c r="I108" s="1">
        <f t="shared" si="2"/>
        <v>0.32</v>
      </c>
      <c r="J108" s="1">
        <f t="shared" si="3"/>
        <v>0.82358706305129048</v>
      </c>
    </row>
    <row r="109" spans="1:10">
      <c r="A109" t="s">
        <v>32</v>
      </c>
      <c r="B109">
        <v>19</v>
      </c>
      <c r="C109" t="s">
        <v>102</v>
      </c>
      <c r="D109">
        <v>11</v>
      </c>
      <c r="E109">
        <v>50</v>
      </c>
      <c r="F109">
        <v>16.0001</v>
      </c>
      <c r="G109">
        <v>7563</v>
      </c>
      <c r="H109">
        <v>9183</v>
      </c>
      <c r="I109" s="1">
        <f t="shared" si="2"/>
        <v>0.32000200000000001</v>
      </c>
      <c r="J109" s="1">
        <f t="shared" si="3"/>
        <v>0.82358706305129048</v>
      </c>
    </row>
    <row r="110" spans="1:10">
      <c r="A110" t="s">
        <v>32</v>
      </c>
      <c r="B110">
        <v>19</v>
      </c>
      <c r="C110" t="s">
        <v>100</v>
      </c>
      <c r="D110">
        <v>12</v>
      </c>
      <c r="E110">
        <v>50</v>
      </c>
      <c r="F110">
        <v>16.666665999999999</v>
      </c>
      <c r="G110">
        <v>7563</v>
      </c>
      <c r="H110">
        <v>9183</v>
      </c>
      <c r="I110" s="1">
        <f t="shared" si="2"/>
        <v>0.33333331999999999</v>
      </c>
      <c r="J110" s="1">
        <f t="shared" si="3"/>
        <v>0.82358706305129048</v>
      </c>
    </row>
    <row r="111" spans="1:10">
      <c r="A111" t="s">
        <v>32</v>
      </c>
      <c r="B111">
        <v>19</v>
      </c>
      <c r="C111" t="s">
        <v>101</v>
      </c>
      <c r="D111">
        <v>13</v>
      </c>
      <c r="E111">
        <v>50</v>
      </c>
      <c r="F111">
        <v>16.666765000000002</v>
      </c>
      <c r="G111">
        <v>7563</v>
      </c>
      <c r="H111">
        <v>9183</v>
      </c>
      <c r="I111" s="1">
        <f t="shared" si="2"/>
        <v>0.33333530000000006</v>
      </c>
      <c r="J111" s="1">
        <f t="shared" si="3"/>
        <v>0.82358706305129048</v>
      </c>
    </row>
    <row r="112" spans="1:10">
      <c r="A112" t="s">
        <v>32</v>
      </c>
      <c r="B112">
        <v>19</v>
      </c>
      <c r="C112" t="s">
        <v>95</v>
      </c>
      <c r="D112">
        <v>14</v>
      </c>
      <c r="E112">
        <v>50</v>
      </c>
      <c r="F112">
        <v>16.666864</v>
      </c>
      <c r="G112">
        <v>7563</v>
      </c>
      <c r="H112">
        <v>9183</v>
      </c>
      <c r="I112" s="1">
        <f t="shared" si="2"/>
        <v>0.33333728000000001</v>
      </c>
      <c r="J112" s="1">
        <f t="shared" si="3"/>
        <v>0.82358706305129048</v>
      </c>
    </row>
    <row r="113" spans="1:10">
      <c r="A113" t="s">
        <v>32</v>
      </c>
      <c r="B113">
        <v>19</v>
      </c>
      <c r="C113" t="s">
        <v>98</v>
      </c>
      <c r="D113">
        <v>15</v>
      </c>
      <c r="E113">
        <v>50</v>
      </c>
      <c r="F113">
        <v>17</v>
      </c>
      <c r="G113">
        <v>7563</v>
      </c>
      <c r="H113">
        <v>9183</v>
      </c>
      <c r="I113" s="1">
        <f t="shared" si="2"/>
        <v>0.34</v>
      </c>
      <c r="J113" s="1">
        <f t="shared" si="3"/>
        <v>0.82358706305129048</v>
      </c>
    </row>
    <row r="114" spans="1:10">
      <c r="A114" t="s">
        <v>32</v>
      </c>
      <c r="B114">
        <v>19</v>
      </c>
      <c r="C114" t="s">
        <v>96</v>
      </c>
      <c r="D114">
        <v>16</v>
      </c>
      <c r="E114">
        <v>50</v>
      </c>
      <c r="F114">
        <v>17.333334000000001</v>
      </c>
      <c r="G114">
        <v>8067</v>
      </c>
      <c r="H114">
        <v>9183</v>
      </c>
      <c r="I114" s="1">
        <f t="shared" si="2"/>
        <v>0.34666668</v>
      </c>
      <c r="J114" s="1">
        <f t="shared" si="3"/>
        <v>0.8784710878797779</v>
      </c>
    </row>
    <row r="115" spans="1:10">
      <c r="A115" t="s">
        <v>32</v>
      </c>
      <c r="B115">
        <v>19</v>
      </c>
      <c r="C115" t="s">
        <v>92</v>
      </c>
      <c r="D115">
        <v>17</v>
      </c>
      <c r="E115">
        <v>50</v>
      </c>
      <c r="F115">
        <v>17.333432999999999</v>
      </c>
      <c r="G115">
        <v>8067</v>
      </c>
      <c r="H115">
        <v>9183</v>
      </c>
      <c r="I115" s="1">
        <f t="shared" si="2"/>
        <v>0.34666865999999996</v>
      </c>
      <c r="J115" s="1">
        <f t="shared" si="3"/>
        <v>0.8784710878797779</v>
      </c>
    </row>
    <row r="116" spans="1:10">
      <c r="A116" t="s">
        <v>32</v>
      </c>
      <c r="B116">
        <v>19</v>
      </c>
      <c r="C116" t="s">
        <v>94</v>
      </c>
      <c r="D116">
        <v>18</v>
      </c>
      <c r="E116">
        <v>50</v>
      </c>
      <c r="F116">
        <v>17.333532000000002</v>
      </c>
      <c r="G116">
        <v>8067</v>
      </c>
      <c r="H116">
        <v>9183</v>
      </c>
      <c r="I116" s="1">
        <f t="shared" si="2"/>
        <v>0.34667064000000003</v>
      </c>
      <c r="J116" s="1">
        <f t="shared" si="3"/>
        <v>0.8784710878797779</v>
      </c>
    </row>
    <row r="117" spans="1:10">
      <c r="A117" t="s">
        <v>32</v>
      </c>
      <c r="B117">
        <v>19</v>
      </c>
      <c r="C117" t="s">
        <v>91</v>
      </c>
      <c r="D117">
        <v>19</v>
      </c>
      <c r="E117">
        <v>50</v>
      </c>
      <c r="F117">
        <v>17.333632000000001</v>
      </c>
      <c r="G117">
        <v>8787</v>
      </c>
      <c r="H117">
        <v>9183</v>
      </c>
      <c r="I117" s="1">
        <f t="shared" si="2"/>
        <v>0.34667264000000003</v>
      </c>
      <c r="J117" s="1">
        <f t="shared" si="3"/>
        <v>0.95687683763475984</v>
      </c>
    </row>
    <row r="118" spans="1:10">
      <c r="A118" t="s">
        <v>32</v>
      </c>
      <c r="B118">
        <v>19</v>
      </c>
      <c r="C118" t="s">
        <v>108</v>
      </c>
      <c r="D118">
        <v>20</v>
      </c>
      <c r="E118">
        <v>50</v>
      </c>
      <c r="F118">
        <v>17.333729999999999</v>
      </c>
      <c r="G118">
        <v>9075</v>
      </c>
      <c r="H118">
        <v>9183</v>
      </c>
      <c r="I118" s="1">
        <f t="shared" si="2"/>
        <v>0.3466746</v>
      </c>
      <c r="J118" s="1">
        <f t="shared" si="3"/>
        <v>0.98823913753675274</v>
      </c>
    </row>
    <row r="119" spans="1:10">
      <c r="A119" t="s">
        <v>32</v>
      </c>
      <c r="B119">
        <v>19</v>
      </c>
      <c r="C119" t="s">
        <v>97</v>
      </c>
      <c r="D119">
        <v>21</v>
      </c>
      <c r="E119">
        <v>50</v>
      </c>
      <c r="F119">
        <v>17.666665999999999</v>
      </c>
      <c r="G119">
        <v>9075</v>
      </c>
      <c r="H119">
        <v>9183</v>
      </c>
      <c r="I119" s="1">
        <f t="shared" si="2"/>
        <v>0.35333332000000001</v>
      </c>
      <c r="J119" s="1">
        <f t="shared" si="3"/>
        <v>0.98823913753675274</v>
      </c>
    </row>
    <row r="120" spans="1:10">
      <c r="A120" t="s">
        <v>32</v>
      </c>
      <c r="B120">
        <v>19</v>
      </c>
      <c r="C120" t="s">
        <v>105</v>
      </c>
      <c r="D120">
        <v>22</v>
      </c>
      <c r="E120">
        <v>50</v>
      </c>
      <c r="F120">
        <v>17.666765000000002</v>
      </c>
      <c r="G120">
        <v>9075</v>
      </c>
      <c r="H120">
        <v>9183</v>
      </c>
      <c r="I120" s="1">
        <f t="shared" si="2"/>
        <v>0.35333530000000002</v>
      </c>
      <c r="J120" s="1">
        <f t="shared" si="3"/>
        <v>0.98823913753675274</v>
      </c>
    </row>
    <row r="121" spans="1:10">
      <c r="A121" t="s">
        <v>32</v>
      </c>
      <c r="B121">
        <v>19</v>
      </c>
      <c r="C121" t="s">
        <v>107</v>
      </c>
      <c r="D121">
        <v>23</v>
      </c>
      <c r="E121">
        <v>50</v>
      </c>
      <c r="F121">
        <v>17.666864</v>
      </c>
      <c r="G121">
        <v>9183</v>
      </c>
      <c r="H121">
        <v>9183</v>
      </c>
      <c r="I121" s="1">
        <f t="shared" si="2"/>
        <v>0.35333728000000003</v>
      </c>
      <c r="J121" s="1">
        <f t="shared" si="3"/>
        <v>1</v>
      </c>
    </row>
    <row r="122" spans="1:10">
      <c r="A122" t="s">
        <v>32</v>
      </c>
      <c r="B122">
        <v>19</v>
      </c>
      <c r="C122" t="s">
        <v>89</v>
      </c>
      <c r="D122">
        <v>24</v>
      </c>
      <c r="E122">
        <v>50</v>
      </c>
      <c r="F122">
        <v>19</v>
      </c>
      <c r="G122">
        <v>9183</v>
      </c>
      <c r="H122">
        <v>9183</v>
      </c>
      <c r="I122" s="1">
        <f t="shared" si="2"/>
        <v>0.38</v>
      </c>
      <c r="J122" s="1">
        <f t="shared" si="3"/>
        <v>1</v>
      </c>
    </row>
    <row r="123" spans="1:10">
      <c r="A123" t="s">
        <v>32</v>
      </c>
      <c r="B123">
        <v>19</v>
      </c>
      <c r="C123" t="s">
        <v>99</v>
      </c>
      <c r="D123">
        <v>25</v>
      </c>
      <c r="E123">
        <v>50</v>
      </c>
      <c r="F123">
        <v>19.0001</v>
      </c>
      <c r="G123">
        <v>9183</v>
      </c>
      <c r="H123">
        <v>9183</v>
      </c>
      <c r="I123" s="1">
        <f t="shared" si="2"/>
        <v>0.38000200000000001</v>
      </c>
      <c r="J123" s="1">
        <f t="shared" si="3"/>
        <v>1</v>
      </c>
    </row>
    <row r="124" spans="1:10">
      <c r="A124" t="s">
        <v>32</v>
      </c>
      <c r="B124">
        <v>19</v>
      </c>
      <c r="C124" t="s">
        <v>103</v>
      </c>
      <c r="D124">
        <v>26</v>
      </c>
      <c r="E124">
        <v>50</v>
      </c>
      <c r="F124">
        <v>20</v>
      </c>
      <c r="G124">
        <v>9183</v>
      </c>
      <c r="H124">
        <v>9183</v>
      </c>
      <c r="I124" s="1">
        <f t="shared" si="2"/>
        <v>0.4</v>
      </c>
      <c r="J124" s="1">
        <f t="shared" si="3"/>
        <v>1</v>
      </c>
    </row>
    <row r="125" spans="1:10">
      <c r="A125" t="s">
        <v>32</v>
      </c>
      <c r="B125">
        <v>19</v>
      </c>
      <c r="C125" t="s">
        <v>104</v>
      </c>
      <c r="D125">
        <v>27</v>
      </c>
      <c r="E125">
        <v>50</v>
      </c>
      <c r="F125">
        <v>21.666665999999999</v>
      </c>
      <c r="G125">
        <v>9183</v>
      </c>
      <c r="H125">
        <v>9183</v>
      </c>
      <c r="I125" s="1">
        <f t="shared" si="2"/>
        <v>0.43333331999999997</v>
      </c>
      <c r="J125" s="1">
        <f t="shared" si="3"/>
        <v>1</v>
      </c>
    </row>
    <row r="126" spans="1:10">
      <c r="A126" t="s">
        <v>32</v>
      </c>
      <c r="B126">
        <v>19</v>
      </c>
      <c r="C126" t="s">
        <v>106</v>
      </c>
      <c r="D126">
        <v>28</v>
      </c>
      <c r="E126">
        <v>50</v>
      </c>
      <c r="F126">
        <v>26.666665999999999</v>
      </c>
      <c r="G126">
        <v>9183</v>
      </c>
      <c r="H126">
        <v>9183</v>
      </c>
      <c r="I126" s="1">
        <f t="shared" si="2"/>
        <v>0.53333332</v>
      </c>
      <c r="J126" s="1">
        <f t="shared" si="3"/>
        <v>1</v>
      </c>
    </row>
    <row r="127" spans="1:10">
      <c r="A127" t="s">
        <v>32</v>
      </c>
      <c r="B127">
        <v>20</v>
      </c>
      <c r="C127" t="s">
        <v>109</v>
      </c>
      <c r="D127">
        <v>1</v>
      </c>
      <c r="E127">
        <v>21.666665999999999</v>
      </c>
      <c r="F127">
        <v>4</v>
      </c>
      <c r="G127">
        <v>444</v>
      </c>
      <c r="H127">
        <v>6541</v>
      </c>
      <c r="I127" s="1">
        <f t="shared" si="2"/>
        <v>0.18461539029585816</v>
      </c>
      <c r="J127" s="1">
        <f t="shared" si="3"/>
        <v>6.7879529123987162E-2</v>
      </c>
    </row>
    <row r="128" spans="1:10">
      <c r="A128" t="s">
        <v>32</v>
      </c>
      <c r="B128">
        <v>20</v>
      </c>
      <c r="C128" t="s">
        <v>111</v>
      </c>
      <c r="D128">
        <v>2</v>
      </c>
      <c r="E128">
        <v>21.666665999999999</v>
      </c>
      <c r="F128">
        <v>5</v>
      </c>
      <c r="G128">
        <v>796</v>
      </c>
      <c r="H128">
        <v>6541</v>
      </c>
      <c r="I128" s="1">
        <f t="shared" si="2"/>
        <v>0.2307692378698227</v>
      </c>
      <c r="J128" s="1">
        <f t="shared" si="3"/>
        <v>0.12169393059165265</v>
      </c>
    </row>
    <row r="129" spans="1:10">
      <c r="A129" t="s">
        <v>32</v>
      </c>
      <c r="B129">
        <v>20</v>
      </c>
      <c r="C129" t="s">
        <v>114</v>
      </c>
      <c r="D129">
        <v>3</v>
      </c>
      <c r="E129">
        <v>21.666665999999999</v>
      </c>
      <c r="F129">
        <v>5.0000999999999998</v>
      </c>
      <c r="G129">
        <v>855</v>
      </c>
      <c r="H129">
        <v>6541</v>
      </c>
      <c r="I129" s="1">
        <f t="shared" si="2"/>
        <v>0.23077385325458011</v>
      </c>
      <c r="J129" s="1">
        <f t="shared" si="3"/>
        <v>0.13071395811038067</v>
      </c>
    </row>
    <row r="130" spans="1:10">
      <c r="A130" t="s">
        <v>32</v>
      </c>
      <c r="B130">
        <v>20</v>
      </c>
      <c r="C130" t="s">
        <v>116</v>
      </c>
      <c r="D130">
        <v>4</v>
      </c>
      <c r="E130">
        <v>21.666665999999999</v>
      </c>
      <c r="F130">
        <v>5.0002003000000004</v>
      </c>
      <c r="G130">
        <v>1100</v>
      </c>
      <c r="H130">
        <v>6541</v>
      </c>
      <c r="I130" s="1">
        <f t="shared" si="2"/>
        <v>0.23077848248549179</v>
      </c>
      <c r="J130" s="1">
        <f t="shared" si="3"/>
        <v>0.16817000458645467</v>
      </c>
    </row>
    <row r="131" spans="1:10">
      <c r="A131" t="s">
        <v>32</v>
      </c>
      <c r="B131">
        <v>20</v>
      </c>
      <c r="C131" t="s">
        <v>118</v>
      </c>
      <c r="D131">
        <v>5</v>
      </c>
      <c r="E131">
        <v>21.666665999999999</v>
      </c>
      <c r="F131">
        <v>5.0003004000000004</v>
      </c>
      <c r="G131">
        <v>1105</v>
      </c>
      <c r="H131">
        <v>6541</v>
      </c>
      <c r="I131" s="1">
        <f t="shared" ref="I131:I194" si="4">F131/E131</f>
        <v>0.23078310248563394</v>
      </c>
      <c r="J131" s="1">
        <f t="shared" ref="J131:J194" si="5">G131/H131</f>
        <v>0.16893441369821127</v>
      </c>
    </row>
    <row r="132" spans="1:10">
      <c r="A132" t="s">
        <v>32</v>
      </c>
      <c r="B132">
        <v>20</v>
      </c>
      <c r="C132" t="s">
        <v>120</v>
      </c>
      <c r="D132">
        <v>6</v>
      </c>
      <c r="E132">
        <v>21.666665999999999</v>
      </c>
      <c r="F132">
        <v>5.0004004999999996</v>
      </c>
      <c r="G132">
        <v>1105</v>
      </c>
      <c r="H132">
        <v>6541</v>
      </c>
      <c r="I132" s="1">
        <f t="shared" si="4"/>
        <v>0.23078772248577606</v>
      </c>
      <c r="J132" s="1">
        <f t="shared" si="5"/>
        <v>0.16893441369821127</v>
      </c>
    </row>
    <row r="133" spans="1:10">
      <c r="A133" t="s">
        <v>32</v>
      </c>
      <c r="B133">
        <v>20</v>
      </c>
      <c r="C133" t="s">
        <v>123</v>
      </c>
      <c r="D133">
        <v>7</v>
      </c>
      <c r="E133">
        <v>21.666665999999999</v>
      </c>
      <c r="F133">
        <v>5.0005006999999999</v>
      </c>
      <c r="G133">
        <v>1105</v>
      </c>
      <c r="H133">
        <v>6541</v>
      </c>
      <c r="I133" s="1">
        <f t="shared" si="4"/>
        <v>0.230792347101303</v>
      </c>
      <c r="J133" s="1">
        <f t="shared" si="5"/>
        <v>0.16893441369821127</v>
      </c>
    </row>
    <row r="134" spans="1:10">
      <c r="A134" t="s">
        <v>32</v>
      </c>
      <c r="B134">
        <v>20</v>
      </c>
      <c r="C134" t="s">
        <v>122</v>
      </c>
      <c r="D134">
        <v>8</v>
      </c>
      <c r="E134">
        <v>21.666665999999999</v>
      </c>
      <c r="F134">
        <v>5.0006009999999996</v>
      </c>
      <c r="G134">
        <v>1105</v>
      </c>
      <c r="H134">
        <v>6541</v>
      </c>
      <c r="I134" s="1">
        <f t="shared" si="4"/>
        <v>0.23079697633221466</v>
      </c>
      <c r="J134" s="1">
        <f t="shared" si="5"/>
        <v>0.16893441369821127</v>
      </c>
    </row>
    <row r="135" spans="1:10">
      <c r="A135" t="s">
        <v>32</v>
      </c>
      <c r="B135">
        <v>20</v>
      </c>
      <c r="C135" t="s">
        <v>110</v>
      </c>
      <c r="D135">
        <v>9</v>
      </c>
      <c r="E135">
        <v>21.666665999999999</v>
      </c>
      <c r="F135">
        <v>5.3333335000000002</v>
      </c>
      <c r="G135">
        <v>1115</v>
      </c>
      <c r="H135">
        <v>6541</v>
      </c>
      <c r="I135" s="1">
        <f t="shared" si="4"/>
        <v>0.24615386142011883</v>
      </c>
      <c r="J135" s="1">
        <f t="shared" si="5"/>
        <v>0.1704632319217245</v>
      </c>
    </row>
    <row r="136" spans="1:10">
      <c r="A136" t="s">
        <v>32</v>
      </c>
      <c r="B136">
        <v>20</v>
      </c>
      <c r="C136" t="s">
        <v>127</v>
      </c>
      <c r="D136">
        <v>10</v>
      </c>
      <c r="E136">
        <v>21.666665999999999</v>
      </c>
      <c r="F136">
        <v>5.3334336000000002</v>
      </c>
      <c r="G136">
        <v>1115</v>
      </c>
      <c r="H136">
        <v>6541</v>
      </c>
      <c r="I136" s="1">
        <f t="shared" si="4"/>
        <v>0.24615848142026098</v>
      </c>
      <c r="J136" s="1">
        <f t="shared" si="5"/>
        <v>0.1704632319217245</v>
      </c>
    </row>
    <row r="137" spans="1:10">
      <c r="A137" t="s">
        <v>32</v>
      </c>
      <c r="B137">
        <v>20</v>
      </c>
      <c r="C137" t="s">
        <v>129</v>
      </c>
      <c r="D137">
        <v>11</v>
      </c>
      <c r="E137">
        <v>21.666665999999999</v>
      </c>
      <c r="F137">
        <v>5.6666664999999998</v>
      </c>
      <c r="G137">
        <v>1747</v>
      </c>
      <c r="H137">
        <v>6541</v>
      </c>
      <c r="I137" s="1">
        <f t="shared" si="4"/>
        <v>0.26153846189349111</v>
      </c>
      <c r="J137" s="1">
        <f t="shared" si="5"/>
        <v>0.2670845436477603</v>
      </c>
    </row>
    <row r="138" spans="1:10">
      <c r="A138" t="s">
        <v>32</v>
      </c>
      <c r="B138">
        <v>20</v>
      </c>
      <c r="C138" t="s">
        <v>119</v>
      </c>
      <c r="D138">
        <v>12</v>
      </c>
      <c r="E138">
        <v>21.666665999999999</v>
      </c>
      <c r="F138">
        <v>6</v>
      </c>
      <c r="G138">
        <v>2554</v>
      </c>
      <c r="H138">
        <v>6541</v>
      </c>
      <c r="I138" s="1">
        <f t="shared" si="4"/>
        <v>0.27692308544378724</v>
      </c>
      <c r="J138" s="1">
        <f t="shared" si="5"/>
        <v>0.39046017428527746</v>
      </c>
    </row>
    <row r="139" spans="1:10">
      <c r="A139" t="s">
        <v>32</v>
      </c>
      <c r="B139">
        <v>20</v>
      </c>
      <c r="C139" t="s">
        <v>115</v>
      </c>
      <c r="D139">
        <v>13</v>
      </c>
      <c r="E139">
        <v>21.666665999999999</v>
      </c>
      <c r="F139">
        <v>6.0000999999999998</v>
      </c>
      <c r="G139">
        <v>2654</v>
      </c>
      <c r="H139">
        <v>6541</v>
      </c>
      <c r="I139" s="1">
        <f t="shared" si="4"/>
        <v>0.27692770082854462</v>
      </c>
      <c r="J139" s="1">
        <f t="shared" si="5"/>
        <v>0.40574835652040975</v>
      </c>
    </row>
    <row r="140" spans="1:10">
      <c r="A140" t="s">
        <v>32</v>
      </c>
      <c r="B140">
        <v>20</v>
      </c>
      <c r="C140" t="s">
        <v>113</v>
      </c>
      <c r="D140">
        <v>14</v>
      </c>
      <c r="E140">
        <v>21.666665999999999</v>
      </c>
      <c r="F140">
        <v>6.3333335000000002</v>
      </c>
      <c r="G140">
        <v>2709</v>
      </c>
      <c r="H140">
        <v>6541</v>
      </c>
      <c r="I140" s="1">
        <f t="shared" si="4"/>
        <v>0.29230770899408337</v>
      </c>
      <c r="J140" s="1">
        <f t="shared" si="5"/>
        <v>0.41415685674973246</v>
      </c>
    </row>
    <row r="141" spans="1:10">
      <c r="A141" t="s">
        <v>32</v>
      </c>
      <c r="B141">
        <v>20</v>
      </c>
      <c r="C141" t="s">
        <v>117</v>
      </c>
      <c r="D141">
        <v>15</v>
      </c>
      <c r="E141">
        <v>21.666665999999999</v>
      </c>
      <c r="F141">
        <v>6.3334336000000002</v>
      </c>
      <c r="G141">
        <v>2709</v>
      </c>
      <c r="H141">
        <v>6541</v>
      </c>
      <c r="I141" s="1">
        <f t="shared" si="4"/>
        <v>0.29231232899422555</v>
      </c>
      <c r="J141" s="1">
        <f t="shared" si="5"/>
        <v>0.41415685674973246</v>
      </c>
    </row>
    <row r="142" spans="1:10">
      <c r="A142" t="s">
        <v>32</v>
      </c>
      <c r="B142">
        <v>20</v>
      </c>
      <c r="C142" t="s">
        <v>128</v>
      </c>
      <c r="D142">
        <v>16</v>
      </c>
      <c r="E142">
        <v>21.666665999999999</v>
      </c>
      <c r="F142">
        <v>6.3335340000000002</v>
      </c>
      <c r="G142">
        <v>2709</v>
      </c>
      <c r="H142">
        <v>6541</v>
      </c>
      <c r="I142" s="1">
        <f t="shared" si="4"/>
        <v>0.29231696284052194</v>
      </c>
      <c r="J142" s="1">
        <f t="shared" si="5"/>
        <v>0.41415685674973246</v>
      </c>
    </row>
    <row r="143" spans="1:10">
      <c r="A143" t="s">
        <v>32</v>
      </c>
      <c r="B143">
        <v>20</v>
      </c>
      <c r="C143" t="s">
        <v>112</v>
      </c>
      <c r="D143">
        <v>17</v>
      </c>
      <c r="E143">
        <v>21.666665999999999</v>
      </c>
      <c r="F143">
        <v>6.6666664999999998</v>
      </c>
      <c r="G143">
        <v>2709</v>
      </c>
      <c r="H143">
        <v>6541</v>
      </c>
      <c r="I143" s="1">
        <f t="shared" si="4"/>
        <v>0.30769230946745568</v>
      </c>
      <c r="J143" s="1">
        <f t="shared" si="5"/>
        <v>0.41415685674973246</v>
      </c>
    </row>
    <row r="144" spans="1:10">
      <c r="A144" t="s">
        <v>32</v>
      </c>
      <c r="B144">
        <v>20</v>
      </c>
      <c r="C144" t="s">
        <v>130</v>
      </c>
      <c r="D144">
        <v>18</v>
      </c>
      <c r="E144">
        <v>21.666665999999999</v>
      </c>
      <c r="F144">
        <v>6.6667665999999999</v>
      </c>
      <c r="G144">
        <v>2731</v>
      </c>
      <c r="H144">
        <v>6541</v>
      </c>
      <c r="I144" s="1">
        <f t="shared" si="4"/>
        <v>0.30769692946759786</v>
      </c>
      <c r="J144" s="1">
        <f t="shared" si="5"/>
        <v>0.41752025684146155</v>
      </c>
    </row>
    <row r="145" spans="1:10">
      <c r="A145" t="s">
        <v>32</v>
      </c>
      <c r="B145">
        <v>20</v>
      </c>
      <c r="C145" t="s">
        <v>121</v>
      </c>
      <c r="D145">
        <v>19</v>
      </c>
      <c r="E145">
        <v>21.666665999999999</v>
      </c>
      <c r="F145">
        <v>7</v>
      </c>
      <c r="G145">
        <v>2731</v>
      </c>
      <c r="H145">
        <v>6541</v>
      </c>
      <c r="I145" s="1">
        <f t="shared" si="4"/>
        <v>0.32307693301775181</v>
      </c>
      <c r="J145" s="1">
        <f t="shared" si="5"/>
        <v>0.41752025684146155</v>
      </c>
    </row>
    <row r="146" spans="1:10">
      <c r="A146" t="s">
        <v>32</v>
      </c>
      <c r="B146">
        <v>20</v>
      </c>
      <c r="C146" t="s">
        <v>124</v>
      </c>
      <c r="D146">
        <v>20</v>
      </c>
      <c r="E146">
        <v>21.666665999999999</v>
      </c>
      <c r="F146">
        <v>7.0000999999999998</v>
      </c>
      <c r="G146">
        <v>2731</v>
      </c>
      <c r="H146">
        <v>6541</v>
      </c>
      <c r="I146" s="1">
        <f t="shared" si="4"/>
        <v>0.32308154840250919</v>
      </c>
      <c r="J146" s="1">
        <f t="shared" si="5"/>
        <v>0.41752025684146155</v>
      </c>
    </row>
    <row r="147" spans="1:10">
      <c r="A147" t="s">
        <v>32</v>
      </c>
      <c r="B147">
        <v>20</v>
      </c>
      <c r="C147" t="s">
        <v>125</v>
      </c>
      <c r="D147">
        <v>21</v>
      </c>
      <c r="E147">
        <v>21.666665999999999</v>
      </c>
      <c r="F147">
        <v>7.0002003000000004</v>
      </c>
      <c r="G147">
        <v>2731</v>
      </c>
      <c r="H147">
        <v>6541</v>
      </c>
      <c r="I147" s="1">
        <f t="shared" si="4"/>
        <v>0.3230861776334209</v>
      </c>
      <c r="J147" s="1">
        <f t="shared" si="5"/>
        <v>0.41752025684146155</v>
      </c>
    </row>
    <row r="148" spans="1:10">
      <c r="A148" t="s">
        <v>32</v>
      </c>
      <c r="B148">
        <v>20</v>
      </c>
      <c r="C148" t="s">
        <v>126</v>
      </c>
      <c r="D148">
        <v>22</v>
      </c>
      <c r="E148">
        <v>21.666665999999999</v>
      </c>
      <c r="F148">
        <v>7.6666664999999998</v>
      </c>
      <c r="G148">
        <v>2731</v>
      </c>
      <c r="H148">
        <v>6541</v>
      </c>
      <c r="I148" s="1">
        <f t="shared" si="4"/>
        <v>0.3538461570414202</v>
      </c>
      <c r="J148" s="1">
        <f t="shared" si="5"/>
        <v>0.41752025684146155</v>
      </c>
    </row>
    <row r="149" spans="1:10">
      <c r="A149" t="s">
        <v>32</v>
      </c>
      <c r="B149">
        <v>20</v>
      </c>
      <c r="C149" t="s">
        <v>133</v>
      </c>
      <c r="D149">
        <v>23</v>
      </c>
      <c r="E149">
        <v>21.666665999999999</v>
      </c>
      <c r="F149">
        <v>12.666667</v>
      </c>
      <c r="G149">
        <v>4975</v>
      </c>
      <c r="H149">
        <v>6541</v>
      </c>
      <c r="I149" s="1">
        <f t="shared" si="4"/>
        <v>0.58461541798816674</v>
      </c>
      <c r="J149" s="1">
        <f t="shared" si="5"/>
        <v>0.76058706619782912</v>
      </c>
    </row>
    <row r="150" spans="1:10">
      <c r="A150" t="s">
        <v>32</v>
      </c>
      <c r="B150">
        <v>20</v>
      </c>
      <c r="C150" t="s">
        <v>131</v>
      </c>
      <c r="D150">
        <v>24</v>
      </c>
      <c r="E150">
        <v>21.666665999999999</v>
      </c>
      <c r="F150">
        <v>12.666767</v>
      </c>
      <c r="G150">
        <v>5353</v>
      </c>
      <c r="H150">
        <v>6541</v>
      </c>
      <c r="I150" s="1">
        <f t="shared" si="4"/>
        <v>0.58462003337292412</v>
      </c>
      <c r="J150" s="1">
        <f t="shared" si="5"/>
        <v>0.81837639504662896</v>
      </c>
    </row>
    <row r="151" spans="1:10">
      <c r="A151" t="s">
        <v>32</v>
      </c>
      <c r="B151">
        <v>20</v>
      </c>
      <c r="C151" t="s">
        <v>138</v>
      </c>
      <c r="D151">
        <v>25</v>
      </c>
      <c r="E151">
        <v>21.666665999999999</v>
      </c>
      <c r="F151">
        <v>13</v>
      </c>
      <c r="G151">
        <v>5407</v>
      </c>
      <c r="H151">
        <v>6541</v>
      </c>
      <c r="I151" s="1">
        <f t="shared" si="4"/>
        <v>0.60000001846153905</v>
      </c>
      <c r="J151" s="1">
        <f t="shared" si="5"/>
        <v>0.82663201345360038</v>
      </c>
    </row>
    <row r="152" spans="1:10">
      <c r="A152" t="s">
        <v>32</v>
      </c>
      <c r="B152">
        <v>20</v>
      </c>
      <c r="C152" t="s">
        <v>132</v>
      </c>
      <c r="D152">
        <v>26</v>
      </c>
      <c r="E152">
        <v>21.666665999999999</v>
      </c>
      <c r="F152">
        <v>13.333333</v>
      </c>
      <c r="G152">
        <v>5407</v>
      </c>
      <c r="H152">
        <v>6541</v>
      </c>
      <c r="I152" s="1">
        <f t="shared" si="4"/>
        <v>0.61538461893491136</v>
      </c>
      <c r="J152" s="1">
        <f t="shared" si="5"/>
        <v>0.82663201345360038</v>
      </c>
    </row>
    <row r="153" spans="1:10">
      <c r="A153" t="s">
        <v>32</v>
      </c>
      <c r="B153">
        <v>20</v>
      </c>
      <c r="C153" t="s">
        <v>139</v>
      </c>
      <c r="D153">
        <v>27</v>
      </c>
      <c r="E153">
        <v>21.666665999999999</v>
      </c>
      <c r="F153">
        <v>14</v>
      </c>
      <c r="G153">
        <v>5407</v>
      </c>
      <c r="H153">
        <v>6541</v>
      </c>
      <c r="I153" s="1">
        <f t="shared" si="4"/>
        <v>0.64615386603550362</v>
      </c>
      <c r="J153" s="1">
        <f t="shared" si="5"/>
        <v>0.82663201345360038</v>
      </c>
    </row>
    <row r="154" spans="1:10">
      <c r="A154" t="s">
        <v>32</v>
      </c>
      <c r="B154">
        <v>20</v>
      </c>
      <c r="C154" t="s">
        <v>136</v>
      </c>
      <c r="D154">
        <v>28</v>
      </c>
      <c r="E154">
        <v>21.666665999999999</v>
      </c>
      <c r="F154">
        <v>14.333333</v>
      </c>
      <c r="G154">
        <v>5947</v>
      </c>
      <c r="H154">
        <v>6541</v>
      </c>
      <c r="I154" s="1">
        <f t="shared" si="4"/>
        <v>0.66153846650887593</v>
      </c>
      <c r="J154" s="1">
        <f t="shared" si="5"/>
        <v>0.90918819752331448</v>
      </c>
    </row>
    <row r="155" spans="1:10">
      <c r="A155" t="s">
        <v>32</v>
      </c>
      <c r="B155">
        <v>20</v>
      </c>
      <c r="C155" t="s">
        <v>137</v>
      </c>
      <c r="D155">
        <v>29</v>
      </c>
      <c r="E155">
        <v>21.666665999999999</v>
      </c>
      <c r="F155">
        <v>14.666667</v>
      </c>
      <c r="G155">
        <v>6541</v>
      </c>
      <c r="H155">
        <v>6541</v>
      </c>
      <c r="I155" s="1">
        <f t="shared" si="4"/>
        <v>0.67692311313609588</v>
      </c>
      <c r="J155" s="1">
        <f t="shared" si="5"/>
        <v>1</v>
      </c>
    </row>
    <row r="156" spans="1:10">
      <c r="A156" t="s">
        <v>32</v>
      </c>
      <c r="B156">
        <v>20</v>
      </c>
      <c r="C156" t="s">
        <v>134</v>
      </c>
      <c r="D156">
        <v>30</v>
      </c>
      <c r="E156">
        <v>21.666665999999999</v>
      </c>
      <c r="F156">
        <v>15.333333</v>
      </c>
      <c r="G156">
        <v>6541</v>
      </c>
      <c r="H156">
        <v>6541</v>
      </c>
      <c r="I156" s="1">
        <f t="shared" si="4"/>
        <v>0.70769231408284039</v>
      </c>
      <c r="J156" s="1">
        <f t="shared" si="5"/>
        <v>1</v>
      </c>
    </row>
    <row r="157" spans="1:10">
      <c r="A157" t="s">
        <v>32</v>
      </c>
      <c r="B157">
        <v>20</v>
      </c>
      <c r="C157" t="s">
        <v>135</v>
      </c>
      <c r="D157">
        <v>31</v>
      </c>
      <c r="E157">
        <v>21.666665999999999</v>
      </c>
      <c r="F157">
        <v>15.666667</v>
      </c>
      <c r="G157">
        <v>6541</v>
      </c>
      <c r="H157">
        <v>6541</v>
      </c>
      <c r="I157" s="1">
        <f t="shared" si="4"/>
        <v>0.72307696071006033</v>
      </c>
      <c r="J157" s="1">
        <f t="shared" si="5"/>
        <v>1</v>
      </c>
    </row>
    <row r="158" spans="1:10">
      <c r="A158" t="s">
        <v>32</v>
      </c>
      <c r="B158">
        <v>20</v>
      </c>
      <c r="C158" t="s">
        <v>141</v>
      </c>
      <c r="D158">
        <v>32</v>
      </c>
      <c r="E158">
        <v>21.666665999999999</v>
      </c>
      <c r="F158">
        <v>16</v>
      </c>
      <c r="G158">
        <v>6541</v>
      </c>
      <c r="H158">
        <v>6541</v>
      </c>
      <c r="I158" s="1">
        <f t="shared" si="4"/>
        <v>0.73846156118343265</v>
      </c>
      <c r="J158" s="1">
        <f t="shared" si="5"/>
        <v>1</v>
      </c>
    </row>
    <row r="159" spans="1:10">
      <c r="A159" t="s">
        <v>32</v>
      </c>
      <c r="B159">
        <v>20</v>
      </c>
      <c r="C159" t="s">
        <v>140</v>
      </c>
      <c r="D159">
        <v>33</v>
      </c>
      <c r="E159">
        <v>21.666665999999999</v>
      </c>
      <c r="F159">
        <v>16.666665999999999</v>
      </c>
      <c r="G159">
        <v>6541</v>
      </c>
      <c r="H159">
        <v>6541</v>
      </c>
      <c r="I159" s="1">
        <f t="shared" si="4"/>
        <v>0.76923076213017727</v>
      </c>
      <c r="J159" s="1">
        <f t="shared" si="5"/>
        <v>1</v>
      </c>
    </row>
    <row r="160" spans="1:10">
      <c r="A160" t="s">
        <v>142</v>
      </c>
      <c r="B160">
        <v>2</v>
      </c>
      <c r="C160" t="s">
        <v>19</v>
      </c>
      <c r="D160">
        <v>1</v>
      </c>
      <c r="E160">
        <v>14</v>
      </c>
      <c r="F160">
        <v>3</v>
      </c>
      <c r="G160">
        <v>77</v>
      </c>
      <c r="H160">
        <v>4152</v>
      </c>
      <c r="I160" s="1">
        <f t="shared" si="4"/>
        <v>0.21428571428571427</v>
      </c>
      <c r="J160" s="1">
        <f t="shared" si="5"/>
        <v>1.8545279383429671E-2</v>
      </c>
    </row>
    <row r="161" spans="1:10">
      <c r="A161" t="s">
        <v>142</v>
      </c>
      <c r="B161">
        <v>2</v>
      </c>
      <c r="C161" t="s">
        <v>143</v>
      </c>
      <c r="D161">
        <v>2</v>
      </c>
      <c r="E161">
        <v>14</v>
      </c>
      <c r="F161">
        <v>14</v>
      </c>
      <c r="G161">
        <v>4152</v>
      </c>
      <c r="H161">
        <v>4152</v>
      </c>
      <c r="I161" s="1">
        <f t="shared" si="4"/>
        <v>1</v>
      </c>
      <c r="J161" s="1">
        <f t="shared" si="5"/>
        <v>1</v>
      </c>
    </row>
    <row r="162" spans="1:10">
      <c r="A162" t="s">
        <v>142</v>
      </c>
      <c r="B162">
        <v>2</v>
      </c>
      <c r="C162" t="s">
        <v>144</v>
      </c>
      <c r="D162">
        <v>3</v>
      </c>
      <c r="E162">
        <v>14</v>
      </c>
      <c r="F162">
        <v>14.0001</v>
      </c>
      <c r="G162">
        <v>4152</v>
      </c>
      <c r="H162">
        <v>4152</v>
      </c>
      <c r="I162" s="1">
        <f t="shared" si="4"/>
        <v>1.0000071428571429</v>
      </c>
      <c r="J162" s="1">
        <f t="shared" si="5"/>
        <v>1</v>
      </c>
    </row>
    <row r="163" spans="1:10">
      <c r="A163" t="s">
        <v>142</v>
      </c>
      <c r="B163">
        <v>3</v>
      </c>
      <c r="C163" t="s">
        <v>145</v>
      </c>
      <c r="D163">
        <v>1</v>
      </c>
      <c r="E163">
        <v>6.6666664999999998</v>
      </c>
      <c r="F163">
        <v>6.6666664999999998</v>
      </c>
      <c r="G163">
        <v>534</v>
      </c>
      <c r="H163">
        <v>548</v>
      </c>
      <c r="I163" s="1">
        <f t="shared" si="4"/>
        <v>1</v>
      </c>
      <c r="J163" s="1">
        <f t="shared" si="5"/>
        <v>0.97445255474452552</v>
      </c>
    </row>
    <row r="164" spans="1:10">
      <c r="A164" t="s">
        <v>142</v>
      </c>
      <c r="B164">
        <v>3</v>
      </c>
      <c r="C164" t="s">
        <v>36</v>
      </c>
      <c r="D164">
        <v>2</v>
      </c>
      <c r="E164">
        <v>6.6666664999999998</v>
      </c>
      <c r="F164">
        <v>6.6667665999999999</v>
      </c>
      <c r="G164">
        <v>548</v>
      </c>
      <c r="H164">
        <v>548</v>
      </c>
      <c r="I164" s="1">
        <f t="shared" si="4"/>
        <v>1.0000150150003755</v>
      </c>
      <c r="J164" s="1">
        <f t="shared" si="5"/>
        <v>1</v>
      </c>
    </row>
    <row r="165" spans="1:10">
      <c r="A165" t="s">
        <v>142</v>
      </c>
      <c r="B165">
        <v>7</v>
      </c>
      <c r="C165" t="s">
        <v>36</v>
      </c>
      <c r="D165">
        <v>1</v>
      </c>
      <c r="E165">
        <v>6.6666664999999998</v>
      </c>
      <c r="F165">
        <v>6.6666664999999998</v>
      </c>
      <c r="G165">
        <v>512</v>
      </c>
      <c r="H165">
        <v>512</v>
      </c>
      <c r="I165" s="1">
        <f t="shared" si="4"/>
        <v>1</v>
      </c>
      <c r="J165" s="1">
        <f t="shared" si="5"/>
        <v>1</v>
      </c>
    </row>
    <row r="166" spans="1:10">
      <c r="A166" t="s">
        <v>142</v>
      </c>
      <c r="B166">
        <v>7</v>
      </c>
      <c r="C166" t="s">
        <v>145</v>
      </c>
      <c r="D166">
        <v>2</v>
      </c>
      <c r="E166">
        <v>6.6666664999999998</v>
      </c>
      <c r="F166">
        <v>7</v>
      </c>
      <c r="G166">
        <v>512</v>
      </c>
      <c r="H166">
        <v>512</v>
      </c>
      <c r="I166" s="1">
        <f t="shared" si="4"/>
        <v>1.0500000262500007</v>
      </c>
      <c r="J166" s="1">
        <f t="shared" si="5"/>
        <v>1</v>
      </c>
    </row>
    <row r="167" spans="1:10">
      <c r="A167" t="s">
        <v>142</v>
      </c>
      <c r="B167">
        <v>10</v>
      </c>
      <c r="C167" t="s">
        <v>146</v>
      </c>
      <c r="D167">
        <v>1</v>
      </c>
      <c r="E167">
        <v>55</v>
      </c>
      <c r="F167">
        <v>7</v>
      </c>
      <c r="G167">
        <v>1160</v>
      </c>
      <c r="H167">
        <v>13706</v>
      </c>
      <c r="I167" s="1">
        <f t="shared" si="4"/>
        <v>0.12727272727272726</v>
      </c>
      <c r="J167" s="1">
        <f t="shared" si="5"/>
        <v>8.4634466656938565E-2</v>
      </c>
    </row>
    <row r="168" spans="1:10">
      <c r="A168" t="s">
        <v>142</v>
      </c>
      <c r="B168">
        <v>10</v>
      </c>
      <c r="C168" t="s">
        <v>147</v>
      </c>
      <c r="D168">
        <v>2</v>
      </c>
      <c r="E168">
        <v>55</v>
      </c>
      <c r="F168">
        <v>7.3333335000000002</v>
      </c>
      <c r="G168">
        <v>1160</v>
      </c>
      <c r="H168">
        <v>13706</v>
      </c>
      <c r="I168" s="1">
        <f t="shared" si="4"/>
        <v>0.13333333636363637</v>
      </c>
      <c r="J168" s="1">
        <f t="shared" si="5"/>
        <v>8.4634466656938565E-2</v>
      </c>
    </row>
    <row r="169" spans="1:10">
      <c r="A169" t="s">
        <v>142</v>
      </c>
      <c r="B169">
        <v>10</v>
      </c>
      <c r="C169" t="s">
        <v>149</v>
      </c>
      <c r="D169">
        <v>3</v>
      </c>
      <c r="E169">
        <v>55</v>
      </c>
      <c r="F169">
        <v>9</v>
      </c>
      <c r="G169">
        <v>2065</v>
      </c>
      <c r="H169">
        <v>13706</v>
      </c>
      <c r="I169" s="1">
        <f t="shared" si="4"/>
        <v>0.16363636363636364</v>
      </c>
      <c r="J169" s="1">
        <f t="shared" si="5"/>
        <v>0.15066394279877426</v>
      </c>
    </row>
    <row r="170" spans="1:10">
      <c r="A170" t="s">
        <v>142</v>
      </c>
      <c r="B170">
        <v>10</v>
      </c>
      <c r="C170" t="s">
        <v>154</v>
      </c>
      <c r="D170">
        <v>4</v>
      </c>
      <c r="E170">
        <v>55</v>
      </c>
      <c r="F170">
        <v>9.0000999999999998</v>
      </c>
      <c r="G170">
        <v>3086</v>
      </c>
      <c r="H170">
        <v>13706</v>
      </c>
      <c r="I170" s="1">
        <f t="shared" si="4"/>
        <v>0.16363818181818182</v>
      </c>
      <c r="J170" s="1">
        <f t="shared" si="5"/>
        <v>0.2251568656063038</v>
      </c>
    </row>
    <row r="171" spans="1:10">
      <c r="A171" t="s">
        <v>142</v>
      </c>
      <c r="B171">
        <v>10</v>
      </c>
      <c r="C171" t="s">
        <v>150</v>
      </c>
      <c r="D171">
        <v>5</v>
      </c>
      <c r="E171">
        <v>55</v>
      </c>
      <c r="F171">
        <v>9.3333329999999997</v>
      </c>
      <c r="G171">
        <v>3992</v>
      </c>
      <c r="H171">
        <v>13706</v>
      </c>
      <c r="I171" s="1">
        <f t="shared" si="4"/>
        <v>0.16969696363636363</v>
      </c>
      <c r="J171" s="1">
        <f t="shared" si="5"/>
        <v>0.29125930249525755</v>
      </c>
    </row>
    <row r="172" spans="1:10">
      <c r="A172" t="s">
        <v>142</v>
      </c>
      <c r="B172">
        <v>10</v>
      </c>
      <c r="C172" t="s">
        <v>165</v>
      </c>
      <c r="D172">
        <v>6</v>
      </c>
      <c r="E172">
        <v>55</v>
      </c>
      <c r="F172">
        <v>9.3334329999999994</v>
      </c>
      <c r="G172">
        <v>3992</v>
      </c>
      <c r="H172">
        <v>13706</v>
      </c>
      <c r="I172" s="1">
        <f t="shared" si="4"/>
        <v>0.16969878181818182</v>
      </c>
      <c r="J172" s="1">
        <f t="shared" si="5"/>
        <v>0.29125930249525755</v>
      </c>
    </row>
    <row r="173" spans="1:10">
      <c r="A173" t="s">
        <v>142</v>
      </c>
      <c r="B173">
        <v>10</v>
      </c>
      <c r="C173" t="s">
        <v>148</v>
      </c>
      <c r="D173">
        <v>7</v>
      </c>
      <c r="E173">
        <v>55</v>
      </c>
      <c r="F173">
        <v>9.3335329999999992</v>
      </c>
      <c r="G173">
        <v>5035</v>
      </c>
      <c r="H173">
        <v>13706</v>
      </c>
      <c r="I173" s="1">
        <f t="shared" si="4"/>
        <v>0.16970059999999998</v>
      </c>
      <c r="J173" s="1">
        <f t="shared" si="5"/>
        <v>0.36735736173938421</v>
      </c>
    </row>
    <row r="174" spans="1:10">
      <c r="A174" t="s">
        <v>142</v>
      </c>
      <c r="B174">
        <v>10</v>
      </c>
      <c r="C174" t="s">
        <v>153</v>
      </c>
      <c r="D174">
        <v>8</v>
      </c>
      <c r="E174">
        <v>55</v>
      </c>
      <c r="F174">
        <v>9.6666670000000003</v>
      </c>
      <c r="G174">
        <v>5035</v>
      </c>
      <c r="H174">
        <v>13706</v>
      </c>
      <c r="I174" s="1">
        <f t="shared" si="4"/>
        <v>0.17575758181818182</v>
      </c>
      <c r="J174" s="1">
        <f t="shared" si="5"/>
        <v>0.36735736173938421</v>
      </c>
    </row>
    <row r="175" spans="1:10">
      <c r="A175" t="s">
        <v>142</v>
      </c>
      <c r="B175">
        <v>10</v>
      </c>
      <c r="C175" t="s">
        <v>151</v>
      </c>
      <c r="D175">
        <v>9</v>
      </c>
      <c r="E175">
        <v>55</v>
      </c>
      <c r="F175">
        <v>9.6667670000000001</v>
      </c>
      <c r="G175">
        <v>5035</v>
      </c>
      <c r="H175">
        <v>13706</v>
      </c>
      <c r="I175" s="1">
        <f t="shared" si="4"/>
        <v>0.17575940000000001</v>
      </c>
      <c r="J175" s="1">
        <f t="shared" si="5"/>
        <v>0.36735736173938421</v>
      </c>
    </row>
    <row r="176" spans="1:10">
      <c r="A176" t="s">
        <v>142</v>
      </c>
      <c r="B176">
        <v>10</v>
      </c>
      <c r="C176" t="s">
        <v>152</v>
      </c>
      <c r="D176">
        <v>10</v>
      </c>
      <c r="E176">
        <v>55</v>
      </c>
      <c r="F176">
        <v>10.333333</v>
      </c>
      <c r="G176">
        <v>5035</v>
      </c>
      <c r="H176">
        <v>13706</v>
      </c>
      <c r="I176" s="1">
        <f t="shared" si="4"/>
        <v>0.18787878181818182</v>
      </c>
      <c r="J176" s="1">
        <f t="shared" si="5"/>
        <v>0.36735736173938421</v>
      </c>
    </row>
    <row r="177" spans="1:10">
      <c r="A177" t="s">
        <v>142</v>
      </c>
      <c r="B177">
        <v>10</v>
      </c>
      <c r="C177" t="s">
        <v>156</v>
      </c>
      <c r="D177">
        <v>11</v>
      </c>
      <c r="E177">
        <v>55</v>
      </c>
      <c r="F177">
        <v>11.666667</v>
      </c>
      <c r="G177">
        <v>5343</v>
      </c>
      <c r="H177">
        <v>13706</v>
      </c>
      <c r="I177" s="1">
        <f t="shared" si="4"/>
        <v>0.2121212181818182</v>
      </c>
      <c r="J177" s="1">
        <f t="shared" si="5"/>
        <v>0.38982927185174376</v>
      </c>
    </row>
    <row r="178" spans="1:10">
      <c r="A178" t="s">
        <v>142</v>
      </c>
      <c r="B178">
        <v>10</v>
      </c>
      <c r="C178" t="s">
        <v>160</v>
      </c>
      <c r="D178">
        <v>12</v>
      </c>
      <c r="E178">
        <v>55</v>
      </c>
      <c r="F178">
        <v>11.666767</v>
      </c>
      <c r="G178">
        <v>7154</v>
      </c>
      <c r="H178">
        <v>13706</v>
      </c>
      <c r="I178" s="1">
        <f t="shared" si="4"/>
        <v>0.21212303636363636</v>
      </c>
      <c r="J178" s="1">
        <f t="shared" si="5"/>
        <v>0.52196118488253318</v>
      </c>
    </row>
    <row r="179" spans="1:10">
      <c r="A179" t="s">
        <v>142</v>
      </c>
      <c r="B179">
        <v>10</v>
      </c>
      <c r="C179" t="s">
        <v>155</v>
      </c>
      <c r="D179">
        <v>13</v>
      </c>
      <c r="E179">
        <v>55</v>
      </c>
      <c r="F179">
        <v>12</v>
      </c>
      <c r="G179">
        <v>9262</v>
      </c>
      <c r="H179">
        <v>13706</v>
      </c>
      <c r="I179" s="1">
        <f t="shared" si="4"/>
        <v>0.21818181818181817</v>
      </c>
      <c r="J179" s="1">
        <f t="shared" si="5"/>
        <v>0.6757624398073836</v>
      </c>
    </row>
    <row r="180" spans="1:10">
      <c r="A180" t="s">
        <v>142</v>
      </c>
      <c r="B180">
        <v>10</v>
      </c>
      <c r="C180" t="s">
        <v>159</v>
      </c>
      <c r="D180">
        <v>14</v>
      </c>
      <c r="E180">
        <v>55</v>
      </c>
      <c r="F180">
        <v>12.0001</v>
      </c>
      <c r="G180">
        <v>9548</v>
      </c>
      <c r="H180">
        <v>13706</v>
      </c>
      <c r="I180" s="1">
        <f t="shared" si="4"/>
        <v>0.21818363636363636</v>
      </c>
      <c r="J180" s="1">
        <f t="shared" si="5"/>
        <v>0.6966292134831461</v>
      </c>
    </row>
    <row r="181" spans="1:10">
      <c r="A181" t="s">
        <v>142</v>
      </c>
      <c r="B181">
        <v>10</v>
      </c>
      <c r="C181" t="s">
        <v>162</v>
      </c>
      <c r="D181">
        <v>15</v>
      </c>
      <c r="E181">
        <v>55</v>
      </c>
      <c r="F181">
        <v>12.0002</v>
      </c>
      <c r="G181">
        <v>9548</v>
      </c>
      <c r="H181">
        <v>13706</v>
      </c>
      <c r="I181" s="1">
        <f t="shared" si="4"/>
        <v>0.21818545454545454</v>
      </c>
      <c r="J181" s="1">
        <f t="shared" si="5"/>
        <v>0.6966292134831461</v>
      </c>
    </row>
    <row r="182" spans="1:10">
      <c r="A182" t="s">
        <v>142</v>
      </c>
      <c r="B182">
        <v>10</v>
      </c>
      <c r="C182" t="s">
        <v>161</v>
      </c>
      <c r="D182">
        <v>16</v>
      </c>
      <c r="E182">
        <v>55</v>
      </c>
      <c r="F182">
        <v>12.000299999999999</v>
      </c>
      <c r="G182">
        <v>9856</v>
      </c>
      <c r="H182">
        <v>13706</v>
      </c>
      <c r="I182" s="1">
        <f t="shared" si="4"/>
        <v>0.2181872727272727</v>
      </c>
      <c r="J182" s="1">
        <f t="shared" si="5"/>
        <v>0.7191011235955056</v>
      </c>
    </row>
    <row r="183" spans="1:10">
      <c r="A183" t="s">
        <v>142</v>
      </c>
      <c r="B183">
        <v>10</v>
      </c>
      <c r="C183" t="s">
        <v>172</v>
      </c>
      <c r="D183">
        <v>17</v>
      </c>
      <c r="E183">
        <v>55</v>
      </c>
      <c r="F183">
        <v>12.000401</v>
      </c>
      <c r="G183">
        <v>10142</v>
      </c>
      <c r="H183">
        <v>13706</v>
      </c>
      <c r="I183" s="1">
        <f t="shared" si="4"/>
        <v>0.21818910909090911</v>
      </c>
      <c r="J183" s="1">
        <f t="shared" si="5"/>
        <v>0.7399678972712681</v>
      </c>
    </row>
    <row r="184" spans="1:10">
      <c r="A184" t="s">
        <v>142</v>
      </c>
      <c r="B184">
        <v>10</v>
      </c>
      <c r="C184" t="s">
        <v>175</v>
      </c>
      <c r="D184">
        <v>18</v>
      </c>
      <c r="E184">
        <v>55</v>
      </c>
      <c r="F184">
        <v>12.000501</v>
      </c>
      <c r="G184">
        <v>10142</v>
      </c>
      <c r="H184">
        <v>13706</v>
      </c>
      <c r="I184" s="1">
        <f t="shared" si="4"/>
        <v>0.21819092727272726</v>
      </c>
      <c r="J184" s="1">
        <f t="shared" si="5"/>
        <v>0.7399678972712681</v>
      </c>
    </row>
    <row r="185" spans="1:10">
      <c r="A185" t="s">
        <v>142</v>
      </c>
      <c r="B185">
        <v>10</v>
      </c>
      <c r="C185" t="s">
        <v>157</v>
      </c>
      <c r="D185">
        <v>19</v>
      </c>
      <c r="E185">
        <v>55</v>
      </c>
      <c r="F185">
        <v>12.333333</v>
      </c>
      <c r="G185">
        <v>10142</v>
      </c>
      <c r="H185">
        <v>13706</v>
      </c>
      <c r="I185" s="1">
        <f t="shared" si="4"/>
        <v>0.22424241818181817</v>
      </c>
      <c r="J185" s="1">
        <f t="shared" si="5"/>
        <v>0.7399678972712681</v>
      </c>
    </row>
    <row r="186" spans="1:10">
      <c r="A186" t="s">
        <v>142</v>
      </c>
      <c r="B186">
        <v>10</v>
      </c>
      <c r="C186" t="s">
        <v>163</v>
      </c>
      <c r="D186">
        <v>20</v>
      </c>
      <c r="E186">
        <v>55</v>
      </c>
      <c r="F186">
        <v>12.333432999999999</v>
      </c>
      <c r="G186">
        <v>10142</v>
      </c>
      <c r="H186">
        <v>13706</v>
      </c>
      <c r="I186" s="1">
        <f t="shared" si="4"/>
        <v>0.22424423636363636</v>
      </c>
      <c r="J186" s="1">
        <f t="shared" si="5"/>
        <v>0.7399678972712681</v>
      </c>
    </row>
    <row r="187" spans="1:10">
      <c r="A187" t="s">
        <v>142</v>
      </c>
      <c r="B187">
        <v>10</v>
      </c>
      <c r="C187" t="s">
        <v>173</v>
      </c>
      <c r="D187">
        <v>21</v>
      </c>
      <c r="E187">
        <v>55</v>
      </c>
      <c r="F187">
        <v>12.333532999999999</v>
      </c>
      <c r="G187">
        <v>10142</v>
      </c>
      <c r="H187">
        <v>13706</v>
      </c>
      <c r="I187" s="1">
        <f t="shared" si="4"/>
        <v>0.22424605454545454</v>
      </c>
      <c r="J187" s="1">
        <f t="shared" si="5"/>
        <v>0.7399678972712681</v>
      </c>
    </row>
    <row r="188" spans="1:10">
      <c r="A188" t="s">
        <v>142</v>
      </c>
      <c r="B188">
        <v>10</v>
      </c>
      <c r="C188" t="s">
        <v>158</v>
      </c>
      <c r="D188">
        <v>22</v>
      </c>
      <c r="E188">
        <v>55</v>
      </c>
      <c r="F188">
        <v>12.666667</v>
      </c>
      <c r="G188">
        <v>10142</v>
      </c>
      <c r="H188">
        <v>13706</v>
      </c>
      <c r="I188" s="1">
        <f t="shared" si="4"/>
        <v>0.23030303636363636</v>
      </c>
      <c r="J188" s="1">
        <f t="shared" si="5"/>
        <v>0.7399678972712681</v>
      </c>
    </row>
    <row r="189" spans="1:10">
      <c r="A189" t="s">
        <v>142</v>
      </c>
      <c r="B189">
        <v>10</v>
      </c>
      <c r="C189" t="s">
        <v>167</v>
      </c>
      <c r="D189">
        <v>23</v>
      </c>
      <c r="E189">
        <v>55</v>
      </c>
      <c r="F189">
        <v>14.666667</v>
      </c>
      <c r="G189">
        <v>10736</v>
      </c>
      <c r="H189">
        <v>13706</v>
      </c>
      <c r="I189" s="1">
        <f t="shared" si="4"/>
        <v>0.26666667272727274</v>
      </c>
      <c r="J189" s="1">
        <f t="shared" si="5"/>
        <v>0.78330658105938999</v>
      </c>
    </row>
    <row r="190" spans="1:10">
      <c r="A190" t="s">
        <v>142</v>
      </c>
      <c r="B190">
        <v>10</v>
      </c>
      <c r="C190" t="s">
        <v>169</v>
      </c>
      <c r="D190">
        <v>24</v>
      </c>
      <c r="E190">
        <v>55</v>
      </c>
      <c r="F190">
        <v>14.666767</v>
      </c>
      <c r="G190">
        <v>11352</v>
      </c>
      <c r="H190">
        <v>13706</v>
      </c>
      <c r="I190" s="1">
        <f t="shared" si="4"/>
        <v>0.26666849090909089</v>
      </c>
      <c r="J190" s="1">
        <f t="shared" si="5"/>
        <v>0.82825040128410909</v>
      </c>
    </row>
    <row r="191" spans="1:10">
      <c r="A191" t="s">
        <v>142</v>
      </c>
      <c r="B191">
        <v>10</v>
      </c>
      <c r="C191" t="s">
        <v>171</v>
      </c>
      <c r="D191">
        <v>25</v>
      </c>
      <c r="E191">
        <v>55</v>
      </c>
      <c r="F191">
        <v>15</v>
      </c>
      <c r="G191">
        <v>11946</v>
      </c>
      <c r="H191">
        <v>13706</v>
      </c>
      <c r="I191" s="1">
        <f t="shared" si="4"/>
        <v>0.27272727272727271</v>
      </c>
      <c r="J191" s="1">
        <f t="shared" si="5"/>
        <v>0.8715890850722311</v>
      </c>
    </row>
    <row r="192" spans="1:10">
      <c r="A192" t="s">
        <v>142</v>
      </c>
      <c r="B192">
        <v>10</v>
      </c>
      <c r="C192" t="s">
        <v>166</v>
      </c>
      <c r="D192">
        <v>26</v>
      </c>
      <c r="E192">
        <v>55</v>
      </c>
      <c r="F192">
        <v>15.0001</v>
      </c>
      <c r="G192">
        <v>12518</v>
      </c>
      <c r="H192">
        <v>13706</v>
      </c>
      <c r="I192" s="1">
        <f t="shared" si="4"/>
        <v>0.27272909090909092</v>
      </c>
      <c r="J192" s="1">
        <f t="shared" si="5"/>
        <v>0.913322632423756</v>
      </c>
    </row>
    <row r="193" spans="1:10">
      <c r="A193" t="s">
        <v>142</v>
      </c>
      <c r="B193">
        <v>10</v>
      </c>
      <c r="C193" t="s">
        <v>174</v>
      </c>
      <c r="D193">
        <v>27</v>
      </c>
      <c r="E193">
        <v>55</v>
      </c>
      <c r="F193">
        <v>15.333333</v>
      </c>
      <c r="G193">
        <v>12518</v>
      </c>
      <c r="H193">
        <v>13706</v>
      </c>
      <c r="I193" s="1">
        <f t="shared" si="4"/>
        <v>0.27878787272727273</v>
      </c>
      <c r="J193" s="1">
        <f t="shared" si="5"/>
        <v>0.913322632423756</v>
      </c>
    </row>
    <row r="194" spans="1:10">
      <c r="A194" t="s">
        <v>142</v>
      </c>
      <c r="B194">
        <v>10</v>
      </c>
      <c r="C194" t="s">
        <v>168</v>
      </c>
      <c r="D194">
        <v>28</v>
      </c>
      <c r="E194">
        <v>55</v>
      </c>
      <c r="F194">
        <v>15.333432999999999</v>
      </c>
      <c r="G194">
        <v>12518</v>
      </c>
      <c r="H194">
        <v>13706</v>
      </c>
      <c r="I194" s="1">
        <f t="shared" si="4"/>
        <v>0.27878969090909089</v>
      </c>
      <c r="J194" s="1">
        <f t="shared" si="5"/>
        <v>0.913322632423756</v>
      </c>
    </row>
    <row r="195" spans="1:10">
      <c r="A195" t="s">
        <v>142</v>
      </c>
      <c r="B195">
        <v>10</v>
      </c>
      <c r="C195" t="s">
        <v>164</v>
      </c>
      <c r="D195">
        <v>29</v>
      </c>
      <c r="E195">
        <v>55</v>
      </c>
      <c r="F195">
        <v>15.666667</v>
      </c>
      <c r="G195">
        <v>12518</v>
      </c>
      <c r="H195">
        <v>13706</v>
      </c>
      <c r="I195" s="1">
        <f t="shared" ref="I195:I258" si="6">F195/E195</f>
        <v>0.28484849090909092</v>
      </c>
      <c r="J195" s="1">
        <f t="shared" ref="J195:J258" si="7">G195/H195</f>
        <v>0.913322632423756</v>
      </c>
    </row>
    <row r="196" spans="1:10">
      <c r="A196" t="s">
        <v>142</v>
      </c>
      <c r="B196">
        <v>10</v>
      </c>
      <c r="C196" t="s">
        <v>170</v>
      </c>
      <c r="D196">
        <v>30</v>
      </c>
      <c r="E196">
        <v>55</v>
      </c>
      <c r="F196">
        <v>15.666767</v>
      </c>
      <c r="G196">
        <v>12518</v>
      </c>
      <c r="H196">
        <v>13706</v>
      </c>
      <c r="I196" s="1">
        <f t="shared" si="6"/>
        <v>0.28485030909090908</v>
      </c>
      <c r="J196" s="1">
        <f t="shared" si="7"/>
        <v>0.913322632423756</v>
      </c>
    </row>
    <row r="197" spans="1:10">
      <c r="A197" t="s">
        <v>142</v>
      </c>
      <c r="B197">
        <v>10</v>
      </c>
      <c r="C197" t="s">
        <v>177</v>
      </c>
      <c r="D197">
        <v>31</v>
      </c>
      <c r="E197">
        <v>55</v>
      </c>
      <c r="F197">
        <v>17.666665999999999</v>
      </c>
      <c r="G197">
        <v>13706</v>
      </c>
      <c r="H197">
        <v>13706</v>
      </c>
      <c r="I197" s="1">
        <f t="shared" si="6"/>
        <v>0.32121210909090908</v>
      </c>
      <c r="J197" s="1">
        <f t="shared" si="7"/>
        <v>1</v>
      </c>
    </row>
    <row r="198" spans="1:10">
      <c r="A198" t="s">
        <v>142</v>
      </c>
      <c r="B198">
        <v>10</v>
      </c>
      <c r="C198" t="s">
        <v>176</v>
      </c>
      <c r="D198">
        <v>32</v>
      </c>
      <c r="E198">
        <v>55</v>
      </c>
      <c r="F198">
        <v>18.333334000000001</v>
      </c>
      <c r="G198">
        <v>13706</v>
      </c>
      <c r="H198">
        <v>13706</v>
      </c>
      <c r="I198" s="1">
        <f t="shared" si="6"/>
        <v>0.33333334545454546</v>
      </c>
      <c r="J198" s="1">
        <f t="shared" si="7"/>
        <v>1</v>
      </c>
    </row>
    <row r="199" spans="1:10">
      <c r="A199" t="s">
        <v>142</v>
      </c>
      <c r="B199">
        <v>11</v>
      </c>
      <c r="C199" t="s">
        <v>33</v>
      </c>
      <c r="D199">
        <v>1</v>
      </c>
      <c r="E199">
        <v>15.666667</v>
      </c>
      <c r="F199">
        <v>3</v>
      </c>
      <c r="G199">
        <v>62</v>
      </c>
      <c r="H199">
        <v>4445</v>
      </c>
      <c r="I199" s="1">
        <f t="shared" si="6"/>
        <v>0.19148935762788599</v>
      </c>
      <c r="J199" s="1">
        <f t="shared" si="7"/>
        <v>1.3948256467941508E-2</v>
      </c>
    </row>
    <row r="200" spans="1:10">
      <c r="A200" t="s">
        <v>142</v>
      </c>
      <c r="B200">
        <v>11</v>
      </c>
      <c r="C200" t="s">
        <v>179</v>
      </c>
      <c r="D200">
        <v>2</v>
      </c>
      <c r="E200">
        <v>15.666667</v>
      </c>
      <c r="F200">
        <v>7</v>
      </c>
      <c r="G200">
        <v>1333</v>
      </c>
      <c r="H200">
        <v>4445</v>
      </c>
      <c r="I200" s="1">
        <f t="shared" si="6"/>
        <v>0.44680850113173398</v>
      </c>
      <c r="J200" s="1">
        <f t="shared" si="7"/>
        <v>0.29988751406074243</v>
      </c>
    </row>
    <row r="201" spans="1:10">
      <c r="A201" t="s">
        <v>142</v>
      </c>
      <c r="B201">
        <v>11</v>
      </c>
      <c r="C201" t="s">
        <v>178</v>
      </c>
      <c r="D201">
        <v>3</v>
      </c>
      <c r="E201">
        <v>15.666667</v>
      </c>
      <c r="F201">
        <v>7.3333335000000002</v>
      </c>
      <c r="G201">
        <v>1333</v>
      </c>
      <c r="H201">
        <v>4445</v>
      </c>
      <c r="I201" s="1">
        <f t="shared" si="6"/>
        <v>0.468085107062019</v>
      </c>
      <c r="J201" s="1">
        <f t="shared" si="7"/>
        <v>0.29988751406074243</v>
      </c>
    </row>
    <row r="202" spans="1:10">
      <c r="A202" t="s">
        <v>142</v>
      </c>
      <c r="B202">
        <v>11</v>
      </c>
      <c r="C202" t="s">
        <v>180</v>
      </c>
      <c r="D202">
        <v>4</v>
      </c>
      <c r="E202">
        <v>15.666667</v>
      </c>
      <c r="F202">
        <v>8.3333329999999997</v>
      </c>
      <c r="G202">
        <v>2107</v>
      </c>
      <c r="H202">
        <v>4445</v>
      </c>
      <c r="I202" s="1">
        <f t="shared" si="6"/>
        <v>0.53191486102308805</v>
      </c>
      <c r="J202" s="1">
        <f t="shared" si="7"/>
        <v>0.47401574803149604</v>
      </c>
    </row>
    <row r="203" spans="1:10">
      <c r="A203" t="s">
        <v>142</v>
      </c>
      <c r="B203">
        <v>11</v>
      </c>
      <c r="C203" t="s">
        <v>184</v>
      </c>
      <c r="D203">
        <v>5</v>
      </c>
      <c r="E203">
        <v>15.666667</v>
      </c>
      <c r="F203">
        <v>8.6666670000000003</v>
      </c>
      <c r="G203">
        <v>2881</v>
      </c>
      <c r="H203">
        <v>4445</v>
      </c>
      <c r="I203" s="1">
        <f t="shared" si="6"/>
        <v>0.55319149886826602</v>
      </c>
      <c r="J203" s="1">
        <f t="shared" si="7"/>
        <v>0.64814398200224976</v>
      </c>
    </row>
    <row r="204" spans="1:10">
      <c r="A204" t="s">
        <v>142</v>
      </c>
      <c r="B204">
        <v>11</v>
      </c>
      <c r="C204" t="s">
        <v>181</v>
      </c>
      <c r="D204">
        <v>6</v>
      </c>
      <c r="E204">
        <v>15.666667</v>
      </c>
      <c r="F204">
        <v>8.6667670000000001</v>
      </c>
      <c r="G204">
        <v>3655</v>
      </c>
      <c r="H204">
        <v>4445</v>
      </c>
      <c r="I204" s="1">
        <f t="shared" si="6"/>
        <v>0.55319788184685359</v>
      </c>
      <c r="J204" s="1">
        <f t="shared" si="7"/>
        <v>0.82227221597300337</v>
      </c>
    </row>
    <row r="205" spans="1:10">
      <c r="A205" t="s">
        <v>142</v>
      </c>
      <c r="B205">
        <v>11</v>
      </c>
      <c r="C205" t="s">
        <v>183</v>
      </c>
      <c r="D205">
        <v>7</v>
      </c>
      <c r="E205">
        <v>15.666667</v>
      </c>
      <c r="F205">
        <v>8.6668669999999999</v>
      </c>
      <c r="G205">
        <v>3655</v>
      </c>
      <c r="H205">
        <v>4445</v>
      </c>
      <c r="I205" s="1">
        <f t="shared" si="6"/>
        <v>0.55320426482544116</v>
      </c>
      <c r="J205" s="1">
        <f t="shared" si="7"/>
        <v>0.82227221597300337</v>
      </c>
    </row>
    <row r="206" spans="1:10">
      <c r="A206" t="s">
        <v>142</v>
      </c>
      <c r="B206">
        <v>11</v>
      </c>
      <c r="C206" t="s">
        <v>185</v>
      </c>
      <c r="D206">
        <v>8</v>
      </c>
      <c r="E206">
        <v>15.666667</v>
      </c>
      <c r="F206">
        <v>9</v>
      </c>
      <c r="G206">
        <v>4429</v>
      </c>
      <c r="H206">
        <v>4445</v>
      </c>
      <c r="I206" s="1">
        <f t="shared" si="6"/>
        <v>0.57446807288365798</v>
      </c>
      <c r="J206" s="1">
        <f t="shared" si="7"/>
        <v>0.99640044994375698</v>
      </c>
    </row>
    <row r="207" spans="1:10">
      <c r="A207" t="s">
        <v>142</v>
      </c>
      <c r="B207">
        <v>11</v>
      </c>
      <c r="C207" t="s">
        <v>186</v>
      </c>
      <c r="D207">
        <v>9</v>
      </c>
      <c r="E207">
        <v>15.666667</v>
      </c>
      <c r="F207">
        <v>9.0000999999999998</v>
      </c>
      <c r="G207">
        <v>4429</v>
      </c>
      <c r="H207">
        <v>4445</v>
      </c>
      <c r="I207" s="1">
        <f t="shared" si="6"/>
        <v>0.57447445586224555</v>
      </c>
      <c r="J207" s="1">
        <f t="shared" si="7"/>
        <v>0.99640044994375698</v>
      </c>
    </row>
    <row r="208" spans="1:10">
      <c r="A208" t="s">
        <v>142</v>
      </c>
      <c r="B208">
        <v>11</v>
      </c>
      <c r="C208" t="s">
        <v>187</v>
      </c>
      <c r="D208">
        <v>10</v>
      </c>
      <c r="E208">
        <v>15.666667</v>
      </c>
      <c r="F208">
        <v>9.0001999999999995</v>
      </c>
      <c r="G208">
        <v>4429</v>
      </c>
      <c r="H208">
        <v>4445</v>
      </c>
      <c r="I208" s="1">
        <f t="shared" si="6"/>
        <v>0.57448083884083312</v>
      </c>
      <c r="J208" s="1">
        <f t="shared" si="7"/>
        <v>0.99640044994375698</v>
      </c>
    </row>
    <row r="209" spans="1:10">
      <c r="A209" t="s">
        <v>142</v>
      </c>
      <c r="B209">
        <v>11</v>
      </c>
      <c r="C209" t="s">
        <v>182</v>
      </c>
      <c r="D209">
        <v>11</v>
      </c>
      <c r="E209">
        <v>15.666667</v>
      </c>
      <c r="F209">
        <v>9.3333329999999997</v>
      </c>
      <c r="G209">
        <v>4429</v>
      </c>
      <c r="H209">
        <v>4445</v>
      </c>
      <c r="I209" s="1">
        <f t="shared" si="6"/>
        <v>0.59574464689905005</v>
      </c>
      <c r="J209" s="1">
        <f t="shared" si="7"/>
        <v>0.99640044994375698</v>
      </c>
    </row>
    <row r="210" spans="1:10">
      <c r="A210" t="s">
        <v>142</v>
      </c>
      <c r="B210">
        <v>11</v>
      </c>
      <c r="C210" t="s">
        <v>189</v>
      </c>
      <c r="D210">
        <v>12</v>
      </c>
      <c r="E210">
        <v>15.666667</v>
      </c>
      <c r="F210">
        <v>13.333333</v>
      </c>
      <c r="G210">
        <v>4445</v>
      </c>
      <c r="H210">
        <v>4445</v>
      </c>
      <c r="I210" s="1">
        <f t="shared" si="6"/>
        <v>0.85106379040289803</v>
      </c>
      <c r="J210" s="1">
        <f t="shared" si="7"/>
        <v>1</v>
      </c>
    </row>
    <row r="211" spans="1:10">
      <c r="A211" t="s">
        <v>142</v>
      </c>
      <c r="B211">
        <v>11</v>
      </c>
      <c r="C211" t="s">
        <v>188</v>
      </c>
      <c r="D211">
        <v>13</v>
      </c>
      <c r="E211">
        <v>15.666667</v>
      </c>
      <c r="F211">
        <v>14</v>
      </c>
      <c r="G211">
        <v>4445</v>
      </c>
      <c r="H211">
        <v>4445</v>
      </c>
      <c r="I211" s="1">
        <f t="shared" si="6"/>
        <v>0.89361700226346796</v>
      </c>
      <c r="J211" s="1">
        <f t="shared" si="7"/>
        <v>1</v>
      </c>
    </row>
    <row r="212" spans="1:10">
      <c r="A212" t="s">
        <v>142</v>
      </c>
      <c r="B212">
        <v>12</v>
      </c>
      <c r="C212" t="s">
        <v>33</v>
      </c>
      <c r="D212">
        <v>1</v>
      </c>
      <c r="E212">
        <v>9</v>
      </c>
      <c r="F212">
        <v>2.6666666999999999</v>
      </c>
      <c r="G212">
        <v>74</v>
      </c>
      <c r="H212">
        <v>2334</v>
      </c>
      <c r="I212" s="1">
        <f t="shared" si="6"/>
        <v>0.29629630000000001</v>
      </c>
      <c r="J212" s="1">
        <f t="shared" si="7"/>
        <v>3.1705227077977724E-2</v>
      </c>
    </row>
    <row r="213" spans="1:10">
      <c r="A213" t="s">
        <v>142</v>
      </c>
      <c r="B213">
        <v>12</v>
      </c>
      <c r="C213" t="s">
        <v>192</v>
      </c>
      <c r="D213">
        <v>2</v>
      </c>
      <c r="E213">
        <v>9</v>
      </c>
      <c r="F213">
        <v>5.6666664999999998</v>
      </c>
      <c r="G213">
        <v>1014</v>
      </c>
      <c r="H213">
        <v>2334</v>
      </c>
      <c r="I213" s="1">
        <f t="shared" si="6"/>
        <v>0.62962961111111104</v>
      </c>
      <c r="J213" s="1">
        <f t="shared" si="7"/>
        <v>0.43444730077120824</v>
      </c>
    </row>
    <row r="214" spans="1:10">
      <c r="A214" t="s">
        <v>142</v>
      </c>
      <c r="B214">
        <v>12</v>
      </c>
      <c r="C214" t="s">
        <v>190</v>
      </c>
      <c r="D214">
        <v>3</v>
      </c>
      <c r="E214">
        <v>9</v>
      </c>
      <c r="F214">
        <v>6</v>
      </c>
      <c r="G214">
        <v>1044</v>
      </c>
      <c r="H214">
        <v>2334</v>
      </c>
      <c r="I214" s="1">
        <f t="shared" si="6"/>
        <v>0.66666666666666663</v>
      </c>
      <c r="J214" s="1">
        <f t="shared" si="7"/>
        <v>0.4473007712082262</v>
      </c>
    </row>
    <row r="215" spans="1:10">
      <c r="A215" t="s">
        <v>142</v>
      </c>
      <c r="B215">
        <v>12</v>
      </c>
      <c r="C215" t="s">
        <v>193</v>
      </c>
      <c r="D215">
        <v>4</v>
      </c>
      <c r="E215">
        <v>9</v>
      </c>
      <c r="F215">
        <v>6.0000999999999998</v>
      </c>
      <c r="G215">
        <v>1096</v>
      </c>
      <c r="H215">
        <v>2334</v>
      </c>
      <c r="I215" s="1">
        <f t="shared" si="6"/>
        <v>0.6666777777777777</v>
      </c>
      <c r="J215" s="1">
        <f t="shared" si="7"/>
        <v>0.46958011996572407</v>
      </c>
    </row>
    <row r="216" spans="1:10">
      <c r="A216" t="s">
        <v>142</v>
      </c>
      <c r="B216">
        <v>12</v>
      </c>
      <c r="C216" t="s">
        <v>200</v>
      </c>
      <c r="D216">
        <v>5</v>
      </c>
      <c r="E216">
        <v>9</v>
      </c>
      <c r="F216">
        <v>6.0002003000000004</v>
      </c>
      <c r="G216">
        <v>1096</v>
      </c>
      <c r="H216">
        <v>2334</v>
      </c>
      <c r="I216" s="1">
        <f t="shared" si="6"/>
        <v>0.66668892222222231</v>
      </c>
      <c r="J216" s="1">
        <f t="shared" si="7"/>
        <v>0.46958011996572407</v>
      </c>
    </row>
    <row r="217" spans="1:10">
      <c r="A217" t="s">
        <v>142</v>
      </c>
      <c r="B217">
        <v>12</v>
      </c>
      <c r="C217" t="s">
        <v>205</v>
      </c>
      <c r="D217">
        <v>6</v>
      </c>
      <c r="E217">
        <v>9</v>
      </c>
      <c r="F217">
        <v>6.0003004000000004</v>
      </c>
      <c r="G217">
        <v>1096</v>
      </c>
      <c r="H217">
        <v>2334</v>
      </c>
      <c r="I217" s="1">
        <f t="shared" si="6"/>
        <v>0.66670004444444453</v>
      </c>
      <c r="J217" s="1">
        <f t="shared" si="7"/>
        <v>0.46958011996572407</v>
      </c>
    </row>
    <row r="218" spans="1:10">
      <c r="A218" t="s">
        <v>142</v>
      </c>
      <c r="B218">
        <v>12</v>
      </c>
      <c r="C218" t="s">
        <v>191</v>
      </c>
      <c r="D218">
        <v>7</v>
      </c>
      <c r="E218">
        <v>9</v>
      </c>
      <c r="F218">
        <v>6.6666664999999998</v>
      </c>
      <c r="G218">
        <v>1096</v>
      </c>
      <c r="H218">
        <v>2334</v>
      </c>
      <c r="I218" s="1">
        <f t="shared" si="6"/>
        <v>0.7407407222222222</v>
      </c>
      <c r="J218" s="1">
        <f t="shared" si="7"/>
        <v>0.46958011996572407</v>
      </c>
    </row>
    <row r="219" spans="1:10">
      <c r="A219" t="s">
        <v>142</v>
      </c>
      <c r="B219">
        <v>12</v>
      </c>
      <c r="C219" t="s">
        <v>194</v>
      </c>
      <c r="D219">
        <v>8</v>
      </c>
      <c r="E219">
        <v>9</v>
      </c>
      <c r="F219">
        <v>7</v>
      </c>
      <c r="G219">
        <v>1635</v>
      </c>
      <c r="H219">
        <v>2334</v>
      </c>
      <c r="I219" s="1">
        <f t="shared" si="6"/>
        <v>0.77777777777777779</v>
      </c>
      <c r="J219" s="1">
        <f t="shared" si="7"/>
        <v>0.7005141388174807</v>
      </c>
    </row>
    <row r="220" spans="1:10">
      <c r="A220" t="s">
        <v>142</v>
      </c>
      <c r="B220">
        <v>12</v>
      </c>
      <c r="C220" t="s">
        <v>195</v>
      </c>
      <c r="D220">
        <v>9</v>
      </c>
      <c r="E220">
        <v>9</v>
      </c>
      <c r="F220">
        <v>7.3333335000000002</v>
      </c>
      <c r="G220">
        <v>2208</v>
      </c>
      <c r="H220">
        <v>2334</v>
      </c>
      <c r="I220" s="1">
        <f t="shared" si="6"/>
        <v>0.81481483333333338</v>
      </c>
      <c r="J220" s="1">
        <f t="shared" si="7"/>
        <v>0.94601542416452444</v>
      </c>
    </row>
    <row r="221" spans="1:10">
      <c r="A221" t="s">
        <v>142</v>
      </c>
      <c r="B221">
        <v>12</v>
      </c>
      <c r="C221" t="s">
        <v>197</v>
      </c>
      <c r="D221">
        <v>10</v>
      </c>
      <c r="E221">
        <v>9</v>
      </c>
      <c r="F221">
        <v>7.3334336000000002</v>
      </c>
      <c r="G221">
        <v>2217</v>
      </c>
      <c r="H221">
        <v>2334</v>
      </c>
      <c r="I221" s="1">
        <f t="shared" si="6"/>
        <v>0.81482595555555559</v>
      </c>
      <c r="J221" s="1">
        <f t="shared" si="7"/>
        <v>0.94987146529562982</v>
      </c>
    </row>
    <row r="222" spans="1:10">
      <c r="A222" t="s">
        <v>142</v>
      </c>
      <c r="B222">
        <v>12</v>
      </c>
      <c r="C222" t="s">
        <v>201</v>
      </c>
      <c r="D222">
        <v>11</v>
      </c>
      <c r="E222">
        <v>9</v>
      </c>
      <c r="F222">
        <v>7.3335340000000002</v>
      </c>
      <c r="G222">
        <v>2226</v>
      </c>
      <c r="H222">
        <v>2334</v>
      </c>
      <c r="I222" s="1">
        <f t="shared" si="6"/>
        <v>0.81483711111111112</v>
      </c>
      <c r="J222" s="1">
        <f t="shared" si="7"/>
        <v>0.95372750642673521</v>
      </c>
    </row>
    <row r="223" spans="1:10">
      <c r="A223" t="s">
        <v>142</v>
      </c>
      <c r="B223">
        <v>12</v>
      </c>
      <c r="C223" t="s">
        <v>204</v>
      </c>
      <c r="D223">
        <v>12</v>
      </c>
      <c r="E223">
        <v>9</v>
      </c>
      <c r="F223">
        <v>7.333634</v>
      </c>
      <c r="G223">
        <v>2226</v>
      </c>
      <c r="H223">
        <v>2334</v>
      </c>
      <c r="I223" s="1">
        <f t="shared" si="6"/>
        <v>0.8148482222222222</v>
      </c>
      <c r="J223" s="1">
        <f t="shared" si="7"/>
        <v>0.95372750642673521</v>
      </c>
    </row>
    <row r="224" spans="1:10">
      <c r="A224" t="s">
        <v>142</v>
      </c>
      <c r="B224">
        <v>12</v>
      </c>
      <c r="C224" t="s">
        <v>199</v>
      </c>
      <c r="D224">
        <v>13</v>
      </c>
      <c r="E224">
        <v>9</v>
      </c>
      <c r="F224">
        <v>7.6666664999999998</v>
      </c>
      <c r="G224">
        <v>2226</v>
      </c>
      <c r="H224">
        <v>2334</v>
      </c>
      <c r="I224" s="1">
        <f t="shared" si="6"/>
        <v>0.85185183333333336</v>
      </c>
      <c r="J224" s="1">
        <f t="shared" si="7"/>
        <v>0.95372750642673521</v>
      </c>
    </row>
    <row r="225" spans="1:10">
      <c r="A225" t="s">
        <v>142</v>
      </c>
      <c r="B225">
        <v>12</v>
      </c>
      <c r="C225" t="s">
        <v>203</v>
      </c>
      <c r="D225">
        <v>14</v>
      </c>
      <c r="E225">
        <v>9</v>
      </c>
      <c r="F225">
        <v>8</v>
      </c>
      <c r="G225">
        <v>2226</v>
      </c>
      <c r="H225">
        <v>2334</v>
      </c>
      <c r="I225" s="1">
        <f t="shared" si="6"/>
        <v>0.88888888888888884</v>
      </c>
      <c r="J225" s="1">
        <f t="shared" si="7"/>
        <v>0.95372750642673521</v>
      </c>
    </row>
    <row r="226" spans="1:10">
      <c r="A226" t="s">
        <v>142</v>
      </c>
      <c r="B226">
        <v>12</v>
      </c>
      <c r="C226" t="s">
        <v>198</v>
      </c>
      <c r="D226">
        <v>15</v>
      </c>
      <c r="E226">
        <v>9</v>
      </c>
      <c r="F226">
        <v>8.6666670000000003</v>
      </c>
      <c r="G226">
        <v>2334</v>
      </c>
      <c r="H226">
        <v>2334</v>
      </c>
      <c r="I226" s="1">
        <f t="shared" si="6"/>
        <v>0.96296300000000001</v>
      </c>
      <c r="J226" s="1">
        <f t="shared" si="7"/>
        <v>1</v>
      </c>
    </row>
    <row r="227" spans="1:10">
      <c r="A227" t="s">
        <v>142</v>
      </c>
      <c r="B227">
        <v>12</v>
      </c>
      <c r="C227" t="s">
        <v>202</v>
      </c>
      <c r="D227">
        <v>16</v>
      </c>
      <c r="E227">
        <v>9</v>
      </c>
      <c r="F227">
        <v>9</v>
      </c>
      <c r="G227">
        <v>2334</v>
      </c>
      <c r="H227">
        <v>2334</v>
      </c>
      <c r="I227" s="1">
        <f t="shared" si="6"/>
        <v>1</v>
      </c>
      <c r="J227" s="1">
        <f t="shared" si="7"/>
        <v>1</v>
      </c>
    </row>
    <row r="228" spans="1:10">
      <c r="A228" t="s">
        <v>142</v>
      </c>
      <c r="B228">
        <v>12</v>
      </c>
      <c r="C228" t="s">
        <v>196</v>
      </c>
      <c r="D228">
        <v>17</v>
      </c>
      <c r="E228">
        <v>9</v>
      </c>
      <c r="F228">
        <v>9.0000999999999998</v>
      </c>
      <c r="G228">
        <v>2334</v>
      </c>
      <c r="H228">
        <v>2334</v>
      </c>
      <c r="I228" s="1">
        <f t="shared" si="6"/>
        <v>1.0000111111111112</v>
      </c>
      <c r="J228" s="1">
        <f t="shared" si="7"/>
        <v>1</v>
      </c>
    </row>
    <row r="229" spans="1:10">
      <c r="A229" t="s">
        <v>206</v>
      </c>
      <c r="B229">
        <v>1</v>
      </c>
      <c r="C229" t="s">
        <v>207</v>
      </c>
      <c r="D229">
        <v>1</v>
      </c>
      <c r="E229">
        <v>67.333336000000003</v>
      </c>
      <c r="F229">
        <v>21</v>
      </c>
      <c r="G229">
        <v>1541</v>
      </c>
      <c r="H229">
        <v>2435</v>
      </c>
      <c r="I229" s="1">
        <f t="shared" si="6"/>
        <v>0.31188117576708213</v>
      </c>
      <c r="J229" s="1">
        <f t="shared" si="7"/>
        <v>0.63285420944558524</v>
      </c>
    </row>
    <row r="230" spans="1:10">
      <c r="A230" t="s">
        <v>206</v>
      </c>
      <c r="B230">
        <v>1</v>
      </c>
      <c r="C230" t="s">
        <v>213</v>
      </c>
      <c r="D230">
        <v>2</v>
      </c>
      <c r="E230">
        <v>67.333336000000003</v>
      </c>
      <c r="F230">
        <v>26.333334000000001</v>
      </c>
      <c r="G230">
        <v>2148</v>
      </c>
      <c r="H230">
        <v>2435</v>
      </c>
      <c r="I230" s="1">
        <f t="shared" si="6"/>
        <v>0.39108910332320385</v>
      </c>
      <c r="J230" s="1">
        <f t="shared" si="7"/>
        <v>0.88213552361396308</v>
      </c>
    </row>
    <row r="231" spans="1:10">
      <c r="A231" t="s">
        <v>206</v>
      </c>
      <c r="B231">
        <v>1</v>
      </c>
      <c r="C231" t="s">
        <v>211</v>
      </c>
      <c r="D231">
        <v>3</v>
      </c>
      <c r="E231">
        <v>67.333336000000003</v>
      </c>
      <c r="F231">
        <v>29</v>
      </c>
      <c r="G231">
        <v>2426</v>
      </c>
      <c r="H231">
        <v>2435</v>
      </c>
      <c r="I231" s="1">
        <f t="shared" si="6"/>
        <v>0.43069305224978011</v>
      </c>
      <c r="J231" s="1">
        <f t="shared" si="7"/>
        <v>0.99630390143737169</v>
      </c>
    </row>
    <row r="232" spans="1:10">
      <c r="A232" t="s">
        <v>206</v>
      </c>
      <c r="B232">
        <v>1</v>
      </c>
      <c r="C232" t="s">
        <v>208</v>
      </c>
      <c r="D232">
        <v>4</v>
      </c>
      <c r="E232">
        <v>67.333336000000003</v>
      </c>
      <c r="F232">
        <v>29.333334000000001</v>
      </c>
      <c r="G232">
        <v>2426</v>
      </c>
      <c r="H232">
        <v>2435</v>
      </c>
      <c r="I232" s="1">
        <f t="shared" si="6"/>
        <v>0.43564355700421553</v>
      </c>
      <c r="J232" s="1">
        <f t="shared" si="7"/>
        <v>0.99630390143737169</v>
      </c>
    </row>
    <row r="233" spans="1:10">
      <c r="A233" t="s">
        <v>206</v>
      </c>
      <c r="B233">
        <v>1</v>
      </c>
      <c r="C233" t="s">
        <v>212</v>
      </c>
      <c r="D233">
        <v>5</v>
      </c>
      <c r="E233">
        <v>67.333336000000003</v>
      </c>
      <c r="F233">
        <v>32.666668000000001</v>
      </c>
      <c r="G233">
        <v>2426</v>
      </c>
      <c r="H233">
        <v>2435</v>
      </c>
      <c r="I233" s="1">
        <f t="shared" si="6"/>
        <v>0.48514851543966275</v>
      </c>
      <c r="J233" s="1">
        <f t="shared" si="7"/>
        <v>0.99630390143737169</v>
      </c>
    </row>
    <row r="234" spans="1:10">
      <c r="A234" t="s">
        <v>206</v>
      </c>
      <c r="B234">
        <v>1</v>
      </c>
      <c r="C234" t="s">
        <v>210</v>
      </c>
      <c r="D234">
        <v>6</v>
      </c>
      <c r="E234">
        <v>67.333336000000003</v>
      </c>
      <c r="F234">
        <v>32.666767</v>
      </c>
      <c r="G234">
        <v>2435</v>
      </c>
      <c r="H234">
        <v>2435</v>
      </c>
      <c r="I234" s="1">
        <f t="shared" si="6"/>
        <v>0.4851499857366342</v>
      </c>
      <c r="J234" s="1">
        <f t="shared" si="7"/>
        <v>1</v>
      </c>
    </row>
    <row r="235" spans="1:10">
      <c r="A235" t="s">
        <v>206</v>
      </c>
      <c r="B235">
        <v>1</v>
      </c>
      <c r="C235" t="s">
        <v>209</v>
      </c>
      <c r="D235">
        <v>7</v>
      </c>
      <c r="E235">
        <v>67.333336000000003</v>
      </c>
      <c r="F235">
        <v>36.666668000000001</v>
      </c>
      <c r="G235">
        <v>2435</v>
      </c>
      <c r="H235">
        <v>2435</v>
      </c>
      <c r="I235" s="1">
        <f t="shared" si="6"/>
        <v>0.54455445368101174</v>
      </c>
      <c r="J235" s="1">
        <f t="shared" si="7"/>
        <v>1</v>
      </c>
    </row>
    <row r="236" spans="1:10">
      <c r="A236" t="s">
        <v>214</v>
      </c>
      <c r="B236">
        <v>1</v>
      </c>
      <c r="C236" t="s">
        <v>215</v>
      </c>
      <c r="D236">
        <v>1</v>
      </c>
      <c r="E236">
        <v>15</v>
      </c>
      <c r="F236">
        <v>4</v>
      </c>
      <c r="G236">
        <v>231</v>
      </c>
      <c r="H236">
        <v>3217</v>
      </c>
      <c r="I236" s="1">
        <f t="shared" si="6"/>
        <v>0.26666666666666666</v>
      </c>
      <c r="J236" s="1">
        <f t="shared" si="7"/>
        <v>7.1806030463164444E-2</v>
      </c>
    </row>
    <row r="237" spans="1:10">
      <c r="A237" t="s">
        <v>214</v>
      </c>
      <c r="B237">
        <v>1</v>
      </c>
      <c r="C237" t="s">
        <v>216</v>
      </c>
      <c r="D237">
        <v>2</v>
      </c>
      <c r="E237">
        <v>15</v>
      </c>
      <c r="F237">
        <v>4.0000999999999998</v>
      </c>
      <c r="G237">
        <v>231</v>
      </c>
      <c r="H237">
        <v>3217</v>
      </c>
      <c r="I237" s="1">
        <f t="shared" si="6"/>
        <v>0.26667333333333332</v>
      </c>
      <c r="J237" s="1">
        <f t="shared" si="7"/>
        <v>7.1806030463164444E-2</v>
      </c>
    </row>
    <row r="238" spans="1:10">
      <c r="A238" t="s">
        <v>214</v>
      </c>
      <c r="B238">
        <v>1</v>
      </c>
      <c r="C238" t="s">
        <v>218</v>
      </c>
      <c r="D238">
        <v>3</v>
      </c>
      <c r="E238">
        <v>15</v>
      </c>
      <c r="F238">
        <v>5</v>
      </c>
      <c r="G238">
        <v>656</v>
      </c>
      <c r="H238">
        <v>3217</v>
      </c>
      <c r="I238" s="1">
        <f t="shared" si="6"/>
        <v>0.33333333333333331</v>
      </c>
      <c r="J238" s="1">
        <f t="shared" si="7"/>
        <v>0.20391669257071807</v>
      </c>
    </row>
    <row r="239" spans="1:10">
      <c r="A239" t="s">
        <v>214</v>
      </c>
      <c r="B239">
        <v>1</v>
      </c>
      <c r="C239" t="s">
        <v>217</v>
      </c>
      <c r="D239">
        <v>4</v>
      </c>
      <c r="E239">
        <v>15</v>
      </c>
      <c r="F239">
        <v>5.0000999999999998</v>
      </c>
      <c r="G239">
        <v>656</v>
      </c>
      <c r="H239">
        <v>3217</v>
      </c>
      <c r="I239" s="1">
        <f t="shared" si="6"/>
        <v>0.33333999999999997</v>
      </c>
      <c r="J239" s="1">
        <f t="shared" si="7"/>
        <v>0.20391669257071807</v>
      </c>
    </row>
    <row r="240" spans="1:10">
      <c r="A240" t="s">
        <v>214</v>
      </c>
      <c r="B240">
        <v>1</v>
      </c>
      <c r="C240" t="s">
        <v>225</v>
      </c>
      <c r="D240">
        <v>5</v>
      </c>
      <c r="E240">
        <v>15</v>
      </c>
      <c r="F240">
        <v>5.0002003000000004</v>
      </c>
      <c r="G240">
        <v>656</v>
      </c>
      <c r="H240">
        <v>3217</v>
      </c>
      <c r="I240" s="1">
        <f t="shared" si="6"/>
        <v>0.33334668666666667</v>
      </c>
      <c r="J240" s="1">
        <f t="shared" si="7"/>
        <v>0.20391669257071807</v>
      </c>
    </row>
    <row r="241" spans="1:10">
      <c r="A241" t="s">
        <v>214</v>
      </c>
      <c r="B241">
        <v>1</v>
      </c>
      <c r="C241" t="s">
        <v>226</v>
      </c>
      <c r="D241">
        <v>6</v>
      </c>
      <c r="E241">
        <v>15</v>
      </c>
      <c r="F241">
        <v>5.3333335000000002</v>
      </c>
      <c r="G241">
        <v>707</v>
      </c>
      <c r="H241">
        <v>3217</v>
      </c>
      <c r="I241" s="1">
        <f t="shared" si="6"/>
        <v>0.35555556666666666</v>
      </c>
      <c r="J241" s="1">
        <f t="shared" si="7"/>
        <v>0.2197699720236245</v>
      </c>
    </row>
    <row r="242" spans="1:10">
      <c r="A242" t="s">
        <v>214</v>
      </c>
      <c r="B242">
        <v>1</v>
      </c>
      <c r="C242" t="s">
        <v>219</v>
      </c>
      <c r="D242">
        <v>7</v>
      </c>
      <c r="E242">
        <v>15</v>
      </c>
      <c r="F242">
        <v>5.3334336000000002</v>
      </c>
      <c r="G242">
        <v>707</v>
      </c>
      <c r="H242">
        <v>3217</v>
      </c>
      <c r="I242" s="1">
        <f t="shared" si="6"/>
        <v>0.35556224000000003</v>
      </c>
      <c r="J242" s="1">
        <f t="shared" si="7"/>
        <v>0.2197699720236245</v>
      </c>
    </row>
    <row r="243" spans="1:10">
      <c r="A243" t="s">
        <v>214</v>
      </c>
      <c r="B243">
        <v>1</v>
      </c>
      <c r="C243" t="s">
        <v>227</v>
      </c>
      <c r="D243">
        <v>8</v>
      </c>
      <c r="E243">
        <v>15</v>
      </c>
      <c r="F243">
        <v>5.3335340000000002</v>
      </c>
      <c r="G243">
        <v>707</v>
      </c>
      <c r="H243">
        <v>3217</v>
      </c>
      <c r="I243" s="1">
        <f t="shared" si="6"/>
        <v>0.35556893333333334</v>
      </c>
      <c r="J243" s="1">
        <f t="shared" si="7"/>
        <v>0.2197699720236245</v>
      </c>
    </row>
    <row r="244" spans="1:10">
      <c r="A244" t="s">
        <v>214</v>
      </c>
      <c r="B244">
        <v>1</v>
      </c>
      <c r="C244" t="s">
        <v>221</v>
      </c>
      <c r="D244">
        <v>9</v>
      </c>
      <c r="E244">
        <v>15</v>
      </c>
      <c r="F244">
        <v>5.6666664999999998</v>
      </c>
      <c r="G244">
        <v>812</v>
      </c>
      <c r="H244">
        <v>3217</v>
      </c>
      <c r="I244" s="1">
        <f t="shared" si="6"/>
        <v>0.37777776666666668</v>
      </c>
      <c r="J244" s="1">
        <f t="shared" si="7"/>
        <v>0.25240907677960833</v>
      </c>
    </row>
    <row r="245" spans="1:10">
      <c r="A245" t="s">
        <v>214</v>
      </c>
      <c r="B245">
        <v>1</v>
      </c>
      <c r="C245" t="s">
        <v>228</v>
      </c>
      <c r="D245">
        <v>10</v>
      </c>
      <c r="E245">
        <v>15</v>
      </c>
      <c r="F245">
        <v>5.6667665999999999</v>
      </c>
      <c r="G245">
        <v>812</v>
      </c>
      <c r="H245">
        <v>3217</v>
      </c>
      <c r="I245" s="1">
        <f t="shared" si="6"/>
        <v>0.37778444</v>
      </c>
      <c r="J245" s="1">
        <f t="shared" si="7"/>
        <v>0.25240907677960833</v>
      </c>
    </row>
    <row r="246" spans="1:10">
      <c r="A246" t="s">
        <v>214</v>
      </c>
      <c r="B246">
        <v>1</v>
      </c>
      <c r="C246" t="s">
        <v>220</v>
      </c>
      <c r="D246">
        <v>11</v>
      </c>
      <c r="E246">
        <v>15</v>
      </c>
      <c r="F246">
        <v>6</v>
      </c>
      <c r="G246">
        <v>812</v>
      </c>
      <c r="H246">
        <v>3217</v>
      </c>
      <c r="I246" s="1">
        <f t="shared" si="6"/>
        <v>0.4</v>
      </c>
      <c r="J246" s="1">
        <f t="shared" si="7"/>
        <v>0.25240907677960833</v>
      </c>
    </row>
    <row r="247" spans="1:10">
      <c r="A247" t="s">
        <v>214</v>
      </c>
      <c r="B247">
        <v>1</v>
      </c>
      <c r="C247" t="s">
        <v>223</v>
      </c>
      <c r="D247">
        <v>12</v>
      </c>
      <c r="E247">
        <v>15</v>
      </c>
      <c r="F247">
        <v>6.0000999999999998</v>
      </c>
      <c r="G247">
        <v>812</v>
      </c>
      <c r="H247">
        <v>3217</v>
      </c>
      <c r="I247" s="1">
        <f t="shared" si="6"/>
        <v>0.40000666666666668</v>
      </c>
      <c r="J247" s="1">
        <f t="shared" si="7"/>
        <v>0.25240907677960833</v>
      </c>
    </row>
    <row r="248" spans="1:10">
      <c r="A248" t="s">
        <v>214</v>
      </c>
      <c r="B248">
        <v>1</v>
      </c>
      <c r="C248" t="s">
        <v>224</v>
      </c>
      <c r="D248">
        <v>13</v>
      </c>
      <c r="E248">
        <v>15</v>
      </c>
      <c r="F248">
        <v>6.0002003000000004</v>
      </c>
      <c r="G248">
        <v>812</v>
      </c>
      <c r="H248">
        <v>3217</v>
      </c>
      <c r="I248" s="1">
        <f t="shared" si="6"/>
        <v>0.40001335333333338</v>
      </c>
      <c r="J248" s="1">
        <f t="shared" si="7"/>
        <v>0.25240907677960833</v>
      </c>
    </row>
    <row r="249" spans="1:10">
      <c r="A249" t="s">
        <v>214</v>
      </c>
      <c r="B249">
        <v>1</v>
      </c>
      <c r="C249" t="s">
        <v>422</v>
      </c>
      <c r="D249">
        <v>14</v>
      </c>
      <c r="E249">
        <v>15</v>
      </c>
      <c r="F249">
        <v>6.3333335000000002</v>
      </c>
      <c r="G249">
        <v>812</v>
      </c>
      <c r="H249">
        <v>3217</v>
      </c>
      <c r="I249" s="1">
        <f t="shared" si="6"/>
        <v>0.42222223333333336</v>
      </c>
      <c r="J249" s="1">
        <f t="shared" si="7"/>
        <v>0.25240907677960833</v>
      </c>
    </row>
    <row r="250" spans="1:10">
      <c r="A250" t="s">
        <v>214</v>
      </c>
      <c r="B250">
        <v>1</v>
      </c>
      <c r="C250" t="s">
        <v>222</v>
      </c>
      <c r="D250">
        <v>15</v>
      </c>
      <c r="E250">
        <v>15</v>
      </c>
      <c r="F250">
        <v>6.6666664999999998</v>
      </c>
      <c r="G250">
        <v>812</v>
      </c>
      <c r="H250">
        <v>3217</v>
      </c>
      <c r="I250" s="1">
        <f t="shared" si="6"/>
        <v>0.44444443333333333</v>
      </c>
      <c r="J250" s="1">
        <f t="shared" si="7"/>
        <v>0.25240907677960833</v>
      </c>
    </row>
    <row r="251" spans="1:10">
      <c r="A251" t="s">
        <v>214</v>
      </c>
      <c r="B251">
        <v>1</v>
      </c>
      <c r="C251" t="s">
        <v>229</v>
      </c>
      <c r="D251">
        <v>16</v>
      </c>
      <c r="E251">
        <v>15</v>
      </c>
      <c r="F251">
        <v>13</v>
      </c>
      <c r="G251">
        <v>3217</v>
      </c>
      <c r="H251">
        <v>3217</v>
      </c>
      <c r="I251" s="1">
        <f t="shared" si="6"/>
        <v>0.8666666666666667</v>
      </c>
      <c r="J251" s="1">
        <f t="shared" si="7"/>
        <v>1</v>
      </c>
    </row>
    <row r="252" spans="1:10">
      <c r="A252" t="s">
        <v>214</v>
      </c>
      <c r="B252">
        <v>3</v>
      </c>
      <c r="C252" t="s">
        <v>230</v>
      </c>
      <c r="D252">
        <v>1</v>
      </c>
      <c r="E252">
        <v>425</v>
      </c>
      <c r="F252">
        <v>403.66665999999998</v>
      </c>
      <c r="G252">
        <v>59686</v>
      </c>
      <c r="H252">
        <v>66782</v>
      </c>
      <c r="I252" s="1">
        <f t="shared" si="6"/>
        <v>0.94980390588235286</v>
      </c>
      <c r="J252" s="1">
        <f t="shared" si="7"/>
        <v>0.89374382318588841</v>
      </c>
    </row>
    <row r="253" spans="1:10">
      <c r="A253" t="s">
        <v>214</v>
      </c>
      <c r="B253">
        <v>3</v>
      </c>
      <c r="C253" t="s">
        <v>231</v>
      </c>
      <c r="D253">
        <v>2</v>
      </c>
      <c r="E253">
        <v>425</v>
      </c>
      <c r="F253">
        <v>411.66665999999998</v>
      </c>
      <c r="G253">
        <v>66282</v>
      </c>
      <c r="H253">
        <v>66782</v>
      </c>
      <c r="I253" s="1">
        <f t="shared" si="6"/>
        <v>0.96862743529411754</v>
      </c>
      <c r="J253" s="1">
        <f t="shared" si="7"/>
        <v>0.99251295259201577</v>
      </c>
    </row>
    <row r="254" spans="1:10">
      <c r="A254" t="s">
        <v>214</v>
      </c>
      <c r="B254">
        <v>3</v>
      </c>
      <c r="C254" t="s">
        <v>232</v>
      </c>
      <c r="D254">
        <v>3</v>
      </c>
      <c r="E254">
        <v>425</v>
      </c>
      <c r="F254">
        <v>424.66665999999998</v>
      </c>
      <c r="G254">
        <v>66782</v>
      </c>
      <c r="H254">
        <v>66782</v>
      </c>
      <c r="I254" s="1">
        <f t="shared" si="6"/>
        <v>0.99921567058823524</v>
      </c>
      <c r="J254" s="1">
        <f t="shared" si="7"/>
        <v>1</v>
      </c>
    </row>
    <row r="255" spans="1:10">
      <c r="A255" t="s">
        <v>214</v>
      </c>
      <c r="B255">
        <v>4</v>
      </c>
      <c r="C255" t="s">
        <v>233</v>
      </c>
      <c r="D255">
        <v>1</v>
      </c>
      <c r="E255">
        <v>23</v>
      </c>
      <c r="F255">
        <v>19</v>
      </c>
      <c r="G255">
        <v>4498</v>
      </c>
      <c r="H255">
        <v>5310</v>
      </c>
      <c r="I255" s="1">
        <f t="shared" si="6"/>
        <v>0.82608695652173914</v>
      </c>
      <c r="J255" s="1">
        <f t="shared" si="7"/>
        <v>0.8470809792843691</v>
      </c>
    </row>
    <row r="256" spans="1:10">
      <c r="A256" t="s">
        <v>214</v>
      </c>
      <c r="B256">
        <v>4</v>
      </c>
      <c r="C256" t="s">
        <v>234</v>
      </c>
      <c r="D256">
        <v>2</v>
      </c>
      <c r="E256">
        <v>23</v>
      </c>
      <c r="F256">
        <v>19.0001</v>
      </c>
      <c r="G256">
        <v>4498</v>
      </c>
      <c r="H256">
        <v>5310</v>
      </c>
      <c r="I256" s="1">
        <f t="shared" si="6"/>
        <v>0.82609130434782607</v>
      </c>
      <c r="J256" s="1">
        <f t="shared" si="7"/>
        <v>0.8470809792843691</v>
      </c>
    </row>
    <row r="257" spans="1:10">
      <c r="A257" t="s">
        <v>214</v>
      </c>
      <c r="B257">
        <v>4</v>
      </c>
      <c r="C257" t="s">
        <v>236</v>
      </c>
      <c r="D257">
        <v>3</v>
      </c>
      <c r="E257">
        <v>23</v>
      </c>
      <c r="F257">
        <v>19.666665999999999</v>
      </c>
      <c r="G257">
        <v>4760</v>
      </c>
      <c r="H257">
        <v>5310</v>
      </c>
      <c r="I257" s="1">
        <f t="shared" si="6"/>
        <v>0.85507243478260864</v>
      </c>
      <c r="J257" s="1">
        <f t="shared" si="7"/>
        <v>0.89642184557438798</v>
      </c>
    </row>
    <row r="258" spans="1:10">
      <c r="A258" t="s">
        <v>214</v>
      </c>
      <c r="B258">
        <v>4</v>
      </c>
      <c r="C258" t="s">
        <v>240</v>
      </c>
      <c r="D258">
        <v>4</v>
      </c>
      <c r="E258">
        <v>23</v>
      </c>
      <c r="F258">
        <v>19.666765000000002</v>
      </c>
      <c r="G258">
        <v>5018</v>
      </c>
      <c r="H258">
        <v>5310</v>
      </c>
      <c r="I258" s="1">
        <f t="shared" si="6"/>
        <v>0.8550767391304348</v>
      </c>
      <c r="J258" s="1">
        <f t="shared" si="7"/>
        <v>0.94500941619585688</v>
      </c>
    </row>
    <row r="259" spans="1:10">
      <c r="A259" t="s">
        <v>214</v>
      </c>
      <c r="B259">
        <v>4</v>
      </c>
      <c r="C259" t="s">
        <v>237</v>
      </c>
      <c r="D259">
        <v>5</v>
      </c>
      <c r="E259">
        <v>23</v>
      </c>
      <c r="F259">
        <v>20</v>
      </c>
      <c r="G259">
        <v>5022</v>
      </c>
      <c r="H259">
        <v>5310</v>
      </c>
      <c r="I259" s="1">
        <f t="shared" ref="I259:I322" si="8">F259/E259</f>
        <v>0.86956521739130432</v>
      </c>
      <c r="J259" s="1">
        <f t="shared" ref="J259:J322" si="9">G259/H259</f>
        <v>0.94576271186440675</v>
      </c>
    </row>
    <row r="260" spans="1:10">
      <c r="A260" t="s">
        <v>214</v>
      </c>
      <c r="B260">
        <v>4</v>
      </c>
      <c r="C260" t="s">
        <v>239</v>
      </c>
      <c r="D260">
        <v>6</v>
      </c>
      <c r="E260">
        <v>23</v>
      </c>
      <c r="F260">
        <v>20.0001</v>
      </c>
      <c r="G260">
        <v>5290</v>
      </c>
      <c r="H260">
        <v>5310</v>
      </c>
      <c r="I260" s="1">
        <f t="shared" si="8"/>
        <v>0.86956956521739126</v>
      </c>
      <c r="J260" s="1">
        <f t="shared" si="9"/>
        <v>0.99623352165725043</v>
      </c>
    </row>
    <row r="261" spans="1:10">
      <c r="A261" t="s">
        <v>214</v>
      </c>
      <c r="B261">
        <v>4</v>
      </c>
      <c r="C261" t="s">
        <v>235</v>
      </c>
      <c r="D261">
        <v>7</v>
      </c>
      <c r="E261">
        <v>23</v>
      </c>
      <c r="F261">
        <v>20.333334000000001</v>
      </c>
      <c r="G261">
        <v>5294</v>
      </c>
      <c r="H261">
        <v>5310</v>
      </c>
      <c r="I261" s="1">
        <f t="shared" si="8"/>
        <v>0.88405800000000001</v>
      </c>
      <c r="J261" s="1">
        <f t="shared" si="9"/>
        <v>0.99698681732580041</v>
      </c>
    </row>
    <row r="262" spans="1:10">
      <c r="A262" t="s">
        <v>214</v>
      </c>
      <c r="B262">
        <v>4</v>
      </c>
      <c r="C262" t="s">
        <v>238</v>
      </c>
      <c r="D262">
        <v>8</v>
      </c>
      <c r="E262">
        <v>23</v>
      </c>
      <c r="F262">
        <v>20.333432999999999</v>
      </c>
      <c r="G262">
        <v>5302</v>
      </c>
      <c r="H262">
        <v>5310</v>
      </c>
      <c r="I262" s="1">
        <f t="shared" si="8"/>
        <v>0.88406230434782607</v>
      </c>
      <c r="J262" s="1">
        <f t="shared" si="9"/>
        <v>0.99849340866290015</v>
      </c>
    </row>
    <row r="263" spans="1:10">
      <c r="A263" t="s">
        <v>214</v>
      </c>
      <c r="B263">
        <v>4</v>
      </c>
      <c r="C263" t="s">
        <v>241</v>
      </c>
      <c r="D263">
        <v>9</v>
      </c>
      <c r="E263">
        <v>23</v>
      </c>
      <c r="F263">
        <v>20.666665999999999</v>
      </c>
      <c r="G263">
        <v>5310</v>
      </c>
      <c r="H263">
        <v>5310</v>
      </c>
      <c r="I263" s="1">
        <f t="shared" si="8"/>
        <v>0.89855069565217394</v>
      </c>
      <c r="J263" s="1">
        <f t="shared" si="9"/>
        <v>1</v>
      </c>
    </row>
    <row r="264" spans="1:10">
      <c r="A264" t="s">
        <v>214</v>
      </c>
      <c r="B264">
        <v>6</v>
      </c>
      <c r="C264" t="s">
        <v>243</v>
      </c>
      <c r="D264">
        <v>1</v>
      </c>
      <c r="E264">
        <v>25.666665999999999</v>
      </c>
      <c r="F264">
        <v>16</v>
      </c>
      <c r="G264">
        <v>1850</v>
      </c>
      <c r="H264">
        <v>2939</v>
      </c>
      <c r="I264" s="1">
        <f t="shared" si="8"/>
        <v>0.62337663956822442</v>
      </c>
      <c r="J264" s="1">
        <f t="shared" si="9"/>
        <v>0.62946580469547464</v>
      </c>
    </row>
    <row r="265" spans="1:10">
      <c r="A265" t="s">
        <v>214</v>
      </c>
      <c r="B265">
        <v>6</v>
      </c>
      <c r="C265" t="s">
        <v>242</v>
      </c>
      <c r="D265">
        <v>2</v>
      </c>
      <c r="E265">
        <v>25.666665999999999</v>
      </c>
      <c r="F265">
        <v>16.333334000000001</v>
      </c>
      <c r="G265">
        <v>2939</v>
      </c>
      <c r="H265">
        <v>2939</v>
      </c>
      <c r="I265" s="1">
        <f t="shared" si="8"/>
        <v>0.63636367886658907</v>
      </c>
      <c r="J265" s="1">
        <f t="shared" si="9"/>
        <v>1</v>
      </c>
    </row>
    <row r="266" spans="1:10">
      <c r="A266" t="s">
        <v>214</v>
      </c>
      <c r="B266">
        <v>7</v>
      </c>
      <c r="C266" t="s">
        <v>244</v>
      </c>
      <c r="D266">
        <v>1</v>
      </c>
      <c r="E266">
        <v>6.6666664999999998</v>
      </c>
      <c r="F266">
        <v>2.6666666999999999</v>
      </c>
      <c r="G266">
        <v>150</v>
      </c>
      <c r="H266">
        <v>1070</v>
      </c>
      <c r="I266" s="1">
        <f t="shared" si="8"/>
        <v>0.40000001500000038</v>
      </c>
      <c r="J266" s="1">
        <f t="shared" si="9"/>
        <v>0.14018691588785046</v>
      </c>
    </row>
    <row r="267" spans="1:10">
      <c r="A267" t="s">
        <v>214</v>
      </c>
      <c r="B267">
        <v>7</v>
      </c>
      <c r="C267" t="s">
        <v>1</v>
      </c>
      <c r="D267">
        <v>2</v>
      </c>
      <c r="E267">
        <v>6.6666664999999998</v>
      </c>
      <c r="F267">
        <v>3</v>
      </c>
      <c r="G267">
        <v>162</v>
      </c>
      <c r="H267">
        <v>1070</v>
      </c>
      <c r="I267" s="1">
        <f t="shared" si="8"/>
        <v>0.45000001125000028</v>
      </c>
      <c r="J267" s="1">
        <f t="shared" si="9"/>
        <v>0.15140186915887852</v>
      </c>
    </row>
    <row r="268" spans="1:10">
      <c r="A268" t="s">
        <v>214</v>
      </c>
      <c r="B268">
        <v>7</v>
      </c>
      <c r="C268" t="s">
        <v>20</v>
      </c>
      <c r="D268">
        <v>3</v>
      </c>
      <c r="E268">
        <v>6.6666664999999998</v>
      </c>
      <c r="F268">
        <v>3.0001000000000002</v>
      </c>
      <c r="G268">
        <v>162</v>
      </c>
      <c r="H268">
        <v>1070</v>
      </c>
      <c r="I268" s="1">
        <f t="shared" si="8"/>
        <v>0.45001501125037535</v>
      </c>
      <c r="J268" s="1">
        <f t="shared" si="9"/>
        <v>0.15140186915887852</v>
      </c>
    </row>
    <row r="269" spans="1:10">
      <c r="A269" t="s">
        <v>214</v>
      </c>
      <c r="B269">
        <v>7</v>
      </c>
      <c r="C269" t="s">
        <v>19</v>
      </c>
      <c r="D269">
        <v>4</v>
      </c>
      <c r="E269">
        <v>6.6666664999999998</v>
      </c>
      <c r="F269">
        <v>3.0001997999999999</v>
      </c>
      <c r="G269">
        <v>162</v>
      </c>
      <c r="H269">
        <v>1070</v>
      </c>
      <c r="I269" s="1">
        <f t="shared" si="8"/>
        <v>0.4500299812507495</v>
      </c>
      <c r="J269" s="1">
        <f t="shared" si="9"/>
        <v>0.15140186915887852</v>
      </c>
    </row>
    <row r="270" spans="1:10">
      <c r="A270" t="s">
        <v>214</v>
      </c>
      <c r="B270">
        <v>7</v>
      </c>
      <c r="C270" t="s">
        <v>22</v>
      </c>
      <c r="D270">
        <v>5</v>
      </c>
      <c r="E270">
        <v>6.6666664999999998</v>
      </c>
      <c r="F270">
        <v>3.0002996999999998</v>
      </c>
      <c r="G270">
        <v>162</v>
      </c>
      <c r="H270">
        <v>1070</v>
      </c>
      <c r="I270" s="1">
        <f t="shared" si="8"/>
        <v>0.45004496625112411</v>
      </c>
      <c r="J270" s="1">
        <f t="shared" si="9"/>
        <v>0.15140186915887852</v>
      </c>
    </row>
    <row r="271" spans="1:10">
      <c r="A271" t="s">
        <v>214</v>
      </c>
      <c r="B271">
        <v>7</v>
      </c>
      <c r="C271" t="s">
        <v>246</v>
      </c>
      <c r="D271">
        <v>6</v>
      </c>
      <c r="E271">
        <v>6.6666664999999998</v>
      </c>
      <c r="F271">
        <v>6.6666664999999998</v>
      </c>
      <c r="G271">
        <v>1070</v>
      </c>
      <c r="H271">
        <v>1070</v>
      </c>
      <c r="I271" s="1">
        <f t="shared" si="8"/>
        <v>1</v>
      </c>
      <c r="J271" s="1">
        <f t="shared" si="9"/>
        <v>1</v>
      </c>
    </row>
    <row r="272" spans="1:10">
      <c r="A272" t="s">
        <v>214</v>
      </c>
      <c r="B272">
        <v>7</v>
      </c>
      <c r="C272" t="s">
        <v>245</v>
      </c>
      <c r="D272">
        <v>7</v>
      </c>
      <c r="E272">
        <v>6.6666664999999998</v>
      </c>
      <c r="F272">
        <v>7.6666664999999998</v>
      </c>
      <c r="G272">
        <v>1070</v>
      </c>
      <c r="H272">
        <v>1070</v>
      </c>
      <c r="I272" s="1">
        <f t="shared" si="8"/>
        <v>1.15000000375</v>
      </c>
      <c r="J272" s="1">
        <f t="shared" si="9"/>
        <v>1</v>
      </c>
    </row>
    <row r="273" spans="1:10">
      <c r="A273" t="s">
        <v>247</v>
      </c>
      <c r="B273">
        <v>3</v>
      </c>
      <c r="C273" t="s">
        <v>33</v>
      </c>
      <c r="D273">
        <v>1</v>
      </c>
      <c r="E273">
        <v>11.666667</v>
      </c>
      <c r="F273">
        <v>2.6666666999999999</v>
      </c>
      <c r="G273">
        <v>104</v>
      </c>
      <c r="H273">
        <v>2355</v>
      </c>
      <c r="I273" s="1">
        <f t="shared" si="8"/>
        <v>0.22857142489795929</v>
      </c>
      <c r="J273" s="1">
        <f t="shared" si="9"/>
        <v>4.4161358811040337E-2</v>
      </c>
    </row>
    <row r="274" spans="1:10">
      <c r="A274" t="s">
        <v>247</v>
      </c>
      <c r="B274">
        <v>3</v>
      </c>
      <c r="C274" t="s">
        <v>249</v>
      </c>
      <c r="D274">
        <v>2</v>
      </c>
      <c r="E274">
        <v>11.666667</v>
      </c>
      <c r="F274">
        <v>8.3333329999999997</v>
      </c>
      <c r="G274">
        <v>1655</v>
      </c>
      <c r="H274">
        <v>2355</v>
      </c>
      <c r="I274" s="1">
        <f t="shared" si="8"/>
        <v>0.71428566530612381</v>
      </c>
      <c r="J274" s="1">
        <f t="shared" si="9"/>
        <v>0.70276008492568998</v>
      </c>
    </row>
    <row r="275" spans="1:10">
      <c r="A275" t="s">
        <v>247</v>
      </c>
      <c r="B275">
        <v>3</v>
      </c>
      <c r="C275" t="s">
        <v>248</v>
      </c>
      <c r="D275">
        <v>3</v>
      </c>
      <c r="E275">
        <v>11.666667</v>
      </c>
      <c r="F275">
        <v>8.6666670000000003</v>
      </c>
      <c r="G275">
        <v>2355</v>
      </c>
      <c r="H275">
        <v>2355</v>
      </c>
      <c r="I275" s="1">
        <f t="shared" si="8"/>
        <v>0.74285715020408138</v>
      </c>
      <c r="J275" s="1">
        <f t="shared" si="9"/>
        <v>1</v>
      </c>
    </row>
    <row r="276" spans="1:10">
      <c r="A276" t="s">
        <v>247</v>
      </c>
      <c r="B276">
        <v>7</v>
      </c>
      <c r="C276" t="s">
        <v>36</v>
      </c>
      <c r="D276">
        <v>1</v>
      </c>
      <c r="E276">
        <v>13</v>
      </c>
      <c r="F276">
        <v>3.3333333000000001</v>
      </c>
      <c r="G276">
        <v>313</v>
      </c>
      <c r="H276">
        <v>3264</v>
      </c>
      <c r="I276" s="1">
        <f t="shared" si="8"/>
        <v>0.25641025384615385</v>
      </c>
      <c r="J276" s="1">
        <f t="shared" si="9"/>
        <v>9.5894607843137261E-2</v>
      </c>
    </row>
    <row r="277" spans="1:10">
      <c r="A277" t="s">
        <v>247</v>
      </c>
      <c r="B277">
        <v>7</v>
      </c>
      <c r="C277" t="s">
        <v>37</v>
      </c>
      <c r="D277">
        <v>2</v>
      </c>
      <c r="E277">
        <v>13</v>
      </c>
      <c r="F277">
        <v>3.3334332</v>
      </c>
      <c r="G277">
        <v>401</v>
      </c>
      <c r="H277">
        <v>3264</v>
      </c>
      <c r="I277" s="1">
        <f t="shared" si="8"/>
        <v>0.25641793846153849</v>
      </c>
      <c r="J277" s="1">
        <f t="shared" si="9"/>
        <v>0.12285539215686274</v>
      </c>
    </row>
    <row r="278" spans="1:10">
      <c r="A278" t="s">
        <v>247</v>
      </c>
      <c r="B278">
        <v>7</v>
      </c>
      <c r="C278" t="s">
        <v>250</v>
      </c>
      <c r="D278">
        <v>3</v>
      </c>
      <c r="E278">
        <v>13</v>
      </c>
      <c r="F278">
        <v>5</v>
      </c>
      <c r="G278">
        <v>967</v>
      </c>
      <c r="H278">
        <v>3264</v>
      </c>
      <c r="I278" s="1">
        <f t="shared" si="8"/>
        <v>0.38461538461538464</v>
      </c>
      <c r="J278" s="1">
        <f t="shared" si="9"/>
        <v>0.29626225490196079</v>
      </c>
    </row>
    <row r="279" spans="1:10">
      <c r="A279" t="s">
        <v>247</v>
      </c>
      <c r="B279">
        <v>7</v>
      </c>
      <c r="C279" t="s">
        <v>252</v>
      </c>
      <c r="D279">
        <v>4</v>
      </c>
      <c r="E279">
        <v>13</v>
      </c>
      <c r="F279">
        <v>6.6666664999999998</v>
      </c>
      <c r="G279">
        <v>2004</v>
      </c>
      <c r="H279">
        <v>3264</v>
      </c>
      <c r="I279" s="1">
        <f t="shared" si="8"/>
        <v>0.51282050000000001</v>
      </c>
      <c r="J279" s="1">
        <f t="shared" si="9"/>
        <v>0.61397058823529416</v>
      </c>
    </row>
    <row r="280" spans="1:10">
      <c r="A280" t="s">
        <v>247</v>
      </c>
      <c r="B280">
        <v>7</v>
      </c>
      <c r="C280" t="s">
        <v>251</v>
      </c>
      <c r="D280">
        <v>5</v>
      </c>
      <c r="E280">
        <v>13</v>
      </c>
      <c r="F280">
        <v>7.3333335000000002</v>
      </c>
      <c r="G280">
        <v>2038</v>
      </c>
      <c r="H280">
        <v>3264</v>
      </c>
      <c r="I280" s="1">
        <f t="shared" si="8"/>
        <v>0.56410257692307697</v>
      </c>
      <c r="J280" s="1">
        <f t="shared" si="9"/>
        <v>0.62438725490196079</v>
      </c>
    </row>
    <row r="281" spans="1:10">
      <c r="A281" t="s">
        <v>247</v>
      </c>
      <c r="B281">
        <v>7</v>
      </c>
      <c r="C281" t="s">
        <v>253</v>
      </c>
      <c r="D281">
        <v>6</v>
      </c>
      <c r="E281">
        <v>13</v>
      </c>
      <c r="F281">
        <v>13</v>
      </c>
      <c r="G281">
        <v>3264</v>
      </c>
      <c r="H281">
        <v>3264</v>
      </c>
      <c r="I281" s="1">
        <f t="shared" si="8"/>
        <v>1</v>
      </c>
      <c r="J281" s="1">
        <f t="shared" si="9"/>
        <v>1</v>
      </c>
    </row>
    <row r="282" spans="1:10">
      <c r="A282" t="s">
        <v>247</v>
      </c>
      <c r="B282">
        <v>8</v>
      </c>
      <c r="C282" t="s">
        <v>33</v>
      </c>
      <c r="D282">
        <v>1</v>
      </c>
      <c r="E282">
        <v>14.666667</v>
      </c>
      <c r="F282">
        <v>3</v>
      </c>
      <c r="G282">
        <v>141</v>
      </c>
      <c r="H282">
        <v>3505</v>
      </c>
      <c r="I282" s="1">
        <f t="shared" si="8"/>
        <v>0.20454544989669432</v>
      </c>
      <c r="J282" s="1">
        <f t="shared" si="9"/>
        <v>4.0228245363766048E-2</v>
      </c>
    </row>
    <row r="283" spans="1:10">
      <c r="A283" t="s">
        <v>247</v>
      </c>
      <c r="B283">
        <v>8</v>
      </c>
      <c r="C283" t="s">
        <v>35</v>
      </c>
      <c r="D283">
        <v>2</v>
      </c>
      <c r="E283">
        <v>14.666667</v>
      </c>
      <c r="F283">
        <v>4.3333335000000002</v>
      </c>
      <c r="G283">
        <v>588</v>
      </c>
      <c r="H283">
        <v>3505</v>
      </c>
      <c r="I283" s="1">
        <f t="shared" si="8"/>
        <v>0.29545455010330568</v>
      </c>
      <c r="J283" s="1">
        <f t="shared" si="9"/>
        <v>0.16776034236804566</v>
      </c>
    </row>
    <row r="284" spans="1:10">
      <c r="A284" t="s">
        <v>247</v>
      </c>
      <c r="B284">
        <v>8</v>
      </c>
      <c r="C284" t="s">
        <v>34</v>
      </c>
      <c r="D284">
        <v>3</v>
      </c>
      <c r="E284">
        <v>14.666667</v>
      </c>
      <c r="F284">
        <v>4.6666664999999998</v>
      </c>
      <c r="G284">
        <v>616</v>
      </c>
      <c r="H284">
        <v>3505</v>
      </c>
      <c r="I284" s="1">
        <f t="shared" si="8"/>
        <v>0.31818179958677728</v>
      </c>
      <c r="J284" s="1">
        <f t="shared" si="9"/>
        <v>0.17574893009985734</v>
      </c>
    </row>
    <row r="285" spans="1:10">
      <c r="A285" t="s">
        <v>247</v>
      </c>
      <c r="B285">
        <v>8</v>
      </c>
      <c r="C285" t="s">
        <v>255</v>
      </c>
      <c r="D285">
        <v>4</v>
      </c>
      <c r="E285">
        <v>14.666667</v>
      </c>
      <c r="F285">
        <v>5.3333335000000002</v>
      </c>
      <c r="G285">
        <v>1291</v>
      </c>
      <c r="H285">
        <v>3505</v>
      </c>
      <c r="I285" s="1">
        <f t="shared" si="8"/>
        <v>0.36363636673553712</v>
      </c>
      <c r="J285" s="1">
        <f t="shared" si="9"/>
        <v>0.36833095577746078</v>
      </c>
    </row>
    <row r="286" spans="1:10">
      <c r="A286" t="s">
        <v>247</v>
      </c>
      <c r="B286">
        <v>8</v>
      </c>
      <c r="C286" t="s">
        <v>254</v>
      </c>
      <c r="D286">
        <v>5</v>
      </c>
      <c r="E286">
        <v>14.666667</v>
      </c>
      <c r="F286">
        <v>5.6666664999999998</v>
      </c>
      <c r="G286">
        <v>1315</v>
      </c>
      <c r="H286">
        <v>3505</v>
      </c>
      <c r="I286" s="1">
        <f t="shared" si="8"/>
        <v>0.38636361621900872</v>
      </c>
      <c r="J286" s="1">
        <f t="shared" si="9"/>
        <v>0.37517831669044222</v>
      </c>
    </row>
    <row r="287" spans="1:10">
      <c r="A287" t="s">
        <v>247</v>
      </c>
      <c r="B287">
        <v>8</v>
      </c>
      <c r="C287" t="s">
        <v>258</v>
      </c>
      <c r="D287">
        <v>6</v>
      </c>
      <c r="E287">
        <v>14.666667</v>
      </c>
      <c r="F287">
        <v>10</v>
      </c>
      <c r="G287">
        <v>2542</v>
      </c>
      <c r="H287">
        <v>3505</v>
      </c>
      <c r="I287" s="1">
        <f t="shared" si="8"/>
        <v>0.6818181663223144</v>
      </c>
      <c r="J287" s="1">
        <f t="shared" si="9"/>
        <v>0.72524964336661912</v>
      </c>
    </row>
    <row r="288" spans="1:10">
      <c r="A288" t="s">
        <v>247</v>
      </c>
      <c r="B288">
        <v>8</v>
      </c>
      <c r="C288" t="s">
        <v>259</v>
      </c>
      <c r="D288">
        <v>7</v>
      </c>
      <c r="E288">
        <v>14.666667</v>
      </c>
      <c r="F288">
        <v>10.666667</v>
      </c>
      <c r="G288">
        <v>2910</v>
      </c>
      <c r="H288">
        <v>3505</v>
      </c>
      <c r="I288" s="1">
        <f t="shared" si="8"/>
        <v>0.72727273347107424</v>
      </c>
      <c r="J288" s="1">
        <f t="shared" si="9"/>
        <v>0.83024251069900146</v>
      </c>
    </row>
    <row r="289" spans="1:10">
      <c r="A289" t="s">
        <v>247</v>
      </c>
      <c r="B289">
        <v>8</v>
      </c>
      <c r="C289" t="s">
        <v>257</v>
      </c>
      <c r="D289">
        <v>8</v>
      </c>
      <c r="E289">
        <v>14.666667</v>
      </c>
      <c r="F289">
        <v>10.666767</v>
      </c>
      <c r="G289">
        <v>2955</v>
      </c>
      <c r="H289">
        <v>3505</v>
      </c>
      <c r="I289" s="1">
        <f t="shared" si="8"/>
        <v>0.7272795516527375</v>
      </c>
      <c r="J289" s="1">
        <f t="shared" si="9"/>
        <v>0.84308131241084161</v>
      </c>
    </row>
    <row r="290" spans="1:10">
      <c r="A290" t="s">
        <v>247</v>
      </c>
      <c r="B290">
        <v>8</v>
      </c>
      <c r="C290" t="s">
        <v>256</v>
      </c>
      <c r="D290">
        <v>9</v>
      </c>
      <c r="E290">
        <v>14.666667</v>
      </c>
      <c r="F290">
        <v>10.666867</v>
      </c>
      <c r="G290">
        <v>3000</v>
      </c>
      <c r="H290">
        <v>3505</v>
      </c>
      <c r="I290" s="1">
        <f t="shared" si="8"/>
        <v>0.72728636983440065</v>
      </c>
      <c r="J290" s="1">
        <f t="shared" si="9"/>
        <v>0.85592011412268187</v>
      </c>
    </row>
    <row r="291" spans="1:10">
      <c r="A291" t="s">
        <v>247</v>
      </c>
      <c r="B291">
        <v>8</v>
      </c>
      <c r="C291" t="s">
        <v>261</v>
      </c>
      <c r="D291">
        <v>10</v>
      </c>
      <c r="E291">
        <v>14.666667</v>
      </c>
      <c r="F291">
        <v>11.333333</v>
      </c>
      <c r="G291">
        <v>3197</v>
      </c>
      <c r="H291">
        <v>3505</v>
      </c>
      <c r="I291" s="1">
        <f t="shared" si="8"/>
        <v>0.77272723243801744</v>
      </c>
      <c r="J291" s="1">
        <f t="shared" si="9"/>
        <v>0.91212553495007131</v>
      </c>
    </row>
    <row r="292" spans="1:10">
      <c r="A292" t="s">
        <v>247</v>
      </c>
      <c r="B292">
        <v>8</v>
      </c>
      <c r="C292" t="s">
        <v>260</v>
      </c>
      <c r="D292">
        <v>11</v>
      </c>
      <c r="E292">
        <v>14.666667</v>
      </c>
      <c r="F292">
        <v>11.666667</v>
      </c>
      <c r="G292">
        <v>3505</v>
      </c>
      <c r="H292">
        <v>3505</v>
      </c>
      <c r="I292" s="1">
        <f t="shared" si="8"/>
        <v>0.79545455010330568</v>
      </c>
      <c r="J292" s="1">
        <f t="shared" si="9"/>
        <v>1</v>
      </c>
    </row>
    <row r="293" spans="1:10">
      <c r="A293" t="s">
        <v>247</v>
      </c>
      <c r="B293">
        <v>9</v>
      </c>
      <c r="C293" t="s">
        <v>33</v>
      </c>
      <c r="D293">
        <v>1</v>
      </c>
      <c r="E293">
        <v>9.6666670000000003</v>
      </c>
      <c r="F293">
        <v>2.3333333000000001</v>
      </c>
      <c r="G293">
        <v>91</v>
      </c>
      <c r="H293">
        <v>1675</v>
      </c>
      <c r="I293" s="1">
        <f t="shared" si="8"/>
        <v>0.24137929857312762</v>
      </c>
      <c r="J293" s="1">
        <f t="shared" si="9"/>
        <v>5.4328358208955221E-2</v>
      </c>
    </row>
    <row r="294" spans="1:10">
      <c r="A294" t="s">
        <v>247</v>
      </c>
      <c r="B294">
        <v>9</v>
      </c>
      <c r="C294" t="s">
        <v>2</v>
      </c>
      <c r="D294">
        <v>2</v>
      </c>
      <c r="E294">
        <v>9.6666670000000003</v>
      </c>
      <c r="F294">
        <v>3.6666666999999999</v>
      </c>
      <c r="G294">
        <v>275</v>
      </c>
      <c r="H294">
        <v>1675</v>
      </c>
      <c r="I294" s="1">
        <f t="shared" si="8"/>
        <v>0.37931033519619534</v>
      </c>
      <c r="J294" s="1">
        <f t="shared" si="9"/>
        <v>0.16417910447761194</v>
      </c>
    </row>
    <row r="295" spans="1:10">
      <c r="A295" t="s">
        <v>247</v>
      </c>
      <c r="B295">
        <v>9</v>
      </c>
      <c r="C295" t="s">
        <v>262</v>
      </c>
      <c r="D295">
        <v>3</v>
      </c>
      <c r="E295">
        <v>9.6666670000000003</v>
      </c>
      <c r="F295">
        <v>5.3333335000000002</v>
      </c>
      <c r="G295">
        <v>887</v>
      </c>
      <c r="H295">
        <v>1675</v>
      </c>
      <c r="I295" s="1">
        <f t="shared" si="8"/>
        <v>0.55172413614744353</v>
      </c>
      <c r="J295" s="1">
        <f t="shared" si="9"/>
        <v>0.52955223880597013</v>
      </c>
    </row>
    <row r="296" spans="1:10">
      <c r="A296" t="s">
        <v>247</v>
      </c>
      <c r="B296">
        <v>9</v>
      </c>
      <c r="C296" t="s">
        <v>263</v>
      </c>
      <c r="D296">
        <v>4</v>
      </c>
      <c r="E296">
        <v>9.6666670000000003</v>
      </c>
      <c r="F296">
        <v>5.3334336000000002</v>
      </c>
      <c r="G296">
        <v>887</v>
      </c>
      <c r="H296">
        <v>1675</v>
      </c>
      <c r="I296" s="1">
        <f t="shared" si="8"/>
        <v>0.55173449131950025</v>
      </c>
      <c r="J296" s="1">
        <f t="shared" si="9"/>
        <v>0.52955223880597013</v>
      </c>
    </row>
    <row r="297" spans="1:10">
      <c r="A297" t="s">
        <v>247</v>
      </c>
      <c r="B297">
        <v>9</v>
      </c>
      <c r="C297" t="s">
        <v>264</v>
      </c>
      <c r="D297">
        <v>5</v>
      </c>
      <c r="E297">
        <v>9.6666670000000003</v>
      </c>
      <c r="F297">
        <v>8.3333329999999997</v>
      </c>
      <c r="G297">
        <v>1675</v>
      </c>
      <c r="H297">
        <v>1675</v>
      </c>
      <c r="I297" s="1">
        <f t="shared" si="8"/>
        <v>0.86206890130796887</v>
      </c>
      <c r="J297" s="1">
        <f t="shared" si="9"/>
        <v>1</v>
      </c>
    </row>
    <row r="298" spans="1:10">
      <c r="A298" t="s">
        <v>247</v>
      </c>
      <c r="B298">
        <v>10</v>
      </c>
      <c r="C298" t="s">
        <v>270</v>
      </c>
      <c r="D298">
        <v>1</v>
      </c>
      <c r="E298">
        <v>2.6666666999999999</v>
      </c>
      <c r="F298">
        <v>2</v>
      </c>
      <c r="G298">
        <v>40</v>
      </c>
      <c r="H298">
        <v>141</v>
      </c>
      <c r="I298" s="1">
        <f t="shared" si="8"/>
        <v>0.74999999062500011</v>
      </c>
      <c r="J298" s="1">
        <f t="shared" si="9"/>
        <v>0.28368794326241137</v>
      </c>
    </row>
    <row r="299" spans="1:10">
      <c r="A299" t="s">
        <v>247</v>
      </c>
      <c r="B299">
        <v>10</v>
      </c>
      <c r="C299" t="s">
        <v>271</v>
      </c>
      <c r="D299">
        <v>2</v>
      </c>
      <c r="E299">
        <v>2.6666666999999999</v>
      </c>
      <c r="F299">
        <v>2.0001000000000002</v>
      </c>
      <c r="G299">
        <v>74</v>
      </c>
      <c r="H299">
        <v>141</v>
      </c>
      <c r="I299" s="1">
        <f t="shared" si="8"/>
        <v>0.75003749062453151</v>
      </c>
      <c r="J299" s="1">
        <f t="shared" si="9"/>
        <v>0.52482269503546097</v>
      </c>
    </row>
    <row r="300" spans="1:10">
      <c r="A300" t="s">
        <v>247</v>
      </c>
      <c r="B300">
        <v>10</v>
      </c>
      <c r="C300" t="s">
        <v>33</v>
      </c>
      <c r="D300">
        <v>3</v>
      </c>
      <c r="E300">
        <v>2.6666666999999999</v>
      </c>
      <c r="F300">
        <v>2.0001997999999999</v>
      </c>
      <c r="G300">
        <v>79</v>
      </c>
      <c r="H300">
        <v>141</v>
      </c>
      <c r="I300" s="1">
        <f t="shared" si="8"/>
        <v>0.75007491562406348</v>
      </c>
      <c r="J300" s="1">
        <f t="shared" si="9"/>
        <v>0.56028368794326244</v>
      </c>
    </row>
    <row r="301" spans="1:10">
      <c r="A301" t="s">
        <v>247</v>
      </c>
      <c r="B301">
        <v>10</v>
      </c>
      <c r="C301" t="s">
        <v>278</v>
      </c>
      <c r="D301">
        <v>4</v>
      </c>
      <c r="E301">
        <v>2.6666666999999999</v>
      </c>
      <c r="F301">
        <v>2.0002996999999998</v>
      </c>
      <c r="G301">
        <v>80</v>
      </c>
      <c r="H301">
        <v>141</v>
      </c>
      <c r="I301" s="1">
        <f t="shared" si="8"/>
        <v>0.75011237812359521</v>
      </c>
      <c r="J301" s="1">
        <f t="shared" si="9"/>
        <v>0.56737588652482274</v>
      </c>
    </row>
    <row r="302" spans="1:10">
      <c r="A302" t="s">
        <v>247</v>
      </c>
      <c r="B302">
        <v>10</v>
      </c>
      <c r="C302" t="s">
        <v>285</v>
      </c>
      <c r="D302">
        <v>5</v>
      </c>
      <c r="E302">
        <v>2.6666666999999999</v>
      </c>
      <c r="F302">
        <v>2.0003996000000002</v>
      </c>
      <c r="G302">
        <v>100</v>
      </c>
      <c r="H302">
        <v>141</v>
      </c>
      <c r="I302" s="1">
        <f t="shared" si="8"/>
        <v>0.75014984062312706</v>
      </c>
      <c r="J302" s="1">
        <f t="shared" si="9"/>
        <v>0.70921985815602839</v>
      </c>
    </row>
    <row r="303" spans="1:10">
      <c r="A303" t="s">
        <v>247</v>
      </c>
      <c r="B303">
        <v>10</v>
      </c>
      <c r="C303" t="s">
        <v>287</v>
      </c>
      <c r="D303">
        <v>6</v>
      </c>
      <c r="E303">
        <v>2.6666666999999999</v>
      </c>
      <c r="F303">
        <v>2.0004995000000001</v>
      </c>
      <c r="G303">
        <v>100</v>
      </c>
      <c r="H303">
        <v>141</v>
      </c>
      <c r="I303" s="1">
        <f t="shared" si="8"/>
        <v>0.7501873031226588</v>
      </c>
      <c r="J303" s="1">
        <f t="shared" si="9"/>
        <v>0.70921985815602839</v>
      </c>
    </row>
    <row r="304" spans="1:10">
      <c r="A304" t="s">
        <v>247</v>
      </c>
      <c r="B304">
        <v>10</v>
      </c>
      <c r="C304" t="s">
        <v>269</v>
      </c>
      <c r="D304">
        <v>7</v>
      </c>
      <c r="E304">
        <v>2.6666666999999999</v>
      </c>
      <c r="F304">
        <v>2.3333333000000001</v>
      </c>
      <c r="G304">
        <v>113</v>
      </c>
      <c r="H304">
        <v>141</v>
      </c>
      <c r="I304" s="1">
        <f t="shared" si="8"/>
        <v>0.87499997656250028</v>
      </c>
      <c r="J304" s="1">
        <f t="shared" si="9"/>
        <v>0.8014184397163121</v>
      </c>
    </row>
    <row r="305" spans="1:10">
      <c r="A305" t="s">
        <v>247</v>
      </c>
      <c r="B305">
        <v>10</v>
      </c>
      <c r="C305" t="s">
        <v>277</v>
      </c>
      <c r="D305">
        <v>8</v>
      </c>
      <c r="E305">
        <v>2.6666666999999999</v>
      </c>
      <c r="F305">
        <v>2.3334332</v>
      </c>
      <c r="G305">
        <v>122</v>
      </c>
      <c r="H305">
        <v>141</v>
      </c>
      <c r="I305" s="1">
        <f t="shared" si="8"/>
        <v>0.87503743906203202</v>
      </c>
      <c r="J305" s="1">
        <f t="shared" si="9"/>
        <v>0.86524822695035464</v>
      </c>
    </row>
    <row r="306" spans="1:10">
      <c r="A306" t="s">
        <v>247</v>
      </c>
      <c r="B306">
        <v>10</v>
      </c>
      <c r="C306" t="s">
        <v>262</v>
      </c>
      <c r="D306">
        <v>9</v>
      </c>
      <c r="E306">
        <v>2.6666666999999999</v>
      </c>
      <c r="F306">
        <v>2.3335330000000001</v>
      </c>
      <c r="G306">
        <v>122</v>
      </c>
      <c r="H306">
        <v>141</v>
      </c>
      <c r="I306" s="1">
        <f t="shared" si="8"/>
        <v>0.87507486406156421</v>
      </c>
      <c r="J306" s="1">
        <f t="shared" si="9"/>
        <v>0.86524822695035464</v>
      </c>
    </row>
    <row r="307" spans="1:10">
      <c r="A307" t="s">
        <v>247</v>
      </c>
      <c r="B307">
        <v>10</v>
      </c>
      <c r="C307" t="s">
        <v>276</v>
      </c>
      <c r="D307">
        <v>10</v>
      </c>
      <c r="E307">
        <v>2.6666666999999999</v>
      </c>
      <c r="F307">
        <v>2.3336329999999998</v>
      </c>
      <c r="G307">
        <v>126</v>
      </c>
      <c r="H307">
        <v>141</v>
      </c>
      <c r="I307" s="1">
        <f t="shared" si="8"/>
        <v>0.87511236406109538</v>
      </c>
      <c r="J307" s="1">
        <f t="shared" si="9"/>
        <v>0.8936170212765957</v>
      </c>
    </row>
    <row r="308" spans="1:10">
      <c r="A308" t="s">
        <v>247</v>
      </c>
      <c r="B308">
        <v>10</v>
      </c>
      <c r="C308" t="s">
        <v>284</v>
      </c>
      <c r="D308">
        <v>11</v>
      </c>
      <c r="E308">
        <v>2.6666666999999999</v>
      </c>
      <c r="F308">
        <v>2.3337327999999999</v>
      </c>
      <c r="G308">
        <v>130</v>
      </c>
      <c r="H308">
        <v>141</v>
      </c>
      <c r="I308" s="1">
        <f t="shared" si="8"/>
        <v>0.87514978906062768</v>
      </c>
      <c r="J308" s="1">
        <f t="shared" si="9"/>
        <v>0.92198581560283688</v>
      </c>
    </row>
    <row r="309" spans="1:10">
      <c r="A309" t="s">
        <v>247</v>
      </c>
      <c r="B309">
        <v>10</v>
      </c>
      <c r="C309" t="s">
        <v>34</v>
      </c>
      <c r="D309">
        <v>12</v>
      </c>
      <c r="E309">
        <v>2.6666666999999999</v>
      </c>
      <c r="F309">
        <v>2.3338326999999999</v>
      </c>
      <c r="G309">
        <v>136</v>
      </c>
      <c r="H309">
        <v>141</v>
      </c>
      <c r="I309" s="1">
        <f t="shared" si="8"/>
        <v>0.87518725156015931</v>
      </c>
      <c r="J309" s="1">
        <f t="shared" si="9"/>
        <v>0.96453900709219853</v>
      </c>
    </row>
    <row r="310" spans="1:10">
      <c r="A310" t="s">
        <v>247</v>
      </c>
      <c r="B310">
        <v>10</v>
      </c>
      <c r="C310" t="s">
        <v>289</v>
      </c>
      <c r="D310">
        <v>13</v>
      </c>
      <c r="E310">
        <v>2.6666666999999999</v>
      </c>
      <c r="F310">
        <v>2.3339325999999998</v>
      </c>
      <c r="G310">
        <v>136</v>
      </c>
      <c r="H310">
        <v>141</v>
      </c>
      <c r="I310" s="1">
        <f t="shared" si="8"/>
        <v>0.87522471405969104</v>
      </c>
      <c r="J310" s="1">
        <f t="shared" si="9"/>
        <v>0.96453900709219853</v>
      </c>
    </row>
    <row r="311" spans="1:10">
      <c r="A311" t="s">
        <v>247</v>
      </c>
      <c r="B311">
        <v>10</v>
      </c>
      <c r="C311" t="s">
        <v>268</v>
      </c>
      <c r="D311">
        <v>14</v>
      </c>
      <c r="E311">
        <v>2.6666666999999999</v>
      </c>
      <c r="F311">
        <v>2.6666666999999999</v>
      </c>
      <c r="G311">
        <v>137</v>
      </c>
      <c r="H311">
        <v>141</v>
      </c>
      <c r="I311" s="1">
        <f t="shared" si="8"/>
        <v>1</v>
      </c>
      <c r="J311" s="1">
        <f t="shared" si="9"/>
        <v>0.97163120567375882</v>
      </c>
    </row>
    <row r="312" spans="1:10">
      <c r="A312" t="s">
        <v>247</v>
      </c>
      <c r="B312">
        <v>10</v>
      </c>
      <c r="C312" t="s">
        <v>265</v>
      </c>
      <c r="D312">
        <v>15</v>
      </c>
      <c r="E312">
        <v>2.6666666999999999</v>
      </c>
      <c r="F312">
        <v>2.6667665999999999</v>
      </c>
      <c r="G312">
        <v>137</v>
      </c>
      <c r="H312">
        <v>141</v>
      </c>
      <c r="I312" s="1">
        <f t="shared" si="8"/>
        <v>1.0000374624995316</v>
      </c>
      <c r="J312" s="1">
        <f t="shared" si="9"/>
        <v>0.97163120567375882</v>
      </c>
    </row>
    <row r="313" spans="1:10">
      <c r="A313" t="s">
        <v>247</v>
      </c>
      <c r="B313">
        <v>10</v>
      </c>
      <c r="C313" t="s">
        <v>273</v>
      </c>
      <c r="D313">
        <v>16</v>
      </c>
      <c r="E313">
        <v>2.6666666999999999</v>
      </c>
      <c r="F313">
        <v>2.6668664999999998</v>
      </c>
      <c r="G313">
        <v>140</v>
      </c>
      <c r="H313">
        <v>141</v>
      </c>
      <c r="I313" s="1">
        <f t="shared" si="8"/>
        <v>1.0000749249990635</v>
      </c>
      <c r="J313" s="1">
        <f t="shared" si="9"/>
        <v>0.99290780141843971</v>
      </c>
    </row>
    <row r="314" spans="1:10">
      <c r="A314" t="s">
        <v>247</v>
      </c>
      <c r="B314">
        <v>10</v>
      </c>
      <c r="C314" t="s">
        <v>274</v>
      </c>
      <c r="D314">
        <v>17</v>
      </c>
      <c r="E314">
        <v>2.6666666999999999</v>
      </c>
      <c r="F314">
        <v>2.6669664000000002</v>
      </c>
      <c r="G314">
        <v>140</v>
      </c>
      <c r="H314">
        <v>141</v>
      </c>
      <c r="I314" s="1">
        <f t="shared" si="8"/>
        <v>1.0001123874985953</v>
      </c>
      <c r="J314" s="1">
        <f t="shared" si="9"/>
        <v>0.99290780141843971</v>
      </c>
    </row>
    <row r="315" spans="1:10">
      <c r="A315" t="s">
        <v>247</v>
      </c>
      <c r="B315">
        <v>10</v>
      </c>
      <c r="C315" t="s">
        <v>280</v>
      </c>
      <c r="D315">
        <v>18</v>
      </c>
      <c r="E315">
        <v>2.6666666999999999</v>
      </c>
      <c r="F315">
        <v>2.6670663000000001</v>
      </c>
      <c r="G315">
        <v>140</v>
      </c>
      <c r="H315">
        <v>141</v>
      </c>
      <c r="I315" s="1">
        <f t="shared" si="8"/>
        <v>1.0001498499981269</v>
      </c>
      <c r="J315" s="1">
        <f t="shared" si="9"/>
        <v>0.99290780141843971</v>
      </c>
    </row>
    <row r="316" spans="1:10">
      <c r="A316" t="s">
        <v>247</v>
      </c>
      <c r="B316">
        <v>10</v>
      </c>
      <c r="C316" t="s">
        <v>281</v>
      </c>
      <c r="D316">
        <v>19</v>
      </c>
      <c r="E316">
        <v>2.6666666999999999</v>
      </c>
      <c r="F316">
        <v>2.6671662</v>
      </c>
      <c r="G316">
        <v>140</v>
      </c>
      <c r="H316">
        <v>141</v>
      </c>
      <c r="I316" s="1">
        <f t="shared" si="8"/>
        <v>1.0001873124976586</v>
      </c>
      <c r="J316" s="1">
        <f t="shared" si="9"/>
        <v>0.99290780141843971</v>
      </c>
    </row>
    <row r="317" spans="1:10">
      <c r="A317" t="s">
        <v>247</v>
      </c>
      <c r="B317">
        <v>10</v>
      </c>
      <c r="C317" t="s">
        <v>282</v>
      </c>
      <c r="D317">
        <v>20</v>
      </c>
      <c r="E317">
        <v>2.6666666999999999</v>
      </c>
      <c r="F317">
        <v>2.6672661</v>
      </c>
      <c r="G317">
        <v>141</v>
      </c>
      <c r="H317">
        <v>141</v>
      </c>
      <c r="I317" s="1">
        <f t="shared" si="8"/>
        <v>1.0002247749971904</v>
      </c>
      <c r="J317" s="1">
        <f t="shared" si="9"/>
        <v>1</v>
      </c>
    </row>
    <row r="318" spans="1:10">
      <c r="A318" t="s">
        <v>247</v>
      </c>
      <c r="B318">
        <v>10</v>
      </c>
      <c r="C318" t="s">
        <v>286</v>
      </c>
      <c r="D318">
        <v>21</v>
      </c>
      <c r="E318">
        <v>2.6666666999999999</v>
      </c>
      <c r="F318">
        <v>2.6673659999999999</v>
      </c>
      <c r="G318">
        <v>141</v>
      </c>
      <c r="H318">
        <v>141</v>
      </c>
      <c r="I318" s="1">
        <f t="shared" si="8"/>
        <v>1.0002622374967221</v>
      </c>
      <c r="J318" s="1">
        <f t="shared" si="9"/>
        <v>1</v>
      </c>
    </row>
    <row r="319" spans="1:10">
      <c r="A319" t="s">
        <v>247</v>
      </c>
      <c r="B319">
        <v>10</v>
      </c>
      <c r="C319" t="s">
        <v>288</v>
      </c>
      <c r="D319">
        <v>22</v>
      </c>
      <c r="E319">
        <v>2.6666666999999999</v>
      </c>
      <c r="F319">
        <v>2.6674660000000001</v>
      </c>
      <c r="G319">
        <v>141</v>
      </c>
      <c r="H319">
        <v>141</v>
      </c>
      <c r="I319" s="1">
        <f t="shared" si="8"/>
        <v>1.0002997374962534</v>
      </c>
      <c r="J319" s="1">
        <f t="shared" si="9"/>
        <v>1</v>
      </c>
    </row>
    <row r="320" spans="1:10">
      <c r="A320" t="s">
        <v>247</v>
      </c>
      <c r="B320">
        <v>10</v>
      </c>
      <c r="C320" t="s">
        <v>283</v>
      </c>
      <c r="D320">
        <v>23</v>
      </c>
      <c r="E320">
        <v>2.6666666999999999</v>
      </c>
      <c r="F320">
        <v>2.6675658000000002</v>
      </c>
      <c r="G320">
        <v>141</v>
      </c>
      <c r="H320">
        <v>141</v>
      </c>
      <c r="I320" s="1">
        <f t="shared" si="8"/>
        <v>1.0003371624957855</v>
      </c>
      <c r="J320" s="1">
        <f t="shared" si="9"/>
        <v>1</v>
      </c>
    </row>
    <row r="321" spans="1:10">
      <c r="A321" t="s">
        <v>247</v>
      </c>
      <c r="B321">
        <v>10</v>
      </c>
      <c r="C321" t="s">
        <v>291</v>
      </c>
      <c r="D321">
        <v>24</v>
      </c>
      <c r="E321">
        <v>2.6666666999999999</v>
      </c>
      <c r="F321">
        <v>2.6676657000000001</v>
      </c>
      <c r="G321">
        <v>141</v>
      </c>
      <c r="H321">
        <v>141</v>
      </c>
      <c r="I321" s="1">
        <f t="shared" si="8"/>
        <v>1.0003746249953172</v>
      </c>
      <c r="J321" s="1">
        <f t="shared" si="9"/>
        <v>1</v>
      </c>
    </row>
    <row r="322" spans="1:10">
      <c r="A322" t="s">
        <v>247</v>
      </c>
      <c r="B322">
        <v>10</v>
      </c>
      <c r="C322" t="s">
        <v>292</v>
      </c>
      <c r="D322">
        <v>25</v>
      </c>
      <c r="E322">
        <v>2.6666666999999999</v>
      </c>
      <c r="F322">
        <v>2.6677656000000001</v>
      </c>
      <c r="G322">
        <v>141</v>
      </c>
      <c r="H322">
        <v>141</v>
      </c>
      <c r="I322" s="1">
        <f t="shared" si="8"/>
        <v>1.000412087494849</v>
      </c>
      <c r="J322" s="1">
        <f t="shared" si="9"/>
        <v>1</v>
      </c>
    </row>
    <row r="323" spans="1:10">
      <c r="A323" t="s">
        <v>247</v>
      </c>
      <c r="B323">
        <v>10</v>
      </c>
      <c r="C323" t="s">
        <v>293</v>
      </c>
      <c r="D323">
        <v>26</v>
      </c>
      <c r="E323">
        <v>2.6666666999999999</v>
      </c>
      <c r="F323">
        <v>2.6678655</v>
      </c>
      <c r="G323">
        <v>141</v>
      </c>
      <c r="H323">
        <v>141</v>
      </c>
      <c r="I323" s="1">
        <f t="shared" ref="I323:I386" si="10">F323/E323</f>
        <v>1.0004495499943806</v>
      </c>
      <c r="J323" s="1">
        <f t="shared" ref="J323:J386" si="11">G323/H323</f>
        <v>1</v>
      </c>
    </row>
    <row r="324" spans="1:10">
      <c r="A324" t="s">
        <v>247</v>
      </c>
      <c r="B324">
        <v>10</v>
      </c>
      <c r="C324" t="s">
        <v>266</v>
      </c>
      <c r="D324">
        <v>27</v>
      </c>
      <c r="E324">
        <v>2.6666666999999999</v>
      </c>
      <c r="F324">
        <v>3</v>
      </c>
      <c r="G324">
        <v>141</v>
      </c>
      <c r="H324">
        <v>141</v>
      </c>
      <c r="I324" s="1">
        <f t="shared" si="10"/>
        <v>1.1249999859375002</v>
      </c>
      <c r="J324" s="1">
        <f t="shared" si="11"/>
        <v>1</v>
      </c>
    </row>
    <row r="325" spans="1:10">
      <c r="A325" t="s">
        <v>247</v>
      </c>
      <c r="B325">
        <v>10</v>
      </c>
      <c r="C325" t="s">
        <v>267</v>
      </c>
      <c r="D325">
        <v>28</v>
      </c>
      <c r="E325">
        <v>2.6666666999999999</v>
      </c>
      <c r="F325">
        <v>3.0001000000000002</v>
      </c>
      <c r="G325">
        <v>141</v>
      </c>
      <c r="H325">
        <v>141</v>
      </c>
      <c r="I325" s="1">
        <f t="shared" si="10"/>
        <v>1.1250374859370316</v>
      </c>
      <c r="J325" s="1">
        <f t="shared" si="11"/>
        <v>1</v>
      </c>
    </row>
    <row r="326" spans="1:10">
      <c r="A326" t="s">
        <v>247</v>
      </c>
      <c r="B326">
        <v>10</v>
      </c>
      <c r="C326" t="s">
        <v>272</v>
      </c>
      <c r="D326">
        <v>29</v>
      </c>
      <c r="E326">
        <v>2.6666666999999999</v>
      </c>
      <c r="F326">
        <v>3.0001997999999999</v>
      </c>
      <c r="G326">
        <v>141</v>
      </c>
      <c r="H326">
        <v>141</v>
      </c>
      <c r="I326" s="1">
        <f t="shared" si="10"/>
        <v>1.1250749109365636</v>
      </c>
      <c r="J326" s="1">
        <f t="shared" si="11"/>
        <v>1</v>
      </c>
    </row>
    <row r="327" spans="1:10">
      <c r="A327" t="s">
        <v>247</v>
      </c>
      <c r="B327">
        <v>10</v>
      </c>
      <c r="C327" t="s">
        <v>275</v>
      </c>
      <c r="D327">
        <v>30</v>
      </c>
      <c r="E327">
        <v>2.6666666999999999</v>
      </c>
      <c r="F327">
        <v>3.0002996999999998</v>
      </c>
      <c r="G327">
        <v>141</v>
      </c>
      <c r="H327">
        <v>141</v>
      </c>
      <c r="I327" s="1">
        <f t="shared" si="10"/>
        <v>1.1251123734360953</v>
      </c>
      <c r="J327" s="1">
        <f t="shared" si="11"/>
        <v>1</v>
      </c>
    </row>
    <row r="328" spans="1:10">
      <c r="A328" t="s">
        <v>247</v>
      </c>
      <c r="B328">
        <v>10</v>
      </c>
      <c r="C328" t="s">
        <v>279</v>
      </c>
      <c r="D328">
        <v>31</v>
      </c>
      <c r="E328">
        <v>2.6666666999999999</v>
      </c>
      <c r="F328">
        <v>3.0003996000000002</v>
      </c>
      <c r="G328">
        <v>141</v>
      </c>
      <c r="H328">
        <v>141</v>
      </c>
      <c r="I328" s="1">
        <f t="shared" si="10"/>
        <v>1.1251498359356271</v>
      </c>
      <c r="J328" s="1">
        <f t="shared" si="11"/>
        <v>1</v>
      </c>
    </row>
    <row r="329" spans="1:10">
      <c r="A329" t="s">
        <v>247</v>
      </c>
      <c r="B329">
        <v>10</v>
      </c>
      <c r="C329" t="s">
        <v>290</v>
      </c>
      <c r="D329">
        <v>32</v>
      </c>
      <c r="E329">
        <v>2.6666666999999999</v>
      </c>
      <c r="F329">
        <v>3.0004995000000001</v>
      </c>
      <c r="G329">
        <v>141</v>
      </c>
      <c r="H329">
        <v>141</v>
      </c>
      <c r="I329" s="1">
        <f t="shared" si="10"/>
        <v>1.1251872984351587</v>
      </c>
      <c r="J329" s="1">
        <f t="shared" si="11"/>
        <v>1</v>
      </c>
    </row>
    <row r="330" spans="1:10">
      <c r="A330" t="s">
        <v>294</v>
      </c>
      <c r="B330">
        <v>3</v>
      </c>
      <c r="C330" t="s">
        <v>145</v>
      </c>
      <c r="D330">
        <v>1</v>
      </c>
      <c r="E330">
        <v>53.666668000000001</v>
      </c>
      <c r="F330">
        <v>55.666668000000001</v>
      </c>
      <c r="G330">
        <v>8340</v>
      </c>
      <c r="H330">
        <v>8642</v>
      </c>
      <c r="I330" s="1">
        <f t="shared" si="10"/>
        <v>1.0372670798194514</v>
      </c>
      <c r="J330" s="1">
        <f t="shared" si="11"/>
        <v>0.96505438555889844</v>
      </c>
    </row>
    <row r="331" spans="1:10">
      <c r="A331" t="s">
        <v>294</v>
      </c>
      <c r="B331">
        <v>3</v>
      </c>
      <c r="C331" t="s">
        <v>36</v>
      </c>
      <c r="D331">
        <v>2</v>
      </c>
      <c r="E331">
        <v>53.666668000000001</v>
      </c>
      <c r="F331">
        <v>56.666668000000001</v>
      </c>
      <c r="G331">
        <v>8642</v>
      </c>
      <c r="H331">
        <v>8642</v>
      </c>
      <c r="I331" s="1">
        <f t="shared" si="10"/>
        <v>1.0559006197291771</v>
      </c>
      <c r="J331" s="1">
        <f t="shared" si="11"/>
        <v>1</v>
      </c>
    </row>
    <row r="332" spans="1:10">
      <c r="A332" t="s">
        <v>295</v>
      </c>
      <c r="B332">
        <v>2</v>
      </c>
      <c r="C332" t="s">
        <v>300</v>
      </c>
      <c r="D332">
        <v>1</v>
      </c>
      <c r="E332">
        <v>9</v>
      </c>
      <c r="F332">
        <v>3.6666666999999999</v>
      </c>
      <c r="G332">
        <v>405</v>
      </c>
      <c r="H332">
        <v>2256</v>
      </c>
      <c r="I332" s="1">
        <f t="shared" si="10"/>
        <v>0.40740741111111112</v>
      </c>
      <c r="J332" s="1">
        <f t="shared" si="11"/>
        <v>0.17952127659574468</v>
      </c>
    </row>
    <row r="333" spans="1:10">
      <c r="A333" t="s">
        <v>295</v>
      </c>
      <c r="B333">
        <v>2</v>
      </c>
      <c r="C333" t="s">
        <v>207</v>
      </c>
      <c r="D333">
        <v>2</v>
      </c>
      <c r="E333">
        <v>9</v>
      </c>
      <c r="F333">
        <v>4</v>
      </c>
      <c r="G333">
        <v>636</v>
      </c>
      <c r="H333">
        <v>2256</v>
      </c>
      <c r="I333" s="1">
        <f t="shared" si="10"/>
        <v>0.44444444444444442</v>
      </c>
      <c r="J333" s="1">
        <f t="shared" si="11"/>
        <v>0.28191489361702127</v>
      </c>
    </row>
    <row r="334" spans="1:10">
      <c r="A334" t="s">
        <v>295</v>
      </c>
      <c r="B334">
        <v>2</v>
      </c>
      <c r="C334" t="s">
        <v>322</v>
      </c>
      <c r="D334">
        <v>3</v>
      </c>
      <c r="E334">
        <v>9</v>
      </c>
      <c r="F334">
        <v>4.0000999999999998</v>
      </c>
      <c r="G334">
        <v>734</v>
      </c>
      <c r="H334">
        <v>2256</v>
      </c>
      <c r="I334" s="1">
        <f t="shared" si="10"/>
        <v>0.44445555555555555</v>
      </c>
      <c r="J334" s="1">
        <f t="shared" si="11"/>
        <v>0.325354609929078</v>
      </c>
    </row>
    <row r="335" spans="1:10">
      <c r="A335" t="s">
        <v>295</v>
      </c>
      <c r="B335">
        <v>2</v>
      </c>
      <c r="C335" t="s">
        <v>298</v>
      </c>
      <c r="D335">
        <v>4</v>
      </c>
      <c r="E335">
        <v>9</v>
      </c>
      <c r="F335">
        <v>4.0002003000000004</v>
      </c>
      <c r="G335">
        <v>936</v>
      </c>
      <c r="H335">
        <v>2256</v>
      </c>
      <c r="I335" s="1">
        <f t="shared" si="10"/>
        <v>0.44446670000000005</v>
      </c>
      <c r="J335" s="1">
        <f t="shared" si="11"/>
        <v>0.41489361702127658</v>
      </c>
    </row>
    <row r="336" spans="1:10">
      <c r="A336" t="s">
        <v>295</v>
      </c>
      <c r="B336">
        <v>2</v>
      </c>
      <c r="C336" t="s">
        <v>299</v>
      </c>
      <c r="D336">
        <v>5</v>
      </c>
      <c r="E336">
        <v>9</v>
      </c>
      <c r="F336">
        <v>4.0003004000000004</v>
      </c>
      <c r="G336">
        <v>1335</v>
      </c>
      <c r="H336">
        <v>2256</v>
      </c>
      <c r="I336" s="1">
        <f t="shared" si="10"/>
        <v>0.44447782222222226</v>
      </c>
      <c r="J336" s="1">
        <f t="shared" si="11"/>
        <v>0.5917553191489362</v>
      </c>
    </row>
    <row r="337" spans="1:10">
      <c r="A337" t="s">
        <v>295</v>
      </c>
      <c r="B337">
        <v>2</v>
      </c>
      <c r="C337" t="s">
        <v>296</v>
      </c>
      <c r="D337">
        <v>6</v>
      </c>
      <c r="E337">
        <v>9</v>
      </c>
      <c r="F337">
        <v>4.0004004999999996</v>
      </c>
      <c r="G337">
        <v>1422</v>
      </c>
      <c r="H337">
        <v>2256</v>
      </c>
      <c r="I337" s="1">
        <f t="shared" si="10"/>
        <v>0.44448894444444442</v>
      </c>
      <c r="J337" s="1">
        <f t="shared" si="11"/>
        <v>0.63031914893617025</v>
      </c>
    </row>
    <row r="338" spans="1:10">
      <c r="A338" t="s">
        <v>295</v>
      </c>
      <c r="B338">
        <v>2</v>
      </c>
      <c r="C338" t="s">
        <v>297</v>
      </c>
      <c r="D338">
        <v>7</v>
      </c>
      <c r="E338">
        <v>9</v>
      </c>
      <c r="F338">
        <v>4.3333335000000002</v>
      </c>
      <c r="G338">
        <v>1656</v>
      </c>
      <c r="H338">
        <v>2256</v>
      </c>
      <c r="I338" s="1">
        <f t="shared" si="10"/>
        <v>0.48148150000000001</v>
      </c>
      <c r="J338" s="1">
        <f t="shared" si="11"/>
        <v>0.73404255319148937</v>
      </c>
    </row>
    <row r="339" spans="1:10">
      <c r="A339" t="s">
        <v>295</v>
      </c>
      <c r="B339">
        <v>2</v>
      </c>
      <c r="C339" t="s">
        <v>301</v>
      </c>
      <c r="D339">
        <v>8</v>
      </c>
      <c r="E339">
        <v>9</v>
      </c>
      <c r="F339">
        <v>5.3333335000000002</v>
      </c>
      <c r="G339">
        <v>2256</v>
      </c>
      <c r="H339">
        <v>2256</v>
      </c>
      <c r="I339" s="1">
        <f t="shared" si="10"/>
        <v>0.59259261111111117</v>
      </c>
      <c r="J339" s="1">
        <f t="shared" si="11"/>
        <v>1</v>
      </c>
    </row>
    <row r="340" spans="1:10">
      <c r="A340" t="s">
        <v>295</v>
      </c>
      <c r="B340">
        <v>3</v>
      </c>
      <c r="C340" t="s">
        <v>243</v>
      </c>
      <c r="D340">
        <v>1</v>
      </c>
      <c r="E340">
        <v>50.666668000000001</v>
      </c>
      <c r="F340">
        <v>4</v>
      </c>
      <c r="G340">
        <v>272</v>
      </c>
      <c r="H340">
        <v>5303</v>
      </c>
      <c r="I340" s="1">
        <f t="shared" si="10"/>
        <v>7.8947366343490352E-2</v>
      </c>
      <c r="J340" s="1">
        <f t="shared" si="11"/>
        <v>5.1291721666980955E-2</v>
      </c>
    </row>
    <row r="341" spans="1:10">
      <c r="A341" t="s">
        <v>295</v>
      </c>
      <c r="B341">
        <v>3</v>
      </c>
      <c r="C341" t="s">
        <v>302</v>
      </c>
      <c r="D341">
        <v>2</v>
      </c>
      <c r="E341">
        <v>50.666668000000001</v>
      </c>
      <c r="F341">
        <v>4.6666664999999998</v>
      </c>
      <c r="G341">
        <v>511</v>
      </c>
      <c r="H341">
        <v>5303</v>
      </c>
      <c r="I341" s="1">
        <f t="shared" si="10"/>
        <v>9.2105257444598479E-2</v>
      </c>
      <c r="J341" s="1">
        <f t="shared" si="11"/>
        <v>9.6360550631717889E-2</v>
      </c>
    </row>
    <row r="342" spans="1:10">
      <c r="A342" t="s">
        <v>295</v>
      </c>
      <c r="B342">
        <v>3</v>
      </c>
      <c r="C342" t="s">
        <v>303</v>
      </c>
      <c r="D342">
        <v>3</v>
      </c>
      <c r="E342">
        <v>50.666668000000001</v>
      </c>
      <c r="F342">
        <v>7</v>
      </c>
      <c r="G342">
        <v>965</v>
      </c>
      <c r="H342">
        <v>5303</v>
      </c>
      <c r="I342" s="1">
        <f t="shared" si="10"/>
        <v>0.13815789110110813</v>
      </c>
      <c r="J342" s="1">
        <f t="shared" si="11"/>
        <v>0.18197246841410522</v>
      </c>
    </row>
    <row r="343" spans="1:10">
      <c r="A343" t="s">
        <v>295</v>
      </c>
      <c r="B343">
        <v>3</v>
      </c>
      <c r="C343" t="s">
        <v>304</v>
      </c>
      <c r="D343">
        <v>4</v>
      </c>
      <c r="E343">
        <v>50.666668000000001</v>
      </c>
      <c r="F343">
        <v>12.333333</v>
      </c>
      <c r="G343">
        <v>2225</v>
      </c>
      <c r="H343">
        <v>5303</v>
      </c>
      <c r="I343" s="1">
        <f t="shared" si="10"/>
        <v>0.24342103964681475</v>
      </c>
      <c r="J343" s="1">
        <f t="shared" si="11"/>
        <v>0.41957382613614935</v>
      </c>
    </row>
    <row r="344" spans="1:10">
      <c r="A344" t="s">
        <v>295</v>
      </c>
      <c r="B344">
        <v>3</v>
      </c>
      <c r="C344" t="s">
        <v>306</v>
      </c>
      <c r="D344">
        <v>5</v>
      </c>
      <c r="E344">
        <v>50.666668000000001</v>
      </c>
      <c r="F344">
        <v>15</v>
      </c>
      <c r="G344">
        <v>4155</v>
      </c>
      <c r="H344">
        <v>5303</v>
      </c>
      <c r="I344" s="1">
        <f t="shared" si="10"/>
        <v>0.29605262378808883</v>
      </c>
      <c r="J344" s="1">
        <f t="shared" si="11"/>
        <v>0.78351876296435985</v>
      </c>
    </row>
    <row r="345" spans="1:10">
      <c r="A345" t="s">
        <v>295</v>
      </c>
      <c r="B345">
        <v>3</v>
      </c>
      <c r="C345" t="s">
        <v>305</v>
      </c>
      <c r="D345">
        <v>6</v>
      </c>
      <c r="E345">
        <v>50.666668000000001</v>
      </c>
      <c r="F345">
        <v>15.333333</v>
      </c>
      <c r="G345">
        <v>5303</v>
      </c>
      <c r="H345">
        <v>5303</v>
      </c>
      <c r="I345" s="1">
        <f t="shared" si="10"/>
        <v>0.30263156440443251</v>
      </c>
      <c r="J345" s="1">
        <f t="shared" si="11"/>
        <v>1</v>
      </c>
    </row>
    <row r="346" spans="1:10">
      <c r="A346" t="s">
        <v>295</v>
      </c>
      <c r="B346">
        <v>4</v>
      </c>
      <c r="C346" t="s">
        <v>243</v>
      </c>
      <c r="D346">
        <v>1</v>
      </c>
      <c r="E346">
        <v>55.333331999999999</v>
      </c>
      <c r="F346">
        <v>4.3333335000000002</v>
      </c>
      <c r="G346">
        <v>272</v>
      </c>
      <c r="H346">
        <v>8599</v>
      </c>
      <c r="I346" s="1">
        <f t="shared" si="10"/>
        <v>7.8313257911162851E-2</v>
      </c>
      <c r="J346" s="1">
        <f t="shared" si="11"/>
        <v>3.1631585068031168E-2</v>
      </c>
    </row>
    <row r="347" spans="1:10">
      <c r="A347" t="s">
        <v>295</v>
      </c>
      <c r="B347">
        <v>4</v>
      </c>
      <c r="C347" t="s">
        <v>307</v>
      </c>
      <c r="D347">
        <v>2</v>
      </c>
      <c r="E347">
        <v>55.333331999999999</v>
      </c>
      <c r="F347">
        <v>5.3333335000000002</v>
      </c>
      <c r="G347">
        <v>544</v>
      </c>
      <c r="H347">
        <v>8599</v>
      </c>
      <c r="I347" s="1">
        <f t="shared" si="10"/>
        <v>9.6385547503266208E-2</v>
      </c>
      <c r="J347" s="1">
        <f t="shared" si="11"/>
        <v>6.3263170136062336E-2</v>
      </c>
    </row>
    <row r="348" spans="1:10">
      <c r="A348" t="s">
        <v>295</v>
      </c>
      <c r="B348">
        <v>4</v>
      </c>
      <c r="C348" t="s">
        <v>303</v>
      </c>
      <c r="D348">
        <v>3</v>
      </c>
      <c r="E348">
        <v>55.333331999999999</v>
      </c>
      <c r="F348">
        <v>7.6666664999999998</v>
      </c>
      <c r="G348">
        <v>1020</v>
      </c>
      <c r="H348">
        <v>8599</v>
      </c>
      <c r="I348" s="1">
        <f t="shared" si="10"/>
        <v>0.13855421719407751</v>
      </c>
      <c r="J348" s="1">
        <f t="shared" si="11"/>
        <v>0.11861844400511687</v>
      </c>
    </row>
    <row r="349" spans="1:10">
      <c r="A349" t="s">
        <v>295</v>
      </c>
      <c r="B349">
        <v>4</v>
      </c>
      <c r="C349" t="s">
        <v>308</v>
      </c>
      <c r="D349">
        <v>4</v>
      </c>
      <c r="E349">
        <v>55.333331999999999</v>
      </c>
      <c r="F349">
        <v>8</v>
      </c>
      <c r="G349">
        <v>1823</v>
      </c>
      <c r="H349">
        <v>8599</v>
      </c>
      <c r="I349" s="1">
        <f t="shared" si="10"/>
        <v>0.14457831673682692</v>
      </c>
      <c r="J349" s="1">
        <f t="shared" si="11"/>
        <v>0.21200139551110594</v>
      </c>
    </row>
    <row r="350" spans="1:10">
      <c r="A350" t="s">
        <v>295</v>
      </c>
      <c r="B350">
        <v>4</v>
      </c>
      <c r="C350" t="s">
        <v>309</v>
      </c>
      <c r="D350">
        <v>5</v>
      </c>
      <c r="E350">
        <v>55.333331999999999</v>
      </c>
      <c r="F350">
        <v>9.3333329999999997</v>
      </c>
      <c r="G350">
        <v>2986</v>
      </c>
      <c r="H350">
        <v>8599</v>
      </c>
      <c r="I350" s="1">
        <f t="shared" si="10"/>
        <v>0.16867469683553485</v>
      </c>
      <c r="J350" s="1">
        <f t="shared" si="11"/>
        <v>0.34724968019537156</v>
      </c>
    </row>
    <row r="351" spans="1:10">
      <c r="A351" t="s">
        <v>295</v>
      </c>
      <c r="B351">
        <v>4</v>
      </c>
      <c r="C351" t="s">
        <v>310</v>
      </c>
      <c r="D351">
        <v>6</v>
      </c>
      <c r="E351">
        <v>55.333331999999999</v>
      </c>
      <c r="F351">
        <v>9.6666670000000003</v>
      </c>
      <c r="G351">
        <v>4639</v>
      </c>
      <c r="H351">
        <v>8599</v>
      </c>
      <c r="I351" s="1">
        <f t="shared" si="10"/>
        <v>0.17469880541442906</v>
      </c>
      <c r="J351" s="1">
        <f t="shared" si="11"/>
        <v>0.53948133503895801</v>
      </c>
    </row>
    <row r="352" spans="1:10">
      <c r="A352" t="s">
        <v>295</v>
      </c>
      <c r="B352">
        <v>4</v>
      </c>
      <c r="C352" t="s">
        <v>304</v>
      </c>
      <c r="D352">
        <v>7</v>
      </c>
      <c r="E352">
        <v>55.333331999999999</v>
      </c>
      <c r="F352">
        <v>12.333333</v>
      </c>
      <c r="G352">
        <v>5864</v>
      </c>
      <c r="H352">
        <v>8599</v>
      </c>
      <c r="I352" s="1">
        <f t="shared" si="10"/>
        <v>0.22289156561184495</v>
      </c>
      <c r="J352" s="1">
        <f t="shared" si="11"/>
        <v>0.68193976043726012</v>
      </c>
    </row>
    <row r="353" spans="1:10">
      <c r="A353" t="s">
        <v>295</v>
      </c>
      <c r="B353">
        <v>4</v>
      </c>
      <c r="C353" t="s">
        <v>305</v>
      </c>
      <c r="D353">
        <v>8</v>
      </c>
      <c r="E353">
        <v>55.333331999999999</v>
      </c>
      <c r="F353">
        <v>14.333333</v>
      </c>
      <c r="G353">
        <v>6977</v>
      </c>
      <c r="H353">
        <v>8599</v>
      </c>
      <c r="I353" s="1">
        <f t="shared" si="10"/>
        <v>0.25903614479605169</v>
      </c>
      <c r="J353" s="1">
        <f t="shared" si="11"/>
        <v>0.81137341551343178</v>
      </c>
    </row>
    <row r="354" spans="1:10">
      <c r="A354" t="s">
        <v>295</v>
      </c>
      <c r="B354">
        <v>4</v>
      </c>
      <c r="C354" t="s">
        <v>306</v>
      </c>
      <c r="D354">
        <v>9</v>
      </c>
      <c r="E354">
        <v>55.333331999999999</v>
      </c>
      <c r="F354">
        <v>20.333334000000001</v>
      </c>
      <c r="G354">
        <v>8599</v>
      </c>
      <c r="H354">
        <v>8599</v>
      </c>
      <c r="I354" s="1">
        <f t="shared" si="10"/>
        <v>0.3674699004209615</v>
      </c>
      <c r="J354" s="1">
        <f t="shared" si="11"/>
        <v>1</v>
      </c>
    </row>
    <row r="355" spans="1:10">
      <c r="A355" t="s">
        <v>295</v>
      </c>
      <c r="B355">
        <v>5</v>
      </c>
      <c r="C355" t="s">
        <v>1</v>
      </c>
      <c r="D355">
        <v>1</v>
      </c>
      <c r="E355">
        <v>3</v>
      </c>
      <c r="F355">
        <v>2.6666666999999999</v>
      </c>
      <c r="G355">
        <v>199</v>
      </c>
      <c r="H355">
        <v>231</v>
      </c>
      <c r="I355" s="1">
        <f t="shared" si="10"/>
        <v>0.88888889999999998</v>
      </c>
      <c r="J355" s="1">
        <f t="shared" si="11"/>
        <v>0.8614718614718615</v>
      </c>
    </row>
    <row r="356" spans="1:10">
      <c r="A356" t="s">
        <v>295</v>
      </c>
      <c r="B356">
        <v>5</v>
      </c>
      <c r="C356" t="s">
        <v>20</v>
      </c>
      <c r="D356">
        <v>2</v>
      </c>
      <c r="E356">
        <v>3</v>
      </c>
      <c r="F356">
        <v>3</v>
      </c>
      <c r="G356">
        <v>215</v>
      </c>
      <c r="H356">
        <v>231</v>
      </c>
      <c r="I356" s="1">
        <f t="shared" si="10"/>
        <v>1</v>
      </c>
      <c r="J356" s="1">
        <f t="shared" si="11"/>
        <v>0.93073593073593075</v>
      </c>
    </row>
    <row r="357" spans="1:10">
      <c r="A357" t="s">
        <v>295</v>
      </c>
      <c r="B357">
        <v>5</v>
      </c>
      <c r="C357" t="s">
        <v>19</v>
      </c>
      <c r="D357">
        <v>3</v>
      </c>
      <c r="E357">
        <v>3</v>
      </c>
      <c r="F357">
        <v>3.0001000000000002</v>
      </c>
      <c r="G357">
        <v>215</v>
      </c>
      <c r="H357">
        <v>231</v>
      </c>
      <c r="I357" s="1">
        <f t="shared" si="10"/>
        <v>1.0000333333333333</v>
      </c>
      <c r="J357" s="1">
        <f t="shared" si="11"/>
        <v>0.93073593073593075</v>
      </c>
    </row>
    <row r="358" spans="1:10">
      <c r="A358" t="s">
        <v>295</v>
      </c>
      <c r="B358">
        <v>5</v>
      </c>
      <c r="C358" t="s">
        <v>22</v>
      </c>
      <c r="D358">
        <v>4</v>
      </c>
      <c r="E358">
        <v>3</v>
      </c>
      <c r="F358">
        <v>3.0001997999999999</v>
      </c>
      <c r="G358">
        <v>215</v>
      </c>
      <c r="H358">
        <v>231</v>
      </c>
      <c r="I358" s="1">
        <f t="shared" si="10"/>
        <v>1.0000666</v>
      </c>
      <c r="J358" s="1">
        <f t="shared" si="11"/>
        <v>0.93073593073593075</v>
      </c>
    </row>
    <row r="359" spans="1:10">
      <c r="A359" t="s">
        <v>295</v>
      </c>
      <c r="B359">
        <v>5</v>
      </c>
      <c r="C359" t="s">
        <v>311</v>
      </c>
      <c r="D359">
        <v>5</v>
      </c>
      <c r="E359">
        <v>3</v>
      </c>
      <c r="F359">
        <v>3.3333333000000001</v>
      </c>
      <c r="G359">
        <v>231</v>
      </c>
      <c r="H359">
        <v>231</v>
      </c>
      <c r="I359" s="1">
        <f t="shared" si="10"/>
        <v>1.1111111</v>
      </c>
      <c r="J359" s="1">
        <f t="shared" si="11"/>
        <v>1</v>
      </c>
    </row>
    <row r="360" spans="1:10">
      <c r="A360" t="s">
        <v>295</v>
      </c>
      <c r="B360">
        <v>5</v>
      </c>
      <c r="C360" t="s">
        <v>245</v>
      </c>
      <c r="D360">
        <v>6</v>
      </c>
      <c r="E360">
        <v>3</v>
      </c>
      <c r="F360">
        <v>3.3334332</v>
      </c>
      <c r="G360">
        <v>231</v>
      </c>
      <c r="H360">
        <v>231</v>
      </c>
      <c r="I360" s="1">
        <f t="shared" si="10"/>
        <v>1.1111443999999999</v>
      </c>
      <c r="J360" s="1">
        <f t="shared" si="11"/>
        <v>1</v>
      </c>
    </row>
    <row r="361" spans="1:10">
      <c r="A361" t="s">
        <v>295</v>
      </c>
      <c r="B361">
        <v>6</v>
      </c>
      <c r="C361" t="s">
        <v>319</v>
      </c>
      <c r="D361">
        <v>1</v>
      </c>
      <c r="E361">
        <v>3</v>
      </c>
      <c r="F361">
        <v>2.3333333000000001</v>
      </c>
      <c r="G361">
        <v>134</v>
      </c>
      <c r="H361">
        <v>329</v>
      </c>
      <c r="I361" s="1">
        <f t="shared" si="10"/>
        <v>0.77777776666666665</v>
      </c>
      <c r="J361" s="1">
        <f t="shared" si="11"/>
        <v>0.40729483282674772</v>
      </c>
    </row>
    <row r="362" spans="1:10">
      <c r="A362" t="s">
        <v>295</v>
      </c>
      <c r="B362">
        <v>6</v>
      </c>
      <c r="C362" t="s">
        <v>312</v>
      </c>
      <c r="D362">
        <v>2</v>
      </c>
      <c r="E362">
        <v>3</v>
      </c>
      <c r="F362">
        <v>3</v>
      </c>
      <c r="G362">
        <v>167</v>
      </c>
      <c r="H362">
        <v>329</v>
      </c>
      <c r="I362" s="1">
        <f t="shared" si="10"/>
        <v>1</v>
      </c>
      <c r="J362" s="1">
        <f t="shared" si="11"/>
        <v>0.50759878419452886</v>
      </c>
    </row>
    <row r="363" spans="1:10">
      <c r="A363" t="s">
        <v>295</v>
      </c>
      <c r="B363">
        <v>6</v>
      </c>
      <c r="C363" t="s">
        <v>314</v>
      </c>
      <c r="D363">
        <v>3</v>
      </c>
      <c r="E363">
        <v>3</v>
      </c>
      <c r="F363">
        <v>3.0001000000000002</v>
      </c>
      <c r="G363">
        <v>167</v>
      </c>
      <c r="H363">
        <v>329</v>
      </c>
      <c r="I363" s="1">
        <f t="shared" si="10"/>
        <v>1.0000333333333333</v>
      </c>
      <c r="J363" s="1">
        <f t="shared" si="11"/>
        <v>0.50759878419452886</v>
      </c>
    </row>
    <row r="364" spans="1:10">
      <c r="A364" t="s">
        <v>295</v>
      </c>
      <c r="B364">
        <v>6</v>
      </c>
      <c r="C364" t="s">
        <v>317</v>
      </c>
      <c r="D364">
        <v>4</v>
      </c>
      <c r="E364">
        <v>3</v>
      </c>
      <c r="F364">
        <v>3.0001997999999999</v>
      </c>
      <c r="G364">
        <v>318</v>
      </c>
      <c r="H364">
        <v>329</v>
      </c>
      <c r="I364" s="1">
        <f t="shared" si="10"/>
        <v>1.0000666</v>
      </c>
      <c r="J364" s="1">
        <f t="shared" si="11"/>
        <v>0.96656534954407292</v>
      </c>
    </row>
    <row r="365" spans="1:10">
      <c r="A365" t="s">
        <v>295</v>
      </c>
      <c r="B365">
        <v>6</v>
      </c>
      <c r="C365" t="s">
        <v>318</v>
      </c>
      <c r="D365">
        <v>5</v>
      </c>
      <c r="E365">
        <v>3</v>
      </c>
      <c r="F365">
        <v>3.0002996999999998</v>
      </c>
      <c r="G365">
        <v>318</v>
      </c>
      <c r="H365">
        <v>329</v>
      </c>
      <c r="I365" s="1">
        <f t="shared" si="10"/>
        <v>1.0000998999999999</v>
      </c>
      <c r="J365" s="1">
        <f t="shared" si="11"/>
        <v>0.96656534954407292</v>
      </c>
    </row>
    <row r="366" spans="1:10">
      <c r="A366" t="s">
        <v>295</v>
      </c>
      <c r="B366">
        <v>6</v>
      </c>
      <c r="C366" t="s">
        <v>313</v>
      </c>
      <c r="D366">
        <v>6</v>
      </c>
      <c r="E366">
        <v>3</v>
      </c>
      <c r="F366">
        <v>3.0003996000000002</v>
      </c>
      <c r="G366">
        <v>318</v>
      </c>
      <c r="H366">
        <v>329</v>
      </c>
      <c r="I366" s="1">
        <f t="shared" si="10"/>
        <v>1.0001332000000001</v>
      </c>
      <c r="J366" s="1">
        <f t="shared" si="11"/>
        <v>0.96656534954407292</v>
      </c>
    </row>
    <row r="367" spans="1:10">
      <c r="A367" t="s">
        <v>295</v>
      </c>
      <c r="B367">
        <v>6</v>
      </c>
      <c r="C367" t="s">
        <v>321</v>
      </c>
      <c r="D367">
        <v>7</v>
      </c>
      <c r="E367">
        <v>3</v>
      </c>
      <c r="F367">
        <v>3.0004995000000001</v>
      </c>
      <c r="G367">
        <v>329</v>
      </c>
      <c r="H367">
        <v>329</v>
      </c>
      <c r="I367" s="1">
        <f t="shared" si="10"/>
        <v>1.0001665</v>
      </c>
      <c r="J367" s="1">
        <f t="shared" si="11"/>
        <v>1</v>
      </c>
    </row>
    <row r="368" spans="1:10">
      <c r="A368" t="s">
        <v>295</v>
      </c>
      <c r="B368">
        <v>6</v>
      </c>
      <c r="C368" t="s">
        <v>315</v>
      </c>
      <c r="D368">
        <v>8</v>
      </c>
      <c r="E368">
        <v>3</v>
      </c>
      <c r="F368">
        <v>3.3333333000000001</v>
      </c>
      <c r="G368">
        <v>329</v>
      </c>
      <c r="H368">
        <v>329</v>
      </c>
      <c r="I368" s="1">
        <f t="shared" si="10"/>
        <v>1.1111111</v>
      </c>
      <c r="J368" s="1">
        <f t="shared" si="11"/>
        <v>1</v>
      </c>
    </row>
    <row r="369" spans="1:10">
      <c r="A369" t="s">
        <v>295</v>
      </c>
      <c r="B369">
        <v>6</v>
      </c>
      <c r="C369" t="s">
        <v>320</v>
      </c>
      <c r="D369">
        <v>9</v>
      </c>
      <c r="E369">
        <v>3</v>
      </c>
      <c r="F369">
        <v>3.3334332</v>
      </c>
      <c r="G369">
        <v>329</v>
      </c>
      <c r="H369">
        <v>329</v>
      </c>
      <c r="I369" s="1">
        <f t="shared" si="10"/>
        <v>1.1111443999999999</v>
      </c>
      <c r="J369" s="1">
        <f t="shared" si="11"/>
        <v>1</v>
      </c>
    </row>
    <row r="370" spans="1:10">
      <c r="A370" t="s">
        <v>295</v>
      </c>
      <c r="B370">
        <v>6</v>
      </c>
      <c r="C370" t="s">
        <v>316</v>
      </c>
      <c r="D370">
        <v>10</v>
      </c>
      <c r="E370">
        <v>3</v>
      </c>
      <c r="F370">
        <v>3.6666666999999999</v>
      </c>
      <c r="G370">
        <v>329</v>
      </c>
      <c r="H370">
        <v>329</v>
      </c>
      <c r="I370" s="1">
        <f t="shared" si="10"/>
        <v>1.2222222333333332</v>
      </c>
      <c r="J370" s="1">
        <f t="shared" si="11"/>
        <v>1</v>
      </c>
    </row>
    <row r="371" spans="1:10">
      <c r="A371" t="s">
        <v>295</v>
      </c>
      <c r="B371">
        <v>7</v>
      </c>
      <c r="C371" t="s">
        <v>322</v>
      </c>
      <c r="D371">
        <v>1</v>
      </c>
      <c r="E371">
        <v>10.666667</v>
      </c>
      <c r="F371">
        <v>3.3333333000000001</v>
      </c>
      <c r="G371">
        <v>271</v>
      </c>
      <c r="H371">
        <v>3083</v>
      </c>
      <c r="I371" s="1">
        <f t="shared" si="10"/>
        <v>0.31249998710937538</v>
      </c>
      <c r="J371" s="1">
        <f t="shared" si="11"/>
        <v>8.7901394745377878E-2</v>
      </c>
    </row>
    <row r="372" spans="1:10">
      <c r="A372" t="s">
        <v>295</v>
      </c>
      <c r="B372">
        <v>7</v>
      </c>
      <c r="C372" t="s">
        <v>296</v>
      </c>
      <c r="D372">
        <v>2</v>
      </c>
      <c r="E372">
        <v>10.666667</v>
      </c>
      <c r="F372">
        <v>3.3334332</v>
      </c>
      <c r="G372">
        <v>382</v>
      </c>
      <c r="H372">
        <v>3083</v>
      </c>
      <c r="I372" s="1">
        <f t="shared" si="10"/>
        <v>0.3125093527340827</v>
      </c>
      <c r="J372" s="1">
        <f t="shared" si="11"/>
        <v>0.12390528705806034</v>
      </c>
    </row>
    <row r="373" spans="1:10">
      <c r="A373" t="s">
        <v>295</v>
      </c>
      <c r="B373">
        <v>7</v>
      </c>
      <c r="C373" t="s">
        <v>324</v>
      </c>
      <c r="D373">
        <v>3</v>
      </c>
      <c r="E373">
        <v>10.666667</v>
      </c>
      <c r="F373">
        <v>4</v>
      </c>
      <c r="G373">
        <v>703</v>
      </c>
      <c r="H373">
        <v>3083</v>
      </c>
      <c r="I373" s="1">
        <f t="shared" si="10"/>
        <v>0.37499998828125036</v>
      </c>
      <c r="J373" s="1">
        <f t="shared" si="11"/>
        <v>0.22802465131365554</v>
      </c>
    </row>
    <row r="374" spans="1:10">
      <c r="A374" t="s">
        <v>295</v>
      </c>
      <c r="B374">
        <v>7</v>
      </c>
      <c r="C374" t="s">
        <v>323</v>
      </c>
      <c r="D374">
        <v>4</v>
      </c>
      <c r="E374">
        <v>10.666667</v>
      </c>
      <c r="F374">
        <v>4.0000999999999998</v>
      </c>
      <c r="G374">
        <v>825</v>
      </c>
      <c r="H374">
        <v>3083</v>
      </c>
      <c r="I374" s="1">
        <f t="shared" si="10"/>
        <v>0.37500936328095735</v>
      </c>
      <c r="J374" s="1">
        <f t="shared" si="11"/>
        <v>0.26759649691858578</v>
      </c>
    </row>
    <row r="375" spans="1:10">
      <c r="A375" t="s">
        <v>295</v>
      </c>
      <c r="B375">
        <v>7</v>
      </c>
      <c r="C375" t="s">
        <v>297</v>
      </c>
      <c r="D375">
        <v>5</v>
      </c>
      <c r="E375">
        <v>10.666667</v>
      </c>
      <c r="F375">
        <v>4.3333335000000002</v>
      </c>
      <c r="G375">
        <v>1092</v>
      </c>
      <c r="H375">
        <v>3083</v>
      </c>
      <c r="I375" s="1">
        <f t="shared" si="10"/>
        <v>0.40625000292968744</v>
      </c>
      <c r="J375" s="1">
        <f t="shared" si="11"/>
        <v>0.35420045410314627</v>
      </c>
    </row>
    <row r="376" spans="1:10">
      <c r="A376" t="s">
        <v>295</v>
      </c>
      <c r="B376">
        <v>7</v>
      </c>
      <c r="C376" t="s">
        <v>325</v>
      </c>
      <c r="D376">
        <v>6</v>
      </c>
      <c r="E376">
        <v>10.666667</v>
      </c>
      <c r="F376">
        <v>4.3334336000000002</v>
      </c>
      <c r="G376">
        <v>1355</v>
      </c>
      <c r="H376">
        <v>3083</v>
      </c>
      <c r="I376" s="1">
        <f t="shared" si="10"/>
        <v>0.40625938730439415</v>
      </c>
      <c r="J376" s="1">
        <f t="shared" si="11"/>
        <v>0.43950697372688941</v>
      </c>
    </row>
    <row r="377" spans="1:10">
      <c r="A377" t="s">
        <v>295</v>
      </c>
      <c r="B377">
        <v>7</v>
      </c>
      <c r="C377" t="s">
        <v>326</v>
      </c>
      <c r="D377">
        <v>7</v>
      </c>
      <c r="E377">
        <v>10.666667</v>
      </c>
      <c r="F377">
        <v>4.3335340000000002</v>
      </c>
      <c r="G377">
        <v>1577</v>
      </c>
      <c r="H377">
        <v>3083</v>
      </c>
      <c r="I377" s="1">
        <f t="shared" si="10"/>
        <v>0.40626879980410002</v>
      </c>
      <c r="J377" s="1">
        <f t="shared" si="11"/>
        <v>0.51151475835225435</v>
      </c>
    </row>
    <row r="378" spans="1:10">
      <c r="A378" t="s">
        <v>295</v>
      </c>
      <c r="B378">
        <v>7</v>
      </c>
      <c r="C378" t="s">
        <v>299</v>
      </c>
      <c r="D378">
        <v>8</v>
      </c>
      <c r="E378">
        <v>10.666667</v>
      </c>
      <c r="F378">
        <v>5</v>
      </c>
      <c r="G378">
        <v>2008</v>
      </c>
      <c r="H378">
        <v>3083</v>
      </c>
      <c r="I378" s="1">
        <f t="shared" si="10"/>
        <v>0.46874998535156293</v>
      </c>
      <c r="J378" s="1">
        <f t="shared" si="11"/>
        <v>0.65131365553032761</v>
      </c>
    </row>
    <row r="379" spans="1:10">
      <c r="A379" t="s">
        <v>295</v>
      </c>
      <c r="B379">
        <v>7</v>
      </c>
      <c r="C379" t="s">
        <v>300</v>
      </c>
      <c r="D379">
        <v>9</v>
      </c>
      <c r="E379">
        <v>10.666667</v>
      </c>
      <c r="F379">
        <v>5.0000999999999998</v>
      </c>
      <c r="G379">
        <v>2457</v>
      </c>
      <c r="H379">
        <v>3083</v>
      </c>
      <c r="I379" s="1">
        <f t="shared" si="10"/>
        <v>0.46875936035126997</v>
      </c>
      <c r="J379" s="1">
        <f t="shared" si="11"/>
        <v>0.7969510217320791</v>
      </c>
    </row>
    <row r="380" spans="1:10">
      <c r="A380" t="s">
        <v>295</v>
      </c>
      <c r="B380">
        <v>7</v>
      </c>
      <c r="C380" t="s">
        <v>301</v>
      </c>
      <c r="D380">
        <v>10</v>
      </c>
      <c r="E380">
        <v>10.666667</v>
      </c>
      <c r="F380">
        <v>5.0002003000000004</v>
      </c>
      <c r="G380">
        <v>3083</v>
      </c>
      <c r="H380">
        <v>3083</v>
      </c>
      <c r="I380" s="1">
        <f t="shared" si="10"/>
        <v>0.46876876347597618</v>
      </c>
      <c r="J380" s="1">
        <f t="shared" si="11"/>
        <v>1</v>
      </c>
    </row>
    <row r="381" spans="1:10">
      <c r="A381" t="s">
        <v>295</v>
      </c>
      <c r="B381">
        <v>8</v>
      </c>
      <c r="C381" t="s">
        <v>243</v>
      </c>
      <c r="D381">
        <v>1</v>
      </c>
      <c r="E381">
        <v>63</v>
      </c>
      <c r="F381">
        <v>3.6666666999999999</v>
      </c>
      <c r="G381">
        <v>272</v>
      </c>
      <c r="H381">
        <v>5606</v>
      </c>
      <c r="I381" s="1">
        <f t="shared" si="10"/>
        <v>5.8201058730158732E-2</v>
      </c>
      <c r="J381" s="1">
        <f t="shared" si="11"/>
        <v>4.8519443453442737E-2</v>
      </c>
    </row>
    <row r="382" spans="1:10">
      <c r="A382" t="s">
        <v>295</v>
      </c>
      <c r="B382">
        <v>8</v>
      </c>
      <c r="C382" t="s">
        <v>327</v>
      </c>
      <c r="D382">
        <v>2</v>
      </c>
      <c r="E382">
        <v>63</v>
      </c>
      <c r="F382">
        <v>5</v>
      </c>
      <c r="G382">
        <v>484</v>
      </c>
      <c r="H382">
        <v>5606</v>
      </c>
      <c r="I382" s="1">
        <f t="shared" si="10"/>
        <v>7.9365079365079361E-2</v>
      </c>
      <c r="J382" s="1">
        <f t="shared" si="11"/>
        <v>8.6336068498037821E-2</v>
      </c>
    </row>
    <row r="383" spans="1:10">
      <c r="A383" t="s">
        <v>295</v>
      </c>
      <c r="B383">
        <v>8</v>
      </c>
      <c r="C383" t="s">
        <v>328</v>
      </c>
      <c r="D383">
        <v>3</v>
      </c>
      <c r="E383">
        <v>63</v>
      </c>
      <c r="F383">
        <v>7</v>
      </c>
      <c r="G383">
        <v>1002</v>
      </c>
      <c r="H383">
        <v>5606</v>
      </c>
      <c r="I383" s="1">
        <f t="shared" si="10"/>
        <v>0.1111111111111111</v>
      </c>
      <c r="J383" s="1">
        <f t="shared" si="11"/>
        <v>0.17873706742775597</v>
      </c>
    </row>
    <row r="384" spans="1:10">
      <c r="A384" t="s">
        <v>295</v>
      </c>
      <c r="B384">
        <v>8</v>
      </c>
      <c r="C384" t="s">
        <v>330</v>
      </c>
      <c r="D384">
        <v>4</v>
      </c>
      <c r="E384">
        <v>63</v>
      </c>
      <c r="F384">
        <v>13.666667</v>
      </c>
      <c r="G384">
        <v>2338</v>
      </c>
      <c r="H384">
        <v>5606</v>
      </c>
      <c r="I384" s="1">
        <f t="shared" si="10"/>
        <v>0.21693122222222222</v>
      </c>
      <c r="J384" s="1">
        <f t="shared" si="11"/>
        <v>0.41705315733143061</v>
      </c>
    </row>
    <row r="385" spans="1:10">
      <c r="A385" t="s">
        <v>295</v>
      </c>
      <c r="B385">
        <v>8</v>
      </c>
      <c r="C385" t="s">
        <v>305</v>
      </c>
      <c r="D385">
        <v>5</v>
      </c>
      <c r="E385">
        <v>63</v>
      </c>
      <c r="F385">
        <v>15</v>
      </c>
      <c r="G385">
        <v>3818</v>
      </c>
      <c r="H385">
        <v>5606</v>
      </c>
      <c r="I385" s="1">
        <f t="shared" si="10"/>
        <v>0.23809523809523808</v>
      </c>
      <c r="J385" s="1">
        <f t="shared" si="11"/>
        <v>0.68105601141633965</v>
      </c>
    </row>
    <row r="386" spans="1:10">
      <c r="A386" t="s">
        <v>295</v>
      </c>
      <c r="B386">
        <v>8</v>
      </c>
      <c r="C386" t="s">
        <v>329</v>
      </c>
      <c r="D386">
        <v>6</v>
      </c>
      <c r="E386">
        <v>63</v>
      </c>
      <c r="F386">
        <v>15.666667</v>
      </c>
      <c r="G386">
        <v>5606</v>
      </c>
      <c r="H386">
        <v>5606</v>
      </c>
      <c r="I386" s="1">
        <f t="shared" si="10"/>
        <v>0.24867725396825396</v>
      </c>
      <c r="J386" s="1">
        <f t="shared" si="11"/>
        <v>1</v>
      </c>
    </row>
    <row r="387" spans="1:10">
      <c r="A387" t="s">
        <v>295</v>
      </c>
      <c r="B387">
        <v>9</v>
      </c>
      <c r="C387" t="s">
        <v>243</v>
      </c>
      <c r="D387">
        <v>1</v>
      </c>
      <c r="E387">
        <v>55</v>
      </c>
      <c r="F387">
        <v>4</v>
      </c>
      <c r="G387">
        <v>272</v>
      </c>
      <c r="H387">
        <v>9248</v>
      </c>
      <c r="I387" s="1">
        <f t="shared" ref="I387:I450" si="12">F387/E387</f>
        <v>7.2727272727272724E-2</v>
      </c>
      <c r="J387" s="1">
        <f t="shared" ref="J387:J450" si="13">G387/H387</f>
        <v>2.9411764705882353E-2</v>
      </c>
    </row>
    <row r="388" spans="1:10">
      <c r="A388" t="s">
        <v>295</v>
      </c>
      <c r="B388">
        <v>9</v>
      </c>
      <c r="C388" t="s">
        <v>331</v>
      </c>
      <c r="D388">
        <v>2</v>
      </c>
      <c r="E388">
        <v>55</v>
      </c>
      <c r="F388">
        <v>5</v>
      </c>
      <c r="G388">
        <v>544</v>
      </c>
      <c r="H388">
        <v>9248</v>
      </c>
      <c r="I388" s="1">
        <f t="shared" si="12"/>
        <v>9.0909090909090912E-2</v>
      </c>
      <c r="J388" s="1">
        <f t="shared" si="13"/>
        <v>5.8823529411764705E-2</v>
      </c>
    </row>
    <row r="389" spans="1:10">
      <c r="A389" t="s">
        <v>295</v>
      </c>
      <c r="B389">
        <v>9</v>
      </c>
      <c r="C389" t="s">
        <v>328</v>
      </c>
      <c r="D389">
        <v>3</v>
      </c>
      <c r="E389">
        <v>55</v>
      </c>
      <c r="F389">
        <v>7</v>
      </c>
      <c r="G389">
        <v>1062</v>
      </c>
      <c r="H389">
        <v>9248</v>
      </c>
      <c r="I389" s="1">
        <f t="shared" si="12"/>
        <v>0.12727272727272726</v>
      </c>
      <c r="J389" s="1">
        <f t="shared" si="13"/>
        <v>0.1148356401384083</v>
      </c>
    </row>
    <row r="390" spans="1:10">
      <c r="A390" t="s">
        <v>295</v>
      </c>
      <c r="B390">
        <v>9</v>
      </c>
      <c r="C390" t="s">
        <v>332</v>
      </c>
      <c r="D390">
        <v>4</v>
      </c>
      <c r="E390">
        <v>55</v>
      </c>
      <c r="F390">
        <v>8.3333329999999997</v>
      </c>
      <c r="G390">
        <v>1898</v>
      </c>
      <c r="H390">
        <v>9248</v>
      </c>
      <c r="I390" s="1">
        <f t="shared" si="12"/>
        <v>0.15151514545454545</v>
      </c>
      <c r="J390" s="1">
        <f t="shared" si="13"/>
        <v>0.20523356401384082</v>
      </c>
    </row>
    <row r="391" spans="1:10">
      <c r="A391" t="s">
        <v>295</v>
      </c>
      <c r="B391">
        <v>9</v>
      </c>
      <c r="C391" t="s">
        <v>334</v>
      </c>
      <c r="D391">
        <v>5</v>
      </c>
      <c r="E391">
        <v>55</v>
      </c>
      <c r="F391">
        <v>9.6666670000000003</v>
      </c>
      <c r="G391">
        <v>3072</v>
      </c>
      <c r="H391">
        <v>9248</v>
      </c>
      <c r="I391" s="1">
        <f t="shared" si="12"/>
        <v>0.17575758181818182</v>
      </c>
      <c r="J391" s="1">
        <f t="shared" si="13"/>
        <v>0.33217993079584773</v>
      </c>
    </row>
    <row r="392" spans="1:10">
      <c r="A392" t="s">
        <v>295</v>
      </c>
      <c r="B392">
        <v>9</v>
      </c>
      <c r="C392" t="s">
        <v>333</v>
      </c>
      <c r="D392">
        <v>6</v>
      </c>
      <c r="E392">
        <v>55</v>
      </c>
      <c r="F392">
        <v>13</v>
      </c>
      <c r="G392">
        <v>4644</v>
      </c>
      <c r="H392">
        <v>9248</v>
      </c>
      <c r="I392" s="1">
        <f t="shared" si="12"/>
        <v>0.23636363636363636</v>
      </c>
      <c r="J392" s="1">
        <f t="shared" si="13"/>
        <v>0.50216262975778547</v>
      </c>
    </row>
    <row r="393" spans="1:10">
      <c r="A393" t="s">
        <v>295</v>
      </c>
      <c r="B393">
        <v>9</v>
      </c>
      <c r="C393" t="s">
        <v>329</v>
      </c>
      <c r="D393">
        <v>7</v>
      </c>
      <c r="E393">
        <v>55</v>
      </c>
      <c r="F393">
        <v>14.333333</v>
      </c>
      <c r="G393">
        <v>6432</v>
      </c>
      <c r="H393">
        <v>9248</v>
      </c>
      <c r="I393" s="1">
        <f t="shared" si="12"/>
        <v>0.26060605454545455</v>
      </c>
      <c r="J393" s="1">
        <f t="shared" si="13"/>
        <v>0.69550173010380623</v>
      </c>
    </row>
    <row r="394" spans="1:10">
      <c r="A394" t="s">
        <v>295</v>
      </c>
      <c r="B394">
        <v>9</v>
      </c>
      <c r="C394" t="s">
        <v>330</v>
      </c>
      <c r="D394">
        <v>8</v>
      </c>
      <c r="E394">
        <v>55</v>
      </c>
      <c r="F394">
        <v>19.666665999999999</v>
      </c>
      <c r="G394">
        <v>7768</v>
      </c>
      <c r="H394">
        <v>9248</v>
      </c>
      <c r="I394" s="1">
        <f t="shared" si="12"/>
        <v>0.35757574545454546</v>
      </c>
      <c r="J394" s="1">
        <f t="shared" si="13"/>
        <v>0.83996539792387548</v>
      </c>
    </row>
    <row r="395" spans="1:10">
      <c r="A395" t="s">
        <v>295</v>
      </c>
      <c r="B395">
        <v>9</v>
      </c>
      <c r="C395" t="s">
        <v>305</v>
      </c>
      <c r="D395">
        <v>9</v>
      </c>
      <c r="E395">
        <v>55</v>
      </c>
      <c r="F395">
        <v>34.333331999999999</v>
      </c>
      <c r="G395">
        <v>9248</v>
      </c>
      <c r="H395">
        <v>9248</v>
      </c>
      <c r="I395" s="1">
        <f t="shared" si="12"/>
        <v>0.62424239999999998</v>
      </c>
      <c r="J395" s="1">
        <f t="shared" si="13"/>
        <v>1</v>
      </c>
    </row>
    <row r="396" spans="1:10">
      <c r="A396" t="s">
        <v>295</v>
      </c>
      <c r="B396">
        <v>11</v>
      </c>
      <c r="C396" t="s">
        <v>33</v>
      </c>
      <c r="D396">
        <v>1</v>
      </c>
      <c r="E396">
        <v>8.3333329999999997</v>
      </c>
      <c r="F396">
        <v>3.6666666999999999</v>
      </c>
      <c r="G396">
        <v>388</v>
      </c>
      <c r="H396">
        <v>1223</v>
      </c>
      <c r="I396" s="1">
        <f t="shared" si="12"/>
        <v>0.4400000216000009</v>
      </c>
      <c r="J396" s="1">
        <f t="shared" si="13"/>
        <v>0.31725265739983649</v>
      </c>
    </row>
    <row r="397" spans="1:10">
      <c r="A397" t="s">
        <v>295</v>
      </c>
      <c r="B397">
        <v>11</v>
      </c>
      <c r="C397" t="s">
        <v>19</v>
      </c>
      <c r="D397">
        <v>2</v>
      </c>
      <c r="E397">
        <v>8.3333329999999997</v>
      </c>
      <c r="F397">
        <v>6.6666664999999998</v>
      </c>
      <c r="G397">
        <v>1223</v>
      </c>
      <c r="H397">
        <v>1223</v>
      </c>
      <c r="I397" s="1">
        <f t="shared" si="12"/>
        <v>0.80000001200000048</v>
      </c>
      <c r="J397" s="1">
        <f t="shared" si="13"/>
        <v>1</v>
      </c>
    </row>
    <row r="398" spans="1:10">
      <c r="A398" t="s">
        <v>295</v>
      </c>
      <c r="B398">
        <v>13</v>
      </c>
      <c r="C398" t="s">
        <v>1</v>
      </c>
      <c r="D398">
        <v>1</v>
      </c>
      <c r="E398">
        <v>976</v>
      </c>
      <c r="F398">
        <v>4.6666664999999998</v>
      </c>
      <c r="G398">
        <v>525</v>
      </c>
      <c r="H398">
        <v>266751</v>
      </c>
      <c r="I398" s="1">
        <f t="shared" si="12"/>
        <v>4.7814205942622945E-3</v>
      </c>
      <c r="J398" s="1">
        <f t="shared" si="13"/>
        <v>1.9681275796529347E-3</v>
      </c>
    </row>
    <row r="399" spans="1:10">
      <c r="A399" t="s">
        <v>295</v>
      </c>
      <c r="B399">
        <v>13</v>
      </c>
      <c r="C399" t="s">
        <v>335</v>
      </c>
      <c r="D399">
        <v>2</v>
      </c>
      <c r="E399">
        <v>976</v>
      </c>
      <c r="F399">
        <v>5</v>
      </c>
      <c r="G399">
        <v>555</v>
      </c>
      <c r="H399">
        <v>266751</v>
      </c>
      <c r="I399" s="1">
        <f t="shared" si="12"/>
        <v>5.1229508196721308E-3</v>
      </c>
      <c r="J399" s="1">
        <f t="shared" si="13"/>
        <v>2.0805920127759596E-3</v>
      </c>
    </row>
    <row r="400" spans="1:10">
      <c r="A400" t="s">
        <v>295</v>
      </c>
      <c r="B400">
        <v>13</v>
      </c>
      <c r="C400" t="s">
        <v>19</v>
      </c>
      <c r="D400">
        <v>3</v>
      </c>
      <c r="E400">
        <v>976</v>
      </c>
      <c r="F400">
        <v>5.3333335000000002</v>
      </c>
      <c r="G400">
        <v>555</v>
      </c>
      <c r="H400">
        <v>266751</v>
      </c>
      <c r="I400" s="1">
        <f t="shared" si="12"/>
        <v>5.464481045081967E-3</v>
      </c>
      <c r="J400" s="1">
        <f t="shared" si="13"/>
        <v>2.0805920127759596E-3</v>
      </c>
    </row>
    <row r="401" spans="1:10">
      <c r="A401" t="s">
        <v>295</v>
      </c>
      <c r="B401">
        <v>13</v>
      </c>
      <c r="C401" t="s">
        <v>22</v>
      </c>
      <c r="D401">
        <v>4</v>
      </c>
      <c r="E401">
        <v>976</v>
      </c>
      <c r="F401">
        <v>905.33330000000001</v>
      </c>
      <c r="G401">
        <v>266751</v>
      </c>
      <c r="H401">
        <v>266751</v>
      </c>
      <c r="I401" s="1">
        <f t="shared" si="12"/>
        <v>0.9275955942622951</v>
      </c>
      <c r="J401" s="1">
        <f t="shared" si="13"/>
        <v>1</v>
      </c>
    </row>
    <row r="402" spans="1:10">
      <c r="A402" t="s">
        <v>295</v>
      </c>
      <c r="B402">
        <v>14</v>
      </c>
      <c r="C402" t="s">
        <v>1</v>
      </c>
      <c r="D402">
        <v>1</v>
      </c>
      <c r="E402">
        <v>782.33330000000001</v>
      </c>
      <c r="F402">
        <v>5</v>
      </c>
      <c r="G402">
        <v>525</v>
      </c>
      <c r="H402">
        <v>221654</v>
      </c>
      <c r="I402" s="1">
        <f t="shared" si="12"/>
        <v>6.3911378948077503E-3</v>
      </c>
      <c r="J402" s="1">
        <f t="shared" si="13"/>
        <v>2.3685563987115052E-3</v>
      </c>
    </row>
    <row r="403" spans="1:10">
      <c r="A403" t="s">
        <v>295</v>
      </c>
      <c r="B403">
        <v>14</v>
      </c>
      <c r="C403" t="s">
        <v>19</v>
      </c>
      <c r="D403">
        <v>2</v>
      </c>
      <c r="E403">
        <v>782.33330000000001</v>
      </c>
      <c r="F403">
        <v>5.3333335000000002</v>
      </c>
      <c r="G403">
        <v>525</v>
      </c>
      <c r="H403">
        <v>221654</v>
      </c>
      <c r="I403" s="1">
        <f t="shared" si="12"/>
        <v>6.8172139674995301E-3</v>
      </c>
      <c r="J403" s="1">
        <f t="shared" si="13"/>
        <v>2.3685563987115052E-3</v>
      </c>
    </row>
    <row r="404" spans="1:10">
      <c r="A404" t="s">
        <v>295</v>
      </c>
      <c r="B404">
        <v>14</v>
      </c>
      <c r="C404" t="s">
        <v>335</v>
      </c>
      <c r="D404">
        <v>3</v>
      </c>
      <c r="E404">
        <v>782.33330000000001</v>
      </c>
      <c r="F404">
        <v>5.6666664999999998</v>
      </c>
      <c r="G404">
        <v>555</v>
      </c>
      <c r="H404">
        <v>221654</v>
      </c>
      <c r="I404" s="1">
        <f t="shared" si="12"/>
        <v>7.2432894010775201E-3</v>
      </c>
      <c r="J404" s="1">
        <f t="shared" si="13"/>
        <v>2.5039024786378769E-3</v>
      </c>
    </row>
    <row r="405" spans="1:10">
      <c r="A405" t="s">
        <v>295</v>
      </c>
      <c r="B405">
        <v>14</v>
      </c>
      <c r="C405" t="s">
        <v>337</v>
      </c>
      <c r="D405">
        <v>4</v>
      </c>
      <c r="E405">
        <v>782.33330000000001</v>
      </c>
      <c r="F405">
        <v>105</v>
      </c>
      <c r="G405">
        <v>43674</v>
      </c>
      <c r="H405">
        <v>221654</v>
      </c>
      <c r="I405" s="1">
        <f t="shared" si="12"/>
        <v>0.13421389579096274</v>
      </c>
      <c r="J405" s="1">
        <f t="shared" si="13"/>
        <v>0.19703682315681198</v>
      </c>
    </row>
    <row r="406" spans="1:10">
      <c r="A406" t="s">
        <v>295</v>
      </c>
      <c r="B406">
        <v>14</v>
      </c>
      <c r="C406" t="s">
        <v>336</v>
      </c>
      <c r="D406">
        <v>5</v>
      </c>
      <c r="E406">
        <v>782.33330000000001</v>
      </c>
      <c r="F406">
        <v>108</v>
      </c>
      <c r="G406">
        <v>43783</v>
      </c>
      <c r="H406">
        <v>221654</v>
      </c>
      <c r="I406" s="1">
        <f t="shared" si="12"/>
        <v>0.13804857852784741</v>
      </c>
      <c r="J406" s="1">
        <f t="shared" si="13"/>
        <v>0.19752858058054446</v>
      </c>
    </row>
    <row r="407" spans="1:10">
      <c r="A407" t="s">
        <v>295</v>
      </c>
      <c r="B407">
        <v>14</v>
      </c>
      <c r="C407" t="s">
        <v>341</v>
      </c>
      <c r="D407">
        <v>6</v>
      </c>
      <c r="E407">
        <v>782.33330000000001</v>
      </c>
      <c r="F407">
        <v>310</v>
      </c>
      <c r="G407">
        <v>83121</v>
      </c>
      <c r="H407">
        <v>221654</v>
      </c>
      <c r="I407" s="1">
        <f t="shared" si="12"/>
        <v>0.39625054947808053</v>
      </c>
      <c r="J407" s="1">
        <f t="shared" si="13"/>
        <v>0.37500338365199815</v>
      </c>
    </row>
    <row r="408" spans="1:10">
      <c r="A408" t="s">
        <v>295</v>
      </c>
      <c r="B408">
        <v>14</v>
      </c>
      <c r="C408" t="s">
        <v>340</v>
      </c>
      <c r="D408">
        <v>7</v>
      </c>
      <c r="E408">
        <v>782.33330000000001</v>
      </c>
      <c r="F408">
        <v>313</v>
      </c>
      <c r="G408">
        <v>83121</v>
      </c>
      <c r="H408">
        <v>221654</v>
      </c>
      <c r="I408" s="1">
        <f t="shared" si="12"/>
        <v>0.40008523221496517</v>
      </c>
      <c r="J408" s="1">
        <f t="shared" si="13"/>
        <v>0.37500338365199815</v>
      </c>
    </row>
    <row r="409" spans="1:10">
      <c r="A409" t="s">
        <v>295</v>
      </c>
      <c r="B409">
        <v>14</v>
      </c>
      <c r="C409" t="s">
        <v>339</v>
      </c>
      <c r="D409">
        <v>8</v>
      </c>
      <c r="E409">
        <v>782.33330000000001</v>
      </c>
      <c r="F409">
        <v>317.33334000000002</v>
      </c>
      <c r="G409">
        <v>83121</v>
      </c>
      <c r="H409">
        <v>221654</v>
      </c>
      <c r="I409" s="1">
        <f t="shared" si="12"/>
        <v>0.40562422691198241</v>
      </c>
      <c r="J409" s="1">
        <f t="shared" si="13"/>
        <v>0.37500338365199815</v>
      </c>
    </row>
    <row r="410" spans="1:10">
      <c r="A410" t="s">
        <v>295</v>
      </c>
      <c r="B410">
        <v>14</v>
      </c>
      <c r="C410" t="s">
        <v>338</v>
      </c>
      <c r="D410">
        <v>9</v>
      </c>
      <c r="E410">
        <v>782.33330000000001</v>
      </c>
      <c r="F410">
        <v>342.33334000000002</v>
      </c>
      <c r="G410">
        <v>83121</v>
      </c>
      <c r="H410">
        <v>221654</v>
      </c>
      <c r="I410" s="1">
        <f t="shared" si="12"/>
        <v>0.43757991638602117</v>
      </c>
      <c r="J410" s="1">
        <f t="shared" si="13"/>
        <v>0.37500338365199815</v>
      </c>
    </row>
    <row r="411" spans="1:10">
      <c r="A411" t="s">
        <v>295</v>
      </c>
      <c r="B411">
        <v>14</v>
      </c>
      <c r="C411" t="s">
        <v>343</v>
      </c>
      <c r="D411">
        <v>10</v>
      </c>
      <c r="E411">
        <v>782.33330000000001</v>
      </c>
      <c r="F411">
        <v>565</v>
      </c>
      <c r="G411">
        <v>221654</v>
      </c>
      <c r="H411">
        <v>221654</v>
      </c>
      <c r="I411" s="1">
        <f t="shared" si="12"/>
        <v>0.7221985821132757</v>
      </c>
      <c r="J411" s="1">
        <f t="shared" si="13"/>
        <v>1</v>
      </c>
    </row>
    <row r="412" spans="1:10">
      <c r="A412" t="s">
        <v>295</v>
      </c>
      <c r="B412">
        <v>14</v>
      </c>
      <c r="C412" t="s">
        <v>342</v>
      </c>
      <c r="D412">
        <v>11</v>
      </c>
      <c r="E412">
        <v>782.33330000000001</v>
      </c>
      <c r="F412">
        <v>587.66669999999999</v>
      </c>
      <c r="G412">
        <v>221654</v>
      </c>
      <c r="H412">
        <v>221654</v>
      </c>
      <c r="I412" s="1">
        <f t="shared" si="12"/>
        <v>0.75117178317732347</v>
      </c>
      <c r="J412" s="1">
        <f t="shared" si="13"/>
        <v>1</v>
      </c>
    </row>
    <row r="413" spans="1:10">
      <c r="A413" t="s">
        <v>295</v>
      </c>
      <c r="B413">
        <v>15</v>
      </c>
      <c r="C413" t="s">
        <v>19</v>
      </c>
      <c r="D413">
        <v>1</v>
      </c>
      <c r="E413">
        <v>645</v>
      </c>
      <c r="F413">
        <v>4.3333335000000002</v>
      </c>
      <c r="G413">
        <v>495</v>
      </c>
      <c r="H413">
        <v>151468</v>
      </c>
      <c r="I413" s="1">
        <f t="shared" si="12"/>
        <v>6.7183465116279076E-3</v>
      </c>
      <c r="J413" s="1">
        <f t="shared" si="13"/>
        <v>3.2680170068925449E-3</v>
      </c>
    </row>
    <row r="414" spans="1:10">
      <c r="A414" t="s">
        <v>295</v>
      </c>
      <c r="B414">
        <v>15</v>
      </c>
      <c r="C414" t="s">
        <v>1</v>
      </c>
      <c r="D414">
        <v>2</v>
      </c>
      <c r="E414">
        <v>645</v>
      </c>
      <c r="F414">
        <v>4.6666664999999998</v>
      </c>
      <c r="G414">
        <v>525</v>
      </c>
      <c r="H414">
        <v>151468</v>
      </c>
      <c r="I414" s="1">
        <f t="shared" si="12"/>
        <v>7.2351418604651163E-3</v>
      </c>
      <c r="J414" s="1">
        <f t="shared" si="13"/>
        <v>3.4660786436739115E-3</v>
      </c>
    </row>
    <row r="415" spans="1:10">
      <c r="A415" t="s">
        <v>295</v>
      </c>
      <c r="B415">
        <v>15</v>
      </c>
      <c r="C415" t="s">
        <v>335</v>
      </c>
      <c r="D415">
        <v>3</v>
      </c>
      <c r="E415">
        <v>645</v>
      </c>
      <c r="F415">
        <v>4.6667665999999999</v>
      </c>
      <c r="G415">
        <v>555</v>
      </c>
      <c r="H415">
        <v>151468</v>
      </c>
      <c r="I415" s="1">
        <f t="shared" si="12"/>
        <v>7.2352970542635658E-3</v>
      </c>
      <c r="J415" s="1">
        <f t="shared" si="13"/>
        <v>3.6641402804552777E-3</v>
      </c>
    </row>
    <row r="416" spans="1:10">
      <c r="A416" t="s">
        <v>295</v>
      </c>
      <c r="B416">
        <v>15</v>
      </c>
      <c r="C416" t="s">
        <v>22</v>
      </c>
      <c r="D416">
        <v>4</v>
      </c>
      <c r="E416">
        <v>645</v>
      </c>
      <c r="F416">
        <v>566.33330000000001</v>
      </c>
      <c r="G416">
        <v>151468</v>
      </c>
      <c r="H416">
        <v>151468</v>
      </c>
      <c r="I416" s="1">
        <f t="shared" si="12"/>
        <v>0.87803612403100773</v>
      </c>
      <c r="J416" s="1">
        <f t="shared" si="13"/>
        <v>1</v>
      </c>
    </row>
    <row r="417" spans="1:10">
      <c r="A417" t="s">
        <v>295</v>
      </c>
      <c r="B417">
        <v>16</v>
      </c>
      <c r="C417" t="s">
        <v>19</v>
      </c>
      <c r="D417">
        <v>1</v>
      </c>
      <c r="E417">
        <v>805.33330000000001</v>
      </c>
      <c r="F417">
        <v>5</v>
      </c>
      <c r="G417">
        <v>495</v>
      </c>
      <c r="H417">
        <v>229356</v>
      </c>
      <c r="I417" s="1">
        <f t="shared" si="12"/>
        <v>6.2086095285020498E-3</v>
      </c>
      <c r="J417" s="1">
        <f t="shared" si="13"/>
        <v>2.1582169204206561E-3</v>
      </c>
    </row>
    <row r="418" spans="1:10">
      <c r="A418" t="s">
        <v>295</v>
      </c>
      <c r="B418">
        <v>16</v>
      </c>
      <c r="C418" t="s">
        <v>1</v>
      </c>
      <c r="D418">
        <v>2</v>
      </c>
      <c r="E418">
        <v>805.33330000000001</v>
      </c>
      <c r="F418">
        <v>6</v>
      </c>
      <c r="G418">
        <v>525</v>
      </c>
      <c r="H418">
        <v>229356</v>
      </c>
      <c r="I418" s="1">
        <f t="shared" si="12"/>
        <v>7.4503314342024597E-3</v>
      </c>
      <c r="J418" s="1">
        <f t="shared" si="13"/>
        <v>2.2890179459006958E-3</v>
      </c>
    </row>
    <row r="419" spans="1:10">
      <c r="A419" t="s">
        <v>295</v>
      </c>
      <c r="B419">
        <v>16</v>
      </c>
      <c r="C419" t="s">
        <v>335</v>
      </c>
      <c r="D419">
        <v>3</v>
      </c>
      <c r="E419">
        <v>805.33330000000001</v>
      </c>
      <c r="F419">
        <v>6.0000999999999998</v>
      </c>
      <c r="G419">
        <v>555</v>
      </c>
      <c r="H419">
        <v>229356</v>
      </c>
      <c r="I419" s="1">
        <f t="shared" si="12"/>
        <v>7.4504556063930295E-3</v>
      </c>
      <c r="J419" s="1">
        <f t="shared" si="13"/>
        <v>2.4198189713807356E-3</v>
      </c>
    </row>
    <row r="420" spans="1:10">
      <c r="A420" t="s">
        <v>295</v>
      </c>
      <c r="B420">
        <v>16</v>
      </c>
      <c r="C420" t="s">
        <v>22</v>
      </c>
      <c r="D420">
        <v>4</v>
      </c>
      <c r="E420">
        <v>805.33330000000001</v>
      </c>
      <c r="F420">
        <v>745.66669999999999</v>
      </c>
      <c r="G420">
        <v>229356</v>
      </c>
      <c r="H420">
        <v>229356</v>
      </c>
      <c r="I420" s="1">
        <f t="shared" si="12"/>
        <v>0.9259106757413359</v>
      </c>
      <c r="J420" s="1">
        <f t="shared" si="13"/>
        <v>1</v>
      </c>
    </row>
    <row r="421" spans="1:10">
      <c r="A421" t="s">
        <v>295</v>
      </c>
      <c r="B421">
        <v>20</v>
      </c>
      <c r="C421" t="s">
        <v>19</v>
      </c>
      <c r="D421">
        <v>1</v>
      </c>
      <c r="E421">
        <v>5</v>
      </c>
      <c r="F421">
        <v>3.6666666999999999</v>
      </c>
      <c r="G421">
        <v>270</v>
      </c>
      <c r="H421">
        <v>438</v>
      </c>
      <c r="I421" s="1">
        <f t="shared" si="12"/>
        <v>0.73333333999999994</v>
      </c>
      <c r="J421" s="1">
        <f t="shared" si="13"/>
        <v>0.61643835616438358</v>
      </c>
    </row>
    <row r="422" spans="1:10">
      <c r="A422" t="s">
        <v>295</v>
      </c>
      <c r="B422">
        <v>20</v>
      </c>
      <c r="C422" t="s">
        <v>33</v>
      </c>
      <c r="D422">
        <v>2</v>
      </c>
      <c r="E422">
        <v>5</v>
      </c>
      <c r="F422">
        <v>3.6667665999999999</v>
      </c>
      <c r="G422">
        <v>438</v>
      </c>
      <c r="H422">
        <v>438</v>
      </c>
      <c r="I422" s="1">
        <f t="shared" si="12"/>
        <v>0.73335331999999998</v>
      </c>
      <c r="J422" s="1">
        <f t="shared" si="13"/>
        <v>1</v>
      </c>
    </row>
    <row r="423" spans="1:10">
      <c r="A423" t="s">
        <v>295</v>
      </c>
      <c r="B423">
        <v>21</v>
      </c>
      <c r="C423" t="s">
        <v>19</v>
      </c>
      <c r="D423">
        <v>1</v>
      </c>
      <c r="E423">
        <v>14</v>
      </c>
      <c r="F423">
        <v>8</v>
      </c>
      <c r="G423">
        <v>841</v>
      </c>
      <c r="H423">
        <v>1558</v>
      </c>
      <c r="I423" s="1">
        <f t="shared" si="12"/>
        <v>0.5714285714285714</v>
      </c>
      <c r="J423" s="1">
        <f t="shared" si="13"/>
        <v>0.53979460847240046</v>
      </c>
    </row>
    <row r="424" spans="1:10">
      <c r="A424" t="s">
        <v>295</v>
      </c>
      <c r="B424">
        <v>21</v>
      </c>
      <c r="C424" t="s">
        <v>33</v>
      </c>
      <c r="D424">
        <v>2</v>
      </c>
      <c r="E424">
        <v>14</v>
      </c>
      <c r="F424">
        <v>8.6666670000000003</v>
      </c>
      <c r="G424">
        <v>1558</v>
      </c>
      <c r="H424">
        <v>1558</v>
      </c>
      <c r="I424" s="1">
        <f t="shared" si="12"/>
        <v>0.61904764285714287</v>
      </c>
      <c r="J424" s="1">
        <f t="shared" si="13"/>
        <v>1</v>
      </c>
    </row>
    <row r="425" spans="1:10">
      <c r="A425" t="s">
        <v>344</v>
      </c>
      <c r="B425">
        <v>0</v>
      </c>
      <c r="C425" t="s">
        <v>35</v>
      </c>
      <c r="D425">
        <v>1</v>
      </c>
      <c r="E425">
        <v>4</v>
      </c>
      <c r="F425">
        <v>4</v>
      </c>
      <c r="G425">
        <v>257</v>
      </c>
      <c r="H425">
        <v>289</v>
      </c>
      <c r="I425" s="1">
        <f t="shared" si="12"/>
        <v>1</v>
      </c>
      <c r="J425" s="1">
        <f t="shared" si="13"/>
        <v>0.88927335640138405</v>
      </c>
    </row>
    <row r="426" spans="1:10">
      <c r="A426" t="s">
        <v>344</v>
      </c>
      <c r="B426">
        <v>0</v>
      </c>
      <c r="C426" t="s">
        <v>34</v>
      </c>
      <c r="D426">
        <v>2</v>
      </c>
      <c r="E426">
        <v>4</v>
      </c>
      <c r="F426">
        <v>4.0000999999999998</v>
      </c>
      <c r="G426">
        <v>273</v>
      </c>
      <c r="H426">
        <v>289</v>
      </c>
      <c r="I426" s="1">
        <f t="shared" si="12"/>
        <v>1.0000249999999999</v>
      </c>
      <c r="J426" s="1">
        <f t="shared" si="13"/>
        <v>0.94463667820069208</v>
      </c>
    </row>
    <row r="427" spans="1:10">
      <c r="A427" t="s">
        <v>344</v>
      </c>
      <c r="B427">
        <v>0</v>
      </c>
      <c r="C427" t="s">
        <v>33</v>
      </c>
      <c r="D427">
        <v>3</v>
      </c>
      <c r="E427">
        <v>4</v>
      </c>
      <c r="F427">
        <v>4.0002003000000004</v>
      </c>
      <c r="G427">
        <v>289</v>
      </c>
      <c r="H427">
        <v>289</v>
      </c>
      <c r="I427" s="1">
        <f t="shared" si="12"/>
        <v>1.0000500750000001</v>
      </c>
      <c r="J427" s="1">
        <f t="shared" si="13"/>
        <v>1</v>
      </c>
    </row>
    <row r="428" spans="1:10">
      <c r="A428" t="s">
        <v>344</v>
      </c>
      <c r="B428">
        <v>0</v>
      </c>
      <c r="C428" t="s">
        <v>0</v>
      </c>
      <c r="D428">
        <v>4</v>
      </c>
      <c r="E428">
        <v>4</v>
      </c>
      <c r="F428">
        <v>4.3333335000000002</v>
      </c>
      <c r="G428">
        <v>289</v>
      </c>
      <c r="H428">
        <v>289</v>
      </c>
      <c r="I428" s="1">
        <f t="shared" si="12"/>
        <v>1.083333375</v>
      </c>
      <c r="J428" s="1">
        <f t="shared" si="13"/>
        <v>1</v>
      </c>
    </row>
    <row r="429" spans="1:10">
      <c r="A429" t="s">
        <v>344</v>
      </c>
      <c r="B429">
        <v>1</v>
      </c>
      <c r="C429" t="s">
        <v>345</v>
      </c>
      <c r="D429">
        <v>1</v>
      </c>
      <c r="E429">
        <v>10.333333</v>
      </c>
      <c r="F429">
        <v>2.6666666999999999</v>
      </c>
      <c r="G429">
        <v>101</v>
      </c>
      <c r="H429">
        <v>2437</v>
      </c>
      <c r="I429" s="1">
        <f t="shared" si="12"/>
        <v>0.25806452767950089</v>
      </c>
      <c r="J429" s="1">
        <f t="shared" si="13"/>
        <v>4.1444398851046366E-2</v>
      </c>
    </row>
    <row r="430" spans="1:10">
      <c r="A430" t="s">
        <v>344</v>
      </c>
      <c r="B430">
        <v>1</v>
      </c>
      <c r="C430" t="s">
        <v>33</v>
      </c>
      <c r="D430">
        <v>2</v>
      </c>
      <c r="E430">
        <v>10.333333</v>
      </c>
      <c r="F430">
        <v>3.3333333000000001</v>
      </c>
      <c r="G430">
        <v>312</v>
      </c>
      <c r="H430">
        <v>2437</v>
      </c>
      <c r="I430" s="1">
        <f t="shared" si="12"/>
        <v>0.32258065234131139</v>
      </c>
      <c r="J430" s="1">
        <f t="shared" si="13"/>
        <v>0.12802626179729176</v>
      </c>
    </row>
    <row r="431" spans="1:10">
      <c r="A431" t="s">
        <v>344</v>
      </c>
      <c r="B431">
        <v>1</v>
      </c>
      <c r="C431" t="s">
        <v>346</v>
      </c>
      <c r="D431">
        <v>3</v>
      </c>
      <c r="E431">
        <v>10.333333</v>
      </c>
      <c r="F431">
        <v>4.6666664999999998</v>
      </c>
      <c r="G431">
        <v>796</v>
      </c>
      <c r="H431">
        <v>2437</v>
      </c>
      <c r="I431" s="1">
        <f t="shared" si="12"/>
        <v>0.45161290166493229</v>
      </c>
      <c r="J431" s="1">
        <f t="shared" si="13"/>
        <v>0.32663110381616745</v>
      </c>
    </row>
    <row r="432" spans="1:10">
      <c r="A432" t="s">
        <v>344</v>
      </c>
      <c r="B432">
        <v>1</v>
      </c>
      <c r="C432" t="s">
        <v>347</v>
      </c>
      <c r="D432">
        <v>4</v>
      </c>
      <c r="E432">
        <v>10.333333</v>
      </c>
      <c r="F432">
        <v>8</v>
      </c>
      <c r="G432">
        <v>2437</v>
      </c>
      <c r="H432">
        <v>2437</v>
      </c>
      <c r="I432" s="1">
        <f t="shared" si="12"/>
        <v>0.77419357336108308</v>
      </c>
      <c r="J432" s="1">
        <f t="shared" si="13"/>
        <v>1</v>
      </c>
    </row>
    <row r="433" spans="1:10">
      <c r="A433" t="s">
        <v>348</v>
      </c>
      <c r="B433">
        <v>1</v>
      </c>
      <c r="C433" t="s">
        <v>349</v>
      </c>
      <c r="D433">
        <v>1</v>
      </c>
      <c r="E433">
        <v>10.333333</v>
      </c>
      <c r="F433">
        <v>3</v>
      </c>
      <c r="G433">
        <v>185</v>
      </c>
      <c r="H433">
        <v>2726</v>
      </c>
      <c r="I433" s="1">
        <f t="shared" si="12"/>
        <v>0.29032259001040611</v>
      </c>
      <c r="J433" s="1">
        <f t="shared" si="13"/>
        <v>6.7865003668378582E-2</v>
      </c>
    </row>
    <row r="434" spans="1:10">
      <c r="A434" t="s">
        <v>348</v>
      </c>
      <c r="B434">
        <v>1</v>
      </c>
      <c r="C434" t="s">
        <v>23</v>
      </c>
      <c r="D434">
        <v>2</v>
      </c>
      <c r="E434">
        <v>10.333333</v>
      </c>
      <c r="F434">
        <v>3.0001000000000002</v>
      </c>
      <c r="G434">
        <v>318</v>
      </c>
      <c r="H434">
        <v>2726</v>
      </c>
      <c r="I434" s="1">
        <f t="shared" si="12"/>
        <v>0.29033226743007318</v>
      </c>
      <c r="J434" s="1">
        <f t="shared" si="13"/>
        <v>0.11665443873807776</v>
      </c>
    </row>
    <row r="435" spans="1:10">
      <c r="A435" t="s">
        <v>348</v>
      </c>
      <c r="B435">
        <v>1</v>
      </c>
      <c r="C435" t="s">
        <v>22</v>
      </c>
      <c r="D435">
        <v>3</v>
      </c>
      <c r="E435">
        <v>10.333333</v>
      </c>
      <c r="F435">
        <v>4</v>
      </c>
      <c r="G435">
        <v>701</v>
      </c>
      <c r="H435">
        <v>2726</v>
      </c>
      <c r="I435" s="1">
        <f t="shared" si="12"/>
        <v>0.38709678668054154</v>
      </c>
      <c r="J435" s="1">
        <f t="shared" si="13"/>
        <v>0.25715333822450476</v>
      </c>
    </row>
    <row r="436" spans="1:10">
      <c r="A436" t="s">
        <v>348</v>
      </c>
      <c r="B436">
        <v>1</v>
      </c>
      <c r="C436" t="s">
        <v>352</v>
      </c>
      <c r="D436">
        <v>4</v>
      </c>
      <c r="E436">
        <v>10.333333</v>
      </c>
      <c r="F436">
        <v>4.0000999999999998</v>
      </c>
      <c r="G436">
        <v>1083</v>
      </c>
      <c r="H436">
        <v>2726</v>
      </c>
      <c r="I436" s="1">
        <f t="shared" si="12"/>
        <v>0.38710646410020849</v>
      </c>
      <c r="J436" s="1">
        <f t="shared" si="13"/>
        <v>0.39728539985326483</v>
      </c>
    </row>
    <row r="437" spans="1:10">
      <c r="A437" t="s">
        <v>348</v>
      </c>
      <c r="B437">
        <v>1</v>
      </c>
      <c r="C437" t="s">
        <v>350</v>
      </c>
      <c r="D437">
        <v>5</v>
      </c>
      <c r="E437">
        <v>10.333333</v>
      </c>
      <c r="F437">
        <v>4.3333335000000002</v>
      </c>
      <c r="G437">
        <v>1489</v>
      </c>
      <c r="H437">
        <v>2726</v>
      </c>
      <c r="I437" s="1">
        <f t="shared" si="12"/>
        <v>0.4193548683662861</v>
      </c>
      <c r="J437" s="1">
        <f t="shared" si="13"/>
        <v>0.54622157006603078</v>
      </c>
    </row>
    <row r="438" spans="1:10">
      <c r="A438" t="s">
        <v>348</v>
      </c>
      <c r="B438">
        <v>1</v>
      </c>
      <c r="C438" t="s">
        <v>353</v>
      </c>
      <c r="D438">
        <v>6</v>
      </c>
      <c r="E438">
        <v>10.333333</v>
      </c>
      <c r="F438">
        <v>4.3334336000000002</v>
      </c>
      <c r="G438">
        <v>1895</v>
      </c>
      <c r="H438">
        <v>2726</v>
      </c>
      <c r="I438" s="1">
        <f t="shared" si="12"/>
        <v>0.41936455546337281</v>
      </c>
      <c r="J438" s="1">
        <f t="shared" si="13"/>
        <v>0.69515774027879673</v>
      </c>
    </row>
    <row r="439" spans="1:10">
      <c r="A439" t="s">
        <v>348</v>
      </c>
      <c r="B439">
        <v>1</v>
      </c>
      <c r="C439" t="s">
        <v>335</v>
      </c>
      <c r="D439">
        <v>7</v>
      </c>
      <c r="E439">
        <v>10.333333</v>
      </c>
      <c r="F439">
        <v>4.3335340000000002</v>
      </c>
      <c r="G439">
        <v>2253</v>
      </c>
      <c r="H439">
        <v>2726</v>
      </c>
      <c r="I439" s="1">
        <f t="shared" si="12"/>
        <v>0.41937427159271845</v>
      </c>
      <c r="J439" s="1">
        <f t="shared" si="13"/>
        <v>0.82648569332355104</v>
      </c>
    </row>
    <row r="440" spans="1:10">
      <c r="A440" t="s">
        <v>348</v>
      </c>
      <c r="B440">
        <v>1</v>
      </c>
      <c r="C440" t="s">
        <v>351</v>
      </c>
      <c r="D440">
        <v>8</v>
      </c>
      <c r="E440">
        <v>10.333333</v>
      </c>
      <c r="F440">
        <v>4.6666664999999998</v>
      </c>
      <c r="G440">
        <v>2726</v>
      </c>
      <c r="H440">
        <v>2726</v>
      </c>
      <c r="I440" s="1">
        <f t="shared" si="12"/>
        <v>0.45161290166493229</v>
      </c>
      <c r="J440" s="1">
        <f t="shared" si="13"/>
        <v>1</v>
      </c>
    </row>
    <row r="441" spans="1:10">
      <c r="A441" t="s">
        <v>354</v>
      </c>
      <c r="B441">
        <v>1</v>
      </c>
      <c r="C441" t="s">
        <v>357</v>
      </c>
      <c r="D441">
        <v>1</v>
      </c>
      <c r="E441">
        <v>25</v>
      </c>
      <c r="F441">
        <v>5.3333335000000002</v>
      </c>
      <c r="G441">
        <v>534</v>
      </c>
      <c r="H441">
        <v>2264</v>
      </c>
      <c r="I441" s="1">
        <f t="shared" si="12"/>
        <v>0.21333334000000001</v>
      </c>
      <c r="J441" s="1">
        <f t="shared" si="13"/>
        <v>0.23586572438162545</v>
      </c>
    </row>
    <row r="442" spans="1:10">
      <c r="A442" t="s">
        <v>354</v>
      </c>
      <c r="B442">
        <v>1</v>
      </c>
      <c r="C442" t="s">
        <v>356</v>
      </c>
      <c r="D442">
        <v>2</v>
      </c>
      <c r="E442">
        <v>25</v>
      </c>
      <c r="F442">
        <v>6</v>
      </c>
      <c r="G442">
        <v>973</v>
      </c>
      <c r="H442">
        <v>2264</v>
      </c>
      <c r="I442" s="1">
        <f t="shared" si="12"/>
        <v>0.24</v>
      </c>
      <c r="J442" s="1">
        <f t="shared" si="13"/>
        <v>0.42977031802120141</v>
      </c>
    </row>
    <row r="443" spans="1:10">
      <c r="A443" t="s">
        <v>354</v>
      </c>
      <c r="B443">
        <v>1</v>
      </c>
      <c r="C443" t="s">
        <v>248</v>
      </c>
      <c r="D443">
        <v>3</v>
      </c>
      <c r="E443">
        <v>25</v>
      </c>
      <c r="F443">
        <v>6.0000999999999998</v>
      </c>
      <c r="G443">
        <v>1399</v>
      </c>
      <c r="H443">
        <v>2264</v>
      </c>
      <c r="I443" s="1">
        <f t="shared" si="12"/>
        <v>0.240004</v>
      </c>
      <c r="J443" s="1">
        <f t="shared" si="13"/>
        <v>0.61793286219081267</v>
      </c>
    </row>
    <row r="444" spans="1:10">
      <c r="A444" t="s">
        <v>354</v>
      </c>
      <c r="B444">
        <v>1</v>
      </c>
      <c r="C444" t="s">
        <v>33</v>
      </c>
      <c r="D444">
        <v>4</v>
      </c>
      <c r="E444">
        <v>25</v>
      </c>
      <c r="F444">
        <v>6.3333335000000002</v>
      </c>
      <c r="G444">
        <v>1812</v>
      </c>
      <c r="H444">
        <v>2264</v>
      </c>
      <c r="I444" s="1">
        <f t="shared" si="12"/>
        <v>0.25333334000000002</v>
      </c>
      <c r="J444" s="1">
        <f t="shared" si="13"/>
        <v>0.80035335689045939</v>
      </c>
    </row>
    <row r="445" spans="1:10">
      <c r="A445" t="s">
        <v>354</v>
      </c>
      <c r="B445">
        <v>1</v>
      </c>
      <c r="C445" t="s">
        <v>355</v>
      </c>
      <c r="D445">
        <v>5</v>
      </c>
      <c r="E445">
        <v>25</v>
      </c>
      <c r="F445">
        <v>6.3334336000000002</v>
      </c>
      <c r="G445">
        <v>2264</v>
      </c>
      <c r="H445">
        <v>2264</v>
      </c>
      <c r="I445" s="1">
        <f t="shared" si="12"/>
        <v>0.25333734400000002</v>
      </c>
      <c r="J445" s="1">
        <f t="shared" si="13"/>
        <v>1</v>
      </c>
    </row>
    <row r="446" spans="1:10">
      <c r="A446" t="s">
        <v>358</v>
      </c>
      <c r="B446">
        <v>5</v>
      </c>
      <c r="C446" t="s">
        <v>359</v>
      </c>
      <c r="D446">
        <v>1</v>
      </c>
      <c r="E446">
        <v>101.333336</v>
      </c>
      <c r="F446">
        <v>30.666665999999999</v>
      </c>
      <c r="G446">
        <v>1690</v>
      </c>
      <c r="H446">
        <v>7942</v>
      </c>
      <c r="I446" s="1">
        <f t="shared" si="12"/>
        <v>0.30263156440443251</v>
      </c>
      <c r="J446" s="1">
        <f t="shared" si="13"/>
        <v>0.2127927474187862</v>
      </c>
    </row>
    <row r="447" spans="1:10">
      <c r="A447" t="s">
        <v>358</v>
      </c>
      <c r="B447">
        <v>5</v>
      </c>
      <c r="C447" t="s">
        <v>33</v>
      </c>
      <c r="D447">
        <v>2</v>
      </c>
      <c r="E447">
        <v>101.333336</v>
      </c>
      <c r="F447">
        <v>36.666668000000001</v>
      </c>
      <c r="G447">
        <v>2330</v>
      </c>
      <c r="H447">
        <v>7942</v>
      </c>
      <c r="I447" s="1">
        <f t="shared" si="12"/>
        <v>0.3618421088988919</v>
      </c>
      <c r="J447" s="1">
        <f t="shared" si="13"/>
        <v>0.29337698312767563</v>
      </c>
    </row>
    <row r="448" spans="1:10">
      <c r="A448" t="s">
        <v>358</v>
      </c>
      <c r="B448">
        <v>5</v>
      </c>
      <c r="C448" t="s">
        <v>360</v>
      </c>
      <c r="D448">
        <v>3</v>
      </c>
      <c r="E448">
        <v>101.333336</v>
      </c>
      <c r="F448">
        <v>40</v>
      </c>
      <c r="G448">
        <v>3374</v>
      </c>
      <c r="H448">
        <v>7942</v>
      </c>
      <c r="I448" s="1">
        <f t="shared" si="12"/>
        <v>0.39473683171745177</v>
      </c>
      <c r="J448" s="1">
        <f t="shared" si="13"/>
        <v>0.42483001762780154</v>
      </c>
    </row>
    <row r="449" spans="1:10">
      <c r="A449" t="s">
        <v>358</v>
      </c>
      <c r="B449">
        <v>5</v>
      </c>
      <c r="C449" t="s">
        <v>346</v>
      </c>
      <c r="D449">
        <v>4</v>
      </c>
      <c r="E449">
        <v>101.333336</v>
      </c>
      <c r="F449">
        <v>45.333331999999999</v>
      </c>
      <c r="G449">
        <v>4862</v>
      </c>
      <c r="H449">
        <v>7942</v>
      </c>
      <c r="I449" s="1">
        <f t="shared" si="12"/>
        <v>0.44736839612188428</v>
      </c>
      <c r="J449" s="1">
        <f t="shared" si="13"/>
        <v>0.61218836565096957</v>
      </c>
    </row>
    <row r="450" spans="1:10">
      <c r="A450" t="s">
        <v>358</v>
      </c>
      <c r="B450">
        <v>5</v>
      </c>
      <c r="C450" t="s">
        <v>361</v>
      </c>
      <c r="D450">
        <v>5</v>
      </c>
      <c r="E450">
        <v>101.333336</v>
      </c>
      <c r="F450">
        <v>61.333331999999999</v>
      </c>
      <c r="G450">
        <v>7942</v>
      </c>
      <c r="H450">
        <v>7942</v>
      </c>
      <c r="I450" s="1">
        <f t="shared" si="12"/>
        <v>0.60526312880886501</v>
      </c>
      <c r="J450" s="1">
        <f t="shared" si="13"/>
        <v>1</v>
      </c>
    </row>
    <row r="451" spans="1:10">
      <c r="A451" t="s">
        <v>358</v>
      </c>
      <c r="B451">
        <v>7</v>
      </c>
      <c r="C451" t="s">
        <v>2</v>
      </c>
      <c r="D451">
        <v>1</v>
      </c>
      <c r="E451">
        <v>8.6666670000000003</v>
      </c>
      <c r="F451">
        <v>2.6666666999999999</v>
      </c>
      <c r="G451">
        <v>109</v>
      </c>
      <c r="H451">
        <v>710</v>
      </c>
      <c r="I451" s="1">
        <f t="shared" ref="I451:I497" si="14">F451/E451</f>
        <v>0.3076922997041423</v>
      </c>
      <c r="J451" s="1">
        <f t="shared" ref="J451:J497" si="15">G451/H451</f>
        <v>0.15352112676056337</v>
      </c>
    </row>
    <row r="452" spans="1:10">
      <c r="A452" t="s">
        <v>358</v>
      </c>
      <c r="B452">
        <v>7</v>
      </c>
      <c r="C452" t="s">
        <v>33</v>
      </c>
      <c r="D452">
        <v>2</v>
      </c>
      <c r="E452">
        <v>8.6666670000000003</v>
      </c>
      <c r="F452">
        <v>4.6666664999999998</v>
      </c>
      <c r="G452">
        <v>535</v>
      </c>
      <c r="H452">
        <v>710</v>
      </c>
      <c r="I452" s="1">
        <f t="shared" si="14"/>
        <v>0.53846149852071157</v>
      </c>
      <c r="J452" s="1">
        <f t="shared" si="15"/>
        <v>0.75352112676056338</v>
      </c>
    </row>
    <row r="453" spans="1:10">
      <c r="A453" t="s">
        <v>358</v>
      </c>
      <c r="B453">
        <v>7</v>
      </c>
      <c r="C453" t="s">
        <v>0</v>
      </c>
      <c r="D453">
        <v>3</v>
      </c>
      <c r="E453">
        <v>8.6666670000000003</v>
      </c>
      <c r="F453">
        <v>5</v>
      </c>
      <c r="G453">
        <v>710</v>
      </c>
      <c r="H453">
        <v>710</v>
      </c>
      <c r="I453" s="1">
        <f t="shared" si="14"/>
        <v>0.57692305473372862</v>
      </c>
      <c r="J453" s="1">
        <f t="shared" si="15"/>
        <v>1</v>
      </c>
    </row>
    <row r="454" spans="1:10">
      <c r="A454" t="s">
        <v>358</v>
      </c>
      <c r="B454">
        <v>9</v>
      </c>
      <c r="C454" t="s">
        <v>365</v>
      </c>
      <c r="D454">
        <v>1</v>
      </c>
      <c r="E454">
        <v>4.3333335000000002</v>
      </c>
      <c r="F454">
        <v>2</v>
      </c>
      <c r="G454">
        <v>41</v>
      </c>
      <c r="H454">
        <v>295</v>
      </c>
      <c r="I454" s="1">
        <f t="shared" si="14"/>
        <v>0.46153844378698289</v>
      </c>
      <c r="J454" s="1">
        <f t="shared" si="15"/>
        <v>0.13898305084745763</v>
      </c>
    </row>
    <row r="455" spans="1:10">
      <c r="A455" t="s">
        <v>358</v>
      </c>
      <c r="B455">
        <v>9</v>
      </c>
      <c r="C455" t="s">
        <v>367</v>
      </c>
      <c r="D455">
        <v>2</v>
      </c>
      <c r="E455">
        <v>4.3333335000000002</v>
      </c>
      <c r="F455">
        <v>2.0001000000000002</v>
      </c>
      <c r="G455">
        <v>55</v>
      </c>
      <c r="H455">
        <v>295</v>
      </c>
      <c r="I455" s="1">
        <f t="shared" si="14"/>
        <v>0.46156152070917233</v>
      </c>
      <c r="J455" s="1">
        <f t="shared" si="15"/>
        <v>0.1864406779661017</v>
      </c>
    </row>
    <row r="456" spans="1:10">
      <c r="A456" t="s">
        <v>358</v>
      </c>
      <c r="B456">
        <v>9</v>
      </c>
      <c r="C456" t="s">
        <v>362</v>
      </c>
      <c r="D456">
        <v>3</v>
      </c>
      <c r="E456">
        <v>4.3333335000000002</v>
      </c>
      <c r="F456">
        <v>2.3333333000000001</v>
      </c>
      <c r="G456">
        <v>66</v>
      </c>
      <c r="H456">
        <v>295</v>
      </c>
      <c r="I456" s="1">
        <f t="shared" si="14"/>
        <v>0.53846151005917264</v>
      </c>
      <c r="J456" s="1">
        <f t="shared" si="15"/>
        <v>0.22372881355932203</v>
      </c>
    </row>
    <row r="457" spans="1:10">
      <c r="A457" t="s">
        <v>358</v>
      </c>
      <c r="B457">
        <v>9</v>
      </c>
      <c r="C457" t="s">
        <v>371</v>
      </c>
      <c r="D457">
        <v>4</v>
      </c>
      <c r="E457">
        <v>4.3333335000000002</v>
      </c>
      <c r="F457">
        <v>2.3334332</v>
      </c>
      <c r="G457">
        <v>71</v>
      </c>
      <c r="H457">
        <v>295</v>
      </c>
      <c r="I457" s="1">
        <f t="shared" si="14"/>
        <v>0.53848456390443977</v>
      </c>
      <c r="J457" s="1">
        <f t="shared" si="15"/>
        <v>0.24067796610169492</v>
      </c>
    </row>
    <row r="458" spans="1:10">
      <c r="A458" t="s">
        <v>358</v>
      </c>
      <c r="B458">
        <v>9</v>
      </c>
      <c r="C458" t="s">
        <v>377</v>
      </c>
      <c r="D458">
        <v>5</v>
      </c>
      <c r="E458">
        <v>4.3333335000000002</v>
      </c>
      <c r="F458">
        <v>2.3335330000000001</v>
      </c>
      <c r="G458">
        <v>72</v>
      </c>
      <c r="H458">
        <v>295</v>
      </c>
      <c r="I458" s="1">
        <f t="shared" si="14"/>
        <v>0.53850759467278486</v>
      </c>
      <c r="J458" s="1">
        <f t="shared" si="15"/>
        <v>0.2440677966101695</v>
      </c>
    </row>
    <row r="459" spans="1:10">
      <c r="A459" t="s">
        <v>358</v>
      </c>
      <c r="B459">
        <v>9</v>
      </c>
      <c r="C459" t="s">
        <v>363</v>
      </c>
      <c r="D459">
        <v>6</v>
      </c>
      <c r="E459">
        <v>4.3333335000000002</v>
      </c>
      <c r="F459">
        <v>2.6666666999999999</v>
      </c>
      <c r="G459">
        <v>86</v>
      </c>
      <c r="H459">
        <v>295</v>
      </c>
      <c r="I459" s="1">
        <f t="shared" si="14"/>
        <v>0.6153845994082846</v>
      </c>
      <c r="J459" s="1">
        <f t="shared" si="15"/>
        <v>0.29152542372881357</v>
      </c>
    </row>
    <row r="460" spans="1:10">
      <c r="A460" t="s">
        <v>358</v>
      </c>
      <c r="B460">
        <v>9</v>
      </c>
      <c r="C460" t="s">
        <v>370</v>
      </c>
      <c r="D460">
        <v>7</v>
      </c>
      <c r="E460">
        <v>4.3333335000000002</v>
      </c>
      <c r="F460">
        <v>2.6667665999999999</v>
      </c>
      <c r="G460">
        <v>89</v>
      </c>
      <c r="H460">
        <v>295</v>
      </c>
      <c r="I460" s="1">
        <f t="shared" si="14"/>
        <v>0.61540765325355173</v>
      </c>
      <c r="J460" s="1">
        <f t="shared" si="15"/>
        <v>0.30169491525423731</v>
      </c>
    </row>
    <row r="461" spans="1:10">
      <c r="A461" t="s">
        <v>358</v>
      </c>
      <c r="B461">
        <v>9</v>
      </c>
      <c r="C461" t="s">
        <v>364</v>
      </c>
      <c r="D461">
        <v>8</v>
      </c>
      <c r="E461">
        <v>4.3333335000000002</v>
      </c>
      <c r="F461">
        <v>2.6668664999999998</v>
      </c>
      <c r="G461">
        <v>159</v>
      </c>
      <c r="H461">
        <v>295</v>
      </c>
      <c r="I461" s="1">
        <f t="shared" si="14"/>
        <v>0.61543070709881886</v>
      </c>
      <c r="J461" s="1">
        <f t="shared" si="15"/>
        <v>0.53898305084745768</v>
      </c>
    </row>
    <row r="462" spans="1:10">
      <c r="A462" t="s">
        <v>358</v>
      </c>
      <c r="B462">
        <v>9</v>
      </c>
      <c r="C462" t="s">
        <v>374</v>
      </c>
      <c r="D462">
        <v>9</v>
      </c>
      <c r="E462">
        <v>4.3333335000000002</v>
      </c>
      <c r="F462">
        <v>2.6669664000000002</v>
      </c>
      <c r="G462">
        <v>160</v>
      </c>
      <c r="H462">
        <v>295</v>
      </c>
      <c r="I462" s="1">
        <f t="shared" si="14"/>
        <v>0.6154537609440861</v>
      </c>
      <c r="J462" s="1">
        <f t="shared" si="15"/>
        <v>0.5423728813559322</v>
      </c>
    </row>
    <row r="463" spans="1:10">
      <c r="A463" t="s">
        <v>358</v>
      </c>
      <c r="B463">
        <v>9</v>
      </c>
      <c r="C463" t="s">
        <v>366</v>
      </c>
      <c r="D463">
        <v>10</v>
      </c>
      <c r="E463">
        <v>4.3333335000000002</v>
      </c>
      <c r="F463">
        <v>2.6670663000000001</v>
      </c>
      <c r="G463">
        <v>160</v>
      </c>
      <c r="H463">
        <v>295</v>
      </c>
      <c r="I463" s="1">
        <f t="shared" si="14"/>
        <v>0.61547681478935323</v>
      </c>
      <c r="J463" s="1">
        <f t="shared" si="15"/>
        <v>0.5423728813559322</v>
      </c>
    </row>
    <row r="464" spans="1:10">
      <c r="A464" t="s">
        <v>358</v>
      </c>
      <c r="B464">
        <v>9</v>
      </c>
      <c r="C464" t="s">
        <v>21</v>
      </c>
      <c r="D464">
        <v>11</v>
      </c>
      <c r="E464">
        <v>4.3333335000000002</v>
      </c>
      <c r="F464">
        <v>2.6671662</v>
      </c>
      <c r="G464">
        <v>170</v>
      </c>
      <c r="H464">
        <v>295</v>
      </c>
      <c r="I464" s="1">
        <f t="shared" si="14"/>
        <v>0.61549986863462047</v>
      </c>
      <c r="J464" s="1">
        <f t="shared" si="15"/>
        <v>0.57627118644067798</v>
      </c>
    </row>
    <row r="465" spans="1:10">
      <c r="A465" t="s">
        <v>358</v>
      </c>
      <c r="B465">
        <v>9</v>
      </c>
      <c r="C465" t="s">
        <v>375</v>
      </c>
      <c r="D465">
        <v>12</v>
      </c>
      <c r="E465">
        <v>4.3333335000000002</v>
      </c>
      <c r="F465">
        <v>2.6672661</v>
      </c>
      <c r="G465">
        <v>170</v>
      </c>
      <c r="H465">
        <v>295</v>
      </c>
      <c r="I465" s="1">
        <f t="shared" si="14"/>
        <v>0.6155229224798876</v>
      </c>
      <c r="J465" s="1">
        <f t="shared" si="15"/>
        <v>0.57627118644067798</v>
      </c>
    </row>
    <row r="466" spans="1:10">
      <c r="A466" t="s">
        <v>358</v>
      </c>
      <c r="B466">
        <v>9</v>
      </c>
      <c r="C466" t="s">
        <v>368</v>
      </c>
      <c r="D466">
        <v>13</v>
      </c>
      <c r="E466">
        <v>4.3333335000000002</v>
      </c>
      <c r="F466">
        <v>3</v>
      </c>
      <c r="G466">
        <v>170</v>
      </c>
      <c r="H466">
        <v>295</v>
      </c>
      <c r="I466" s="1">
        <f t="shared" si="14"/>
        <v>0.69230766568047442</v>
      </c>
      <c r="J466" s="1">
        <f t="shared" si="15"/>
        <v>0.57627118644067798</v>
      </c>
    </row>
    <row r="467" spans="1:10">
      <c r="A467" t="s">
        <v>358</v>
      </c>
      <c r="B467">
        <v>9</v>
      </c>
      <c r="C467" t="s">
        <v>376</v>
      </c>
      <c r="D467">
        <v>14</v>
      </c>
      <c r="E467">
        <v>4.3333335000000002</v>
      </c>
      <c r="F467">
        <v>3.0001000000000002</v>
      </c>
      <c r="G467">
        <v>250</v>
      </c>
      <c r="H467">
        <v>295</v>
      </c>
      <c r="I467" s="1">
        <f t="shared" si="14"/>
        <v>0.69233074260266381</v>
      </c>
      <c r="J467" s="1">
        <f t="shared" si="15"/>
        <v>0.84745762711864403</v>
      </c>
    </row>
    <row r="468" spans="1:10">
      <c r="A468" t="s">
        <v>358</v>
      </c>
      <c r="B468">
        <v>9</v>
      </c>
      <c r="C468" t="s">
        <v>373</v>
      </c>
      <c r="D468">
        <v>15</v>
      </c>
      <c r="E468">
        <v>4.3333335000000002</v>
      </c>
      <c r="F468">
        <v>3.0001997999999999</v>
      </c>
      <c r="G468">
        <v>273</v>
      </c>
      <c r="H468">
        <v>295</v>
      </c>
      <c r="I468" s="1">
        <f t="shared" si="14"/>
        <v>0.69235377337100867</v>
      </c>
      <c r="J468" s="1">
        <f t="shared" si="15"/>
        <v>0.92542372881355928</v>
      </c>
    </row>
    <row r="469" spans="1:10">
      <c r="A469" t="s">
        <v>358</v>
      </c>
      <c r="B469">
        <v>9</v>
      </c>
      <c r="C469" t="s">
        <v>372</v>
      </c>
      <c r="D469">
        <v>16</v>
      </c>
      <c r="E469">
        <v>4.3333335000000002</v>
      </c>
      <c r="F469">
        <v>3.3333333000000001</v>
      </c>
      <c r="G469">
        <v>283</v>
      </c>
      <c r="H469">
        <v>295</v>
      </c>
      <c r="I469" s="1">
        <f t="shared" si="14"/>
        <v>0.76923073195266412</v>
      </c>
      <c r="J469" s="1">
        <f t="shared" si="15"/>
        <v>0.95932203389830506</v>
      </c>
    </row>
    <row r="470" spans="1:10">
      <c r="A470" t="s">
        <v>358</v>
      </c>
      <c r="B470">
        <v>9</v>
      </c>
      <c r="C470" t="s">
        <v>369</v>
      </c>
      <c r="D470">
        <v>17</v>
      </c>
      <c r="E470">
        <v>4.3333335000000002</v>
      </c>
      <c r="F470">
        <v>3.6666666999999999</v>
      </c>
      <c r="G470">
        <v>294</v>
      </c>
      <c r="H470">
        <v>295</v>
      </c>
      <c r="I470" s="1">
        <f t="shared" si="14"/>
        <v>0.84615382130177608</v>
      </c>
      <c r="J470" s="1">
        <f t="shared" si="15"/>
        <v>0.99661016949152548</v>
      </c>
    </row>
    <row r="471" spans="1:10">
      <c r="A471" t="s">
        <v>358</v>
      </c>
      <c r="B471">
        <v>9</v>
      </c>
      <c r="C471" t="s">
        <v>378</v>
      </c>
      <c r="D471">
        <v>18</v>
      </c>
      <c r="E471">
        <v>4.3333335000000002</v>
      </c>
      <c r="F471">
        <v>3.6667665999999999</v>
      </c>
      <c r="G471">
        <v>295</v>
      </c>
      <c r="H471">
        <v>295</v>
      </c>
      <c r="I471" s="1">
        <f t="shared" si="14"/>
        <v>0.84617687514704321</v>
      </c>
      <c r="J471" s="1">
        <f t="shared" si="15"/>
        <v>1</v>
      </c>
    </row>
    <row r="472" spans="1:10">
      <c r="A472" t="s">
        <v>358</v>
      </c>
      <c r="B472">
        <v>10</v>
      </c>
      <c r="C472" t="s">
        <v>1</v>
      </c>
      <c r="D472">
        <v>1</v>
      </c>
      <c r="E472">
        <v>4</v>
      </c>
      <c r="F472">
        <v>3.6666666999999999</v>
      </c>
      <c r="G472">
        <v>283</v>
      </c>
      <c r="H472">
        <v>311</v>
      </c>
      <c r="I472" s="1">
        <f t="shared" si="14"/>
        <v>0.91666667499999999</v>
      </c>
      <c r="J472" s="1">
        <f t="shared" si="15"/>
        <v>0.909967845659164</v>
      </c>
    </row>
    <row r="473" spans="1:10">
      <c r="A473" t="s">
        <v>358</v>
      </c>
      <c r="B473">
        <v>10</v>
      </c>
      <c r="C473" t="s">
        <v>3</v>
      </c>
      <c r="D473">
        <v>2</v>
      </c>
      <c r="E473">
        <v>4</v>
      </c>
      <c r="F473">
        <v>3.6667665999999999</v>
      </c>
      <c r="G473">
        <v>304</v>
      </c>
      <c r="H473">
        <v>311</v>
      </c>
      <c r="I473" s="1">
        <f t="shared" si="14"/>
        <v>0.91669164999999997</v>
      </c>
      <c r="J473" s="1">
        <f t="shared" si="15"/>
        <v>0.977491961414791</v>
      </c>
    </row>
    <row r="474" spans="1:10">
      <c r="A474" t="s">
        <v>358</v>
      </c>
      <c r="B474">
        <v>10</v>
      </c>
      <c r="C474" t="s">
        <v>0</v>
      </c>
      <c r="D474">
        <v>3</v>
      </c>
      <c r="E474">
        <v>4</v>
      </c>
      <c r="F474">
        <v>4</v>
      </c>
      <c r="G474">
        <v>311</v>
      </c>
      <c r="H474">
        <v>311</v>
      </c>
      <c r="I474" s="1">
        <f t="shared" si="14"/>
        <v>1</v>
      </c>
      <c r="J474" s="1">
        <f t="shared" si="15"/>
        <v>1</v>
      </c>
    </row>
    <row r="475" spans="1:10">
      <c r="A475" t="s">
        <v>358</v>
      </c>
      <c r="B475">
        <v>10</v>
      </c>
      <c r="C475" t="s">
        <v>2</v>
      </c>
      <c r="D475">
        <v>4</v>
      </c>
      <c r="E475">
        <v>4</v>
      </c>
      <c r="F475">
        <v>4.0000999999999998</v>
      </c>
      <c r="G475">
        <v>311</v>
      </c>
      <c r="H475">
        <v>311</v>
      </c>
      <c r="I475" s="1">
        <f t="shared" si="14"/>
        <v>1.0000249999999999</v>
      </c>
      <c r="J475" s="1">
        <f t="shared" si="15"/>
        <v>1</v>
      </c>
    </row>
    <row r="476" spans="1:10">
      <c r="A476" t="s">
        <v>358</v>
      </c>
      <c r="B476">
        <v>11</v>
      </c>
      <c r="C476" t="s">
        <v>379</v>
      </c>
      <c r="D476">
        <v>1</v>
      </c>
      <c r="E476">
        <v>10.333333</v>
      </c>
      <c r="F476">
        <v>2.3333333000000001</v>
      </c>
      <c r="G476">
        <v>69</v>
      </c>
      <c r="H476">
        <v>3114</v>
      </c>
      <c r="I476" s="1">
        <f t="shared" si="14"/>
        <v>0.22580645567117599</v>
      </c>
      <c r="J476" s="1">
        <f t="shared" si="15"/>
        <v>2.2157996146435453E-2</v>
      </c>
    </row>
    <row r="477" spans="1:10">
      <c r="A477" t="s">
        <v>358</v>
      </c>
      <c r="B477">
        <v>11</v>
      </c>
      <c r="C477" t="s">
        <v>383</v>
      </c>
      <c r="D477">
        <v>2</v>
      </c>
      <c r="E477">
        <v>10.333333</v>
      </c>
      <c r="F477">
        <v>4.3333335000000002</v>
      </c>
      <c r="G477">
        <v>776</v>
      </c>
      <c r="H477">
        <v>3114</v>
      </c>
      <c r="I477" s="1">
        <f t="shared" si="14"/>
        <v>0.4193548683662861</v>
      </c>
      <c r="J477" s="1">
        <f t="shared" si="15"/>
        <v>0.24919717405266539</v>
      </c>
    </row>
    <row r="478" spans="1:10">
      <c r="A478" t="s">
        <v>358</v>
      </c>
      <c r="B478">
        <v>11</v>
      </c>
      <c r="C478" t="s">
        <v>382</v>
      </c>
      <c r="D478">
        <v>3</v>
      </c>
      <c r="E478">
        <v>10.333333</v>
      </c>
      <c r="F478">
        <v>4.6666664999999998</v>
      </c>
      <c r="G478">
        <v>806</v>
      </c>
      <c r="H478">
        <v>3114</v>
      </c>
      <c r="I478" s="1">
        <f t="shared" si="14"/>
        <v>0.45161290166493229</v>
      </c>
      <c r="J478" s="1">
        <f t="shared" si="15"/>
        <v>0.25883108542068078</v>
      </c>
    </row>
    <row r="479" spans="1:10">
      <c r="A479" t="s">
        <v>358</v>
      </c>
      <c r="B479">
        <v>11</v>
      </c>
      <c r="C479" t="s">
        <v>380</v>
      </c>
      <c r="D479">
        <v>4</v>
      </c>
      <c r="E479">
        <v>10.333333</v>
      </c>
      <c r="F479">
        <v>4.6667665999999999</v>
      </c>
      <c r="G479">
        <v>955</v>
      </c>
      <c r="H479">
        <v>3114</v>
      </c>
      <c r="I479" s="1">
        <f t="shared" si="14"/>
        <v>0.45162258876201899</v>
      </c>
      <c r="J479" s="1">
        <f t="shared" si="15"/>
        <v>0.30667951188182402</v>
      </c>
    </row>
    <row r="480" spans="1:10">
      <c r="A480" t="s">
        <v>358</v>
      </c>
      <c r="B480">
        <v>11</v>
      </c>
      <c r="C480" t="s">
        <v>384</v>
      </c>
      <c r="D480">
        <v>5</v>
      </c>
      <c r="E480">
        <v>10.333333</v>
      </c>
      <c r="F480">
        <v>5</v>
      </c>
      <c r="G480">
        <v>1171</v>
      </c>
      <c r="H480">
        <v>3114</v>
      </c>
      <c r="I480" s="1">
        <f t="shared" si="14"/>
        <v>0.48387098335067691</v>
      </c>
      <c r="J480" s="1">
        <f t="shared" si="15"/>
        <v>0.37604367373153502</v>
      </c>
    </row>
    <row r="481" spans="1:10">
      <c r="A481" t="s">
        <v>358</v>
      </c>
      <c r="B481">
        <v>11</v>
      </c>
      <c r="C481" t="s">
        <v>390</v>
      </c>
      <c r="D481">
        <v>6</v>
      </c>
      <c r="E481">
        <v>10.333333</v>
      </c>
      <c r="F481">
        <v>5.0000999999999998</v>
      </c>
      <c r="G481">
        <v>1175</v>
      </c>
      <c r="H481">
        <v>3114</v>
      </c>
      <c r="I481" s="1">
        <f t="shared" si="14"/>
        <v>0.48388066077034386</v>
      </c>
      <c r="J481" s="1">
        <f t="shared" si="15"/>
        <v>0.3773281952472704</v>
      </c>
    </row>
    <row r="482" spans="1:10">
      <c r="A482" t="s">
        <v>358</v>
      </c>
      <c r="B482">
        <v>11</v>
      </c>
      <c r="C482" t="s">
        <v>394</v>
      </c>
      <c r="D482">
        <v>7</v>
      </c>
      <c r="E482">
        <v>10.333333</v>
      </c>
      <c r="F482">
        <v>5.0002003000000004</v>
      </c>
      <c r="G482">
        <v>1410</v>
      </c>
      <c r="H482">
        <v>3114</v>
      </c>
      <c r="I482" s="1">
        <f t="shared" si="14"/>
        <v>0.48389036722226997</v>
      </c>
      <c r="J482" s="1">
        <f t="shared" si="15"/>
        <v>0.45279383429672448</v>
      </c>
    </row>
    <row r="483" spans="1:10">
      <c r="A483" t="s">
        <v>358</v>
      </c>
      <c r="B483">
        <v>11</v>
      </c>
      <c r="C483" t="s">
        <v>381</v>
      </c>
      <c r="D483">
        <v>8</v>
      </c>
      <c r="E483">
        <v>10.333333</v>
      </c>
      <c r="F483">
        <v>5.0003004000000004</v>
      </c>
      <c r="G483">
        <v>1420</v>
      </c>
      <c r="H483">
        <v>3114</v>
      </c>
      <c r="I483" s="1">
        <f t="shared" si="14"/>
        <v>0.48390005431935662</v>
      </c>
      <c r="J483" s="1">
        <f t="shared" si="15"/>
        <v>0.45600513808606297</v>
      </c>
    </row>
    <row r="484" spans="1:10">
      <c r="A484" t="s">
        <v>358</v>
      </c>
      <c r="B484">
        <v>11</v>
      </c>
      <c r="C484" t="s">
        <v>387</v>
      </c>
      <c r="D484">
        <v>9</v>
      </c>
      <c r="E484">
        <v>10.333333</v>
      </c>
      <c r="F484">
        <v>5.0004004999999996</v>
      </c>
      <c r="G484">
        <v>1866</v>
      </c>
      <c r="H484">
        <v>3114</v>
      </c>
      <c r="I484" s="1">
        <f t="shared" si="14"/>
        <v>0.48390974141644327</v>
      </c>
      <c r="J484" s="1">
        <f t="shared" si="15"/>
        <v>0.59922928709055878</v>
      </c>
    </row>
    <row r="485" spans="1:10">
      <c r="A485" t="s">
        <v>358</v>
      </c>
      <c r="B485">
        <v>11</v>
      </c>
      <c r="C485" t="s">
        <v>386</v>
      </c>
      <c r="D485">
        <v>10</v>
      </c>
      <c r="E485">
        <v>10.333333</v>
      </c>
      <c r="F485">
        <v>5.3333335000000002</v>
      </c>
      <c r="G485">
        <v>1866</v>
      </c>
      <c r="H485">
        <v>3114</v>
      </c>
      <c r="I485" s="1">
        <f t="shared" si="14"/>
        <v>0.51612906503642153</v>
      </c>
      <c r="J485" s="1">
        <f t="shared" si="15"/>
        <v>0.59922928709055878</v>
      </c>
    </row>
    <row r="486" spans="1:10">
      <c r="A486" t="s">
        <v>358</v>
      </c>
      <c r="B486">
        <v>11</v>
      </c>
      <c r="C486" t="s">
        <v>391</v>
      </c>
      <c r="D486">
        <v>11</v>
      </c>
      <c r="E486">
        <v>10.333333</v>
      </c>
      <c r="F486">
        <v>5.3334336000000002</v>
      </c>
      <c r="G486">
        <v>1926</v>
      </c>
      <c r="H486">
        <v>3114</v>
      </c>
      <c r="I486" s="1">
        <f t="shared" si="14"/>
        <v>0.51613875213350813</v>
      </c>
      <c r="J486" s="1">
        <f t="shared" si="15"/>
        <v>0.61849710982658956</v>
      </c>
    </row>
    <row r="487" spans="1:10">
      <c r="A487" t="s">
        <v>358</v>
      </c>
      <c r="B487">
        <v>11</v>
      </c>
      <c r="C487" t="s">
        <v>396</v>
      </c>
      <c r="D487">
        <v>12</v>
      </c>
      <c r="E487">
        <v>10.333333</v>
      </c>
      <c r="F487">
        <v>5.3335340000000002</v>
      </c>
      <c r="G487">
        <v>2249</v>
      </c>
      <c r="H487">
        <v>3114</v>
      </c>
      <c r="I487" s="1">
        <f t="shared" si="14"/>
        <v>0.51614846826285388</v>
      </c>
      <c r="J487" s="1">
        <f t="shared" si="15"/>
        <v>0.72222222222222221</v>
      </c>
    </row>
    <row r="488" spans="1:10">
      <c r="A488" t="s">
        <v>358</v>
      </c>
      <c r="B488">
        <v>11</v>
      </c>
      <c r="C488" t="s">
        <v>389</v>
      </c>
      <c r="D488">
        <v>13</v>
      </c>
      <c r="E488">
        <v>10.333333</v>
      </c>
      <c r="F488">
        <v>5.333634</v>
      </c>
      <c r="G488">
        <v>2274</v>
      </c>
      <c r="H488">
        <v>3114</v>
      </c>
      <c r="I488" s="1">
        <f t="shared" si="14"/>
        <v>0.51615814568252083</v>
      </c>
      <c r="J488" s="1">
        <f t="shared" si="15"/>
        <v>0.73025048169556839</v>
      </c>
    </row>
    <row r="489" spans="1:10">
      <c r="A489" t="s">
        <v>358</v>
      </c>
      <c r="B489">
        <v>11</v>
      </c>
      <c r="C489" t="s">
        <v>388</v>
      </c>
      <c r="D489">
        <v>14</v>
      </c>
      <c r="E489">
        <v>10.333333</v>
      </c>
      <c r="F489">
        <v>5.6666664999999998</v>
      </c>
      <c r="G489">
        <v>2322</v>
      </c>
      <c r="H489">
        <v>3114</v>
      </c>
      <c r="I489" s="1">
        <f t="shared" si="14"/>
        <v>0.54838709833506771</v>
      </c>
      <c r="J489" s="1">
        <f t="shared" si="15"/>
        <v>0.74566473988439308</v>
      </c>
    </row>
    <row r="490" spans="1:10">
      <c r="A490" t="s">
        <v>358</v>
      </c>
      <c r="B490">
        <v>11</v>
      </c>
      <c r="C490" t="s">
        <v>392</v>
      </c>
      <c r="D490">
        <v>15</v>
      </c>
      <c r="E490">
        <v>10.333333</v>
      </c>
      <c r="F490">
        <v>5.6667665999999999</v>
      </c>
      <c r="G490">
        <v>2842</v>
      </c>
      <c r="H490">
        <v>3114</v>
      </c>
      <c r="I490" s="1">
        <f t="shared" si="14"/>
        <v>0.54839678543215442</v>
      </c>
      <c r="J490" s="1">
        <f t="shared" si="15"/>
        <v>0.9126525369299936</v>
      </c>
    </row>
    <row r="491" spans="1:10">
      <c r="A491" t="s">
        <v>358</v>
      </c>
      <c r="B491">
        <v>11</v>
      </c>
      <c r="C491" t="s">
        <v>393</v>
      </c>
      <c r="D491">
        <v>16</v>
      </c>
      <c r="E491">
        <v>10.333333</v>
      </c>
      <c r="F491">
        <v>5.6668669999999999</v>
      </c>
      <c r="G491">
        <v>2872</v>
      </c>
      <c r="H491">
        <v>3114</v>
      </c>
      <c r="I491" s="1">
        <f t="shared" si="14"/>
        <v>0.54840650156150006</v>
      </c>
      <c r="J491" s="1">
        <f t="shared" si="15"/>
        <v>0.92228644829800899</v>
      </c>
    </row>
    <row r="492" spans="1:10">
      <c r="A492" t="s">
        <v>358</v>
      </c>
      <c r="B492">
        <v>11</v>
      </c>
      <c r="C492" t="s">
        <v>385</v>
      </c>
      <c r="D492">
        <v>17</v>
      </c>
      <c r="E492">
        <v>10.333333</v>
      </c>
      <c r="F492">
        <v>6.6666664999999998</v>
      </c>
      <c r="G492">
        <v>2944</v>
      </c>
      <c r="H492">
        <v>3114</v>
      </c>
      <c r="I492" s="1">
        <f t="shared" si="14"/>
        <v>0.64516129500520303</v>
      </c>
      <c r="J492" s="1">
        <f t="shared" si="15"/>
        <v>0.94540783558124597</v>
      </c>
    </row>
    <row r="493" spans="1:10">
      <c r="A493" t="s">
        <v>358</v>
      </c>
      <c r="B493">
        <v>11</v>
      </c>
      <c r="C493" t="s">
        <v>397</v>
      </c>
      <c r="D493">
        <v>18</v>
      </c>
      <c r="E493">
        <v>10.333333</v>
      </c>
      <c r="F493">
        <v>6.6667665999999999</v>
      </c>
      <c r="G493">
        <v>2994</v>
      </c>
      <c r="H493">
        <v>3114</v>
      </c>
      <c r="I493" s="1">
        <f t="shared" si="14"/>
        <v>0.64517098210228974</v>
      </c>
      <c r="J493" s="1">
        <f t="shared" si="15"/>
        <v>0.96146435452793833</v>
      </c>
    </row>
    <row r="494" spans="1:10">
      <c r="A494" t="s">
        <v>358</v>
      </c>
      <c r="B494">
        <v>11</v>
      </c>
      <c r="C494" t="s">
        <v>395</v>
      </c>
      <c r="D494">
        <v>19</v>
      </c>
      <c r="E494">
        <v>10.333333</v>
      </c>
      <c r="F494">
        <v>7.3333335000000002</v>
      </c>
      <c r="G494">
        <v>3114</v>
      </c>
      <c r="H494">
        <v>3114</v>
      </c>
      <c r="I494" s="1">
        <f t="shared" si="14"/>
        <v>0.70967745837669227</v>
      </c>
      <c r="J494" s="1">
        <f t="shared" si="15"/>
        <v>1</v>
      </c>
    </row>
    <row r="495" spans="1:10">
      <c r="A495" t="s">
        <v>358</v>
      </c>
      <c r="B495">
        <v>12</v>
      </c>
      <c r="C495" t="s">
        <v>398</v>
      </c>
      <c r="D495">
        <v>1</v>
      </c>
      <c r="E495">
        <v>6.6666664999999998</v>
      </c>
      <c r="F495">
        <v>2.6666666999999999</v>
      </c>
      <c r="G495">
        <v>69</v>
      </c>
      <c r="H495">
        <v>1455</v>
      </c>
      <c r="I495" s="1">
        <f t="shared" si="14"/>
        <v>0.40000001500000038</v>
      </c>
      <c r="J495" s="1">
        <f t="shared" si="15"/>
        <v>4.7422680412371132E-2</v>
      </c>
    </row>
    <row r="496" spans="1:10">
      <c r="A496" t="s">
        <v>358</v>
      </c>
      <c r="B496">
        <v>12</v>
      </c>
      <c r="C496" t="s">
        <v>399</v>
      </c>
      <c r="D496">
        <v>2</v>
      </c>
      <c r="E496">
        <v>6.6666664999999998</v>
      </c>
      <c r="F496">
        <v>4</v>
      </c>
      <c r="G496">
        <v>465</v>
      </c>
      <c r="H496">
        <v>1455</v>
      </c>
      <c r="I496" s="1">
        <f t="shared" si="14"/>
        <v>0.60000001500000044</v>
      </c>
      <c r="J496" s="1">
        <f t="shared" si="15"/>
        <v>0.31958762886597936</v>
      </c>
    </row>
    <row r="497" spans="1:10">
      <c r="A497" t="s">
        <v>358</v>
      </c>
      <c r="B497">
        <v>12</v>
      </c>
      <c r="C497" t="s">
        <v>375</v>
      </c>
      <c r="D497">
        <v>3</v>
      </c>
      <c r="E497">
        <v>6.6666664999999998</v>
      </c>
      <c r="F497">
        <v>4.0000999999999998</v>
      </c>
      <c r="G497">
        <v>547</v>
      </c>
      <c r="H497">
        <v>1455</v>
      </c>
      <c r="I497" s="1">
        <f t="shared" si="14"/>
        <v>0.60001501500037535</v>
      </c>
      <c r="J497" s="1">
        <f t="shared" si="15"/>
        <v>0.37594501718213058</v>
      </c>
    </row>
    <row r="498" spans="1:10">
      <c r="A498" t="s">
        <v>358</v>
      </c>
      <c r="B498">
        <v>12</v>
      </c>
      <c r="C498" t="s">
        <v>400</v>
      </c>
      <c r="D498">
        <v>4</v>
      </c>
      <c r="E498">
        <v>6.6666664999999998</v>
      </c>
      <c r="F498">
        <v>4.0002003000000004</v>
      </c>
      <c r="G498">
        <v>873</v>
      </c>
      <c r="H498">
        <v>1455</v>
      </c>
      <c r="I498" s="1">
        <f t="shared" ref="I498:I516" si="16">F498/E498</f>
        <v>0.60003006000075154</v>
      </c>
      <c r="J498" s="1">
        <f t="shared" ref="J498:J516" si="17">G498/H498</f>
        <v>0.6</v>
      </c>
    </row>
    <row r="499" spans="1:10">
      <c r="A499" t="s">
        <v>358</v>
      </c>
      <c r="B499">
        <v>12</v>
      </c>
      <c r="C499" t="s">
        <v>402</v>
      </c>
      <c r="D499">
        <v>5</v>
      </c>
      <c r="E499">
        <v>6.6666664999999998</v>
      </c>
      <c r="F499">
        <v>4.0003004000000004</v>
      </c>
      <c r="G499">
        <v>1068</v>
      </c>
      <c r="H499">
        <v>1455</v>
      </c>
      <c r="I499" s="1">
        <f t="shared" si="16"/>
        <v>0.60004507500112692</v>
      </c>
      <c r="J499" s="1">
        <f t="shared" si="17"/>
        <v>0.73402061855670098</v>
      </c>
    </row>
    <row r="500" spans="1:10">
      <c r="A500" t="s">
        <v>358</v>
      </c>
      <c r="B500">
        <v>12</v>
      </c>
      <c r="C500" t="s">
        <v>401</v>
      </c>
      <c r="D500">
        <v>6</v>
      </c>
      <c r="E500">
        <v>6.6666664999999998</v>
      </c>
      <c r="F500">
        <v>4.3333335000000002</v>
      </c>
      <c r="G500">
        <v>1138</v>
      </c>
      <c r="H500">
        <v>1455</v>
      </c>
      <c r="I500" s="1">
        <f t="shared" si="16"/>
        <v>0.6500000412500011</v>
      </c>
      <c r="J500" s="1">
        <f t="shared" si="17"/>
        <v>0.78213058419243986</v>
      </c>
    </row>
    <row r="501" spans="1:10">
      <c r="A501" t="s">
        <v>358</v>
      </c>
      <c r="B501">
        <v>12</v>
      </c>
      <c r="C501" t="s">
        <v>403</v>
      </c>
      <c r="D501">
        <v>7</v>
      </c>
      <c r="E501">
        <v>6.6666664999999998</v>
      </c>
      <c r="F501">
        <v>4.3334336000000002</v>
      </c>
      <c r="G501">
        <v>1168</v>
      </c>
      <c r="H501">
        <v>1455</v>
      </c>
      <c r="I501" s="1">
        <f t="shared" si="16"/>
        <v>0.65001505625037648</v>
      </c>
      <c r="J501" s="1">
        <f t="shared" si="17"/>
        <v>0.80274914089347083</v>
      </c>
    </row>
    <row r="502" spans="1:10">
      <c r="A502" t="s">
        <v>358</v>
      </c>
      <c r="B502">
        <v>12</v>
      </c>
      <c r="C502" t="s">
        <v>404</v>
      </c>
      <c r="D502">
        <v>8</v>
      </c>
      <c r="E502">
        <v>6.6666664999999998</v>
      </c>
      <c r="F502">
        <v>4.6666664999999998</v>
      </c>
      <c r="G502">
        <v>1380</v>
      </c>
      <c r="H502">
        <v>1455</v>
      </c>
      <c r="I502" s="1">
        <f t="shared" si="16"/>
        <v>0.69999999249999978</v>
      </c>
      <c r="J502" s="1">
        <f t="shared" si="17"/>
        <v>0.94845360824742264</v>
      </c>
    </row>
    <row r="503" spans="1:10">
      <c r="A503" t="s">
        <v>358</v>
      </c>
      <c r="B503">
        <v>12</v>
      </c>
      <c r="C503" t="s">
        <v>17</v>
      </c>
      <c r="D503">
        <v>9</v>
      </c>
      <c r="E503">
        <v>6.6666664999999998</v>
      </c>
      <c r="F503">
        <v>5</v>
      </c>
      <c r="G503">
        <v>1455</v>
      </c>
      <c r="H503">
        <v>1455</v>
      </c>
      <c r="I503" s="1">
        <f t="shared" si="16"/>
        <v>0.75000001875000044</v>
      </c>
      <c r="J503" s="1">
        <f t="shared" si="17"/>
        <v>1</v>
      </c>
    </row>
    <row r="504" spans="1:10">
      <c r="A504" t="s">
        <v>358</v>
      </c>
      <c r="B504">
        <v>13</v>
      </c>
      <c r="C504" t="s">
        <v>19</v>
      </c>
      <c r="D504">
        <v>1</v>
      </c>
      <c r="E504">
        <v>2.3333333000000001</v>
      </c>
      <c r="F504">
        <v>2</v>
      </c>
      <c r="G504">
        <v>18</v>
      </c>
      <c r="H504">
        <v>56</v>
      </c>
      <c r="I504" s="1">
        <f t="shared" si="16"/>
        <v>0.8571428693877553</v>
      </c>
      <c r="J504" s="1">
        <f t="shared" si="17"/>
        <v>0.32142857142857145</v>
      </c>
    </row>
    <row r="505" spans="1:10">
      <c r="A505" t="s">
        <v>358</v>
      </c>
      <c r="B505">
        <v>13</v>
      </c>
      <c r="C505" t="s">
        <v>33</v>
      </c>
      <c r="D505">
        <v>2</v>
      </c>
      <c r="E505">
        <v>2.3333333000000001</v>
      </c>
      <c r="F505">
        <v>2.3333333000000001</v>
      </c>
      <c r="G505">
        <v>56</v>
      </c>
      <c r="H505">
        <v>56</v>
      </c>
      <c r="I505" s="1">
        <f t="shared" si="16"/>
        <v>1</v>
      </c>
      <c r="J505" s="1">
        <f t="shared" si="17"/>
        <v>1</v>
      </c>
    </row>
    <row r="506" spans="1:10">
      <c r="A506" t="s">
        <v>405</v>
      </c>
      <c r="B506">
        <v>2</v>
      </c>
      <c r="C506" t="s">
        <v>406</v>
      </c>
      <c r="D506">
        <v>1</v>
      </c>
      <c r="E506">
        <v>7.6666664999999998</v>
      </c>
      <c r="F506">
        <v>4</v>
      </c>
      <c r="G506">
        <v>412</v>
      </c>
      <c r="H506">
        <v>1296</v>
      </c>
      <c r="I506" s="1">
        <f t="shared" si="16"/>
        <v>0.52173914177693792</v>
      </c>
      <c r="J506" s="1">
        <f t="shared" si="17"/>
        <v>0.31790123456790126</v>
      </c>
    </row>
    <row r="507" spans="1:10">
      <c r="A507" t="s">
        <v>405</v>
      </c>
      <c r="B507">
        <v>2</v>
      </c>
      <c r="C507" t="s">
        <v>36</v>
      </c>
      <c r="D507">
        <v>2</v>
      </c>
      <c r="E507">
        <v>7.6666664999999998</v>
      </c>
      <c r="F507">
        <v>5.3333335000000002</v>
      </c>
      <c r="G507">
        <v>889</v>
      </c>
      <c r="H507">
        <v>1296</v>
      </c>
      <c r="I507" s="1">
        <f t="shared" si="16"/>
        <v>0.69565221077504813</v>
      </c>
      <c r="J507" s="1">
        <f t="shared" si="17"/>
        <v>0.68595679012345678</v>
      </c>
    </row>
    <row r="508" spans="1:10">
      <c r="A508" t="s">
        <v>405</v>
      </c>
      <c r="B508">
        <v>2</v>
      </c>
      <c r="C508" t="s">
        <v>407</v>
      </c>
      <c r="D508">
        <v>3</v>
      </c>
      <c r="E508">
        <v>7.6666664999999998</v>
      </c>
      <c r="F508">
        <v>5.6666664999999998</v>
      </c>
      <c r="G508">
        <v>1296</v>
      </c>
      <c r="H508">
        <v>1296</v>
      </c>
      <c r="I508" s="1">
        <f t="shared" si="16"/>
        <v>0.73913042911153104</v>
      </c>
      <c r="J508" s="1">
        <f t="shared" si="17"/>
        <v>1</v>
      </c>
    </row>
    <row r="509" spans="1:10">
      <c r="A509" t="s">
        <v>405</v>
      </c>
      <c r="B509">
        <v>6</v>
      </c>
      <c r="C509" t="s">
        <v>408</v>
      </c>
      <c r="D509">
        <v>1</v>
      </c>
      <c r="E509">
        <v>5</v>
      </c>
      <c r="F509">
        <v>4</v>
      </c>
      <c r="G509">
        <v>359</v>
      </c>
      <c r="H509">
        <v>497</v>
      </c>
      <c r="I509" s="1">
        <f t="shared" si="16"/>
        <v>0.8</v>
      </c>
      <c r="J509" s="1">
        <f t="shared" si="17"/>
        <v>0.72233400402414483</v>
      </c>
    </row>
    <row r="510" spans="1:10">
      <c r="A510" t="s">
        <v>405</v>
      </c>
      <c r="B510">
        <v>6</v>
      </c>
      <c r="C510" t="s">
        <v>37</v>
      </c>
      <c r="D510">
        <v>2</v>
      </c>
      <c r="E510">
        <v>5</v>
      </c>
      <c r="F510">
        <v>4.3333335000000002</v>
      </c>
      <c r="G510">
        <v>370</v>
      </c>
      <c r="H510">
        <v>497</v>
      </c>
      <c r="I510" s="1">
        <f t="shared" si="16"/>
        <v>0.86666670000000001</v>
      </c>
      <c r="J510" s="1">
        <f t="shared" si="17"/>
        <v>0.74446680080482897</v>
      </c>
    </row>
    <row r="511" spans="1:10">
      <c r="A511" t="s">
        <v>405</v>
      </c>
      <c r="B511">
        <v>6</v>
      </c>
      <c r="C511" t="s">
        <v>409</v>
      </c>
      <c r="D511">
        <v>3</v>
      </c>
      <c r="E511">
        <v>5</v>
      </c>
      <c r="F511">
        <v>4.3334336000000002</v>
      </c>
      <c r="G511">
        <v>472</v>
      </c>
      <c r="H511">
        <v>497</v>
      </c>
      <c r="I511" s="1">
        <f t="shared" si="16"/>
        <v>0.86668672000000002</v>
      </c>
      <c r="J511" s="1">
        <f t="shared" si="17"/>
        <v>0.94969818913480886</v>
      </c>
    </row>
    <row r="512" spans="1:10">
      <c r="A512" t="s">
        <v>405</v>
      </c>
      <c r="B512">
        <v>6</v>
      </c>
      <c r="C512" t="s">
        <v>250</v>
      </c>
      <c r="D512">
        <v>4</v>
      </c>
      <c r="E512">
        <v>5</v>
      </c>
      <c r="F512">
        <v>4.6666664999999998</v>
      </c>
      <c r="G512">
        <v>497</v>
      </c>
      <c r="H512">
        <v>497</v>
      </c>
      <c r="I512" s="1">
        <f t="shared" si="16"/>
        <v>0.93333329999999992</v>
      </c>
      <c r="J512" s="1">
        <f t="shared" si="17"/>
        <v>1</v>
      </c>
    </row>
    <row r="513" spans="1:10">
      <c r="A513" t="s">
        <v>405</v>
      </c>
      <c r="B513">
        <v>6</v>
      </c>
      <c r="C513" t="s">
        <v>410</v>
      </c>
      <c r="D513">
        <v>5</v>
      </c>
      <c r="E513">
        <v>5</v>
      </c>
      <c r="F513">
        <v>4.6667665999999999</v>
      </c>
      <c r="G513">
        <v>497</v>
      </c>
      <c r="H513">
        <v>497</v>
      </c>
      <c r="I513" s="1">
        <f t="shared" si="16"/>
        <v>0.93335331999999993</v>
      </c>
      <c r="J513" s="1">
        <f t="shared" si="17"/>
        <v>1</v>
      </c>
    </row>
    <row r="514" spans="1:10">
      <c r="A514" t="s">
        <v>405</v>
      </c>
      <c r="B514">
        <v>6</v>
      </c>
      <c r="C514" t="s">
        <v>411</v>
      </c>
      <c r="D514">
        <v>6</v>
      </c>
      <c r="E514">
        <v>5</v>
      </c>
      <c r="F514">
        <v>5</v>
      </c>
      <c r="G514">
        <v>497</v>
      </c>
      <c r="H514">
        <v>497</v>
      </c>
      <c r="I514" s="1">
        <f t="shared" si="16"/>
        <v>1</v>
      </c>
      <c r="J514" s="1">
        <f t="shared" si="17"/>
        <v>1</v>
      </c>
    </row>
    <row r="515" spans="1:10">
      <c r="A515" t="s">
        <v>405</v>
      </c>
      <c r="B515">
        <v>8</v>
      </c>
      <c r="C515" t="s">
        <v>19</v>
      </c>
      <c r="D515">
        <v>1</v>
      </c>
      <c r="E515">
        <v>5</v>
      </c>
      <c r="F515">
        <v>4.3333335000000002</v>
      </c>
      <c r="G515">
        <v>458</v>
      </c>
      <c r="H515">
        <v>529</v>
      </c>
      <c r="I515" s="1">
        <f t="shared" si="16"/>
        <v>0.86666670000000001</v>
      </c>
      <c r="J515" s="1">
        <f t="shared" si="17"/>
        <v>0.86578449905482047</v>
      </c>
    </row>
    <row r="516" spans="1:10">
      <c r="A516" t="s">
        <v>405</v>
      </c>
      <c r="B516">
        <v>8</v>
      </c>
      <c r="C516" t="s">
        <v>33</v>
      </c>
      <c r="D516">
        <v>2</v>
      </c>
      <c r="E516">
        <v>5</v>
      </c>
      <c r="F516">
        <v>5</v>
      </c>
      <c r="G516">
        <v>529</v>
      </c>
      <c r="H516">
        <v>529</v>
      </c>
      <c r="I516" s="1">
        <f t="shared" si="16"/>
        <v>1</v>
      </c>
      <c r="J516" s="1">
        <f t="shared" si="17"/>
        <v>1</v>
      </c>
    </row>
    <row r="517" spans="1:10">
      <c r="E517">
        <f>AVERAGE(E2:E516)</f>
        <v>60.674432585436797</v>
      </c>
      <c r="F517">
        <f>AVERAGE(F2:F516)</f>
        <v>20.282285274563094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16"/>
  <sheetViews>
    <sheetView topLeftCell="A25" workbookViewId="0">
      <selection activeCell="P1" sqref="P1:V8"/>
    </sheetView>
  </sheetViews>
  <sheetFormatPr baseColWidth="10" defaultRowHeight="15" x14ac:dyDescent="0"/>
  <cols>
    <col min="1" max="1" width="20" customWidth="1"/>
    <col min="3" max="3" width="17.5" customWidth="1"/>
    <col min="71" max="71" width="21.1640625" bestFit="1" customWidth="1"/>
  </cols>
  <sheetData>
    <row r="1" spans="1:81">
      <c r="A1" t="s">
        <v>412</v>
      </c>
      <c r="B1" t="s">
        <v>413</v>
      </c>
      <c r="C1" t="s">
        <v>423</v>
      </c>
      <c r="D1" t="s">
        <v>415</v>
      </c>
      <c r="E1" t="s">
        <v>420</v>
      </c>
      <c r="F1" s="1" t="s">
        <v>421</v>
      </c>
      <c r="G1" s="1" t="s">
        <v>424</v>
      </c>
      <c r="H1" t="s">
        <v>425</v>
      </c>
      <c r="I1" t="s">
        <v>426</v>
      </c>
      <c r="J1" t="s">
        <v>427</v>
      </c>
      <c r="K1" s="2" t="s">
        <v>428</v>
      </c>
      <c r="L1" s="2" t="s">
        <v>429</v>
      </c>
      <c r="M1" s="2"/>
      <c r="N1" s="2"/>
      <c r="O1" s="2"/>
      <c r="P1" s="2"/>
      <c r="Q1" s="2" t="s">
        <v>430</v>
      </c>
      <c r="R1" s="2"/>
      <c r="S1" s="2"/>
      <c r="T1" s="2"/>
      <c r="U1" s="2"/>
      <c r="W1" t="s">
        <v>431</v>
      </c>
      <c r="X1" t="s">
        <v>423</v>
      </c>
      <c r="Y1" t="s">
        <v>423</v>
      </c>
      <c r="Z1" t="s">
        <v>423</v>
      </c>
      <c r="AA1" t="s">
        <v>423</v>
      </c>
      <c r="AB1" t="s">
        <v>423</v>
      </c>
      <c r="AC1" t="s">
        <v>423</v>
      </c>
      <c r="AD1" t="s">
        <v>423</v>
      </c>
      <c r="AE1" t="s">
        <v>423</v>
      </c>
      <c r="AF1" t="s">
        <v>423</v>
      </c>
      <c r="AG1" t="s">
        <v>423</v>
      </c>
      <c r="AH1" t="s">
        <v>423</v>
      </c>
      <c r="AI1" t="s">
        <v>423</v>
      </c>
      <c r="AJ1" t="s">
        <v>423</v>
      </c>
      <c r="AK1" t="s">
        <v>423</v>
      </c>
      <c r="AL1" t="s">
        <v>423</v>
      </c>
      <c r="AM1" t="s">
        <v>423</v>
      </c>
      <c r="AN1" t="s">
        <v>423</v>
      </c>
      <c r="AO1" t="s">
        <v>423</v>
      </c>
      <c r="AP1" t="s">
        <v>423</v>
      </c>
      <c r="AQ1" t="s">
        <v>423</v>
      </c>
      <c r="AR1" t="s">
        <v>423</v>
      </c>
      <c r="AS1" t="s">
        <v>423</v>
      </c>
      <c r="AT1" t="s">
        <v>423</v>
      </c>
      <c r="AU1" t="s">
        <v>423</v>
      </c>
      <c r="AV1" t="s">
        <v>423</v>
      </c>
      <c r="AW1" t="s">
        <v>423</v>
      </c>
      <c r="AX1" t="s">
        <v>423</v>
      </c>
      <c r="AY1" t="s">
        <v>423</v>
      </c>
      <c r="AZ1" t="s">
        <v>423</v>
      </c>
      <c r="BA1" t="s">
        <v>423</v>
      </c>
      <c r="BB1" t="s">
        <v>423</v>
      </c>
      <c r="BC1" t="s">
        <v>423</v>
      </c>
      <c r="BD1" t="s">
        <v>423</v>
      </c>
      <c r="BE1" t="s">
        <v>423</v>
      </c>
      <c r="BF1" t="s">
        <v>423</v>
      </c>
      <c r="BG1" t="s">
        <v>423</v>
      </c>
      <c r="BH1" t="s">
        <v>423</v>
      </c>
      <c r="BI1" t="s">
        <v>423</v>
      </c>
      <c r="BJ1" t="s">
        <v>423</v>
      </c>
      <c r="BK1" t="s">
        <v>423</v>
      </c>
      <c r="BL1" t="s">
        <v>423</v>
      </c>
      <c r="BM1" t="s">
        <v>423</v>
      </c>
      <c r="BN1" t="s">
        <v>423</v>
      </c>
      <c r="BO1" t="s">
        <v>423</v>
      </c>
      <c r="BP1" t="s">
        <v>423</v>
      </c>
      <c r="BQ1" t="s">
        <v>423</v>
      </c>
      <c r="BR1" t="s">
        <v>423</v>
      </c>
      <c r="BS1" t="s">
        <v>423</v>
      </c>
      <c r="BT1" t="s">
        <v>423</v>
      </c>
      <c r="BU1" t="s">
        <v>423</v>
      </c>
      <c r="BV1" t="s">
        <v>423</v>
      </c>
      <c r="BW1" t="s">
        <v>423</v>
      </c>
      <c r="BX1" t="s">
        <v>423</v>
      </c>
      <c r="BY1" t="s">
        <v>423</v>
      </c>
      <c r="BZ1" t="s">
        <v>423</v>
      </c>
      <c r="CA1" t="s">
        <v>423</v>
      </c>
      <c r="CB1" t="s">
        <v>423</v>
      </c>
      <c r="CC1" t="s">
        <v>423</v>
      </c>
    </row>
    <row r="2" spans="1:81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0.97934868943606035</v>
      </c>
      <c r="F2">
        <v>0.97777780000000003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>
        <f>IF(AND($F2 &gt; 0.8, $F2 &lt;=1.1),$E2,"")</f>
        <v>0.97934868943606035</v>
      </c>
      <c r="L2" s="1" t="str">
        <f>IF(AND($F2 &gt; 1.1),$E2,"")</f>
        <v/>
      </c>
      <c r="M2" s="1"/>
      <c r="N2" s="1" t="s">
        <v>432</v>
      </c>
      <c r="O2" s="1" t="s">
        <v>433</v>
      </c>
      <c r="P2" s="1" t="s">
        <v>434</v>
      </c>
      <c r="Q2" s="1">
        <v>0</v>
      </c>
      <c r="R2" s="1" t="s">
        <v>435</v>
      </c>
      <c r="S2" s="1" t="s">
        <v>436</v>
      </c>
      <c r="T2" s="1" t="s">
        <v>437</v>
      </c>
      <c r="U2" s="1" t="s">
        <v>438</v>
      </c>
      <c r="V2" t="s">
        <v>439</v>
      </c>
      <c r="W2">
        <f>COUNTA(X2:CC2)</f>
        <v>58</v>
      </c>
      <c r="X2" t="s">
        <v>440</v>
      </c>
      <c r="Y2" t="s">
        <v>441</v>
      </c>
      <c r="Z2" t="s">
        <v>442</v>
      </c>
      <c r="AA2" t="s">
        <v>443</v>
      </c>
      <c r="AB2" t="s">
        <v>444</v>
      </c>
      <c r="AC2" t="s">
        <v>445</v>
      </c>
      <c r="AD2" t="s">
        <v>446</v>
      </c>
      <c r="AE2" t="s">
        <v>447</v>
      </c>
      <c r="AF2" t="s">
        <v>448</v>
      </c>
      <c r="AG2" t="s">
        <v>449</v>
      </c>
      <c r="AH2" t="s">
        <v>450</v>
      </c>
      <c r="AI2" t="s">
        <v>451</v>
      </c>
      <c r="AJ2" t="s">
        <v>452</v>
      </c>
      <c r="AK2" t="s">
        <v>453</v>
      </c>
      <c r="AL2" t="s">
        <v>454</v>
      </c>
      <c r="AM2" t="s">
        <v>455</v>
      </c>
      <c r="AN2" t="s">
        <v>456</v>
      </c>
      <c r="AO2" t="s">
        <v>457</v>
      </c>
      <c r="AP2" t="s">
        <v>458</v>
      </c>
      <c r="AQ2" t="s">
        <v>459</v>
      </c>
      <c r="AR2" t="s">
        <v>460</v>
      </c>
      <c r="AS2" t="s">
        <v>461</v>
      </c>
      <c r="AT2" t="s">
        <v>462</v>
      </c>
      <c r="AU2" t="s">
        <v>463</v>
      </c>
      <c r="AV2" t="s">
        <v>464</v>
      </c>
      <c r="AW2" t="s">
        <v>465</v>
      </c>
      <c r="AX2" t="s">
        <v>466</v>
      </c>
      <c r="AY2" t="s">
        <v>467</v>
      </c>
      <c r="AZ2" t="s">
        <v>468</v>
      </c>
      <c r="BA2" t="s">
        <v>469</v>
      </c>
      <c r="BB2" t="s">
        <v>470</v>
      </c>
      <c r="BC2" t="s">
        <v>471</v>
      </c>
      <c r="BD2" t="s">
        <v>472</v>
      </c>
      <c r="BE2" t="s">
        <v>473</v>
      </c>
      <c r="BF2" t="s">
        <v>474</v>
      </c>
      <c r="BG2" t="s">
        <v>475</v>
      </c>
      <c r="BH2" t="s">
        <v>476</v>
      </c>
      <c r="BI2" t="s">
        <v>477</v>
      </c>
      <c r="BJ2" t="s">
        <v>478</v>
      </c>
      <c r="BK2" t="s">
        <v>479</v>
      </c>
      <c r="BL2" t="s">
        <v>480</v>
      </c>
      <c r="BM2" t="s">
        <v>481</v>
      </c>
      <c r="BN2" t="s">
        <v>482</v>
      </c>
      <c r="BO2" t="s">
        <v>483</v>
      </c>
      <c r="BP2" t="s">
        <v>484</v>
      </c>
      <c r="BQ2" t="s">
        <v>485</v>
      </c>
      <c r="BR2" t="s">
        <v>486</v>
      </c>
      <c r="BS2" t="s">
        <v>487</v>
      </c>
      <c r="BT2" t="s">
        <v>488</v>
      </c>
      <c r="BU2" t="s">
        <v>489</v>
      </c>
      <c r="BV2" t="s">
        <v>490</v>
      </c>
      <c r="BW2" t="s">
        <v>491</v>
      </c>
      <c r="BX2" t="s">
        <v>492</v>
      </c>
      <c r="BY2" t="s">
        <v>493</v>
      </c>
      <c r="BZ2" t="s">
        <v>494</v>
      </c>
      <c r="CA2" t="s">
        <v>495</v>
      </c>
      <c r="CB2" t="s">
        <v>496</v>
      </c>
      <c r="CC2" t="s">
        <v>497</v>
      </c>
    </row>
    <row r="3" spans="1:81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0.98689436060365365</v>
      </c>
      <c r="F3">
        <v>1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>
        <f t="shared" ref="K3:K66" si="5">IF(AND($F3 &gt; 0.8, $F3 &lt;=1.1),$E3,"")</f>
        <v>0.98689436060365365</v>
      </c>
      <c r="L3" s="1" t="str">
        <f t="shared" ref="L3:L66" si="6">IF(AND($F3 &gt; 1.1),$E3,"")</f>
        <v/>
      </c>
      <c r="M3" s="1"/>
      <c r="N3" s="1">
        <f>SUM(T3:V3)/64</f>
        <v>3.125E-2</v>
      </c>
      <c r="O3" s="1">
        <f>SUM(Q3:V3)</f>
        <v>58</v>
      </c>
      <c r="P3" t="s">
        <v>424</v>
      </c>
      <c r="Q3" s="3">
        <f t="shared" ref="Q3:Q8" si="7">COUNTIF($X3:$CC3,"=0")</f>
        <v>44</v>
      </c>
      <c r="R3" s="3">
        <f t="shared" ref="R3:R8" si="8">COUNTIFS($X3:$CC3,"&gt;0",$X3:$CC3,"&lt;0.25")</f>
        <v>10</v>
      </c>
      <c r="S3" s="3">
        <f t="shared" ref="S3:S8" si="9">COUNTIFS($X3:$CC3,"&gt;=0.25",$X3:$CC3,"&lt;0.5")</f>
        <v>2</v>
      </c>
      <c r="T3" s="3">
        <f t="shared" ref="T3:T8" si="10">COUNTIFS($X3:$CC3,"&gt;=0.5",$X3:$CC3,"&lt;0.75")</f>
        <v>2</v>
      </c>
      <c r="U3" s="3">
        <f t="shared" ref="U3:U8" si="11">COUNTIFS($X3:$CC3,"&gt;=0.75",$X3:$CC3,"&lt;1")</f>
        <v>0</v>
      </c>
      <c r="V3" s="3">
        <f t="shared" ref="V3:V8" si="12">COUNTIF($X3:$CC3,"=1")</f>
        <v>0</v>
      </c>
      <c r="W3" t="s">
        <v>424</v>
      </c>
      <c r="X3">
        <f>DMAX($A$1:$L$516,$W3,X$1:X$2)</f>
        <v>0</v>
      </c>
      <c r="Y3">
        <f>DMAX($A$1:$L$522,$W3,Y$1:Y$2)</f>
        <v>0</v>
      </c>
      <c r="Z3">
        <f t="shared" ref="Z3:CB3" si="13">DMAX($A$1:$L$522,$W3,Z$1:Z$2)</f>
        <v>0</v>
      </c>
      <c r="AA3">
        <f t="shared" si="13"/>
        <v>0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1.1308728282101368E-3</v>
      </c>
      <c r="AF3">
        <f t="shared" si="13"/>
        <v>0.50226293103448272</v>
      </c>
      <c r="AG3">
        <f t="shared" si="13"/>
        <v>4.138081237068496E-3</v>
      </c>
      <c r="AH3">
        <f t="shared" si="13"/>
        <v>6.7879529123987162E-2</v>
      </c>
      <c r="AI3">
        <f t="shared" si="13"/>
        <v>0</v>
      </c>
      <c r="AJ3">
        <f t="shared" si="13"/>
        <v>0</v>
      </c>
      <c r="AK3">
        <f t="shared" si="13"/>
        <v>0</v>
      </c>
      <c r="AL3">
        <f t="shared" si="13"/>
        <v>0.36735736173938421</v>
      </c>
      <c r="AM3">
        <f t="shared" si="13"/>
        <v>1.3948256467941508E-2</v>
      </c>
      <c r="AN3">
        <f t="shared" si="13"/>
        <v>0</v>
      </c>
      <c r="AO3">
        <f t="shared" si="13"/>
        <v>0</v>
      </c>
      <c r="AP3">
        <f t="shared" si="13"/>
        <v>0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  <c r="AY3">
        <f t="shared" si="13"/>
        <v>0</v>
      </c>
      <c r="AZ3">
        <f t="shared" si="13"/>
        <v>0</v>
      </c>
      <c r="BA3">
        <f t="shared" si="13"/>
        <v>0</v>
      </c>
      <c r="BB3">
        <f t="shared" si="13"/>
        <v>0.18197246841410522</v>
      </c>
      <c r="BC3">
        <f t="shared" si="13"/>
        <v>0.53948133503895801</v>
      </c>
      <c r="BD3">
        <f t="shared" si="13"/>
        <v>0</v>
      </c>
      <c r="BE3">
        <f t="shared" si="13"/>
        <v>0</v>
      </c>
      <c r="BF3">
        <f t="shared" si="13"/>
        <v>0</v>
      </c>
      <c r="BG3">
        <f t="shared" si="13"/>
        <v>0.17873706742775597</v>
      </c>
      <c r="BH3">
        <f t="shared" si="13"/>
        <v>0.33217993079584773</v>
      </c>
      <c r="BI3">
        <f t="shared" si="13"/>
        <v>0</v>
      </c>
      <c r="BJ3">
        <f t="shared" si="13"/>
        <v>2.0805920127759596E-3</v>
      </c>
      <c r="BK3">
        <f t="shared" si="13"/>
        <v>0.19752858058054446</v>
      </c>
      <c r="BL3">
        <f t="shared" si="13"/>
        <v>3.6641402804552777E-3</v>
      </c>
      <c r="BM3">
        <f t="shared" si="13"/>
        <v>2.4198189713807356E-3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0</v>
      </c>
      <c r="BR3">
        <f t="shared" si="13"/>
        <v>0</v>
      </c>
      <c r="BS3">
        <f t="shared" si="13"/>
        <v>0</v>
      </c>
      <c r="BT3">
        <f t="shared" si="13"/>
        <v>0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0</v>
      </c>
      <c r="BY3">
        <f t="shared" si="13"/>
        <v>0</v>
      </c>
      <c r="BZ3">
        <f>DMAX($A$1:$L$522,$W3,BZ$1:BZ$2)</f>
        <v>0</v>
      </c>
      <c r="CA3">
        <f t="shared" si="13"/>
        <v>0</v>
      </c>
      <c r="CB3">
        <f t="shared" si="13"/>
        <v>0</v>
      </c>
      <c r="CC3">
        <f>DMAX($A$1:$L$516,$W3,CC$1:CC$2)</f>
        <v>0</v>
      </c>
    </row>
    <row r="4" spans="1:81">
      <c r="A4" t="s">
        <v>4</v>
      </c>
      <c r="B4">
        <v>1</v>
      </c>
      <c r="C4" t="str">
        <f t="shared" si="0"/>
        <v>test.BallonFactory_1_</v>
      </c>
      <c r="D4">
        <v>3</v>
      </c>
      <c r="E4">
        <v>1</v>
      </c>
      <c r="F4">
        <v>1.0222222000000001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>
        <f t="shared" si="5"/>
        <v>1</v>
      </c>
      <c r="L4" s="1" t="str">
        <f t="shared" si="6"/>
        <v/>
      </c>
      <c r="M4" s="1"/>
      <c r="N4" s="1">
        <f t="shared" ref="N4:N7" si="14">SUM(T4:V4)/64</f>
        <v>0.140625</v>
      </c>
      <c r="O4" s="1">
        <f t="shared" ref="O4:O7" si="15">SUM(Q4:V4)</f>
        <v>58</v>
      </c>
      <c r="P4" t="s">
        <v>425</v>
      </c>
      <c r="Q4" s="3">
        <f t="shared" si="7"/>
        <v>28</v>
      </c>
      <c r="R4" s="3">
        <f t="shared" si="8"/>
        <v>12</v>
      </c>
      <c r="S4" s="3">
        <f t="shared" si="9"/>
        <v>9</v>
      </c>
      <c r="T4" s="3">
        <f t="shared" si="10"/>
        <v>1</v>
      </c>
      <c r="U4" s="3">
        <f t="shared" si="11"/>
        <v>2</v>
      </c>
      <c r="V4" s="3">
        <f t="shared" si="12"/>
        <v>6</v>
      </c>
      <c r="W4" t="s">
        <v>425</v>
      </c>
      <c r="X4">
        <f>IF(X3&lt;DMAX($A$1:$L$522,$W4,X$1:X$2),DMAX($A$1:$L$522,$W4,X$1:X$2),X3)</f>
        <v>0</v>
      </c>
      <c r="Y4">
        <f t="shared" ref="Y4:CB8" si="16">IF(Y3&lt;DMAX($A$1:$L$522,$W4,Y$1:Y$2),DMAX($A$1:$L$522,$W4,Y$1:Y$2),Y3)</f>
        <v>0</v>
      </c>
      <c r="Z4">
        <f t="shared" si="16"/>
        <v>0</v>
      </c>
      <c r="AA4">
        <f t="shared" si="16"/>
        <v>0.43042565375071579</v>
      </c>
      <c r="AB4">
        <f t="shared" si="16"/>
        <v>0</v>
      </c>
      <c r="AC4">
        <f t="shared" si="16"/>
        <v>0</v>
      </c>
      <c r="AD4">
        <f t="shared" si="16"/>
        <v>0</v>
      </c>
      <c r="AE4">
        <f t="shared" si="16"/>
        <v>1.1308728282101368E-3</v>
      </c>
      <c r="AF4">
        <f t="shared" si="16"/>
        <v>0.52564655172413788</v>
      </c>
      <c r="AG4">
        <f t="shared" si="16"/>
        <v>1</v>
      </c>
      <c r="AH4">
        <f t="shared" si="16"/>
        <v>0.41752025684146155</v>
      </c>
      <c r="AI4">
        <f t="shared" si="16"/>
        <v>1.8545279383429671E-2</v>
      </c>
      <c r="AJ4">
        <f t="shared" si="16"/>
        <v>0</v>
      </c>
      <c r="AK4">
        <f t="shared" si="16"/>
        <v>0</v>
      </c>
      <c r="AL4">
        <f t="shared" si="16"/>
        <v>1</v>
      </c>
      <c r="AM4">
        <f t="shared" si="16"/>
        <v>1.3948256467941508E-2</v>
      </c>
      <c r="AN4">
        <f t="shared" si="16"/>
        <v>3.1705227077977724E-2</v>
      </c>
      <c r="AO4">
        <f t="shared" si="16"/>
        <v>0.88213552361396308</v>
      </c>
      <c r="AP4">
        <f t="shared" si="16"/>
        <v>0.25240907677960833</v>
      </c>
      <c r="AQ4">
        <f t="shared" si="16"/>
        <v>0</v>
      </c>
      <c r="AR4">
        <f t="shared" si="16"/>
        <v>0</v>
      </c>
      <c r="AS4">
        <f t="shared" si="16"/>
        <v>0</v>
      </c>
      <c r="AT4">
        <f t="shared" si="16"/>
        <v>0</v>
      </c>
      <c r="AU4">
        <f t="shared" si="16"/>
        <v>4.4161358811040337E-2</v>
      </c>
      <c r="AV4">
        <f t="shared" si="16"/>
        <v>0.29626225490196079</v>
      </c>
      <c r="AW4">
        <f t="shared" si="16"/>
        <v>0.37517831669044222</v>
      </c>
      <c r="AX4">
        <f t="shared" si="16"/>
        <v>0.16417910447761194</v>
      </c>
      <c r="AY4">
        <f t="shared" si="16"/>
        <v>0</v>
      </c>
      <c r="AZ4">
        <f t="shared" si="16"/>
        <v>0</v>
      </c>
      <c r="BA4">
        <f t="shared" si="16"/>
        <v>0</v>
      </c>
      <c r="BB4">
        <f t="shared" si="16"/>
        <v>1</v>
      </c>
      <c r="BC4">
        <f t="shared" si="16"/>
        <v>1</v>
      </c>
      <c r="BD4">
        <f t="shared" si="16"/>
        <v>0</v>
      </c>
      <c r="BE4">
        <f t="shared" si="16"/>
        <v>0</v>
      </c>
      <c r="BF4">
        <f t="shared" si="16"/>
        <v>0.26759649691858578</v>
      </c>
      <c r="BG4">
        <f t="shared" si="16"/>
        <v>1</v>
      </c>
      <c r="BH4">
        <f t="shared" si="16"/>
        <v>0.83996539792387548</v>
      </c>
      <c r="BI4">
        <f t="shared" si="16"/>
        <v>0</v>
      </c>
      <c r="BJ4">
        <f t="shared" si="16"/>
        <v>2.0805920127759596E-3</v>
      </c>
      <c r="BK4">
        <f t="shared" si="16"/>
        <v>0.37500338365199815</v>
      </c>
      <c r="BL4">
        <f t="shared" si="16"/>
        <v>3.6641402804552777E-3</v>
      </c>
      <c r="BM4">
        <f t="shared" si="16"/>
        <v>2.4198189713807356E-3</v>
      </c>
      <c r="BN4">
        <f t="shared" si="16"/>
        <v>0</v>
      </c>
      <c r="BO4">
        <f t="shared" si="16"/>
        <v>0</v>
      </c>
      <c r="BP4">
        <f t="shared" si="16"/>
        <v>0</v>
      </c>
      <c r="BQ4">
        <f t="shared" si="16"/>
        <v>0.12802626179729176</v>
      </c>
      <c r="BR4">
        <f t="shared" si="16"/>
        <v>0.39728539985326483</v>
      </c>
      <c r="BS4">
        <f t="shared" si="16"/>
        <v>1</v>
      </c>
      <c r="BT4">
        <f t="shared" si="16"/>
        <v>0.42483001762780154</v>
      </c>
      <c r="BU4">
        <f t="shared" si="16"/>
        <v>0.15352112676056337</v>
      </c>
      <c r="BV4">
        <f t="shared" si="16"/>
        <v>0</v>
      </c>
      <c r="BW4">
        <f t="shared" si="16"/>
        <v>0</v>
      </c>
      <c r="BX4">
        <f t="shared" si="16"/>
        <v>2.2157996146435453E-2</v>
      </c>
      <c r="BY4">
        <f t="shared" si="16"/>
        <v>0</v>
      </c>
      <c r="BZ4">
        <f>IF(BZ3&lt;DMAX($A$1:$L$522,$W4,BZ$1:BZ$2),DMAX($A$1:$L$522,$W4,BZ$1:BZ$2),BZ3)</f>
        <v>0</v>
      </c>
      <c r="CA4">
        <f t="shared" si="16"/>
        <v>0</v>
      </c>
      <c r="CB4">
        <f t="shared" si="16"/>
        <v>0</v>
      </c>
      <c r="CC4">
        <f>IF(CC3&lt;DMAX($A$1:$L$516,$W4,CC$1:CC$2),DMAX($A$1:$L$516,$W4,CC$1:CC$2),CC3)</f>
        <v>0</v>
      </c>
    </row>
    <row r="5" spans="1:81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1.0222288666666666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>
        <f t="shared" si="5"/>
        <v>1</v>
      </c>
      <c r="L5" s="1" t="str">
        <f t="shared" si="6"/>
        <v/>
      </c>
      <c r="M5" s="1">
        <f>SUM(R5:V5)/64</f>
        <v>0.59375</v>
      </c>
      <c r="N5" s="1">
        <f t="shared" si="14"/>
        <v>0.328125</v>
      </c>
      <c r="O5" s="1">
        <f t="shared" si="15"/>
        <v>58</v>
      </c>
      <c r="P5" t="s">
        <v>426</v>
      </c>
      <c r="Q5" s="3">
        <f t="shared" si="7"/>
        <v>20</v>
      </c>
      <c r="R5" s="3">
        <f>COUNTIFS($X5:$CC5,"&gt;0",$X5:$CC5,"&lt;0.25")</f>
        <v>10</v>
      </c>
      <c r="S5" s="3">
        <f t="shared" si="9"/>
        <v>7</v>
      </c>
      <c r="T5" s="3">
        <f t="shared" si="10"/>
        <v>5</v>
      </c>
      <c r="U5" s="3">
        <f t="shared" si="11"/>
        <v>4</v>
      </c>
      <c r="V5" s="3">
        <f t="shared" si="12"/>
        <v>12</v>
      </c>
      <c r="W5" t="s">
        <v>426</v>
      </c>
      <c r="X5">
        <f>IF(X4&lt;DMAX($A$1:$L$522,$W5,X$1:X$2),DMAX($A$1:$L$522,$W5,X$1:X$2),X4)</f>
        <v>0</v>
      </c>
      <c r="Y5">
        <f>IF(Y4&lt;DMAX($A$1:$L$522,$W5,Y$1:Y$2),DMAX($A$1:$L$522,$W5,Y$1:Y$2),Y4)</f>
        <v>0.42487883683360256</v>
      </c>
      <c r="Z5">
        <f t="shared" si="16"/>
        <v>0</v>
      </c>
      <c r="AA5">
        <f t="shared" si="16"/>
        <v>1</v>
      </c>
      <c r="AB5">
        <f t="shared" si="16"/>
        <v>0</v>
      </c>
      <c r="AC5">
        <f t="shared" si="16"/>
        <v>0</v>
      </c>
      <c r="AD5">
        <f t="shared" si="16"/>
        <v>0</v>
      </c>
      <c r="AE5">
        <f t="shared" si="16"/>
        <v>1.1308728282101368E-3</v>
      </c>
      <c r="AF5">
        <f t="shared" si="16"/>
        <v>0.52564655172413788</v>
      </c>
      <c r="AG5">
        <f t="shared" si="16"/>
        <v>1</v>
      </c>
      <c r="AH5">
        <f t="shared" si="16"/>
        <v>0.81837639504662896</v>
      </c>
      <c r="AI5">
        <f t="shared" si="16"/>
        <v>1.8545279383429671E-2</v>
      </c>
      <c r="AJ5">
        <f t="shared" si="16"/>
        <v>0</v>
      </c>
      <c r="AK5">
        <f t="shared" si="16"/>
        <v>0</v>
      </c>
      <c r="AL5">
        <f t="shared" si="16"/>
        <v>1</v>
      </c>
      <c r="AM5">
        <f t="shared" si="16"/>
        <v>0.99640044994375698</v>
      </c>
      <c r="AN5">
        <f t="shared" si="16"/>
        <v>3.1705227077977724E-2</v>
      </c>
      <c r="AO5">
        <f t="shared" si="16"/>
        <v>1</v>
      </c>
      <c r="AP5">
        <f t="shared" si="16"/>
        <v>0.25240907677960833</v>
      </c>
      <c r="AQ5">
        <f t="shared" si="16"/>
        <v>0</v>
      </c>
      <c r="AR5">
        <f t="shared" si="16"/>
        <v>0</v>
      </c>
      <c r="AS5">
        <f t="shared" si="16"/>
        <v>0</v>
      </c>
      <c r="AT5">
        <f t="shared" si="16"/>
        <v>0.15140186915887852</v>
      </c>
      <c r="AU5">
        <f t="shared" si="16"/>
        <v>4.4161358811040337E-2</v>
      </c>
      <c r="AV5">
        <f t="shared" si="16"/>
        <v>0.62438725490196079</v>
      </c>
      <c r="AW5">
        <f t="shared" si="16"/>
        <v>0.37517831669044222</v>
      </c>
      <c r="AX5">
        <f t="shared" si="16"/>
        <v>0.52955223880597013</v>
      </c>
      <c r="AY5">
        <f t="shared" si="16"/>
        <v>0</v>
      </c>
      <c r="AZ5">
        <f t="shared" si="16"/>
        <v>0</v>
      </c>
      <c r="BA5">
        <f t="shared" si="16"/>
        <v>1</v>
      </c>
      <c r="BB5">
        <f t="shared" si="16"/>
        <v>1</v>
      </c>
      <c r="BC5">
        <f t="shared" si="16"/>
        <v>1</v>
      </c>
      <c r="BD5">
        <f t="shared" si="16"/>
        <v>0</v>
      </c>
      <c r="BE5">
        <f t="shared" si="16"/>
        <v>0</v>
      </c>
      <c r="BF5">
        <f t="shared" si="16"/>
        <v>1</v>
      </c>
      <c r="BG5">
        <f t="shared" si="16"/>
        <v>1</v>
      </c>
      <c r="BH5">
        <f t="shared" si="16"/>
        <v>0.83996539792387548</v>
      </c>
      <c r="BI5">
        <f t="shared" si="16"/>
        <v>0.31725265739983649</v>
      </c>
      <c r="BJ5">
        <f t="shared" si="16"/>
        <v>2.0805920127759596E-3</v>
      </c>
      <c r="BK5">
        <f t="shared" si="16"/>
        <v>0.37500338365199815</v>
      </c>
      <c r="BL5">
        <f t="shared" si="16"/>
        <v>3.6641402804552777E-3</v>
      </c>
      <c r="BM5">
        <f t="shared" si="16"/>
        <v>2.4198189713807356E-3</v>
      </c>
      <c r="BN5">
        <f t="shared" si="16"/>
        <v>0</v>
      </c>
      <c r="BO5">
        <f t="shared" si="16"/>
        <v>0.53979460847240046</v>
      </c>
      <c r="BP5">
        <f t="shared" si="16"/>
        <v>0</v>
      </c>
      <c r="BQ5">
        <f t="shared" si="16"/>
        <v>0.32663110381616745</v>
      </c>
      <c r="BR5">
        <f t="shared" si="16"/>
        <v>1</v>
      </c>
      <c r="BS5">
        <f t="shared" si="16"/>
        <v>1</v>
      </c>
      <c r="BT5">
        <f t="shared" si="16"/>
        <v>0.61218836565096957</v>
      </c>
      <c r="BU5">
        <f t="shared" si="16"/>
        <v>1</v>
      </c>
      <c r="BV5">
        <f t="shared" si="16"/>
        <v>0.2440677966101695</v>
      </c>
      <c r="BW5">
        <f t="shared" si="16"/>
        <v>0</v>
      </c>
      <c r="BX5">
        <f t="shared" si="16"/>
        <v>0.92228644829800899</v>
      </c>
      <c r="BY5">
        <f t="shared" si="16"/>
        <v>4.7422680412371132E-2</v>
      </c>
      <c r="BZ5">
        <f t="shared" si="16"/>
        <v>0</v>
      </c>
      <c r="CA5">
        <f t="shared" si="16"/>
        <v>0.31790123456790126</v>
      </c>
      <c r="CB5">
        <f t="shared" si="16"/>
        <v>0</v>
      </c>
      <c r="CC5">
        <f>IF(CC4&lt;DMAX($A$1:$L$516,$W5,CC$1:CC$2),DMAX($A$1:$L$516,$W5,CC$1:CC$2),CC4)</f>
        <v>0</v>
      </c>
    </row>
    <row r="6" spans="1:81">
      <c r="A6" t="s">
        <v>4</v>
      </c>
      <c r="B6">
        <v>2</v>
      </c>
      <c r="C6" t="str">
        <f t="shared" si="0"/>
        <v>test.BallonFactory_2_</v>
      </c>
      <c r="D6">
        <v>1</v>
      </c>
      <c r="E6">
        <v>0.18739903069466882</v>
      </c>
      <c r="F6">
        <v>0.55555555000000001</v>
      </c>
      <c r="G6" s="1" t="str">
        <f t="shared" si="1"/>
        <v/>
      </c>
      <c r="H6" s="1" t="str">
        <f t="shared" si="2"/>
        <v/>
      </c>
      <c r="I6" s="1">
        <f t="shared" si="3"/>
        <v>0.18739903069466882</v>
      </c>
      <c r="J6" s="1" t="str">
        <f t="shared" si="4"/>
        <v/>
      </c>
      <c r="K6" s="1" t="str">
        <f t="shared" si="5"/>
        <v/>
      </c>
      <c r="L6" s="1" t="str">
        <f t="shared" si="6"/>
        <v/>
      </c>
      <c r="M6" s="1">
        <f>25/64</f>
        <v>0.390625</v>
      </c>
      <c r="N6" s="1">
        <f>SUM(T6:V6)/64</f>
        <v>0.53125</v>
      </c>
      <c r="O6" s="1">
        <f t="shared" si="15"/>
        <v>58</v>
      </c>
      <c r="P6" t="s">
        <v>427</v>
      </c>
      <c r="Q6" s="3">
        <f t="shared" si="7"/>
        <v>13</v>
      </c>
      <c r="R6" s="3">
        <f t="shared" si="8"/>
        <v>7</v>
      </c>
      <c r="S6" s="3">
        <f t="shared" si="9"/>
        <v>4</v>
      </c>
      <c r="T6" s="3">
        <f t="shared" si="10"/>
        <v>6</v>
      </c>
      <c r="U6" s="3">
        <f t="shared" si="11"/>
        <v>3</v>
      </c>
      <c r="V6" s="3">
        <f t="shared" si="12"/>
        <v>25</v>
      </c>
      <c r="W6" t="s">
        <v>427</v>
      </c>
      <c r="X6">
        <f>IF(X5&lt;DMAX($A$1:$L$522,$W6,X$1:X$2),DMAX($A$1:$L$522,$W6,X$1:X$2),X5)</f>
        <v>0</v>
      </c>
      <c r="Y6">
        <f t="shared" si="16"/>
        <v>0.99030694668820674</v>
      </c>
      <c r="Z6">
        <f t="shared" si="16"/>
        <v>0</v>
      </c>
      <c r="AA6">
        <f t="shared" si="16"/>
        <v>1</v>
      </c>
      <c r="AB6">
        <f t="shared" si="16"/>
        <v>0.11263736263736264</v>
      </c>
      <c r="AC6">
        <f t="shared" si="16"/>
        <v>0.38186813186813184</v>
      </c>
      <c r="AD6">
        <f t="shared" si="16"/>
        <v>0</v>
      </c>
      <c r="AE6">
        <f t="shared" si="16"/>
        <v>1.1308728282101368E-3</v>
      </c>
      <c r="AF6">
        <f t="shared" si="16"/>
        <v>0.52564655172413788</v>
      </c>
      <c r="AG6">
        <f t="shared" si="16"/>
        <v>1</v>
      </c>
      <c r="AH6">
        <f t="shared" si="16"/>
        <v>1</v>
      </c>
      <c r="AI6">
        <f t="shared" si="16"/>
        <v>1.8545279383429671E-2</v>
      </c>
      <c r="AJ6">
        <f t="shared" si="16"/>
        <v>0</v>
      </c>
      <c r="AK6">
        <f t="shared" si="16"/>
        <v>0</v>
      </c>
      <c r="AL6">
        <f t="shared" si="16"/>
        <v>1</v>
      </c>
      <c r="AM6">
        <f t="shared" si="16"/>
        <v>0.99640044994375698</v>
      </c>
      <c r="AN6">
        <f t="shared" si="16"/>
        <v>0.7005141388174807</v>
      </c>
      <c r="AO6">
        <f t="shared" si="16"/>
        <v>1</v>
      </c>
      <c r="AP6">
        <f t="shared" si="16"/>
        <v>0.25240907677960833</v>
      </c>
      <c r="AQ6">
        <f t="shared" si="16"/>
        <v>0</v>
      </c>
      <c r="AR6">
        <f t="shared" si="16"/>
        <v>0</v>
      </c>
      <c r="AS6">
        <f t="shared" si="16"/>
        <v>1</v>
      </c>
      <c r="AT6">
        <f t="shared" si="16"/>
        <v>0.15140186915887852</v>
      </c>
      <c r="AU6">
        <f t="shared" si="16"/>
        <v>1</v>
      </c>
      <c r="AV6">
        <f t="shared" si="16"/>
        <v>0.62438725490196079</v>
      </c>
      <c r="AW6">
        <f t="shared" si="16"/>
        <v>1</v>
      </c>
      <c r="AX6">
        <f t="shared" si="16"/>
        <v>0.52955223880597013</v>
      </c>
      <c r="AY6">
        <f t="shared" si="16"/>
        <v>0.70921985815602839</v>
      </c>
      <c r="AZ6">
        <f t="shared" si="16"/>
        <v>0</v>
      </c>
      <c r="BA6">
        <f t="shared" si="16"/>
        <v>1</v>
      </c>
      <c r="BB6">
        <f t="shared" si="16"/>
        <v>1</v>
      </c>
      <c r="BC6">
        <f t="shared" si="16"/>
        <v>1</v>
      </c>
      <c r="BD6">
        <f t="shared" si="16"/>
        <v>0</v>
      </c>
      <c r="BE6">
        <f t="shared" si="16"/>
        <v>0.40729483282674772</v>
      </c>
      <c r="BF6">
        <f t="shared" si="16"/>
        <v>1</v>
      </c>
      <c r="BG6">
        <f t="shared" si="16"/>
        <v>1</v>
      </c>
      <c r="BH6">
        <f t="shared" si="16"/>
        <v>1</v>
      </c>
      <c r="BI6">
        <f t="shared" si="16"/>
        <v>0.31725265739983649</v>
      </c>
      <c r="BJ6">
        <f t="shared" si="16"/>
        <v>2.0805920127759596E-3</v>
      </c>
      <c r="BK6">
        <f t="shared" si="16"/>
        <v>1</v>
      </c>
      <c r="BL6">
        <f t="shared" si="16"/>
        <v>3.6641402804552777E-3</v>
      </c>
      <c r="BM6">
        <f t="shared" si="16"/>
        <v>2.4198189713807356E-3</v>
      </c>
      <c r="BN6">
        <f t="shared" si="16"/>
        <v>1</v>
      </c>
      <c r="BO6">
        <f t="shared" si="16"/>
        <v>1</v>
      </c>
      <c r="BP6">
        <f t="shared" si="16"/>
        <v>0</v>
      </c>
      <c r="BQ6">
        <f t="shared" si="16"/>
        <v>1</v>
      </c>
      <c r="BR6">
        <f t="shared" si="16"/>
        <v>1</v>
      </c>
      <c r="BS6">
        <f t="shared" si="16"/>
        <v>1</v>
      </c>
      <c r="BT6">
        <f t="shared" si="16"/>
        <v>1</v>
      </c>
      <c r="BU6">
        <f t="shared" si="16"/>
        <v>1</v>
      </c>
      <c r="BV6">
        <f t="shared" si="16"/>
        <v>0.95932203389830506</v>
      </c>
      <c r="BW6">
        <f t="shared" si="16"/>
        <v>0</v>
      </c>
      <c r="BX6">
        <f t="shared" si="16"/>
        <v>1</v>
      </c>
      <c r="BY6">
        <f t="shared" si="16"/>
        <v>1</v>
      </c>
      <c r="BZ6">
        <f t="shared" si="16"/>
        <v>0</v>
      </c>
      <c r="CA6">
        <f t="shared" si="16"/>
        <v>1</v>
      </c>
      <c r="CB6">
        <f t="shared" si="16"/>
        <v>0.72233400402414483</v>
      </c>
      <c r="CC6">
        <f>IF(CC5&lt;DMAX($A$1:$L$516,$W6,CC$1:CC$2),DMAX($A$1:$L$516,$W6,CC$1:CC$2),CC5)</f>
        <v>0</v>
      </c>
    </row>
    <row r="7" spans="1:81">
      <c r="A7" t="s">
        <v>4</v>
      </c>
      <c r="B7">
        <v>2</v>
      </c>
      <c r="C7" t="str">
        <f t="shared" si="0"/>
        <v>test.BallonFactory_2_</v>
      </c>
      <c r="D7">
        <v>2</v>
      </c>
      <c r="E7">
        <v>0.42487883683360256</v>
      </c>
      <c r="F7">
        <v>0.55557219999999996</v>
      </c>
      <c r="G7" s="1" t="str">
        <f t="shared" si="1"/>
        <v/>
      </c>
      <c r="H7" s="1" t="str">
        <f t="shared" si="2"/>
        <v/>
      </c>
      <c r="I7" s="1">
        <f t="shared" si="3"/>
        <v>0.42487883683360256</v>
      </c>
      <c r="J7" s="1" t="str">
        <f t="shared" si="4"/>
        <v/>
      </c>
      <c r="K7" s="1" t="str">
        <f t="shared" si="5"/>
        <v/>
      </c>
      <c r="L7" s="1" t="str">
        <f t="shared" si="6"/>
        <v/>
      </c>
      <c r="M7" s="1"/>
      <c r="N7" s="1">
        <f t="shared" si="14"/>
        <v>0.890625</v>
      </c>
      <c r="O7" s="1">
        <f t="shared" si="15"/>
        <v>58</v>
      </c>
      <c r="P7" s="2" t="s">
        <v>428</v>
      </c>
      <c r="Q7" s="3">
        <f t="shared" si="7"/>
        <v>0</v>
      </c>
      <c r="R7" s="3">
        <f t="shared" si="8"/>
        <v>1</v>
      </c>
      <c r="S7" s="3">
        <f t="shared" si="9"/>
        <v>0</v>
      </c>
      <c r="T7" s="3">
        <f t="shared" si="10"/>
        <v>0</v>
      </c>
      <c r="U7" s="3">
        <f t="shared" si="11"/>
        <v>2</v>
      </c>
      <c r="V7" s="3">
        <f t="shared" si="12"/>
        <v>55</v>
      </c>
      <c r="W7" s="2" t="s">
        <v>428</v>
      </c>
      <c r="X7">
        <f>IF(X6&lt;DMAX($A$1:$L$522,$W7,X$1:X$2),DMAX($A$1:$L$522,$W7,X$1:X$2),X6)</f>
        <v>1</v>
      </c>
      <c r="Y7">
        <f t="shared" si="16"/>
        <v>1</v>
      </c>
      <c r="Z7">
        <f t="shared" si="16"/>
        <v>0.17499999999999999</v>
      </c>
      <c r="AA7">
        <f t="shared" si="16"/>
        <v>1</v>
      </c>
      <c r="AB7">
        <f t="shared" si="16"/>
        <v>0.9642857142857143</v>
      </c>
      <c r="AC7">
        <f t="shared" si="16"/>
        <v>1</v>
      </c>
      <c r="AD7">
        <f t="shared" si="16"/>
        <v>1</v>
      </c>
      <c r="AE7">
        <f t="shared" si="16"/>
        <v>1</v>
      </c>
      <c r="AF7">
        <f t="shared" si="16"/>
        <v>1</v>
      </c>
      <c r="AG7">
        <f t="shared" si="16"/>
        <v>1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1</v>
      </c>
      <c r="AM7">
        <f t="shared" si="16"/>
        <v>1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1</v>
      </c>
      <c r="AR7">
        <f t="shared" si="16"/>
        <v>1</v>
      </c>
      <c r="AS7">
        <f t="shared" si="16"/>
        <v>1</v>
      </c>
      <c r="AT7">
        <f t="shared" si="16"/>
        <v>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  <c r="AY7">
        <f t="shared" si="16"/>
        <v>1</v>
      </c>
      <c r="AZ7">
        <f t="shared" si="16"/>
        <v>1</v>
      </c>
      <c r="BA7">
        <f t="shared" si="16"/>
        <v>1</v>
      </c>
      <c r="BB7">
        <f t="shared" si="16"/>
        <v>1</v>
      </c>
      <c r="BC7">
        <f t="shared" si="16"/>
        <v>1</v>
      </c>
      <c r="BD7">
        <f t="shared" si="16"/>
        <v>0.93073593073593075</v>
      </c>
      <c r="BE7">
        <f t="shared" si="16"/>
        <v>1</v>
      </c>
      <c r="BF7">
        <f t="shared" si="16"/>
        <v>1</v>
      </c>
      <c r="BG7">
        <f t="shared" si="16"/>
        <v>1</v>
      </c>
      <c r="BH7">
        <f t="shared" si="16"/>
        <v>1</v>
      </c>
      <c r="BI7">
        <f t="shared" si="16"/>
        <v>1</v>
      </c>
      <c r="BJ7">
        <f t="shared" si="16"/>
        <v>1</v>
      </c>
      <c r="BK7">
        <f t="shared" si="16"/>
        <v>1</v>
      </c>
      <c r="BL7">
        <f t="shared" si="16"/>
        <v>1</v>
      </c>
      <c r="BM7">
        <f t="shared" si="16"/>
        <v>1</v>
      </c>
      <c r="BN7">
        <f t="shared" si="16"/>
        <v>1</v>
      </c>
      <c r="BO7">
        <f t="shared" si="16"/>
        <v>1</v>
      </c>
      <c r="BP7">
        <f t="shared" si="16"/>
        <v>1</v>
      </c>
      <c r="BQ7">
        <f t="shared" si="16"/>
        <v>1</v>
      </c>
      <c r="BR7">
        <f t="shared" si="16"/>
        <v>1</v>
      </c>
      <c r="BS7">
        <f t="shared" si="16"/>
        <v>1</v>
      </c>
      <c r="BT7">
        <f t="shared" si="16"/>
        <v>1</v>
      </c>
      <c r="BU7">
        <f t="shared" si="16"/>
        <v>1</v>
      </c>
      <c r="BV7">
        <f t="shared" si="16"/>
        <v>1</v>
      </c>
      <c r="BW7">
        <f t="shared" si="16"/>
        <v>1</v>
      </c>
      <c r="BX7">
        <f t="shared" si="16"/>
        <v>1</v>
      </c>
      <c r="BY7">
        <f t="shared" si="16"/>
        <v>1</v>
      </c>
      <c r="BZ7">
        <f t="shared" si="16"/>
        <v>1</v>
      </c>
      <c r="CA7">
        <f t="shared" si="16"/>
        <v>1</v>
      </c>
      <c r="CB7">
        <f t="shared" si="16"/>
        <v>1</v>
      </c>
      <c r="CC7">
        <f>IF(CC6&lt;DMAX($A$1:$L$516,$W7,CC$1:CC$2),DMAX($A$1:$L$516,$W7,CC$1:CC$2),CC6)</f>
        <v>1</v>
      </c>
    </row>
    <row r="8" spans="1:81">
      <c r="A8" t="s">
        <v>4</v>
      </c>
      <c r="B8">
        <v>2</v>
      </c>
      <c r="C8" t="str">
        <f t="shared" si="0"/>
        <v>test.BallonFactory_2_</v>
      </c>
      <c r="D8">
        <v>3</v>
      </c>
      <c r="E8">
        <v>0.66478190630048462</v>
      </c>
      <c r="F8">
        <v>0.66666666666666663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>
        <f t="shared" si="4"/>
        <v>0.66478190630048462</v>
      </c>
      <c r="K8" s="1" t="str">
        <f t="shared" si="5"/>
        <v/>
      </c>
      <c r="L8" s="1" t="str">
        <f t="shared" si="6"/>
        <v/>
      </c>
      <c r="M8" s="1"/>
      <c r="N8" s="1">
        <f>SUM(T8:V8)/64</f>
        <v>0.90625</v>
      </c>
      <c r="O8" s="1"/>
      <c r="P8" s="1" t="s">
        <v>429</v>
      </c>
      <c r="Q8" s="3">
        <f t="shared" si="7"/>
        <v>0</v>
      </c>
      <c r="R8" s="3">
        <f t="shared" si="8"/>
        <v>0</v>
      </c>
      <c r="S8" s="3">
        <f t="shared" si="9"/>
        <v>0</v>
      </c>
      <c r="T8" s="3">
        <f t="shared" si="10"/>
        <v>0</v>
      </c>
      <c r="U8" s="3">
        <f t="shared" si="11"/>
        <v>0</v>
      </c>
      <c r="V8" s="3">
        <f t="shared" si="12"/>
        <v>58</v>
      </c>
      <c r="W8" s="2" t="s">
        <v>429</v>
      </c>
      <c r="X8">
        <f>IF(X7&lt;DMAX($A$1:$L$522,$W8,X$1:X$2),DMAX($A$1:$L$522,$W8,X$1:X$2),X7)</f>
        <v>1</v>
      </c>
      <c r="Y8">
        <f t="shared" si="16"/>
        <v>1</v>
      </c>
      <c r="Z8">
        <f t="shared" si="16"/>
        <v>1</v>
      </c>
      <c r="AA8">
        <f t="shared" si="16"/>
        <v>1</v>
      </c>
      <c r="AB8">
        <f t="shared" si="16"/>
        <v>1</v>
      </c>
      <c r="AC8">
        <f t="shared" si="16"/>
        <v>1</v>
      </c>
      <c r="AD8">
        <f t="shared" si="16"/>
        <v>1</v>
      </c>
      <c r="AE8">
        <f t="shared" si="16"/>
        <v>1</v>
      </c>
      <c r="AF8">
        <f t="shared" si="16"/>
        <v>1</v>
      </c>
      <c r="AG8">
        <f t="shared" si="16"/>
        <v>1</v>
      </c>
      <c r="AH8">
        <f t="shared" si="16"/>
        <v>1</v>
      </c>
      <c r="AI8">
        <f t="shared" si="16"/>
        <v>1</v>
      </c>
      <c r="AJ8">
        <f t="shared" si="16"/>
        <v>1</v>
      </c>
      <c r="AK8">
        <f t="shared" si="16"/>
        <v>1</v>
      </c>
      <c r="AL8">
        <f t="shared" si="16"/>
        <v>1</v>
      </c>
      <c r="AM8">
        <f t="shared" si="16"/>
        <v>1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1</v>
      </c>
      <c r="AR8">
        <f t="shared" si="16"/>
        <v>1</v>
      </c>
      <c r="AS8">
        <f t="shared" si="16"/>
        <v>1</v>
      </c>
      <c r="AT8">
        <f t="shared" si="16"/>
        <v>1</v>
      </c>
      <c r="AU8">
        <f t="shared" si="16"/>
        <v>1</v>
      </c>
      <c r="AV8">
        <f t="shared" si="16"/>
        <v>1</v>
      </c>
      <c r="AW8">
        <f t="shared" si="16"/>
        <v>1</v>
      </c>
      <c r="AX8">
        <f t="shared" si="16"/>
        <v>1</v>
      </c>
      <c r="AY8">
        <f t="shared" si="16"/>
        <v>1</v>
      </c>
      <c r="AZ8">
        <f t="shared" ref="AZ8:CB8" si="17">IF(AZ7&lt;DMAX($A$1:$L$522,$W8,AZ$1:AZ$2),DMAX($A$1:$L$522,$W8,AZ$1:AZ$2),AZ7)</f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7"/>
        <v>1</v>
      </c>
      <c r="BF8">
        <f t="shared" si="17"/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>IF(CC7&lt;DMAX($A$1:$L$516,$W8,CC$1:CC$2),DMAX($A$1:$L$516,$W8,CC$1:CC$2),CC7)</f>
        <v>1</v>
      </c>
    </row>
    <row r="9" spans="1:81">
      <c r="A9" t="s">
        <v>4</v>
      </c>
      <c r="B9">
        <v>2</v>
      </c>
      <c r="C9" t="str">
        <f t="shared" si="0"/>
        <v>test.BallonFactory_2_</v>
      </c>
      <c r="D9">
        <v>4</v>
      </c>
      <c r="E9">
        <v>0.66478190630048462</v>
      </c>
      <c r="F9">
        <v>0.66668333333333329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>
        <f t="shared" si="4"/>
        <v>0.66478190630048462</v>
      </c>
      <c r="K9" s="1" t="str">
        <f t="shared" si="5"/>
        <v/>
      </c>
      <c r="L9" s="1" t="str">
        <f t="shared" si="6"/>
        <v/>
      </c>
    </row>
    <row r="10" spans="1:81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0.68416801292407103</v>
      </c>
      <c r="F10">
        <v>0.77777774999999993</v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">
        <f t="shared" si="4"/>
        <v>0.68416801292407103</v>
      </c>
      <c r="K10" s="1" t="str">
        <f t="shared" si="5"/>
        <v/>
      </c>
      <c r="L10" s="1" t="str">
        <f t="shared" si="6"/>
        <v/>
      </c>
    </row>
    <row r="11" spans="1:81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0.98061389337641358</v>
      </c>
      <c r="F11">
        <v>0.77779443333333331</v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">
        <f t="shared" si="4"/>
        <v>0.98061389337641358</v>
      </c>
      <c r="K11" s="1" t="str">
        <f t="shared" si="5"/>
        <v/>
      </c>
      <c r="L11" s="1" t="str">
        <f t="shared" si="6"/>
        <v/>
      </c>
    </row>
    <row r="12" spans="1:81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0.98061389337641358</v>
      </c>
      <c r="F12">
        <v>0.77781116666666661</v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">
        <f t="shared" si="4"/>
        <v>0.98061389337641358</v>
      </c>
      <c r="K12" s="1" t="str">
        <f t="shared" si="5"/>
        <v/>
      </c>
      <c r="L12" s="1" t="str">
        <f t="shared" si="6"/>
        <v/>
      </c>
    </row>
    <row r="13" spans="1:81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0.98061389337641358</v>
      </c>
      <c r="F13">
        <v>0.77782783333333327</v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">
        <f t="shared" si="4"/>
        <v>0.98061389337641358</v>
      </c>
      <c r="K13" s="1" t="str">
        <f t="shared" si="5"/>
        <v/>
      </c>
      <c r="L13" s="1" t="str">
        <f t="shared" si="6"/>
        <v/>
      </c>
    </row>
    <row r="14" spans="1:81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0.99030694668820674</v>
      </c>
      <c r="F14">
        <v>0.77784450000000005</v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">
        <f t="shared" si="4"/>
        <v>0.99030694668820674</v>
      </c>
      <c r="K14" s="1" t="str">
        <f t="shared" si="5"/>
        <v/>
      </c>
      <c r="L14" s="1" t="str">
        <f t="shared" si="6"/>
        <v/>
      </c>
    </row>
    <row r="15" spans="1:81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0.99030694668820674</v>
      </c>
      <c r="F15">
        <v>0.83333333333333337</v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" t="str">
        <f t="shared" si="4"/>
        <v/>
      </c>
      <c r="K15" s="1">
        <f t="shared" si="5"/>
        <v>0.99030694668820674</v>
      </c>
      <c r="L15" s="1" t="str">
        <f t="shared" si="6"/>
        <v/>
      </c>
    </row>
    <row r="16" spans="1:81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1</v>
      </c>
      <c r="F16">
        <v>0.83334999999999992</v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" t="str">
        <f t="shared" si="4"/>
        <v/>
      </c>
      <c r="K16" s="1">
        <f t="shared" si="5"/>
        <v>1</v>
      </c>
      <c r="L16" s="1" t="str">
        <f t="shared" si="6"/>
        <v/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1</v>
      </c>
      <c r="F17">
        <v>0.8888889166666667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 t="str">
        <f t="shared" si="4"/>
        <v/>
      </c>
      <c r="K17" s="1">
        <f t="shared" si="5"/>
        <v>1</v>
      </c>
      <c r="L17" s="1" t="str">
        <f t="shared" si="6"/>
        <v/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1</v>
      </c>
      <c r="F18">
        <v>0.88890560000000007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>
        <f t="shared" si="5"/>
        <v>1</v>
      </c>
      <c r="L18" s="1" t="str">
        <f t="shared" si="6"/>
        <v/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1</v>
      </c>
      <c r="F19">
        <v>0.88892233333333337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 t="str">
        <f t="shared" si="4"/>
        <v/>
      </c>
      <c r="K19" s="1">
        <f t="shared" si="5"/>
        <v>1</v>
      </c>
      <c r="L19" s="1" t="str">
        <f t="shared" si="6"/>
        <v/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1</v>
      </c>
      <c r="F20">
        <v>0.94444441666666668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>
        <f t="shared" si="5"/>
        <v>1</v>
      </c>
      <c r="L20" s="1" t="str">
        <f t="shared" si="6"/>
        <v/>
      </c>
    </row>
    <row r="21" spans="1:12">
      <c r="A21" t="s">
        <v>4</v>
      </c>
      <c r="B21">
        <v>6</v>
      </c>
      <c r="C21" t="str">
        <f t="shared" si="0"/>
        <v>test.BallonFactory_6_</v>
      </c>
      <c r="D21">
        <v>1</v>
      </c>
      <c r="E21">
        <v>0.17499999999999999</v>
      </c>
      <c r="F21">
        <v>1</v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" t="str">
        <f t="shared" si="4"/>
        <v/>
      </c>
      <c r="K21" s="1">
        <f t="shared" si="5"/>
        <v>0.17499999999999999</v>
      </c>
      <c r="L21" s="1" t="str">
        <f t="shared" si="6"/>
        <v/>
      </c>
    </row>
    <row r="22" spans="1:12">
      <c r="A22" t="s">
        <v>4</v>
      </c>
      <c r="B22">
        <v>6</v>
      </c>
      <c r="C22" t="str">
        <f t="shared" si="0"/>
        <v>test.BallonFactory_6_</v>
      </c>
      <c r="D22">
        <v>2</v>
      </c>
      <c r="E22">
        <v>0.3</v>
      </c>
      <c r="F22">
        <v>1.16666665</v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" t="str">
        <f t="shared" si="4"/>
        <v/>
      </c>
      <c r="K22" s="1" t="str">
        <f t="shared" si="5"/>
        <v/>
      </c>
      <c r="L22" s="1">
        <f t="shared" si="6"/>
        <v>0.3</v>
      </c>
    </row>
    <row r="23" spans="1:12">
      <c r="A23" t="s">
        <v>4</v>
      </c>
      <c r="B23">
        <v>6</v>
      </c>
      <c r="C23" t="str">
        <f t="shared" si="0"/>
        <v>test.BallonFactory_6_</v>
      </c>
      <c r="D23">
        <v>3</v>
      </c>
      <c r="E23">
        <v>0.88749999999999996</v>
      </c>
      <c r="F23">
        <v>1.1667166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 t="str">
        <f t="shared" si="4"/>
        <v/>
      </c>
      <c r="K23" s="1" t="str">
        <f t="shared" si="5"/>
        <v/>
      </c>
      <c r="L23" s="1">
        <f t="shared" si="6"/>
        <v>0.88749999999999996</v>
      </c>
    </row>
    <row r="24" spans="1:12">
      <c r="A24" t="s">
        <v>4</v>
      </c>
      <c r="B24">
        <v>6</v>
      </c>
      <c r="C24" t="str">
        <f t="shared" si="0"/>
        <v>test.BallonFactory_6_</v>
      </c>
      <c r="D24">
        <v>4</v>
      </c>
      <c r="E24">
        <v>1</v>
      </c>
      <c r="F24">
        <v>1.1667665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 t="str">
        <f t="shared" si="5"/>
        <v/>
      </c>
      <c r="L24" s="1">
        <f t="shared" si="6"/>
        <v>1</v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1</v>
      </c>
      <c r="F25">
        <v>1.33333335</v>
      </c>
      <c r="G25" s="1" t="str">
        <f t="shared" si="1"/>
        <v/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 t="str">
        <f t="shared" si="5"/>
        <v/>
      </c>
      <c r="L25" s="1">
        <f t="shared" si="6"/>
        <v>1</v>
      </c>
    </row>
    <row r="26" spans="1:12">
      <c r="A26" t="s">
        <v>4</v>
      </c>
      <c r="B26">
        <v>9</v>
      </c>
      <c r="C26" t="str">
        <f t="shared" si="0"/>
        <v>test.BallonFactory_9_</v>
      </c>
      <c r="D26">
        <v>1</v>
      </c>
      <c r="E26">
        <v>2.500477190303493E-2</v>
      </c>
      <c r="F26">
        <v>0.20454544989669432</v>
      </c>
      <c r="G26" s="1" t="str">
        <f t="shared" si="1"/>
        <v/>
      </c>
      <c r="H26" s="1">
        <f t="shared" si="2"/>
        <v>2.500477190303493E-2</v>
      </c>
      <c r="I26" s="1" t="str">
        <f t="shared" si="3"/>
        <v/>
      </c>
      <c r="J26" s="1" t="str">
        <f t="shared" si="4"/>
        <v/>
      </c>
      <c r="K26" s="1" t="str">
        <f t="shared" si="5"/>
        <v/>
      </c>
      <c r="L26" s="1" t="str">
        <f t="shared" si="6"/>
        <v/>
      </c>
    </row>
    <row r="27" spans="1:12">
      <c r="A27" t="s">
        <v>4</v>
      </c>
      <c r="B27">
        <v>9</v>
      </c>
      <c r="C27" t="str">
        <f t="shared" si="0"/>
        <v>test.BallonFactory_9_</v>
      </c>
      <c r="D27">
        <v>2</v>
      </c>
      <c r="E27">
        <v>0.12349685054399695</v>
      </c>
      <c r="F27">
        <v>0.27272726652892576</v>
      </c>
      <c r="G27" s="1" t="str">
        <f t="shared" si="1"/>
        <v/>
      </c>
      <c r="H27" s="1">
        <f t="shared" si="2"/>
        <v>0.12349685054399695</v>
      </c>
      <c r="I27" s="1" t="str">
        <f t="shared" si="3"/>
        <v/>
      </c>
      <c r="J27" s="1" t="str">
        <f t="shared" si="4"/>
        <v/>
      </c>
      <c r="K27" s="1" t="str">
        <f t="shared" si="5"/>
        <v/>
      </c>
      <c r="L27" s="1" t="str">
        <f t="shared" si="6"/>
        <v/>
      </c>
    </row>
    <row r="28" spans="1:12">
      <c r="A28" t="s">
        <v>4</v>
      </c>
      <c r="B28">
        <v>9</v>
      </c>
      <c r="C28" t="str">
        <f t="shared" si="0"/>
        <v>test.BallonFactory_9_</v>
      </c>
      <c r="D28">
        <v>3</v>
      </c>
      <c r="E28">
        <v>0.14544760450467648</v>
      </c>
      <c r="F28">
        <v>0.27273408471058896</v>
      </c>
      <c r="G28" s="1" t="str">
        <f t="shared" si="1"/>
        <v/>
      </c>
      <c r="H28" s="1">
        <f t="shared" si="2"/>
        <v>0.14544760450467648</v>
      </c>
      <c r="I28" s="1" t="str">
        <f t="shared" si="3"/>
        <v/>
      </c>
      <c r="J28" s="1" t="str">
        <f t="shared" si="4"/>
        <v/>
      </c>
      <c r="K28" s="1" t="str">
        <f t="shared" si="5"/>
        <v/>
      </c>
      <c r="L28" s="1" t="str">
        <f t="shared" si="6"/>
        <v/>
      </c>
    </row>
    <row r="29" spans="1:12">
      <c r="A29" t="s">
        <v>4</v>
      </c>
      <c r="B29">
        <v>9</v>
      </c>
      <c r="C29" t="str">
        <f t="shared" si="0"/>
        <v>test.BallonFactory_9_</v>
      </c>
      <c r="D29">
        <v>4</v>
      </c>
      <c r="E29">
        <v>0.19030349303302158</v>
      </c>
      <c r="F29">
        <v>0.29545455010330568</v>
      </c>
      <c r="G29" s="1" t="str">
        <f t="shared" si="1"/>
        <v/>
      </c>
      <c r="H29" s="1">
        <f t="shared" si="2"/>
        <v>0.19030349303302158</v>
      </c>
      <c r="I29" s="1" t="str">
        <f t="shared" si="3"/>
        <v/>
      </c>
      <c r="J29" s="1" t="str">
        <f t="shared" si="4"/>
        <v/>
      </c>
      <c r="K29" s="1" t="str">
        <f t="shared" si="5"/>
        <v/>
      </c>
      <c r="L29" s="1" t="str">
        <f t="shared" si="6"/>
        <v/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0.23096010689062799</v>
      </c>
      <c r="F30">
        <v>0.29546137510315057</v>
      </c>
      <c r="G30" s="1" t="str">
        <f t="shared" si="1"/>
        <v/>
      </c>
      <c r="H30" s="1">
        <f t="shared" si="2"/>
        <v>0.23096010689062799</v>
      </c>
      <c r="I30" s="1" t="str">
        <f t="shared" si="3"/>
        <v/>
      </c>
      <c r="J30" s="1" t="str">
        <f t="shared" si="4"/>
        <v/>
      </c>
      <c r="K30" s="1" t="str">
        <f t="shared" si="5"/>
        <v/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0.43042565375071579</v>
      </c>
      <c r="F31">
        <v>0.36363636673553712</v>
      </c>
      <c r="G31" s="1" t="str">
        <f t="shared" si="1"/>
        <v/>
      </c>
      <c r="H31" s="1">
        <f t="shared" si="2"/>
        <v>0.43042565375071579</v>
      </c>
      <c r="I31" s="1" t="str">
        <f t="shared" si="3"/>
        <v/>
      </c>
      <c r="J31" s="1" t="str">
        <f t="shared" si="4"/>
        <v/>
      </c>
      <c r="K31" s="1" t="str">
        <f t="shared" si="5"/>
        <v/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0.69345294903607557</v>
      </c>
      <c r="F32">
        <v>0.43181818336776856</v>
      </c>
      <c r="G32" s="1" t="str">
        <f t="shared" si="1"/>
        <v/>
      </c>
      <c r="H32" s="1" t="str">
        <f t="shared" si="2"/>
        <v/>
      </c>
      <c r="I32" s="1">
        <f t="shared" si="3"/>
        <v>0.69345294903607557</v>
      </c>
      <c r="J32" s="1" t="str">
        <f t="shared" si="4"/>
        <v/>
      </c>
      <c r="K32" s="1" t="str">
        <f t="shared" si="5"/>
        <v/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0.83928230578354646</v>
      </c>
      <c r="F33">
        <v>0.45454543285124016</v>
      </c>
      <c r="G33" s="1" t="str">
        <f t="shared" si="1"/>
        <v/>
      </c>
      <c r="H33" s="1" t="str">
        <f t="shared" si="2"/>
        <v/>
      </c>
      <c r="I33" s="1">
        <f t="shared" si="3"/>
        <v>0.83928230578354646</v>
      </c>
      <c r="J33" s="1" t="str">
        <f t="shared" si="4"/>
        <v/>
      </c>
      <c r="K33" s="1" t="str">
        <f t="shared" si="5"/>
        <v/>
      </c>
      <c r="L33" s="1" t="str">
        <f t="shared" si="6"/>
        <v/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0.96182477572055736</v>
      </c>
      <c r="F34">
        <v>0.47727271642562008</v>
      </c>
      <c r="G34" s="1" t="str">
        <f t="shared" si="1"/>
        <v/>
      </c>
      <c r="H34" s="1" t="str">
        <f t="shared" si="2"/>
        <v/>
      </c>
      <c r="I34" s="1">
        <f t="shared" si="3"/>
        <v>0.96182477572055736</v>
      </c>
      <c r="J34" s="1" t="str">
        <f t="shared" si="4"/>
        <v/>
      </c>
      <c r="K34" s="1" t="str">
        <f t="shared" si="5"/>
        <v/>
      </c>
      <c r="L34" s="1" t="str">
        <f t="shared" si="6"/>
        <v/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1</v>
      </c>
      <c r="F35">
        <v>0.47727953460728328</v>
      </c>
      <c r="G35" s="1" t="str">
        <f t="shared" si="1"/>
        <v/>
      </c>
      <c r="H35" s="1" t="str">
        <f t="shared" si="2"/>
        <v/>
      </c>
      <c r="I35" s="1">
        <f t="shared" si="3"/>
        <v>1</v>
      </c>
      <c r="J35" s="1" t="str">
        <f t="shared" si="4"/>
        <v/>
      </c>
      <c r="K35" s="1" t="str">
        <f t="shared" si="5"/>
        <v/>
      </c>
      <c r="L35" s="1" t="str">
        <f t="shared" si="6"/>
        <v/>
      </c>
    </row>
    <row r="36" spans="1:12">
      <c r="A36" t="s">
        <v>32</v>
      </c>
      <c r="B36">
        <v>2</v>
      </c>
      <c r="C36" t="str">
        <f t="shared" si="0"/>
        <v>test.Base64_2_</v>
      </c>
      <c r="D36">
        <v>1</v>
      </c>
      <c r="E36">
        <v>0.11263736263736264</v>
      </c>
      <c r="F36">
        <v>0.69999999699999993</v>
      </c>
      <c r="G36" s="1" t="str">
        <f t="shared" si="1"/>
        <v/>
      </c>
      <c r="H36" s="1" t="str">
        <f t="shared" si="2"/>
        <v/>
      </c>
      <c r="I36" s="1" t="str">
        <f t="shared" si="3"/>
        <v/>
      </c>
      <c r="J36" s="1">
        <f t="shared" si="4"/>
        <v>0.11263736263736264</v>
      </c>
      <c r="K36" s="1" t="str">
        <f t="shared" si="5"/>
        <v/>
      </c>
      <c r="L36" s="1" t="str">
        <f t="shared" si="6"/>
        <v/>
      </c>
    </row>
    <row r="37" spans="1:12">
      <c r="A37" t="s">
        <v>32</v>
      </c>
      <c r="B37">
        <v>2</v>
      </c>
      <c r="C37" t="str">
        <f t="shared" si="0"/>
        <v>test.Base64_2_</v>
      </c>
      <c r="D37">
        <v>2</v>
      </c>
      <c r="E37">
        <v>0.67032967032967028</v>
      </c>
      <c r="F37">
        <v>0.9000000090000001</v>
      </c>
      <c r="G37" s="1" t="str">
        <f t="shared" si="1"/>
        <v/>
      </c>
      <c r="H37" s="1" t="str">
        <f t="shared" si="2"/>
        <v/>
      </c>
      <c r="I37" s="1" t="str">
        <f t="shared" si="3"/>
        <v/>
      </c>
      <c r="J37" s="1" t="str">
        <f t="shared" si="4"/>
        <v/>
      </c>
      <c r="K37" s="1">
        <f t="shared" si="5"/>
        <v>0.67032967032967028</v>
      </c>
      <c r="L37" s="1" t="str">
        <f t="shared" si="6"/>
        <v/>
      </c>
    </row>
    <row r="38" spans="1:12">
      <c r="A38" t="s">
        <v>32</v>
      </c>
      <c r="B38">
        <v>2</v>
      </c>
      <c r="C38" t="str">
        <f t="shared" si="0"/>
        <v>test.Base64_2_</v>
      </c>
      <c r="D38">
        <v>3</v>
      </c>
      <c r="E38">
        <v>0.9642857142857143</v>
      </c>
      <c r="F38">
        <v>1</v>
      </c>
      <c r="G38" s="1" t="str">
        <f t="shared" si="1"/>
        <v/>
      </c>
      <c r="H38" s="1" t="str">
        <f t="shared" si="2"/>
        <v/>
      </c>
      <c r="I38" s="1" t="str">
        <f t="shared" si="3"/>
        <v/>
      </c>
      <c r="J38" s="1" t="str">
        <f t="shared" si="4"/>
        <v/>
      </c>
      <c r="K38" s="1">
        <f t="shared" si="5"/>
        <v>0.9642857142857143</v>
      </c>
      <c r="L38" s="1" t="str">
        <f t="shared" si="6"/>
        <v/>
      </c>
    </row>
    <row r="39" spans="1:12">
      <c r="A39" t="s">
        <v>32</v>
      </c>
      <c r="B39">
        <v>2</v>
      </c>
      <c r="C39" t="str">
        <f t="shared" si="0"/>
        <v>test.Base64_2_</v>
      </c>
      <c r="D39">
        <v>4</v>
      </c>
      <c r="E39">
        <v>1</v>
      </c>
      <c r="F39">
        <v>1.1000000210000003</v>
      </c>
      <c r="G39" s="1" t="str">
        <f t="shared" si="1"/>
        <v/>
      </c>
      <c r="H39" s="1" t="str">
        <f t="shared" si="2"/>
        <v/>
      </c>
      <c r="I39" s="1" t="str">
        <f t="shared" si="3"/>
        <v/>
      </c>
      <c r="J39" s="1" t="str">
        <f t="shared" si="4"/>
        <v/>
      </c>
      <c r="K39" s="1" t="str">
        <f t="shared" si="5"/>
        <v/>
      </c>
      <c r="L39" s="1">
        <f t="shared" si="6"/>
        <v>1</v>
      </c>
    </row>
    <row r="40" spans="1:12">
      <c r="A40" t="s">
        <v>32</v>
      </c>
      <c r="B40">
        <v>4</v>
      </c>
      <c r="C40" t="str">
        <f t="shared" si="0"/>
        <v>test.Base64_4_</v>
      </c>
      <c r="D40">
        <v>1</v>
      </c>
      <c r="E40">
        <v>0.11263736263736264</v>
      </c>
      <c r="F40">
        <v>0.6363636214876035</v>
      </c>
      <c r="G40" s="1" t="str">
        <f t="shared" si="1"/>
        <v/>
      </c>
      <c r="H40" s="1" t="str">
        <f t="shared" si="2"/>
        <v/>
      </c>
      <c r="I40" s="1" t="str">
        <f t="shared" si="3"/>
        <v/>
      </c>
      <c r="J40" s="1">
        <f t="shared" si="4"/>
        <v>0.11263736263736264</v>
      </c>
      <c r="K40" s="1" t="str">
        <f t="shared" si="5"/>
        <v/>
      </c>
      <c r="L40" s="1" t="str">
        <f t="shared" si="6"/>
        <v/>
      </c>
    </row>
    <row r="41" spans="1:12">
      <c r="A41" t="s">
        <v>32</v>
      </c>
      <c r="B41">
        <v>4</v>
      </c>
      <c r="C41" t="str">
        <f t="shared" si="0"/>
        <v>test.Base64_4_</v>
      </c>
      <c r="D41">
        <v>2</v>
      </c>
      <c r="E41">
        <v>0.38186813186813184</v>
      </c>
      <c r="F41">
        <v>0.72727272975206614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>
        <f t="shared" si="4"/>
        <v>0.38186813186813184</v>
      </c>
      <c r="K41" s="1" t="str">
        <f t="shared" si="5"/>
        <v/>
      </c>
      <c r="L41" s="1" t="str">
        <f t="shared" si="6"/>
        <v/>
      </c>
    </row>
    <row r="42" spans="1:12">
      <c r="A42" t="s">
        <v>32</v>
      </c>
      <c r="B42">
        <v>4</v>
      </c>
      <c r="C42" t="str">
        <f t="shared" si="0"/>
        <v>test.Base64_4_</v>
      </c>
      <c r="D42">
        <v>3</v>
      </c>
      <c r="E42">
        <v>0.8571428571428571</v>
      </c>
      <c r="F42">
        <v>0.8181818107438017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 t="str">
        <f t="shared" si="4"/>
        <v/>
      </c>
      <c r="K42" s="1">
        <f t="shared" si="5"/>
        <v>0.8571428571428571</v>
      </c>
      <c r="L42" s="1" t="str">
        <f t="shared" si="6"/>
        <v/>
      </c>
    </row>
    <row r="43" spans="1:12">
      <c r="A43" t="s">
        <v>32</v>
      </c>
      <c r="B43">
        <v>4</v>
      </c>
      <c r="C43" t="str">
        <f t="shared" si="0"/>
        <v>test.Base64_4_</v>
      </c>
      <c r="D43">
        <v>4</v>
      </c>
      <c r="E43">
        <v>1</v>
      </c>
      <c r="F43">
        <v>1.0909090809917357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 t="str">
        <f t="shared" si="4"/>
        <v/>
      </c>
      <c r="K43" s="1">
        <f t="shared" si="5"/>
        <v>1</v>
      </c>
      <c r="L43" s="1" t="str">
        <f t="shared" si="6"/>
        <v/>
      </c>
    </row>
    <row r="44" spans="1:12">
      <c r="A44" t="s">
        <v>32</v>
      </c>
      <c r="B44">
        <v>13</v>
      </c>
      <c r="C44" t="str">
        <f t="shared" si="0"/>
        <v>test.Base64_13_</v>
      </c>
      <c r="D44">
        <v>1</v>
      </c>
      <c r="E44">
        <v>0.5</v>
      </c>
      <c r="F44">
        <v>0.83333330000000005</v>
      </c>
      <c r="G44" s="1" t="str">
        <f t="shared" si="1"/>
        <v/>
      </c>
      <c r="H44" s="1" t="str">
        <f t="shared" si="2"/>
        <v/>
      </c>
      <c r="I44" s="1" t="str">
        <f t="shared" si="3"/>
        <v/>
      </c>
      <c r="J44" s="1" t="str">
        <f t="shared" si="4"/>
        <v/>
      </c>
      <c r="K44" s="1">
        <f t="shared" si="5"/>
        <v>0.5</v>
      </c>
      <c r="L44" s="1" t="str">
        <f t="shared" si="6"/>
        <v/>
      </c>
    </row>
    <row r="45" spans="1:12">
      <c r="A45" t="s">
        <v>32</v>
      </c>
      <c r="B45">
        <v>13</v>
      </c>
      <c r="C45" t="str">
        <f t="shared" si="0"/>
        <v>test.Base64_13_</v>
      </c>
      <c r="D45">
        <v>2</v>
      </c>
      <c r="E45">
        <v>0.5</v>
      </c>
      <c r="F45">
        <v>0.83338330000000005</v>
      </c>
      <c r="G45" s="1" t="str">
        <f t="shared" si="1"/>
        <v/>
      </c>
      <c r="H45" s="1" t="str">
        <f t="shared" si="2"/>
        <v/>
      </c>
      <c r="I45" s="1" t="str">
        <f t="shared" si="3"/>
        <v/>
      </c>
      <c r="J45" s="1" t="str">
        <f t="shared" si="4"/>
        <v/>
      </c>
      <c r="K45" s="1">
        <f t="shared" si="5"/>
        <v>0.5</v>
      </c>
      <c r="L45" s="1" t="str">
        <f t="shared" si="6"/>
        <v/>
      </c>
    </row>
    <row r="46" spans="1:12">
      <c r="A46" t="s">
        <v>32</v>
      </c>
      <c r="B46">
        <v>13</v>
      </c>
      <c r="C46" t="str">
        <f t="shared" si="0"/>
        <v>test.Base64_13_</v>
      </c>
      <c r="D46">
        <v>3</v>
      </c>
      <c r="E46">
        <v>0.83333333333333337</v>
      </c>
      <c r="F46">
        <v>1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 t="str">
        <f t="shared" si="4"/>
        <v/>
      </c>
      <c r="K46" s="1">
        <f t="shared" si="5"/>
        <v>0.83333333333333337</v>
      </c>
      <c r="L46" s="1" t="str">
        <f t="shared" si="6"/>
        <v/>
      </c>
    </row>
    <row r="47" spans="1:12">
      <c r="A47" t="s">
        <v>32</v>
      </c>
      <c r="B47">
        <v>13</v>
      </c>
      <c r="C47" t="str">
        <f t="shared" si="0"/>
        <v>test.Base64_13_</v>
      </c>
      <c r="D47">
        <v>4</v>
      </c>
      <c r="E47">
        <v>1</v>
      </c>
      <c r="F47">
        <v>1.0000500000000001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>
        <f t="shared" si="5"/>
        <v>1</v>
      </c>
      <c r="L47" s="1" t="str">
        <f t="shared" si="6"/>
        <v/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1</v>
      </c>
      <c r="F48">
        <v>1.0000998999999999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>
        <f t="shared" si="5"/>
        <v>1</v>
      </c>
      <c r="L48" s="1" t="str">
        <f t="shared" si="6"/>
        <v/>
      </c>
    </row>
    <row r="49" spans="1:12">
      <c r="A49" t="s">
        <v>32</v>
      </c>
      <c r="B49">
        <v>16</v>
      </c>
      <c r="C49" t="str">
        <f t="shared" si="0"/>
        <v>test.Base64_16_</v>
      </c>
      <c r="D49">
        <v>1</v>
      </c>
      <c r="E49">
        <v>4.6262979335869232E-4</v>
      </c>
      <c r="F49">
        <v>8.8235296712802849E-2</v>
      </c>
      <c r="G49" s="1">
        <f>IF($F49 &lt;= 0.2,$E49,"")</f>
        <v>4.6262979335869232E-4</v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 t="str">
        <f t="shared" si="5"/>
        <v/>
      </c>
      <c r="L49" s="1" t="str">
        <f t="shared" si="6"/>
        <v/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1.1308728282101368E-3</v>
      </c>
      <c r="F50">
        <v>8.823750259522066E-2</v>
      </c>
      <c r="G50" s="1">
        <f t="shared" si="1"/>
        <v>1.1308728282101368E-3</v>
      </c>
      <c r="H50" s="1" t="str">
        <f t="shared" si="2"/>
        <v/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0.73337102909427365</v>
      </c>
      <c r="F51">
        <v>0.91176470328719716</v>
      </c>
      <c r="G51" s="1" t="str">
        <f t="shared" si="1"/>
        <v/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>
        <f t="shared" si="5"/>
        <v>0.73337102909427365</v>
      </c>
      <c r="L51" s="1" t="str">
        <f t="shared" si="6"/>
        <v/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1</v>
      </c>
      <c r="F52">
        <v>1.0147059121972328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>
        <f t="shared" si="5"/>
        <v>1</v>
      </c>
      <c r="L52" s="1" t="str">
        <f t="shared" si="6"/>
        <v/>
      </c>
    </row>
    <row r="53" spans="1:12">
      <c r="A53" t="s">
        <v>32</v>
      </c>
      <c r="B53">
        <v>18</v>
      </c>
      <c r="C53" t="str">
        <f t="shared" si="0"/>
        <v>test.Base64_18_</v>
      </c>
      <c r="D53">
        <v>1</v>
      </c>
      <c r="E53">
        <v>2.3706896551724138E-3</v>
      </c>
      <c r="F53">
        <v>7.9136693644221406E-2</v>
      </c>
      <c r="G53" s="1">
        <f t="shared" si="1"/>
        <v>2.3706896551724138E-3</v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 t="str">
        <f t="shared" si="5"/>
        <v/>
      </c>
      <c r="L53" s="1" t="str">
        <f t="shared" si="6"/>
        <v/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2.5323275862068964E-2</v>
      </c>
      <c r="F54">
        <v>8.6330937736142102E-2</v>
      </c>
      <c r="G54" s="1">
        <f t="shared" si="1"/>
        <v>2.5323275862068964E-2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2.6508620689655173E-2</v>
      </c>
      <c r="F55">
        <v>8.6333096009585497E-2</v>
      </c>
      <c r="G55" s="1">
        <f t="shared" si="1"/>
        <v>2.6508620689655173E-2</v>
      </c>
      <c r="H55" s="1" t="str">
        <f t="shared" si="2"/>
        <v/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2.6508620689655173E-2</v>
      </c>
      <c r="F56">
        <v>8.6335260757849239E-2</v>
      </c>
      <c r="G56" s="1">
        <f t="shared" si="1"/>
        <v>2.6508620689655173E-2</v>
      </c>
      <c r="H56" s="1" t="str">
        <f t="shared" si="2"/>
        <v/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7.3275862068965511E-2</v>
      </c>
      <c r="F57">
        <v>0.1151079205786452</v>
      </c>
      <c r="G57" s="1">
        <f t="shared" si="1"/>
        <v>7.3275862068965511E-2</v>
      </c>
      <c r="H57" s="1" t="str">
        <f t="shared" si="2"/>
        <v/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7.3275862068965511E-2</v>
      </c>
      <c r="F58">
        <v>0.11511008101036205</v>
      </c>
      <c r="G58" s="1">
        <f t="shared" si="1"/>
        <v>7.3275862068965511E-2</v>
      </c>
      <c r="H58" s="1" t="str">
        <f t="shared" si="2"/>
        <v/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8.5991379310344826E-2</v>
      </c>
      <c r="F59">
        <v>0.12230215819574555</v>
      </c>
      <c r="G59" s="1">
        <f t="shared" si="1"/>
        <v>8.5991379310344826E-2</v>
      </c>
      <c r="H59" s="1" t="str">
        <f t="shared" si="2"/>
        <v/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8.5991379310344826E-2</v>
      </c>
      <c r="F60">
        <v>0.12949640660421313</v>
      </c>
      <c r="G60" s="1">
        <f t="shared" si="1"/>
        <v>8.5991379310344826E-2</v>
      </c>
      <c r="H60" s="1" t="str">
        <f t="shared" si="2"/>
        <v/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0.10969827586206897</v>
      </c>
      <c r="F61">
        <v>0.12949856487765654</v>
      </c>
      <c r="G61" s="1">
        <f t="shared" si="1"/>
        <v>0.10969827586206897</v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0.12489224137931035</v>
      </c>
      <c r="F62">
        <v>0.1295007296259203</v>
      </c>
      <c r="G62" s="1">
        <f t="shared" si="1"/>
        <v>0.12489224137931035</v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0.12532327586206896</v>
      </c>
      <c r="F63">
        <v>0.12950289005763713</v>
      </c>
      <c r="G63" s="1">
        <f t="shared" si="1"/>
        <v>0.12532327586206896</v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0.12532327586206896</v>
      </c>
      <c r="F64">
        <v>0.12950505048935396</v>
      </c>
      <c r="G64" s="1">
        <f t="shared" si="1"/>
        <v>0.12532327586206896</v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0.12532327586206896</v>
      </c>
      <c r="F65">
        <v>0.12950721307934426</v>
      </c>
      <c r="G65" s="1">
        <f t="shared" si="1"/>
        <v>0.12532327586206896</v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0.12532327586206896</v>
      </c>
      <c r="F66">
        <v>0.13669065501268074</v>
      </c>
      <c r="G66" s="1">
        <f t="shared" si="1"/>
        <v>0.12532327586206896</v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18">CONCATENATE(A67, "_",B67,"_")</f>
        <v>test.Base64_18_</v>
      </c>
      <c r="D67">
        <v>15</v>
      </c>
      <c r="E67">
        <v>0.12607758620689655</v>
      </c>
      <c r="F67">
        <v>0.13669281544439757</v>
      </c>
      <c r="G67" s="1">
        <f t="shared" ref="G67:G130" si="19">IF($F67 &lt;= 0.2,$E67,"")</f>
        <v>0.12607758620689655</v>
      </c>
      <c r="H67" s="1" t="str">
        <f t="shared" ref="H67:H130" si="20">IF(AND($F67 &gt; 0.2,$F67 &lt;= 0.4),$E67,"")</f>
        <v/>
      </c>
      <c r="I67" s="1" t="str">
        <f t="shared" ref="I67:I130" si="21">IF(AND($F67 &gt; 0.4,$F67 &lt;= 0.6),$E67,"")</f>
        <v/>
      </c>
      <c r="J67" s="1" t="str">
        <f t="shared" ref="J67:J130" si="22">IF(AND($F67 &gt; 0.6,$F67 &lt;= 0.8),$E67,"")</f>
        <v/>
      </c>
      <c r="K67" s="1" t="str">
        <f t="shared" ref="K67:K130" si="23">IF(AND($F67 &gt; 0.8, $F67 &lt;=1.1),$E67,"")</f>
        <v/>
      </c>
      <c r="L67" s="1" t="str">
        <f t="shared" ref="L67:L130" si="24">IF(AND($F67 &gt; 1.1),$E67,"")</f>
        <v/>
      </c>
    </row>
    <row r="68" spans="1:12">
      <c r="A68" t="s">
        <v>32</v>
      </c>
      <c r="B68">
        <v>18</v>
      </c>
      <c r="C68" t="str">
        <f t="shared" si="18"/>
        <v>test.Base64_18_</v>
      </c>
      <c r="D68">
        <v>16</v>
      </c>
      <c r="E68">
        <v>0.12607758620689655</v>
      </c>
      <c r="F68">
        <v>0.13669498235093475</v>
      </c>
      <c r="G68" s="1">
        <f t="shared" si="19"/>
        <v>0.12607758620689655</v>
      </c>
      <c r="H68" s="1" t="str">
        <f t="shared" si="20"/>
        <v/>
      </c>
      <c r="I68" s="1" t="str">
        <f t="shared" si="21"/>
        <v/>
      </c>
      <c r="J68" s="1" t="str">
        <f t="shared" si="22"/>
        <v/>
      </c>
      <c r="K68" s="1" t="str">
        <f t="shared" si="23"/>
        <v/>
      </c>
      <c r="L68" s="1" t="str">
        <f t="shared" si="24"/>
        <v/>
      </c>
    </row>
    <row r="69" spans="1:12">
      <c r="A69" t="s">
        <v>32</v>
      </c>
      <c r="B69">
        <v>18</v>
      </c>
      <c r="C69" t="str">
        <f t="shared" si="18"/>
        <v>test.Base64_18_</v>
      </c>
      <c r="D69">
        <v>17</v>
      </c>
      <c r="E69">
        <v>0.12661637931034483</v>
      </c>
      <c r="F69">
        <v>0.13669714062437816</v>
      </c>
      <c r="G69" s="1">
        <f t="shared" si="19"/>
        <v>0.12661637931034483</v>
      </c>
      <c r="H69" s="1" t="str">
        <f t="shared" si="20"/>
        <v/>
      </c>
      <c r="I69" s="1" t="str">
        <f t="shared" si="21"/>
        <v/>
      </c>
      <c r="J69" s="1" t="str">
        <f t="shared" si="22"/>
        <v/>
      </c>
      <c r="K69" s="1" t="str">
        <f t="shared" si="23"/>
        <v/>
      </c>
      <c r="L69" s="1" t="str">
        <f t="shared" si="24"/>
        <v/>
      </c>
    </row>
    <row r="70" spans="1:12">
      <c r="A70" t="s">
        <v>32</v>
      </c>
      <c r="B70">
        <v>18</v>
      </c>
      <c r="C70" t="str">
        <f t="shared" si="18"/>
        <v>test.Base64_18_</v>
      </c>
      <c r="D70">
        <v>18</v>
      </c>
      <c r="E70">
        <v>0.12661637931034483</v>
      </c>
      <c r="F70">
        <v>0.14388489262978107</v>
      </c>
      <c r="G70" s="1">
        <f t="shared" si="19"/>
        <v>0.12661637931034483</v>
      </c>
      <c r="H70" s="1" t="str">
        <f t="shared" si="20"/>
        <v/>
      </c>
      <c r="I70" s="1" t="str">
        <f t="shared" si="21"/>
        <v/>
      </c>
      <c r="J70" s="1" t="str">
        <f t="shared" si="22"/>
        <v/>
      </c>
      <c r="K70" s="1" t="str">
        <f t="shared" si="23"/>
        <v/>
      </c>
      <c r="L70" s="1" t="str">
        <f t="shared" si="24"/>
        <v/>
      </c>
    </row>
    <row r="71" spans="1:12">
      <c r="A71" t="s">
        <v>32</v>
      </c>
      <c r="B71">
        <v>18</v>
      </c>
      <c r="C71" t="str">
        <f t="shared" si="18"/>
        <v>test.Base64_18_</v>
      </c>
      <c r="D71">
        <v>19</v>
      </c>
      <c r="E71">
        <v>0.2113146551724138</v>
      </c>
      <c r="F71">
        <v>0.15107914103824865</v>
      </c>
      <c r="G71" s="1">
        <f t="shared" si="19"/>
        <v>0.2113146551724138</v>
      </c>
      <c r="H71" s="1" t="str">
        <f t="shared" si="20"/>
        <v/>
      </c>
      <c r="I71" s="1" t="str">
        <f t="shared" si="21"/>
        <v/>
      </c>
      <c r="J71" s="1" t="str">
        <f t="shared" si="22"/>
        <v/>
      </c>
      <c r="K71" s="1" t="str">
        <f t="shared" si="23"/>
        <v/>
      </c>
      <c r="L71" s="1" t="str">
        <f t="shared" si="24"/>
        <v/>
      </c>
    </row>
    <row r="72" spans="1:12">
      <c r="A72" t="s">
        <v>32</v>
      </c>
      <c r="B72">
        <v>18</v>
      </c>
      <c r="C72" t="str">
        <f t="shared" si="18"/>
        <v>test.Base64_18_</v>
      </c>
      <c r="D72">
        <v>20</v>
      </c>
      <c r="E72">
        <v>0.23577586206896553</v>
      </c>
      <c r="F72">
        <v>0.15827338944671626</v>
      </c>
      <c r="G72" s="1">
        <f t="shared" si="19"/>
        <v>0.23577586206896553</v>
      </c>
      <c r="H72" s="1" t="str">
        <f t="shared" si="20"/>
        <v/>
      </c>
      <c r="I72" s="1" t="str">
        <f t="shared" si="21"/>
        <v/>
      </c>
      <c r="J72" s="1" t="str">
        <f t="shared" si="22"/>
        <v/>
      </c>
      <c r="K72" s="1" t="str">
        <f t="shared" si="23"/>
        <v/>
      </c>
      <c r="L72" s="1" t="str">
        <f t="shared" si="24"/>
        <v/>
      </c>
    </row>
    <row r="73" spans="1:12">
      <c r="A73" t="s">
        <v>32</v>
      </c>
      <c r="B73">
        <v>18</v>
      </c>
      <c r="C73" t="str">
        <f t="shared" si="18"/>
        <v>test.Base64_18_</v>
      </c>
      <c r="D73">
        <v>21</v>
      </c>
      <c r="E73">
        <v>0.23814655172413793</v>
      </c>
      <c r="F73">
        <v>0.15827554987843309</v>
      </c>
      <c r="G73" s="1">
        <f t="shared" si="19"/>
        <v>0.23814655172413793</v>
      </c>
      <c r="H73" s="1" t="str">
        <f t="shared" si="20"/>
        <v/>
      </c>
      <c r="I73" s="1" t="str">
        <f t="shared" si="21"/>
        <v/>
      </c>
      <c r="J73" s="1" t="str">
        <f t="shared" si="22"/>
        <v/>
      </c>
      <c r="K73" s="1" t="str">
        <f t="shared" si="23"/>
        <v/>
      </c>
      <c r="L73" s="1" t="str">
        <f t="shared" si="24"/>
        <v/>
      </c>
    </row>
    <row r="74" spans="1:12">
      <c r="A74" t="s">
        <v>32</v>
      </c>
      <c r="B74">
        <v>18</v>
      </c>
      <c r="C74" t="str">
        <f t="shared" si="18"/>
        <v>test.Base64_18_</v>
      </c>
      <c r="D74">
        <v>22</v>
      </c>
      <c r="E74">
        <v>0.23868534482758622</v>
      </c>
      <c r="F74">
        <v>0.1726618754722842</v>
      </c>
      <c r="G74" s="1">
        <f t="shared" si="19"/>
        <v>0.23868534482758622</v>
      </c>
      <c r="H74" s="1" t="str">
        <f t="shared" si="20"/>
        <v/>
      </c>
      <c r="I74" s="1" t="str">
        <f t="shared" si="21"/>
        <v/>
      </c>
      <c r="J74" s="1" t="str">
        <f t="shared" si="22"/>
        <v/>
      </c>
      <c r="K74" s="1" t="str">
        <f t="shared" si="23"/>
        <v/>
      </c>
      <c r="L74" s="1" t="str">
        <f t="shared" si="24"/>
        <v/>
      </c>
    </row>
    <row r="75" spans="1:12">
      <c r="A75" t="s">
        <v>32</v>
      </c>
      <c r="B75">
        <v>18</v>
      </c>
      <c r="C75" t="str">
        <f t="shared" si="18"/>
        <v>test.Base64_18_</v>
      </c>
      <c r="D75">
        <v>23</v>
      </c>
      <c r="E75">
        <v>0.36411637931034485</v>
      </c>
      <c r="F75">
        <v>0.17985611308938454</v>
      </c>
      <c r="G75" s="1">
        <f t="shared" si="19"/>
        <v>0.36411637931034485</v>
      </c>
      <c r="H75" s="1" t="str">
        <f t="shared" si="20"/>
        <v/>
      </c>
      <c r="I75" s="1" t="str">
        <f t="shared" si="21"/>
        <v/>
      </c>
      <c r="J75" s="1" t="str">
        <f t="shared" si="22"/>
        <v/>
      </c>
      <c r="K75" s="1" t="str">
        <f t="shared" si="23"/>
        <v/>
      </c>
      <c r="L75" s="1" t="str">
        <f t="shared" si="24"/>
        <v/>
      </c>
    </row>
    <row r="76" spans="1:12">
      <c r="A76" t="s">
        <v>32</v>
      </c>
      <c r="B76">
        <v>18</v>
      </c>
      <c r="C76" t="str">
        <f t="shared" si="18"/>
        <v>test.Base64_18_</v>
      </c>
      <c r="D76">
        <v>24</v>
      </c>
      <c r="E76">
        <v>0.39073275862068968</v>
      </c>
      <c r="F76">
        <v>0.17985827136282795</v>
      </c>
      <c r="G76" s="1">
        <f t="shared" si="19"/>
        <v>0.39073275862068968</v>
      </c>
      <c r="H76" s="1" t="str">
        <f t="shared" si="20"/>
        <v/>
      </c>
      <c r="I76" s="1" t="str">
        <f t="shared" si="21"/>
        <v/>
      </c>
      <c r="J76" s="1" t="str">
        <f t="shared" si="22"/>
        <v/>
      </c>
      <c r="K76" s="1" t="str">
        <f t="shared" si="23"/>
        <v/>
      </c>
      <c r="L76" s="1" t="str">
        <f t="shared" si="24"/>
        <v/>
      </c>
    </row>
    <row r="77" spans="1:12">
      <c r="A77" t="s">
        <v>32</v>
      </c>
      <c r="B77">
        <v>18</v>
      </c>
      <c r="C77" t="str">
        <f t="shared" si="18"/>
        <v>test.Base64_18_</v>
      </c>
      <c r="D77">
        <v>25</v>
      </c>
      <c r="E77">
        <v>0.4817887931034483</v>
      </c>
      <c r="F77">
        <v>0.18705037228921936</v>
      </c>
      <c r="G77" s="1">
        <f t="shared" si="19"/>
        <v>0.4817887931034483</v>
      </c>
      <c r="H77" s="1" t="str">
        <f t="shared" si="20"/>
        <v/>
      </c>
      <c r="I77" s="1" t="str">
        <f t="shared" si="21"/>
        <v/>
      </c>
      <c r="J77" s="1" t="str">
        <f t="shared" si="22"/>
        <v/>
      </c>
      <c r="K77" s="1" t="str">
        <f t="shared" si="23"/>
        <v/>
      </c>
      <c r="L77" s="1" t="str">
        <f t="shared" si="24"/>
        <v/>
      </c>
    </row>
    <row r="78" spans="1:12">
      <c r="A78" t="s">
        <v>32</v>
      </c>
      <c r="B78">
        <v>18</v>
      </c>
      <c r="C78" t="str">
        <f t="shared" si="18"/>
        <v>test.Base64_18_</v>
      </c>
      <c r="D78">
        <v>26</v>
      </c>
      <c r="E78">
        <v>0.49094827586206896</v>
      </c>
      <c r="F78">
        <v>0.18705253056266274</v>
      </c>
      <c r="G78" s="1">
        <f t="shared" si="19"/>
        <v>0.49094827586206896</v>
      </c>
      <c r="H78" s="1" t="str">
        <f t="shared" si="20"/>
        <v/>
      </c>
      <c r="I78" s="1" t="str">
        <f t="shared" si="21"/>
        <v/>
      </c>
      <c r="J78" s="1" t="str">
        <f t="shared" si="22"/>
        <v/>
      </c>
      <c r="K78" s="1" t="str">
        <f t="shared" si="23"/>
        <v/>
      </c>
      <c r="L78" s="1" t="str">
        <f t="shared" si="24"/>
        <v/>
      </c>
    </row>
    <row r="79" spans="1:12">
      <c r="A79" t="s">
        <v>32</v>
      </c>
      <c r="B79">
        <v>18</v>
      </c>
      <c r="C79" t="str">
        <f t="shared" si="18"/>
        <v>test.Base64_18_</v>
      </c>
      <c r="D79">
        <v>27</v>
      </c>
      <c r="E79">
        <v>0.49148706896551725</v>
      </c>
      <c r="F79">
        <v>0.19424460990631973</v>
      </c>
      <c r="G79" s="1">
        <f t="shared" si="19"/>
        <v>0.49148706896551725</v>
      </c>
      <c r="H79" s="1" t="str">
        <f t="shared" si="20"/>
        <v/>
      </c>
      <c r="I79" s="1" t="str">
        <f t="shared" si="21"/>
        <v/>
      </c>
      <c r="J79" s="1" t="str">
        <f t="shared" si="22"/>
        <v/>
      </c>
      <c r="K79" s="1" t="str">
        <f t="shared" si="23"/>
        <v/>
      </c>
      <c r="L79" s="1" t="str">
        <f t="shared" si="24"/>
        <v/>
      </c>
    </row>
    <row r="80" spans="1:12">
      <c r="A80" t="s">
        <v>32</v>
      </c>
      <c r="B80">
        <v>18</v>
      </c>
      <c r="C80" t="str">
        <f t="shared" si="18"/>
        <v>test.Base64_18_</v>
      </c>
      <c r="D80">
        <v>28</v>
      </c>
      <c r="E80">
        <v>0.50226293103448272</v>
      </c>
      <c r="F80">
        <v>0.19424676817976311</v>
      </c>
      <c r="G80" s="1">
        <f t="shared" si="19"/>
        <v>0.50226293103448272</v>
      </c>
      <c r="H80" s="1" t="str">
        <f t="shared" si="20"/>
        <v/>
      </c>
      <c r="I80" s="1" t="str">
        <f t="shared" si="21"/>
        <v/>
      </c>
      <c r="J80" s="1" t="str">
        <f t="shared" si="22"/>
        <v/>
      </c>
      <c r="K80" s="1" t="str">
        <f t="shared" si="23"/>
        <v/>
      </c>
      <c r="L80" s="1" t="str">
        <f t="shared" si="24"/>
        <v/>
      </c>
    </row>
    <row r="81" spans="1:12">
      <c r="A81" t="s">
        <v>32</v>
      </c>
      <c r="B81">
        <v>18</v>
      </c>
      <c r="C81" t="str">
        <f t="shared" si="18"/>
        <v>test.Base64_18_</v>
      </c>
      <c r="D81">
        <v>29</v>
      </c>
      <c r="E81">
        <v>0.50571120689655169</v>
      </c>
      <c r="F81">
        <v>0.20143884752342006</v>
      </c>
      <c r="G81" s="1" t="str">
        <f t="shared" si="19"/>
        <v/>
      </c>
      <c r="H81" s="1">
        <f t="shared" si="20"/>
        <v>0.50571120689655169</v>
      </c>
      <c r="I81" s="1" t="str">
        <f t="shared" si="21"/>
        <v/>
      </c>
      <c r="J81" s="1" t="str">
        <f t="shared" si="22"/>
        <v/>
      </c>
      <c r="K81" s="1" t="str">
        <f t="shared" si="23"/>
        <v/>
      </c>
      <c r="L81" s="1" t="str">
        <f t="shared" si="24"/>
        <v/>
      </c>
    </row>
    <row r="82" spans="1:12">
      <c r="A82" t="s">
        <v>32</v>
      </c>
      <c r="B82">
        <v>18</v>
      </c>
      <c r="C82" t="str">
        <f t="shared" si="18"/>
        <v>test.Base64_18_</v>
      </c>
      <c r="D82">
        <v>30</v>
      </c>
      <c r="E82">
        <v>0.50571120689655169</v>
      </c>
      <c r="F82">
        <v>0.20144100579686347</v>
      </c>
      <c r="G82" s="1" t="str">
        <f t="shared" si="19"/>
        <v/>
      </c>
      <c r="H82" s="1">
        <f t="shared" si="20"/>
        <v>0.50571120689655169</v>
      </c>
      <c r="I82" s="1" t="str">
        <f t="shared" si="21"/>
        <v/>
      </c>
      <c r="J82" s="1" t="str">
        <f t="shared" si="22"/>
        <v/>
      </c>
      <c r="K82" s="1" t="str">
        <f t="shared" si="23"/>
        <v/>
      </c>
      <c r="L82" s="1" t="str">
        <f t="shared" si="24"/>
        <v/>
      </c>
    </row>
    <row r="83" spans="1:12">
      <c r="A83" t="s">
        <v>32</v>
      </c>
      <c r="B83">
        <v>18</v>
      </c>
      <c r="C83" t="str">
        <f t="shared" si="18"/>
        <v>test.Base64_18_</v>
      </c>
      <c r="D83">
        <v>31</v>
      </c>
      <c r="E83">
        <v>0.50571120689655169</v>
      </c>
      <c r="F83">
        <v>0.20144316407030688</v>
      </c>
      <c r="G83" s="1" t="str">
        <f t="shared" si="19"/>
        <v/>
      </c>
      <c r="H83" s="1">
        <f t="shared" si="20"/>
        <v>0.50571120689655169</v>
      </c>
      <c r="I83" s="1" t="str">
        <f t="shared" si="21"/>
        <v/>
      </c>
      <c r="J83" s="1" t="str">
        <f t="shared" si="22"/>
        <v/>
      </c>
      <c r="K83" s="1" t="str">
        <f t="shared" si="23"/>
        <v/>
      </c>
      <c r="L83" s="1" t="str">
        <f t="shared" si="24"/>
        <v/>
      </c>
    </row>
    <row r="84" spans="1:12">
      <c r="A84" t="s">
        <v>32</v>
      </c>
      <c r="B84">
        <v>18</v>
      </c>
      <c r="C84" t="str">
        <f t="shared" si="18"/>
        <v>test.Base64_18_</v>
      </c>
      <c r="D84">
        <v>32</v>
      </c>
      <c r="E84">
        <v>0.50571120689655169</v>
      </c>
      <c r="F84">
        <v>0.20863310672325489</v>
      </c>
      <c r="G84" s="1" t="str">
        <f t="shared" si="19"/>
        <v/>
      </c>
      <c r="H84" s="1">
        <f t="shared" si="20"/>
        <v>0.50571120689655169</v>
      </c>
      <c r="I84" s="1" t="str">
        <f t="shared" si="21"/>
        <v/>
      </c>
      <c r="J84" s="1" t="str">
        <f t="shared" si="22"/>
        <v/>
      </c>
      <c r="K84" s="1" t="str">
        <f t="shared" si="23"/>
        <v/>
      </c>
      <c r="L84" s="1" t="str">
        <f t="shared" si="24"/>
        <v/>
      </c>
    </row>
    <row r="85" spans="1:12">
      <c r="A85" t="s">
        <v>32</v>
      </c>
      <c r="B85">
        <v>18</v>
      </c>
      <c r="C85" t="str">
        <f t="shared" si="18"/>
        <v>test.Base64_18_</v>
      </c>
      <c r="D85">
        <v>33</v>
      </c>
      <c r="E85">
        <v>0.50571120689655169</v>
      </c>
      <c r="F85">
        <v>0.20863526499669829</v>
      </c>
      <c r="G85" s="1" t="str">
        <f t="shared" si="19"/>
        <v/>
      </c>
      <c r="H85" s="1">
        <f t="shared" si="20"/>
        <v>0.50571120689655169</v>
      </c>
      <c r="I85" s="1" t="str">
        <f t="shared" si="21"/>
        <v/>
      </c>
      <c r="J85" s="1" t="str">
        <f t="shared" si="22"/>
        <v/>
      </c>
      <c r="K85" s="1" t="str">
        <f t="shared" si="23"/>
        <v/>
      </c>
      <c r="L85" s="1" t="str">
        <f t="shared" si="24"/>
        <v/>
      </c>
    </row>
    <row r="86" spans="1:12">
      <c r="A86" t="s">
        <v>32</v>
      </c>
      <c r="B86">
        <v>18</v>
      </c>
      <c r="C86" t="str">
        <f t="shared" si="18"/>
        <v>test.Base64_18_</v>
      </c>
      <c r="D86">
        <v>34</v>
      </c>
      <c r="E86">
        <v>0.51648706896551722</v>
      </c>
      <c r="F86">
        <v>0.20863742327014168</v>
      </c>
      <c r="G86" s="1" t="str">
        <f t="shared" si="19"/>
        <v/>
      </c>
      <c r="H86" s="1">
        <f t="shared" si="20"/>
        <v>0.51648706896551722</v>
      </c>
      <c r="I86" s="1" t="str">
        <f t="shared" si="21"/>
        <v/>
      </c>
      <c r="J86" s="1" t="str">
        <f t="shared" si="22"/>
        <v/>
      </c>
      <c r="K86" s="1" t="str">
        <f t="shared" si="23"/>
        <v/>
      </c>
      <c r="L86" s="1" t="str">
        <f t="shared" si="24"/>
        <v/>
      </c>
    </row>
    <row r="87" spans="1:12">
      <c r="A87" t="s">
        <v>32</v>
      </c>
      <c r="B87">
        <v>18</v>
      </c>
      <c r="C87" t="str">
        <f t="shared" si="18"/>
        <v>test.Base64_18_</v>
      </c>
      <c r="D87">
        <v>35</v>
      </c>
      <c r="E87">
        <v>0.52564655172413788</v>
      </c>
      <c r="F87">
        <v>0.21582734434035525</v>
      </c>
      <c r="G87" s="1" t="str">
        <f t="shared" si="19"/>
        <v/>
      </c>
      <c r="H87" s="1">
        <f t="shared" si="20"/>
        <v>0.52564655172413788</v>
      </c>
      <c r="I87" s="1" t="str">
        <f t="shared" si="21"/>
        <v/>
      </c>
      <c r="J87" s="1" t="str">
        <f t="shared" si="22"/>
        <v/>
      </c>
      <c r="K87" s="1" t="str">
        <f t="shared" si="23"/>
        <v/>
      </c>
      <c r="L87" s="1" t="str">
        <f t="shared" si="24"/>
        <v/>
      </c>
    </row>
    <row r="88" spans="1:12">
      <c r="A88" t="s">
        <v>32</v>
      </c>
      <c r="B88">
        <v>18</v>
      </c>
      <c r="C88" t="str">
        <f t="shared" si="18"/>
        <v>test.Base64_18_</v>
      </c>
      <c r="D88">
        <v>36</v>
      </c>
      <c r="E88">
        <v>0.52564655172413788</v>
      </c>
      <c r="F88">
        <v>0.21582950261379863</v>
      </c>
      <c r="G88" s="1" t="str">
        <f t="shared" si="19"/>
        <v/>
      </c>
      <c r="H88" s="1">
        <f t="shared" si="20"/>
        <v>0.52564655172413788</v>
      </c>
      <c r="I88" s="1" t="str">
        <f t="shared" si="21"/>
        <v/>
      </c>
      <c r="J88" s="1" t="str">
        <f t="shared" si="22"/>
        <v/>
      </c>
      <c r="K88" s="1" t="str">
        <f t="shared" si="23"/>
        <v/>
      </c>
      <c r="L88" s="1" t="str">
        <f t="shared" si="24"/>
        <v/>
      </c>
    </row>
    <row r="89" spans="1:12">
      <c r="A89" t="s">
        <v>32</v>
      </c>
      <c r="B89">
        <v>18</v>
      </c>
      <c r="C89" t="str">
        <f t="shared" si="18"/>
        <v>test.Base64_18_</v>
      </c>
      <c r="D89">
        <v>37</v>
      </c>
      <c r="E89">
        <v>0.52564655172413788</v>
      </c>
      <c r="F89">
        <v>0.23021584115729041</v>
      </c>
      <c r="G89" s="1" t="str">
        <f t="shared" si="19"/>
        <v/>
      </c>
      <c r="H89" s="1">
        <f t="shared" si="20"/>
        <v>0.52564655172413788</v>
      </c>
      <c r="I89" s="1" t="str">
        <f t="shared" si="21"/>
        <v/>
      </c>
      <c r="J89" s="1" t="str">
        <f t="shared" si="22"/>
        <v/>
      </c>
      <c r="K89" s="1" t="str">
        <f t="shared" si="23"/>
        <v/>
      </c>
      <c r="L89" s="1" t="str">
        <f t="shared" si="24"/>
        <v/>
      </c>
    </row>
    <row r="90" spans="1:12">
      <c r="A90" t="s">
        <v>32</v>
      </c>
      <c r="B90">
        <v>18</v>
      </c>
      <c r="C90" t="str">
        <f t="shared" si="18"/>
        <v>test.Base64_18_</v>
      </c>
      <c r="D90">
        <v>38</v>
      </c>
      <c r="E90">
        <v>0.52564655172413788</v>
      </c>
      <c r="F90">
        <v>0.23021799943073382</v>
      </c>
      <c r="G90" s="1" t="str">
        <f t="shared" si="19"/>
        <v/>
      </c>
      <c r="H90" s="1">
        <f t="shared" si="20"/>
        <v>0.52564655172413788</v>
      </c>
      <c r="I90" s="1" t="str">
        <f t="shared" si="21"/>
        <v/>
      </c>
      <c r="J90" s="1" t="str">
        <f t="shared" si="22"/>
        <v/>
      </c>
      <c r="K90" s="1" t="str">
        <f t="shared" si="23"/>
        <v/>
      </c>
      <c r="L90" s="1" t="str">
        <f t="shared" si="24"/>
        <v/>
      </c>
    </row>
    <row r="91" spans="1:12">
      <c r="A91" t="s">
        <v>32</v>
      </c>
      <c r="B91">
        <v>18</v>
      </c>
      <c r="C91" t="str">
        <f t="shared" si="18"/>
        <v>test.Base64_18_</v>
      </c>
      <c r="D91">
        <v>39</v>
      </c>
      <c r="E91">
        <v>0.52564655172413788</v>
      </c>
      <c r="F91">
        <v>0.23741007877439077</v>
      </c>
      <c r="G91" s="1" t="str">
        <f t="shared" si="19"/>
        <v/>
      </c>
      <c r="H91" s="1">
        <f t="shared" si="20"/>
        <v>0.52564655172413788</v>
      </c>
      <c r="I91" s="1" t="str">
        <f t="shared" si="21"/>
        <v/>
      </c>
      <c r="J91" s="1" t="str">
        <f t="shared" si="22"/>
        <v/>
      </c>
      <c r="K91" s="1" t="str">
        <f t="shared" si="23"/>
        <v/>
      </c>
      <c r="L91" s="1" t="str">
        <f t="shared" si="24"/>
        <v/>
      </c>
    </row>
    <row r="92" spans="1:12">
      <c r="A92" t="s">
        <v>32</v>
      </c>
      <c r="B92">
        <v>18</v>
      </c>
      <c r="C92" t="str">
        <f t="shared" si="18"/>
        <v>test.Base64_18_</v>
      </c>
      <c r="D92">
        <v>40</v>
      </c>
      <c r="E92">
        <v>0.90754310344827582</v>
      </c>
      <c r="F92">
        <v>0.85611516132705501</v>
      </c>
      <c r="G92" s="1" t="str">
        <f t="shared" si="19"/>
        <v/>
      </c>
      <c r="H92" s="1" t="str">
        <f t="shared" si="20"/>
        <v/>
      </c>
      <c r="I92" s="1" t="str">
        <f t="shared" si="21"/>
        <v/>
      </c>
      <c r="J92" s="1" t="str">
        <f t="shared" si="22"/>
        <v/>
      </c>
      <c r="K92" s="1">
        <f t="shared" si="23"/>
        <v>0.90754310344827582</v>
      </c>
      <c r="L92" s="1" t="str">
        <f t="shared" si="24"/>
        <v/>
      </c>
    </row>
    <row r="93" spans="1:12">
      <c r="A93" t="s">
        <v>32</v>
      </c>
      <c r="B93">
        <v>18</v>
      </c>
      <c r="C93" t="str">
        <f t="shared" si="18"/>
        <v>test.Base64_18_</v>
      </c>
      <c r="D93">
        <v>41</v>
      </c>
      <c r="E93">
        <v>0.97866379310344831</v>
      </c>
      <c r="F93">
        <v>0.86330937736142099</v>
      </c>
      <c r="G93" s="1" t="str">
        <f t="shared" si="19"/>
        <v/>
      </c>
      <c r="H93" s="1" t="str">
        <f t="shared" si="20"/>
        <v/>
      </c>
      <c r="I93" s="1" t="str">
        <f t="shared" si="21"/>
        <v/>
      </c>
      <c r="J93" s="1" t="str">
        <f t="shared" si="22"/>
        <v/>
      </c>
      <c r="K93" s="1">
        <f t="shared" si="23"/>
        <v>0.97866379310344831</v>
      </c>
      <c r="L93" s="1" t="str">
        <f t="shared" si="24"/>
        <v/>
      </c>
    </row>
    <row r="94" spans="1:12">
      <c r="A94" t="s">
        <v>32</v>
      </c>
      <c r="B94">
        <v>18</v>
      </c>
      <c r="C94" t="str">
        <f t="shared" si="18"/>
        <v>test.Base64_18_</v>
      </c>
      <c r="D94">
        <v>42</v>
      </c>
      <c r="E94">
        <v>1</v>
      </c>
      <c r="F94">
        <v>0.8633115356348644</v>
      </c>
      <c r="G94" s="1" t="str">
        <f t="shared" si="19"/>
        <v/>
      </c>
      <c r="H94" s="1" t="str">
        <f t="shared" si="20"/>
        <v/>
      </c>
      <c r="I94" s="1" t="str">
        <f t="shared" si="21"/>
        <v/>
      </c>
      <c r="J94" s="1" t="str">
        <f t="shared" si="22"/>
        <v/>
      </c>
      <c r="K94" s="1">
        <f t="shared" si="23"/>
        <v>1</v>
      </c>
      <c r="L94" s="1" t="str">
        <f t="shared" si="24"/>
        <v/>
      </c>
    </row>
    <row r="95" spans="1:12">
      <c r="A95" t="s">
        <v>32</v>
      </c>
      <c r="B95">
        <v>18</v>
      </c>
      <c r="C95" t="str">
        <f t="shared" si="18"/>
        <v>test.Base64_18_</v>
      </c>
      <c r="D95">
        <v>43</v>
      </c>
      <c r="E95">
        <v>1</v>
      </c>
      <c r="F95">
        <v>0.8633136939083077</v>
      </c>
      <c r="G95" s="1" t="str">
        <f t="shared" si="19"/>
        <v/>
      </c>
      <c r="H95" s="1" t="str">
        <f t="shared" si="20"/>
        <v/>
      </c>
      <c r="I95" s="1" t="str">
        <f t="shared" si="21"/>
        <v/>
      </c>
      <c r="J95" s="1" t="str">
        <f t="shared" si="22"/>
        <v/>
      </c>
      <c r="K95" s="1">
        <f t="shared" si="23"/>
        <v>1</v>
      </c>
      <c r="L95" s="1" t="str">
        <f t="shared" si="24"/>
        <v/>
      </c>
    </row>
    <row r="96" spans="1:12">
      <c r="A96" t="s">
        <v>32</v>
      </c>
      <c r="B96">
        <v>18</v>
      </c>
      <c r="C96" t="str">
        <f t="shared" si="18"/>
        <v>test.Base64_18_</v>
      </c>
      <c r="D96">
        <v>44</v>
      </c>
      <c r="E96">
        <v>1</v>
      </c>
      <c r="F96">
        <v>0.88489211179545646</v>
      </c>
      <c r="G96" s="1" t="str">
        <f t="shared" si="19"/>
        <v/>
      </c>
      <c r="H96" s="1" t="str">
        <f t="shared" si="20"/>
        <v/>
      </c>
      <c r="I96" s="1" t="str">
        <f t="shared" si="21"/>
        <v/>
      </c>
      <c r="J96" s="1" t="str">
        <f t="shared" si="22"/>
        <v/>
      </c>
      <c r="K96" s="1">
        <f t="shared" si="23"/>
        <v>1</v>
      </c>
      <c r="L96" s="1" t="str">
        <f t="shared" si="24"/>
        <v/>
      </c>
    </row>
    <row r="97" spans="1:12">
      <c r="A97" t="s">
        <v>32</v>
      </c>
      <c r="B97">
        <v>18</v>
      </c>
      <c r="C97" t="str">
        <f t="shared" si="18"/>
        <v>test.Base64_18_</v>
      </c>
      <c r="D97">
        <v>45</v>
      </c>
      <c r="E97">
        <v>1</v>
      </c>
      <c r="F97">
        <v>0.88489427006889998</v>
      </c>
      <c r="G97" s="1" t="str">
        <f t="shared" si="19"/>
        <v/>
      </c>
      <c r="H97" s="1" t="str">
        <f t="shared" si="20"/>
        <v/>
      </c>
      <c r="I97" s="1" t="str">
        <f t="shared" si="21"/>
        <v/>
      </c>
      <c r="J97" s="1" t="str">
        <f t="shared" si="22"/>
        <v/>
      </c>
      <c r="K97" s="1">
        <f t="shared" si="23"/>
        <v>1</v>
      </c>
      <c r="L97" s="1" t="str">
        <f t="shared" si="24"/>
        <v/>
      </c>
    </row>
    <row r="98" spans="1:12">
      <c r="A98" t="s">
        <v>32</v>
      </c>
      <c r="B98">
        <v>18</v>
      </c>
      <c r="C98" t="str">
        <f t="shared" si="18"/>
        <v>test.Base64_18_</v>
      </c>
      <c r="D98">
        <v>46</v>
      </c>
      <c r="E98">
        <v>1</v>
      </c>
      <c r="F98">
        <v>0.91366906226385791</v>
      </c>
      <c r="G98" s="1" t="str">
        <f t="shared" si="19"/>
        <v/>
      </c>
      <c r="H98" s="1" t="str">
        <f t="shared" si="20"/>
        <v/>
      </c>
      <c r="I98" s="1" t="str">
        <f t="shared" si="21"/>
        <v/>
      </c>
      <c r="J98" s="1" t="str">
        <f t="shared" si="22"/>
        <v/>
      </c>
      <c r="K98" s="1">
        <f t="shared" si="23"/>
        <v>1</v>
      </c>
      <c r="L98" s="1" t="str">
        <f t="shared" si="24"/>
        <v/>
      </c>
    </row>
    <row r="99" spans="1:12">
      <c r="A99" t="s">
        <v>32</v>
      </c>
      <c r="B99">
        <v>19</v>
      </c>
      <c r="C99" t="str">
        <f t="shared" si="18"/>
        <v>test.Base64_19_</v>
      </c>
      <c r="D99">
        <v>1</v>
      </c>
      <c r="E99">
        <v>2.6135249918327343E-3</v>
      </c>
      <c r="F99">
        <v>4.6666666000000002E-2</v>
      </c>
      <c r="G99" s="1">
        <f t="shared" si="19"/>
        <v>2.6135249918327343E-3</v>
      </c>
      <c r="H99" s="1" t="str">
        <f t="shared" si="20"/>
        <v/>
      </c>
      <c r="I99" s="1" t="str">
        <f t="shared" si="21"/>
        <v/>
      </c>
      <c r="J99" s="1" t="str">
        <f t="shared" si="22"/>
        <v/>
      </c>
      <c r="K99" s="1" t="str">
        <f t="shared" si="23"/>
        <v/>
      </c>
      <c r="L99" s="1" t="str">
        <f t="shared" si="24"/>
        <v/>
      </c>
    </row>
    <row r="100" spans="1:12">
      <c r="A100" t="s">
        <v>32</v>
      </c>
      <c r="B100">
        <v>19</v>
      </c>
      <c r="C100" t="str">
        <f t="shared" si="18"/>
        <v>test.Base64_19_</v>
      </c>
      <c r="D100">
        <v>2</v>
      </c>
      <c r="E100">
        <v>4.138081237068496E-3</v>
      </c>
      <c r="F100">
        <v>5.3333333999999996E-2</v>
      </c>
      <c r="G100" s="1">
        <f t="shared" si="19"/>
        <v>4.138081237068496E-3</v>
      </c>
      <c r="H100" s="1" t="str">
        <f t="shared" si="20"/>
        <v/>
      </c>
      <c r="I100" s="1" t="str">
        <f t="shared" si="21"/>
        <v/>
      </c>
      <c r="J100" s="1" t="str">
        <f t="shared" si="22"/>
        <v/>
      </c>
      <c r="K100" s="1" t="str">
        <f t="shared" si="23"/>
        <v/>
      </c>
      <c r="L100" s="1" t="str">
        <f t="shared" si="24"/>
        <v/>
      </c>
    </row>
    <row r="101" spans="1:12">
      <c r="A101" t="s">
        <v>32</v>
      </c>
      <c r="B101">
        <v>19</v>
      </c>
      <c r="C101" t="str">
        <f t="shared" si="18"/>
        <v>test.Base64_19_</v>
      </c>
      <c r="D101">
        <v>3</v>
      </c>
      <c r="E101">
        <v>0.40487857998475446</v>
      </c>
      <c r="F101">
        <v>0.21333334000000001</v>
      </c>
      <c r="G101" s="1" t="str">
        <f t="shared" si="19"/>
        <v/>
      </c>
      <c r="H101" s="1">
        <f t="shared" si="20"/>
        <v>0.40487857998475446</v>
      </c>
      <c r="I101" s="1" t="str">
        <f t="shared" si="21"/>
        <v/>
      </c>
      <c r="J101" s="1" t="str">
        <f t="shared" si="22"/>
        <v/>
      </c>
      <c r="K101" s="1" t="str">
        <f t="shared" si="23"/>
        <v/>
      </c>
      <c r="L101" s="1" t="str">
        <f t="shared" si="24"/>
        <v/>
      </c>
    </row>
    <row r="102" spans="1:12">
      <c r="A102" t="s">
        <v>32</v>
      </c>
      <c r="B102">
        <v>19</v>
      </c>
      <c r="C102" t="str">
        <f t="shared" si="18"/>
        <v>test.Base64_19_</v>
      </c>
      <c r="D102">
        <v>4</v>
      </c>
      <c r="E102">
        <v>0.40487857998475446</v>
      </c>
      <c r="F102">
        <v>0.22</v>
      </c>
      <c r="G102" s="1" t="str">
        <f t="shared" si="19"/>
        <v/>
      </c>
      <c r="H102" s="1">
        <f t="shared" si="20"/>
        <v>0.40487857998475446</v>
      </c>
      <c r="I102" s="1" t="str">
        <f t="shared" si="21"/>
        <v/>
      </c>
      <c r="J102" s="1" t="str">
        <f t="shared" si="22"/>
        <v/>
      </c>
      <c r="K102" s="1" t="str">
        <f t="shared" si="23"/>
        <v/>
      </c>
      <c r="L102" s="1" t="str">
        <f t="shared" si="24"/>
        <v/>
      </c>
    </row>
    <row r="103" spans="1:12">
      <c r="A103" t="s">
        <v>32</v>
      </c>
      <c r="B103">
        <v>19</v>
      </c>
      <c r="C103" t="str">
        <f t="shared" si="18"/>
        <v>test.Base64_19_</v>
      </c>
      <c r="D103">
        <v>5</v>
      </c>
      <c r="E103">
        <v>0.42034193618643145</v>
      </c>
      <c r="F103">
        <v>0.22666665999999999</v>
      </c>
      <c r="G103" s="1" t="str">
        <f t="shared" si="19"/>
        <v/>
      </c>
      <c r="H103" s="1">
        <f t="shared" si="20"/>
        <v>0.42034193618643145</v>
      </c>
      <c r="I103" s="1" t="str">
        <f t="shared" si="21"/>
        <v/>
      </c>
      <c r="J103" s="1" t="str">
        <f t="shared" si="22"/>
        <v/>
      </c>
      <c r="K103" s="1" t="str">
        <f t="shared" si="23"/>
        <v/>
      </c>
      <c r="L103" s="1" t="str">
        <f t="shared" si="24"/>
        <v/>
      </c>
    </row>
    <row r="104" spans="1:12">
      <c r="A104" t="s">
        <v>32</v>
      </c>
      <c r="B104">
        <v>19</v>
      </c>
      <c r="C104" t="str">
        <f t="shared" si="18"/>
        <v>test.Base64_19_</v>
      </c>
      <c r="D104">
        <v>6</v>
      </c>
      <c r="E104">
        <v>0.76086246324730478</v>
      </c>
      <c r="F104">
        <v>0.27333333999999998</v>
      </c>
      <c r="G104" s="1" t="str">
        <f t="shared" si="19"/>
        <v/>
      </c>
      <c r="H104" s="1">
        <f t="shared" si="20"/>
        <v>0.76086246324730478</v>
      </c>
      <c r="I104" s="1" t="str">
        <f t="shared" si="21"/>
        <v/>
      </c>
      <c r="J104" s="1" t="str">
        <f t="shared" si="22"/>
        <v/>
      </c>
      <c r="K104" s="1" t="str">
        <f t="shared" si="23"/>
        <v/>
      </c>
      <c r="L104" s="1" t="str">
        <f t="shared" si="24"/>
        <v/>
      </c>
    </row>
    <row r="105" spans="1:12">
      <c r="A105" t="s">
        <v>32</v>
      </c>
      <c r="B105">
        <v>19</v>
      </c>
      <c r="C105" t="str">
        <f t="shared" si="18"/>
        <v>test.Base64_19_</v>
      </c>
      <c r="D105">
        <v>7</v>
      </c>
      <c r="E105">
        <v>0.77262332571055214</v>
      </c>
      <c r="F105">
        <v>0.28000000000000003</v>
      </c>
      <c r="G105" s="1" t="str">
        <f t="shared" si="19"/>
        <v/>
      </c>
      <c r="H105" s="1">
        <f t="shared" si="20"/>
        <v>0.77262332571055214</v>
      </c>
      <c r="I105" s="1" t="str">
        <f t="shared" si="21"/>
        <v/>
      </c>
      <c r="J105" s="1" t="str">
        <f t="shared" si="22"/>
        <v/>
      </c>
      <c r="K105" s="1" t="str">
        <f t="shared" si="23"/>
        <v/>
      </c>
      <c r="L105" s="1" t="str">
        <f t="shared" si="24"/>
        <v/>
      </c>
    </row>
    <row r="106" spans="1:12">
      <c r="A106" t="s">
        <v>32</v>
      </c>
      <c r="B106">
        <v>19</v>
      </c>
      <c r="C106" t="str">
        <f t="shared" si="18"/>
        <v>test.Base64_19_</v>
      </c>
      <c r="D106">
        <v>8</v>
      </c>
      <c r="E106">
        <v>0.77262332571055214</v>
      </c>
      <c r="F106">
        <v>0.28000199999999997</v>
      </c>
      <c r="G106" s="1" t="str">
        <f t="shared" si="19"/>
        <v/>
      </c>
      <c r="H106" s="1">
        <f t="shared" si="20"/>
        <v>0.77262332571055214</v>
      </c>
      <c r="I106" s="1" t="str">
        <f t="shared" si="21"/>
        <v/>
      </c>
      <c r="J106" s="1" t="str">
        <f t="shared" si="22"/>
        <v/>
      </c>
      <c r="K106" s="1" t="str">
        <f t="shared" si="23"/>
        <v/>
      </c>
      <c r="L106" s="1" t="str">
        <f t="shared" si="24"/>
        <v/>
      </c>
    </row>
    <row r="107" spans="1:12">
      <c r="A107" t="s">
        <v>32</v>
      </c>
      <c r="B107">
        <v>19</v>
      </c>
      <c r="C107" t="str">
        <f t="shared" si="18"/>
        <v>test.Base64_19_</v>
      </c>
      <c r="D107">
        <v>9</v>
      </c>
      <c r="E107">
        <v>0.78046390068605032</v>
      </c>
      <c r="F107">
        <v>0.28666666000000002</v>
      </c>
      <c r="G107" s="1" t="str">
        <f t="shared" si="19"/>
        <v/>
      </c>
      <c r="H107" s="1">
        <f t="shared" si="20"/>
        <v>0.78046390068605032</v>
      </c>
      <c r="I107" s="1" t="str">
        <f t="shared" si="21"/>
        <v/>
      </c>
      <c r="J107" s="1" t="str">
        <f t="shared" si="22"/>
        <v/>
      </c>
      <c r="K107" s="1" t="str">
        <f t="shared" si="23"/>
        <v/>
      </c>
      <c r="L107" s="1" t="str">
        <f t="shared" si="24"/>
        <v/>
      </c>
    </row>
    <row r="108" spans="1:12">
      <c r="A108" t="s">
        <v>32</v>
      </c>
      <c r="B108">
        <v>19</v>
      </c>
      <c r="C108" t="str">
        <f t="shared" si="18"/>
        <v>test.Base64_19_</v>
      </c>
      <c r="D108">
        <v>10</v>
      </c>
      <c r="E108">
        <v>0.82358706305129048</v>
      </c>
      <c r="F108">
        <v>0.32</v>
      </c>
      <c r="G108" s="1" t="str">
        <f t="shared" si="19"/>
        <v/>
      </c>
      <c r="H108" s="1">
        <f t="shared" si="20"/>
        <v>0.82358706305129048</v>
      </c>
      <c r="I108" s="1" t="str">
        <f t="shared" si="21"/>
        <v/>
      </c>
      <c r="J108" s="1" t="str">
        <f t="shared" si="22"/>
        <v/>
      </c>
      <c r="K108" s="1" t="str">
        <f t="shared" si="23"/>
        <v/>
      </c>
      <c r="L108" s="1" t="str">
        <f t="shared" si="24"/>
        <v/>
      </c>
    </row>
    <row r="109" spans="1:12">
      <c r="A109" t="s">
        <v>32</v>
      </c>
      <c r="B109">
        <v>19</v>
      </c>
      <c r="C109" t="str">
        <f t="shared" si="18"/>
        <v>test.Base64_19_</v>
      </c>
      <c r="D109">
        <v>11</v>
      </c>
      <c r="E109">
        <v>0.82358706305129048</v>
      </c>
      <c r="F109">
        <v>0.32000200000000001</v>
      </c>
      <c r="G109" s="1" t="str">
        <f t="shared" si="19"/>
        <v/>
      </c>
      <c r="H109" s="1">
        <f t="shared" si="20"/>
        <v>0.82358706305129048</v>
      </c>
      <c r="I109" s="1" t="str">
        <f t="shared" si="21"/>
        <v/>
      </c>
      <c r="J109" s="1" t="str">
        <f t="shared" si="22"/>
        <v/>
      </c>
      <c r="K109" s="1" t="str">
        <f t="shared" si="23"/>
        <v/>
      </c>
      <c r="L109" s="1" t="str">
        <f t="shared" si="24"/>
        <v/>
      </c>
    </row>
    <row r="110" spans="1:12">
      <c r="A110" t="s">
        <v>32</v>
      </c>
      <c r="B110">
        <v>19</v>
      </c>
      <c r="C110" t="str">
        <f t="shared" si="18"/>
        <v>test.Base64_19_</v>
      </c>
      <c r="D110">
        <v>12</v>
      </c>
      <c r="E110">
        <v>0.82358706305129048</v>
      </c>
      <c r="F110">
        <v>0.33333331999999999</v>
      </c>
      <c r="G110" s="1" t="str">
        <f t="shared" si="19"/>
        <v/>
      </c>
      <c r="H110" s="1">
        <f t="shared" si="20"/>
        <v>0.82358706305129048</v>
      </c>
      <c r="I110" s="1" t="str">
        <f t="shared" si="21"/>
        <v/>
      </c>
      <c r="J110" s="1" t="str">
        <f t="shared" si="22"/>
        <v/>
      </c>
      <c r="K110" s="1" t="str">
        <f t="shared" si="23"/>
        <v/>
      </c>
      <c r="L110" s="1" t="str">
        <f t="shared" si="24"/>
        <v/>
      </c>
    </row>
    <row r="111" spans="1:12">
      <c r="A111" t="s">
        <v>32</v>
      </c>
      <c r="B111">
        <v>19</v>
      </c>
      <c r="C111" t="str">
        <f t="shared" si="18"/>
        <v>test.Base64_19_</v>
      </c>
      <c r="D111">
        <v>13</v>
      </c>
      <c r="E111">
        <v>0.82358706305129048</v>
      </c>
      <c r="F111">
        <v>0.33333530000000006</v>
      </c>
      <c r="G111" s="1" t="str">
        <f t="shared" si="19"/>
        <v/>
      </c>
      <c r="H111" s="1">
        <f t="shared" si="20"/>
        <v>0.82358706305129048</v>
      </c>
      <c r="I111" s="1" t="str">
        <f t="shared" si="21"/>
        <v/>
      </c>
      <c r="J111" s="1" t="str">
        <f t="shared" si="22"/>
        <v/>
      </c>
      <c r="K111" s="1" t="str">
        <f t="shared" si="23"/>
        <v/>
      </c>
      <c r="L111" s="1" t="str">
        <f t="shared" si="24"/>
        <v/>
      </c>
    </row>
    <row r="112" spans="1:12">
      <c r="A112" t="s">
        <v>32</v>
      </c>
      <c r="B112">
        <v>19</v>
      </c>
      <c r="C112" t="str">
        <f t="shared" si="18"/>
        <v>test.Base64_19_</v>
      </c>
      <c r="D112">
        <v>14</v>
      </c>
      <c r="E112">
        <v>0.82358706305129048</v>
      </c>
      <c r="F112">
        <v>0.33333728000000001</v>
      </c>
      <c r="G112" s="1" t="str">
        <f t="shared" si="19"/>
        <v/>
      </c>
      <c r="H112" s="1">
        <f t="shared" si="20"/>
        <v>0.82358706305129048</v>
      </c>
      <c r="I112" s="1" t="str">
        <f t="shared" si="21"/>
        <v/>
      </c>
      <c r="J112" s="1" t="str">
        <f t="shared" si="22"/>
        <v/>
      </c>
      <c r="K112" s="1" t="str">
        <f t="shared" si="23"/>
        <v/>
      </c>
      <c r="L112" s="1" t="str">
        <f t="shared" si="24"/>
        <v/>
      </c>
    </row>
    <row r="113" spans="1:12">
      <c r="A113" t="s">
        <v>32</v>
      </c>
      <c r="B113">
        <v>19</v>
      </c>
      <c r="C113" t="str">
        <f t="shared" si="18"/>
        <v>test.Base64_19_</v>
      </c>
      <c r="D113">
        <v>15</v>
      </c>
      <c r="E113">
        <v>0.82358706305129048</v>
      </c>
      <c r="F113">
        <v>0.34</v>
      </c>
      <c r="G113" s="1" t="str">
        <f t="shared" si="19"/>
        <v/>
      </c>
      <c r="H113" s="1">
        <f t="shared" si="20"/>
        <v>0.82358706305129048</v>
      </c>
      <c r="I113" s="1" t="str">
        <f t="shared" si="21"/>
        <v/>
      </c>
      <c r="J113" s="1" t="str">
        <f t="shared" si="22"/>
        <v/>
      </c>
      <c r="K113" s="1" t="str">
        <f t="shared" si="23"/>
        <v/>
      </c>
      <c r="L113" s="1" t="str">
        <f t="shared" si="24"/>
        <v/>
      </c>
    </row>
    <row r="114" spans="1:12">
      <c r="A114" t="s">
        <v>32</v>
      </c>
      <c r="B114">
        <v>19</v>
      </c>
      <c r="C114" t="str">
        <f t="shared" si="18"/>
        <v>test.Base64_19_</v>
      </c>
      <c r="D114">
        <v>16</v>
      </c>
      <c r="E114">
        <v>0.8784710878797779</v>
      </c>
      <c r="F114">
        <v>0.34666668</v>
      </c>
      <c r="G114" s="1" t="str">
        <f t="shared" si="19"/>
        <v/>
      </c>
      <c r="H114" s="1">
        <f t="shared" si="20"/>
        <v>0.8784710878797779</v>
      </c>
      <c r="I114" s="1" t="str">
        <f t="shared" si="21"/>
        <v/>
      </c>
      <c r="J114" s="1" t="str">
        <f t="shared" si="22"/>
        <v/>
      </c>
      <c r="K114" s="1" t="str">
        <f t="shared" si="23"/>
        <v/>
      </c>
      <c r="L114" s="1" t="str">
        <f t="shared" si="24"/>
        <v/>
      </c>
    </row>
    <row r="115" spans="1:12">
      <c r="A115" t="s">
        <v>32</v>
      </c>
      <c r="B115">
        <v>19</v>
      </c>
      <c r="C115" t="str">
        <f t="shared" si="18"/>
        <v>test.Base64_19_</v>
      </c>
      <c r="D115">
        <v>17</v>
      </c>
      <c r="E115">
        <v>0.8784710878797779</v>
      </c>
      <c r="F115">
        <v>0.34666865999999996</v>
      </c>
      <c r="G115" s="1" t="str">
        <f t="shared" si="19"/>
        <v/>
      </c>
      <c r="H115" s="1">
        <f t="shared" si="20"/>
        <v>0.8784710878797779</v>
      </c>
      <c r="I115" s="1" t="str">
        <f t="shared" si="21"/>
        <v/>
      </c>
      <c r="J115" s="1" t="str">
        <f t="shared" si="22"/>
        <v/>
      </c>
      <c r="K115" s="1" t="str">
        <f t="shared" si="23"/>
        <v/>
      </c>
      <c r="L115" s="1" t="str">
        <f t="shared" si="24"/>
        <v/>
      </c>
    </row>
    <row r="116" spans="1:12">
      <c r="A116" t="s">
        <v>32</v>
      </c>
      <c r="B116">
        <v>19</v>
      </c>
      <c r="C116" t="str">
        <f t="shared" si="18"/>
        <v>test.Base64_19_</v>
      </c>
      <c r="D116">
        <v>18</v>
      </c>
      <c r="E116">
        <v>0.8784710878797779</v>
      </c>
      <c r="F116">
        <v>0.34667064000000003</v>
      </c>
      <c r="G116" s="1" t="str">
        <f t="shared" si="19"/>
        <v/>
      </c>
      <c r="H116" s="1">
        <f t="shared" si="20"/>
        <v>0.8784710878797779</v>
      </c>
      <c r="I116" s="1" t="str">
        <f t="shared" si="21"/>
        <v/>
      </c>
      <c r="J116" s="1" t="str">
        <f t="shared" si="22"/>
        <v/>
      </c>
      <c r="K116" s="1" t="str">
        <f t="shared" si="23"/>
        <v/>
      </c>
      <c r="L116" s="1" t="str">
        <f t="shared" si="24"/>
        <v/>
      </c>
    </row>
    <row r="117" spans="1:12">
      <c r="A117" t="s">
        <v>32</v>
      </c>
      <c r="B117">
        <v>19</v>
      </c>
      <c r="C117" t="str">
        <f t="shared" si="18"/>
        <v>test.Base64_19_</v>
      </c>
      <c r="D117">
        <v>19</v>
      </c>
      <c r="E117">
        <v>0.95687683763475984</v>
      </c>
      <c r="F117">
        <v>0.34667264000000003</v>
      </c>
      <c r="G117" s="1" t="str">
        <f t="shared" si="19"/>
        <v/>
      </c>
      <c r="H117" s="1">
        <f t="shared" si="20"/>
        <v>0.95687683763475984</v>
      </c>
      <c r="I117" s="1" t="str">
        <f t="shared" si="21"/>
        <v/>
      </c>
      <c r="J117" s="1" t="str">
        <f t="shared" si="22"/>
        <v/>
      </c>
      <c r="K117" s="1" t="str">
        <f t="shared" si="23"/>
        <v/>
      </c>
      <c r="L117" s="1" t="str">
        <f t="shared" si="24"/>
        <v/>
      </c>
    </row>
    <row r="118" spans="1:12">
      <c r="A118" t="s">
        <v>32</v>
      </c>
      <c r="B118">
        <v>19</v>
      </c>
      <c r="C118" t="str">
        <f t="shared" si="18"/>
        <v>test.Base64_19_</v>
      </c>
      <c r="D118">
        <v>20</v>
      </c>
      <c r="E118">
        <v>0.98823913753675274</v>
      </c>
      <c r="F118">
        <v>0.3466746</v>
      </c>
      <c r="G118" s="1" t="str">
        <f t="shared" si="19"/>
        <v/>
      </c>
      <c r="H118" s="1">
        <f t="shared" si="20"/>
        <v>0.98823913753675274</v>
      </c>
      <c r="I118" s="1" t="str">
        <f t="shared" si="21"/>
        <v/>
      </c>
      <c r="J118" s="1" t="str">
        <f t="shared" si="22"/>
        <v/>
      </c>
      <c r="K118" s="1" t="str">
        <f t="shared" si="23"/>
        <v/>
      </c>
      <c r="L118" s="1" t="str">
        <f t="shared" si="24"/>
        <v/>
      </c>
    </row>
    <row r="119" spans="1:12">
      <c r="A119" t="s">
        <v>32</v>
      </c>
      <c r="B119">
        <v>19</v>
      </c>
      <c r="C119" t="str">
        <f t="shared" si="18"/>
        <v>test.Base64_19_</v>
      </c>
      <c r="D119">
        <v>21</v>
      </c>
      <c r="E119">
        <v>0.98823913753675274</v>
      </c>
      <c r="F119">
        <v>0.35333332000000001</v>
      </c>
      <c r="G119" s="1" t="str">
        <f t="shared" si="19"/>
        <v/>
      </c>
      <c r="H119" s="1">
        <f t="shared" si="20"/>
        <v>0.98823913753675274</v>
      </c>
      <c r="I119" s="1" t="str">
        <f t="shared" si="21"/>
        <v/>
      </c>
      <c r="J119" s="1" t="str">
        <f t="shared" si="22"/>
        <v/>
      </c>
      <c r="K119" s="1" t="str">
        <f t="shared" si="23"/>
        <v/>
      </c>
      <c r="L119" s="1" t="str">
        <f t="shared" si="24"/>
        <v/>
      </c>
    </row>
    <row r="120" spans="1:12">
      <c r="A120" t="s">
        <v>32</v>
      </c>
      <c r="B120">
        <v>19</v>
      </c>
      <c r="C120" t="str">
        <f t="shared" si="18"/>
        <v>test.Base64_19_</v>
      </c>
      <c r="D120">
        <v>22</v>
      </c>
      <c r="E120">
        <v>0.98823913753675274</v>
      </c>
      <c r="F120">
        <v>0.35333530000000002</v>
      </c>
      <c r="G120" s="1" t="str">
        <f t="shared" si="19"/>
        <v/>
      </c>
      <c r="H120" s="1">
        <f t="shared" si="20"/>
        <v>0.98823913753675274</v>
      </c>
      <c r="I120" s="1" t="str">
        <f t="shared" si="21"/>
        <v/>
      </c>
      <c r="J120" s="1" t="str">
        <f t="shared" si="22"/>
        <v/>
      </c>
      <c r="K120" s="1" t="str">
        <f t="shared" si="23"/>
        <v/>
      </c>
      <c r="L120" s="1" t="str">
        <f t="shared" si="24"/>
        <v/>
      </c>
    </row>
    <row r="121" spans="1:12">
      <c r="A121" t="s">
        <v>32</v>
      </c>
      <c r="B121">
        <v>19</v>
      </c>
      <c r="C121" t="str">
        <f t="shared" si="18"/>
        <v>test.Base64_19_</v>
      </c>
      <c r="D121">
        <v>23</v>
      </c>
      <c r="E121">
        <v>1</v>
      </c>
      <c r="F121">
        <v>0.35333728000000003</v>
      </c>
      <c r="G121" s="1" t="str">
        <f t="shared" si="19"/>
        <v/>
      </c>
      <c r="H121" s="1">
        <f t="shared" si="20"/>
        <v>1</v>
      </c>
      <c r="I121" s="1" t="str">
        <f t="shared" si="21"/>
        <v/>
      </c>
      <c r="J121" s="1" t="str">
        <f t="shared" si="22"/>
        <v/>
      </c>
      <c r="K121" s="1" t="str">
        <f t="shared" si="23"/>
        <v/>
      </c>
      <c r="L121" s="1" t="str">
        <f t="shared" si="24"/>
        <v/>
      </c>
    </row>
    <row r="122" spans="1:12">
      <c r="A122" t="s">
        <v>32</v>
      </c>
      <c r="B122">
        <v>19</v>
      </c>
      <c r="C122" t="str">
        <f t="shared" si="18"/>
        <v>test.Base64_19_</v>
      </c>
      <c r="D122">
        <v>24</v>
      </c>
      <c r="E122">
        <v>1</v>
      </c>
      <c r="F122">
        <v>0.38</v>
      </c>
      <c r="G122" s="1" t="str">
        <f t="shared" si="19"/>
        <v/>
      </c>
      <c r="H122" s="1">
        <f t="shared" si="20"/>
        <v>1</v>
      </c>
      <c r="I122" s="1" t="str">
        <f t="shared" si="21"/>
        <v/>
      </c>
      <c r="J122" s="1" t="str">
        <f t="shared" si="22"/>
        <v/>
      </c>
      <c r="K122" s="1" t="str">
        <f t="shared" si="23"/>
        <v/>
      </c>
      <c r="L122" s="1" t="str">
        <f t="shared" si="24"/>
        <v/>
      </c>
    </row>
    <row r="123" spans="1:12">
      <c r="A123" t="s">
        <v>32</v>
      </c>
      <c r="B123">
        <v>19</v>
      </c>
      <c r="C123" t="str">
        <f t="shared" si="18"/>
        <v>test.Base64_19_</v>
      </c>
      <c r="D123">
        <v>25</v>
      </c>
      <c r="E123">
        <v>1</v>
      </c>
      <c r="F123">
        <v>0.38000200000000001</v>
      </c>
      <c r="G123" s="1" t="str">
        <f t="shared" si="19"/>
        <v/>
      </c>
      <c r="H123" s="1">
        <f t="shared" si="20"/>
        <v>1</v>
      </c>
      <c r="I123" s="1" t="str">
        <f t="shared" si="21"/>
        <v/>
      </c>
      <c r="J123" s="1" t="str">
        <f t="shared" si="22"/>
        <v/>
      </c>
      <c r="K123" s="1" t="str">
        <f t="shared" si="23"/>
        <v/>
      </c>
      <c r="L123" s="1" t="str">
        <f t="shared" si="24"/>
        <v/>
      </c>
    </row>
    <row r="124" spans="1:12">
      <c r="A124" t="s">
        <v>32</v>
      </c>
      <c r="B124">
        <v>19</v>
      </c>
      <c r="C124" t="str">
        <f t="shared" si="18"/>
        <v>test.Base64_19_</v>
      </c>
      <c r="D124">
        <v>26</v>
      </c>
      <c r="E124">
        <v>1</v>
      </c>
      <c r="F124">
        <v>0.4</v>
      </c>
      <c r="G124" s="1" t="str">
        <f t="shared" si="19"/>
        <v/>
      </c>
      <c r="H124" s="1">
        <f t="shared" si="20"/>
        <v>1</v>
      </c>
      <c r="I124" s="1" t="str">
        <f t="shared" si="21"/>
        <v/>
      </c>
      <c r="J124" s="1" t="str">
        <f t="shared" si="22"/>
        <v/>
      </c>
      <c r="K124" s="1" t="str">
        <f t="shared" si="23"/>
        <v/>
      </c>
      <c r="L124" s="1" t="str">
        <f t="shared" si="24"/>
        <v/>
      </c>
    </row>
    <row r="125" spans="1:12">
      <c r="A125" t="s">
        <v>32</v>
      </c>
      <c r="B125">
        <v>19</v>
      </c>
      <c r="C125" t="str">
        <f t="shared" si="18"/>
        <v>test.Base64_19_</v>
      </c>
      <c r="D125">
        <v>27</v>
      </c>
      <c r="E125">
        <v>1</v>
      </c>
      <c r="F125">
        <v>0.43333331999999997</v>
      </c>
      <c r="G125" s="1" t="str">
        <f t="shared" si="19"/>
        <v/>
      </c>
      <c r="H125" s="1" t="str">
        <f t="shared" si="20"/>
        <v/>
      </c>
      <c r="I125" s="1">
        <f t="shared" si="21"/>
        <v>1</v>
      </c>
      <c r="J125" s="1" t="str">
        <f t="shared" si="22"/>
        <v/>
      </c>
      <c r="K125" s="1" t="str">
        <f t="shared" si="23"/>
        <v/>
      </c>
      <c r="L125" s="1" t="str">
        <f t="shared" si="24"/>
        <v/>
      </c>
    </row>
    <row r="126" spans="1:12">
      <c r="A126" t="s">
        <v>32</v>
      </c>
      <c r="B126">
        <v>19</v>
      </c>
      <c r="C126" t="str">
        <f t="shared" si="18"/>
        <v>test.Base64_19_</v>
      </c>
      <c r="D126">
        <v>28</v>
      </c>
      <c r="E126">
        <v>1</v>
      </c>
      <c r="F126">
        <v>0.53333332</v>
      </c>
      <c r="G126" s="1" t="str">
        <f t="shared" si="19"/>
        <v/>
      </c>
      <c r="H126" s="1" t="str">
        <f t="shared" si="20"/>
        <v/>
      </c>
      <c r="I126" s="1">
        <f t="shared" si="21"/>
        <v>1</v>
      </c>
      <c r="J126" s="1" t="str">
        <f t="shared" si="22"/>
        <v/>
      </c>
      <c r="K126" s="1" t="str">
        <f t="shared" si="23"/>
        <v/>
      </c>
      <c r="L126" s="1" t="str">
        <f t="shared" si="24"/>
        <v/>
      </c>
    </row>
    <row r="127" spans="1:12">
      <c r="A127" t="s">
        <v>32</v>
      </c>
      <c r="B127">
        <v>20</v>
      </c>
      <c r="C127" t="str">
        <f t="shared" si="18"/>
        <v>test.Base64_20_</v>
      </c>
      <c r="D127">
        <v>1</v>
      </c>
      <c r="E127">
        <v>6.7879529123987162E-2</v>
      </c>
      <c r="F127">
        <v>0.18461539029585816</v>
      </c>
      <c r="G127" s="1">
        <f t="shared" si="19"/>
        <v>6.7879529123987162E-2</v>
      </c>
      <c r="H127" s="1" t="str">
        <f t="shared" si="20"/>
        <v/>
      </c>
      <c r="I127" s="1" t="str">
        <f t="shared" si="21"/>
        <v/>
      </c>
      <c r="J127" s="1" t="str">
        <f t="shared" si="22"/>
        <v/>
      </c>
      <c r="K127" s="1" t="str">
        <f t="shared" si="23"/>
        <v/>
      </c>
      <c r="L127" s="1" t="str">
        <f t="shared" si="24"/>
        <v/>
      </c>
    </row>
    <row r="128" spans="1:12">
      <c r="A128" t="s">
        <v>32</v>
      </c>
      <c r="B128">
        <v>20</v>
      </c>
      <c r="C128" t="str">
        <f t="shared" si="18"/>
        <v>test.Base64_20_</v>
      </c>
      <c r="D128">
        <v>2</v>
      </c>
      <c r="E128">
        <v>0.12169393059165265</v>
      </c>
      <c r="F128">
        <v>0.2307692378698227</v>
      </c>
      <c r="G128" s="1" t="str">
        <f t="shared" si="19"/>
        <v/>
      </c>
      <c r="H128" s="1">
        <f t="shared" si="20"/>
        <v>0.12169393059165265</v>
      </c>
      <c r="I128" s="1" t="str">
        <f t="shared" si="21"/>
        <v/>
      </c>
      <c r="J128" s="1" t="str">
        <f t="shared" si="22"/>
        <v/>
      </c>
      <c r="K128" s="1" t="str">
        <f t="shared" si="23"/>
        <v/>
      </c>
      <c r="L128" s="1" t="str">
        <f t="shared" si="24"/>
        <v/>
      </c>
    </row>
    <row r="129" spans="1:12">
      <c r="A129" t="s">
        <v>32</v>
      </c>
      <c r="B129">
        <v>20</v>
      </c>
      <c r="C129" t="str">
        <f t="shared" si="18"/>
        <v>test.Base64_20_</v>
      </c>
      <c r="D129">
        <v>3</v>
      </c>
      <c r="E129">
        <v>0.13071395811038067</v>
      </c>
      <c r="F129">
        <v>0.23077385325458011</v>
      </c>
      <c r="G129" s="1" t="str">
        <f t="shared" si="19"/>
        <v/>
      </c>
      <c r="H129" s="1">
        <f t="shared" si="20"/>
        <v>0.13071395811038067</v>
      </c>
      <c r="I129" s="1" t="str">
        <f t="shared" si="21"/>
        <v/>
      </c>
      <c r="J129" s="1" t="str">
        <f t="shared" si="22"/>
        <v/>
      </c>
      <c r="K129" s="1" t="str">
        <f t="shared" si="23"/>
        <v/>
      </c>
      <c r="L129" s="1" t="str">
        <f t="shared" si="24"/>
        <v/>
      </c>
    </row>
    <row r="130" spans="1:12">
      <c r="A130" t="s">
        <v>32</v>
      </c>
      <c r="B130">
        <v>20</v>
      </c>
      <c r="C130" t="str">
        <f t="shared" si="18"/>
        <v>test.Base64_20_</v>
      </c>
      <c r="D130">
        <v>4</v>
      </c>
      <c r="E130">
        <v>0.16817000458645467</v>
      </c>
      <c r="F130">
        <v>0.23077848248549179</v>
      </c>
      <c r="G130" s="1" t="str">
        <f t="shared" si="19"/>
        <v/>
      </c>
      <c r="H130" s="1">
        <f t="shared" si="20"/>
        <v>0.16817000458645467</v>
      </c>
      <c r="I130" s="1" t="str">
        <f t="shared" si="21"/>
        <v/>
      </c>
      <c r="J130" s="1" t="str">
        <f t="shared" si="22"/>
        <v/>
      </c>
      <c r="K130" s="1" t="str">
        <f t="shared" si="23"/>
        <v/>
      </c>
      <c r="L130" s="1" t="str">
        <f t="shared" si="24"/>
        <v/>
      </c>
    </row>
    <row r="131" spans="1:12">
      <c r="A131" t="s">
        <v>32</v>
      </c>
      <c r="B131">
        <v>20</v>
      </c>
      <c r="C131" t="str">
        <f t="shared" ref="C131:C194" si="25">CONCATENATE(A131, "_",B131,"_")</f>
        <v>test.Base64_20_</v>
      </c>
      <c r="D131">
        <v>5</v>
      </c>
      <c r="E131">
        <v>0.16893441369821127</v>
      </c>
      <c r="F131">
        <v>0.23078310248563394</v>
      </c>
      <c r="G131" s="1" t="str">
        <f t="shared" ref="G131:G194" si="26">IF($F131 &lt;= 0.2,$E131,"")</f>
        <v/>
      </c>
      <c r="H131" s="1">
        <f t="shared" ref="H131:H194" si="27">IF(AND($F131 &gt; 0.2,$F131 &lt;= 0.4),$E131,"")</f>
        <v>0.16893441369821127</v>
      </c>
      <c r="I131" s="1" t="str">
        <f t="shared" ref="I131:I194" si="28">IF(AND($F131 &gt; 0.4,$F131 &lt;= 0.6),$E131,"")</f>
        <v/>
      </c>
      <c r="J131" s="1" t="str">
        <f t="shared" ref="J131:J194" si="29">IF(AND($F131 &gt; 0.6,$F131 &lt;= 0.8),$E131,"")</f>
        <v/>
      </c>
      <c r="K131" s="1" t="str">
        <f t="shared" ref="K131:K194" si="30">IF(AND($F131 &gt; 0.8, $F131 &lt;=1.1),$E131,"")</f>
        <v/>
      </c>
      <c r="L131" s="1" t="str">
        <f t="shared" ref="L131:L194" si="31">IF(AND($F131 &gt; 1.1),$E131,"")</f>
        <v/>
      </c>
    </row>
    <row r="132" spans="1:12">
      <c r="A132" t="s">
        <v>32</v>
      </c>
      <c r="B132">
        <v>20</v>
      </c>
      <c r="C132" t="str">
        <f t="shared" si="25"/>
        <v>test.Base64_20_</v>
      </c>
      <c r="D132">
        <v>6</v>
      </c>
      <c r="E132">
        <v>0.16893441369821127</v>
      </c>
      <c r="F132">
        <v>0.23078772248577606</v>
      </c>
      <c r="G132" s="1" t="str">
        <f t="shared" si="26"/>
        <v/>
      </c>
      <c r="H132" s="1">
        <f t="shared" si="27"/>
        <v>0.16893441369821127</v>
      </c>
      <c r="I132" s="1" t="str">
        <f t="shared" si="28"/>
        <v/>
      </c>
      <c r="J132" s="1" t="str">
        <f t="shared" si="29"/>
        <v/>
      </c>
      <c r="K132" s="1" t="str">
        <f t="shared" si="30"/>
        <v/>
      </c>
      <c r="L132" s="1" t="str">
        <f t="shared" si="31"/>
        <v/>
      </c>
    </row>
    <row r="133" spans="1:12">
      <c r="A133" t="s">
        <v>32</v>
      </c>
      <c r="B133">
        <v>20</v>
      </c>
      <c r="C133" t="str">
        <f t="shared" si="25"/>
        <v>test.Base64_20_</v>
      </c>
      <c r="D133">
        <v>7</v>
      </c>
      <c r="E133">
        <v>0.16893441369821127</v>
      </c>
      <c r="F133">
        <v>0.230792347101303</v>
      </c>
      <c r="G133" s="1" t="str">
        <f t="shared" si="26"/>
        <v/>
      </c>
      <c r="H133" s="1">
        <f t="shared" si="27"/>
        <v>0.16893441369821127</v>
      </c>
      <c r="I133" s="1" t="str">
        <f t="shared" si="28"/>
        <v/>
      </c>
      <c r="J133" s="1" t="str">
        <f t="shared" si="29"/>
        <v/>
      </c>
      <c r="K133" s="1" t="str">
        <f t="shared" si="30"/>
        <v/>
      </c>
      <c r="L133" s="1" t="str">
        <f t="shared" si="31"/>
        <v/>
      </c>
    </row>
    <row r="134" spans="1:12">
      <c r="A134" t="s">
        <v>32</v>
      </c>
      <c r="B134">
        <v>20</v>
      </c>
      <c r="C134" t="str">
        <f t="shared" si="25"/>
        <v>test.Base64_20_</v>
      </c>
      <c r="D134">
        <v>8</v>
      </c>
      <c r="E134">
        <v>0.16893441369821127</v>
      </c>
      <c r="F134">
        <v>0.23079697633221466</v>
      </c>
      <c r="G134" s="1" t="str">
        <f t="shared" si="26"/>
        <v/>
      </c>
      <c r="H134" s="1">
        <f t="shared" si="27"/>
        <v>0.16893441369821127</v>
      </c>
      <c r="I134" s="1" t="str">
        <f t="shared" si="28"/>
        <v/>
      </c>
      <c r="J134" s="1" t="str">
        <f t="shared" si="29"/>
        <v/>
      </c>
      <c r="K134" s="1" t="str">
        <f t="shared" si="30"/>
        <v/>
      </c>
      <c r="L134" s="1" t="str">
        <f t="shared" si="31"/>
        <v/>
      </c>
    </row>
    <row r="135" spans="1:12">
      <c r="A135" t="s">
        <v>32</v>
      </c>
      <c r="B135">
        <v>20</v>
      </c>
      <c r="C135" t="str">
        <f t="shared" si="25"/>
        <v>test.Base64_20_</v>
      </c>
      <c r="D135">
        <v>9</v>
      </c>
      <c r="E135">
        <v>0.1704632319217245</v>
      </c>
      <c r="F135">
        <v>0.24615386142011883</v>
      </c>
      <c r="G135" s="1" t="str">
        <f t="shared" si="26"/>
        <v/>
      </c>
      <c r="H135" s="1">
        <f t="shared" si="27"/>
        <v>0.1704632319217245</v>
      </c>
      <c r="I135" s="1" t="str">
        <f t="shared" si="28"/>
        <v/>
      </c>
      <c r="J135" s="1" t="str">
        <f t="shared" si="29"/>
        <v/>
      </c>
      <c r="K135" s="1" t="str">
        <f t="shared" si="30"/>
        <v/>
      </c>
      <c r="L135" s="1" t="str">
        <f t="shared" si="31"/>
        <v/>
      </c>
    </row>
    <row r="136" spans="1:12">
      <c r="A136" t="s">
        <v>32</v>
      </c>
      <c r="B136">
        <v>20</v>
      </c>
      <c r="C136" t="str">
        <f t="shared" si="25"/>
        <v>test.Base64_20_</v>
      </c>
      <c r="D136">
        <v>10</v>
      </c>
      <c r="E136">
        <v>0.1704632319217245</v>
      </c>
      <c r="F136">
        <v>0.24615848142026098</v>
      </c>
      <c r="G136" s="1" t="str">
        <f t="shared" si="26"/>
        <v/>
      </c>
      <c r="H136" s="1">
        <f t="shared" si="27"/>
        <v>0.1704632319217245</v>
      </c>
      <c r="I136" s="1" t="str">
        <f t="shared" si="28"/>
        <v/>
      </c>
      <c r="J136" s="1" t="str">
        <f t="shared" si="29"/>
        <v/>
      </c>
      <c r="K136" s="1" t="str">
        <f t="shared" si="30"/>
        <v/>
      </c>
      <c r="L136" s="1" t="str">
        <f t="shared" si="31"/>
        <v/>
      </c>
    </row>
    <row r="137" spans="1:12">
      <c r="A137" t="s">
        <v>32</v>
      </c>
      <c r="B137">
        <v>20</v>
      </c>
      <c r="C137" t="str">
        <f t="shared" si="25"/>
        <v>test.Base64_20_</v>
      </c>
      <c r="D137">
        <v>11</v>
      </c>
      <c r="E137">
        <v>0.2670845436477603</v>
      </c>
      <c r="F137">
        <v>0.26153846189349111</v>
      </c>
      <c r="G137" s="1" t="str">
        <f t="shared" si="26"/>
        <v/>
      </c>
      <c r="H137" s="1">
        <f t="shared" si="27"/>
        <v>0.2670845436477603</v>
      </c>
      <c r="I137" s="1" t="str">
        <f t="shared" si="28"/>
        <v/>
      </c>
      <c r="J137" s="1" t="str">
        <f t="shared" si="29"/>
        <v/>
      </c>
      <c r="K137" s="1" t="str">
        <f t="shared" si="30"/>
        <v/>
      </c>
      <c r="L137" s="1" t="str">
        <f t="shared" si="31"/>
        <v/>
      </c>
    </row>
    <row r="138" spans="1:12">
      <c r="A138" t="s">
        <v>32</v>
      </c>
      <c r="B138">
        <v>20</v>
      </c>
      <c r="C138" t="str">
        <f t="shared" si="25"/>
        <v>test.Base64_20_</v>
      </c>
      <c r="D138">
        <v>12</v>
      </c>
      <c r="E138">
        <v>0.39046017428527746</v>
      </c>
      <c r="F138">
        <v>0.27692308544378724</v>
      </c>
      <c r="G138" s="1" t="str">
        <f t="shared" si="26"/>
        <v/>
      </c>
      <c r="H138" s="1">
        <f t="shared" si="27"/>
        <v>0.39046017428527746</v>
      </c>
      <c r="I138" s="1" t="str">
        <f t="shared" si="28"/>
        <v/>
      </c>
      <c r="J138" s="1" t="str">
        <f t="shared" si="29"/>
        <v/>
      </c>
      <c r="K138" s="1" t="str">
        <f t="shared" si="30"/>
        <v/>
      </c>
      <c r="L138" s="1" t="str">
        <f t="shared" si="31"/>
        <v/>
      </c>
    </row>
    <row r="139" spans="1:12">
      <c r="A139" t="s">
        <v>32</v>
      </c>
      <c r="B139">
        <v>20</v>
      </c>
      <c r="C139" t="str">
        <f t="shared" si="25"/>
        <v>test.Base64_20_</v>
      </c>
      <c r="D139">
        <v>13</v>
      </c>
      <c r="E139">
        <v>0.40574835652040975</v>
      </c>
      <c r="F139">
        <v>0.27692770082854462</v>
      </c>
      <c r="G139" s="1" t="str">
        <f t="shared" si="26"/>
        <v/>
      </c>
      <c r="H139" s="1">
        <f t="shared" si="27"/>
        <v>0.40574835652040975</v>
      </c>
      <c r="I139" s="1" t="str">
        <f t="shared" si="28"/>
        <v/>
      </c>
      <c r="J139" s="1" t="str">
        <f t="shared" si="29"/>
        <v/>
      </c>
      <c r="K139" s="1" t="str">
        <f t="shared" si="30"/>
        <v/>
      </c>
      <c r="L139" s="1" t="str">
        <f t="shared" si="31"/>
        <v/>
      </c>
    </row>
    <row r="140" spans="1:12">
      <c r="A140" t="s">
        <v>32</v>
      </c>
      <c r="B140">
        <v>20</v>
      </c>
      <c r="C140" t="str">
        <f t="shared" si="25"/>
        <v>test.Base64_20_</v>
      </c>
      <c r="D140">
        <v>14</v>
      </c>
      <c r="E140">
        <v>0.41415685674973246</v>
      </c>
      <c r="F140">
        <v>0.29230770899408337</v>
      </c>
      <c r="G140" s="1" t="str">
        <f t="shared" si="26"/>
        <v/>
      </c>
      <c r="H140" s="1">
        <f t="shared" si="27"/>
        <v>0.41415685674973246</v>
      </c>
      <c r="I140" s="1" t="str">
        <f t="shared" si="28"/>
        <v/>
      </c>
      <c r="J140" s="1" t="str">
        <f t="shared" si="29"/>
        <v/>
      </c>
      <c r="K140" s="1" t="str">
        <f t="shared" si="30"/>
        <v/>
      </c>
      <c r="L140" s="1" t="str">
        <f t="shared" si="31"/>
        <v/>
      </c>
    </row>
    <row r="141" spans="1:12">
      <c r="A141" t="s">
        <v>32</v>
      </c>
      <c r="B141">
        <v>20</v>
      </c>
      <c r="C141" t="str">
        <f t="shared" si="25"/>
        <v>test.Base64_20_</v>
      </c>
      <c r="D141">
        <v>15</v>
      </c>
      <c r="E141">
        <v>0.41415685674973246</v>
      </c>
      <c r="F141">
        <v>0.29231232899422555</v>
      </c>
      <c r="G141" s="1" t="str">
        <f t="shared" si="26"/>
        <v/>
      </c>
      <c r="H141" s="1">
        <f t="shared" si="27"/>
        <v>0.41415685674973246</v>
      </c>
      <c r="I141" s="1" t="str">
        <f t="shared" si="28"/>
        <v/>
      </c>
      <c r="J141" s="1" t="str">
        <f t="shared" si="29"/>
        <v/>
      </c>
      <c r="K141" s="1" t="str">
        <f t="shared" si="30"/>
        <v/>
      </c>
      <c r="L141" s="1" t="str">
        <f t="shared" si="31"/>
        <v/>
      </c>
    </row>
    <row r="142" spans="1:12">
      <c r="A142" t="s">
        <v>32</v>
      </c>
      <c r="B142">
        <v>20</v>
      </c>
      <c r="C142" t="str">
        <f t="shared" si="25"/>
        <v>test.Base64_20_</v>
      </c>
      <c r="D142">
        <v>16</v>
      </c>
      <c r="E142">
        <v>0.41415685674973246</v>
      </c>
      <c r="F142">
        <v>0.29231696284052194</v>
      </c>
      <c r="G142" s="1" t="str">
        <f t="shared" si="26"/>
        <v/>
      </c>
      <c r="H142" s="1">
        <f t="shared" si="27"/>
        <v>0.41415685674973246</v>
      </c>
      <c r="I142" s="1" t="str">
        <f t="shared" si="28"/>
        <v/>
      </c>
      <c r="J142" s="1" t="str">
        <f t="shared" si="29"/>
        <v/>
      </c>
      <c r="K142" s="1" t="str">
        <f t="shared" si="30"/>
        <v/>
      </c>
      <c r="L142" s="1" t="str">
        <f t="shared" si="31"/>
        <v/>
      </c>
    </row>
    <row r="143" spans="1:12">
      <c r="A143" t="s">
        <v>32</v>
      </c>
      <c r="B143">
        <v>20</v>
      </c>
      <c r="C143" t="str">
        <f t="shared" si="25"/>
        <v>test.Base64_20_</v>
      </c>
      <c r="D143">
        <v>17</v>
      </c>
      <c r="E143">
        <v>0.41415685674973246</v>
      </c>
      <c r="F143">
        <v>0.30769230946745568</v>
      </c>
      <c r="G143" s="1" t="str">
        <f t="shared" si="26"/>
        <v/>
      </c>
      <c r="H143" s="1">
        <f t="shared" si="27"/>
        <v>0.41415685674973246</v>
      </c>
      <c r="I143" s="1" t="str">
        <f t="shared" si="28"/>
        <v/>
      </c>
      <c r="J143" s="1" t="str">
        <f t="shared" si="29"/>
        <v/>
      </c>
      <c r="K143" s="1" t="str">
        <f t="shared" si="30"/>
        <v/>
      </c>
      <c r="L143" s="1" t="str">
        <f t="shared" si="31"/>
        <v/>
      </c>
    </row>
    <row r="144" spans="1:12">
      <c r="A144" t="s">
        <v>32</v>
      </c>
      <c r="B144">
        <v>20</v>
      </c>
      <c r="C144" t="str">
        <f t="shared" si="25"/>
        <v>test.Base64_20_</v>
      </c>
      <c r="D144">
        <v>18</v>
      </c>
      <c r="E144">
        <v>0.41752025684146155</v>
      </c>
      <c r="F144">
        <v>0.30769692946759786</v>
      </c>
      <c r="G144" s="1" t="str">
        <f t="shared" si="26"/>
        <v/>
      </c>
      <c r="H144" s="1">
        <f t="shared" si="27"/>
        <v>0.41752025684146155</v>
      </c>
      <c r="I144" s="1" t="str">
        <f t="shared" si="28"/>
        <v/>
      </c>
      <c r="J144" s="1" t="str">
        <f t="shared" si="29"/>
        <v/>
      </c>
      <c r="K144" s="1" t="str">
        <f t="shared" si="30"/>
        <v/>
      </c>
      <c r="L144" s="1" t="str">
        <f t="shared" si="31"/>
        <v/>
      </c>
    </row>
    <row r="145" spans="1:12">
      <c r="A145" t="s">
        <v>32</v>
      </c>
      <c r="B145">
        <v>20</v>
      </c>
      <c r="C145" t="str">
        <f t="shared" si="25"/>
        <v>test.Base64_20_</v>
      </c>
      <c r="D145">
        <v>19</v>
      </c>
      <c r="E145">
        <v>0.41752025684146155</v>
      </c>
      <c r="F145">
        <v>0.32307693301775181</v>
      </c>
      <c r="G145" s="1" t="str">
        <f t="shared" si="26"/>
        <v/>
      </c>
      <c r="H145" s="1">
        <f t="shared" si="27"/>
        <v>0.41752025684146155</v>
      </c>
      <c r="I145" s="1" t="str">
        <f t="shared" si="28"/>
        <v/>
      </c>
      <c r="J145" s="1" t="str">
        <f t="shared" si="29"/>
        <v/>
      </c>
      <c r="K145" s="1" t="str">
        <f t="shared" si="30"/>
        <v/>
      </c>
      <c r="L145" s="1" t="str">
        <f t="shared" si="31"/>
        <v/>
      </c>
    </row>
    <row r="146" spans="1:12">
      <c r="A146" t="s">
        <v>32</v>
      </c>
      <c r="B146">
        <v>20</v>
      </c>
      <c r="C146" t="str">
        <f t="shared" si="25"/>
        <v>test.Base64_20_</v>
      </c>
      <c r="D146">
        <v>20</v>
      </c>
      <c r="E146">
        <v>0.41752025684146155</v>
      </c>
      <c r="F146">
        <v>0.32308154840250919</v>
      </c>
      <c r="G146" s="1" t="str">
        <f t="shared" si="26"/>
        <v/>
      </c>
      <c r="H146" s="1">
        <f t="shared" si="27"/>
        <v>0.41752025684146155</v>
      </c>
      <c r="I146" s="1" t="str">
        <f t="shared" si="28"/>
        <v/>
      </c>
      <c r="J146" s="1" t="str">
        <f t="shared" si="29"/>
        <v/>
      </c>
      <c r="K146" s="1" t="str">
        <f t="shared" si="30"/>
        <v/>
      </c>
      <c r="L146" s="1" t="str">
        <f t="shared" si="31"/>
        <v/>
      </c>
    </row>
    <row r="147" spans="1:12">
      <c r="A147" t="s">
        <v>32</v>
      </c>
      <c r="B147">
        <v>20</v>
      </c>
      <c r="C147" t="str">
        <f t="shared" si="25"/>
        <v>test.Base64_20_</v>
      </c>
      <c r="D147">
        <v>21</v>
      </c>
      <c r="E147">
        <v>0.41752025684146155</v>
      </c>
      <c r="F147">
        <v>0.3230861776334209</v>
      </c>
      <c r="G147" s="1" t="str">
        <f t="shared" si="26"/>
        <v/>
      </c>
      <c r="H147" s="1">
        <f t="shared" si="27"/>
        <v>0.41752025684146155</v>
      </c>
      <c r="I147" s="1" t="str">
        <f t="shared" si="28"/>
        <v/>
      </c>
      <c r="J147" s="1" t="str">
        <f t="shared" si="29"/>
        <v/>
      </c>
      <c r="K147" s="1" t="str">
        <f t="shared" si="30"/>
        <v/>
      </c>
      <c r="L147" s="1" t="str">
        <f t="shared" si="31"/>
        <v/>
      </c>
    </row>
    <row r="148" spans="1:12">
      <c r="A148" t="s">
        <v>32</v>
      </c>
      <c r="B148">
        <v>20</v>
      </c>
      <c r="C148" t="str">
        <f t="shared" si="25"/>
        <v>test.Base64_20_</v>
      </c>
      <c r="D148">
        <v>22</v>
      </c>
      <c r="E148">
        <v>0.41752025684146155</v>
      </c>
      <c r="F148">
        <v>0.3538461570414202</v>
      </c>
      <c r="G148" s="1" t="str">
        <f t="shared" si="26"/>
        <v/>
      </c>
      <c r="H148" s="1">
        <f t="shared" si="27"/>
        <v>0.41752025684146155</v>
      </c>
      <c r="I148" s="1" t="str">
        <f t="shared" si="28"/>
        <v/>
      </c>
      <c r="J148" s="1" t="str">
        <f t="shared" si="29"/>
        <v/>
      </c>
      <c r="K148" s="1" t="str">
        <f t="shared" si="30"/>
        <v/>
      </c>
      <c r="L148" s="1" t="str">
        <f t="shared" si="31"/>
        <v/>
      </c>
    </row>
    <row r="149" spans="1:12">
      <c r="A149" t="s">
        <v>32</v>
      </c>
      <c r="B149">
        <v>20</v>
      </c>
      <c r="C149" t="str">
        <f t="shared" si="25"/>
        <v>test.Base64_20_</v>
      </c>
      <c r="D149">
        <v>23</v>
      </c>
      <c r="E149">
        <v>0.76058706619782912</v>
      </c>
      <c r="F149">
        <v>0.58461541798816674</v>
      </c>
      <c r="G149" s="1" t="str">
        <f t="shared" si="26"/>
        <v/>
      </c>
      <c r="H149" s="1" t="str">
        <f t="shared" si="27"/>
        <v/>
      </c>
      <c r="I149" s="1">
        <f t="shared" si="28"/>
        <v>0.76058706619782912</v>
      </c>
      <c r="J149" s="1" t="str">
        <f t="shared" si="29"/>
        <v/>
      </c>
      <c r="K149" s="1" t="str">
        <f t="shared" si="30"/>
        <v/>
      </c>
      <c r="L149" s="1" t="str">
        <f t="shared" si="31"/>
        <v/>
      </c>
    </row>
    <row r="150" spans="1:12">
      <c r="A150" t="s">
        <v>32</v>
      </c>
      <c r="B150">
        <v>20</v>
      </c>
      <c r="C150" t="str">
        <f t="shared" si="25"/>
        <v>test.Base64_20_</v>
      </c>
      <c r="D150">
        <v>24</v>
      </c>
      <c r="E150">
        <v>0.81837639504662896</v>
      </c>
      <c r="F150">
        <v>0.58462003337292412</v>
      </c>
      <c r="G150" s="1" t="str">
        <f t="shared" si="26"/>
        <v/>
      </c>
      <c r="H150" s="1" t="str">
        <f t="shared" si="27"/>
        <v/>
      </c>
      <c r="I150" s="1">
        <f t="shared" si="28"/>
        <v>0.81837639504662896</v>
      </c>
      <c r="J150" s="1" t="str">
        <f t="shared" si="29"/>
        <v/>
      </c>
      <c r="K150" s="1" t="str">
        <f t="shared" si="30"/>
        <v/>
      </c>
      <c r="L150" s="1" t="str">
        <f t="shared" si="31"/>
        <v/>
      </c>
    </row>
    <row r="151" spans="1:12">
      <c r="A151" t="s">
        <v>32</v>
      </c>
      <c r="B151">
        <v>20</v>
      </c>
      <c r="C151" t="str">
        <f t="shared" si="25"/>
        <v>test.Base64_20_</v>
      </c>
      <c r="D151">
        <v>25</v>
      </c>
      <c r="E151">
        <v>0.82663201345360038</v>
      </c>
      <c r="F151">
        <v>0.60000001846153905</v>
      </c>
      <c r="G151" s="1" t="str">
        <f t="shared" si="26"/>
        <v/>
      </c>
      <c r="H151" s="1" t="str">
        <f t="shared" si="27"/>
        <v/>
      </c>
      <c r="I151" s="1" t="str">
        <f t="shared" si="28"/>
        <v/>
      </c>
      <c r="J151" s="1">
        <f t="shared" si="29"/>
        <v>0.82663201345360038</v>
      </c>
      <c r="K151" s="1" t="str">
        <f t="shared" si="30"/>
        <v/>
      </c>
      <c r="L151" s="1" t="str">
        <f t="shared" si="31"/>
        <v/>
      </c>
    </row>
    <row r="152" spans="1:12">
      <c r="A152" t="s">
        <v>32</v>
      </c>
      <c r="B152">
        <v>20</v>
      </c>
      <c r="C152" t="str">
        <f t="shared" si="25"/>
        <v>test.Base64_20_</v>
      </c>
      <c r="D152">
        <v>26</v>
      </c>
      <c r="E152">
        <v>0.82663201345360038</v>
      </c>
      <c r="F152">
        <v>0.61538461893491136</v>
      </c>
      <c r="G152" s="1" t="str">
        <f t="shared" si="26"/>
        <v/>
      </c>
      <c r="H152" s="1" t="str">
        <f t="shared" si="27"/>
        <v/>
      </c>
      <c r="I152" s="1" t="str">
        <f t="shared" si="28"/>
        <v/>
      </c>
      <c r="J152" s="1">
        <f t="shared" si="29"/>
        <v>0.82663201345360038</v>
      </c>
      <c r="K152" s="1" t="str">
        <f t="shared" si="30"/>
        <v/>
      </c>
      <c r="L152" s="1" t="str">
        <f t="shared" si="31"/>
        <v/>
      </c>
    </row>
    <row r="153" spans="1:12">
      <c r="A153" t="s">
        <v>32</v>
      </c>
      <c r="B153">
        <v>20</v>
      </c>
      <c r="C153" t="str">
        <f t="shared" si="25"/>
        <v>test.Base64_20_</v>
      </c>
      <c r="D153">
        <v>27</v>
      </c>
      <c r="E153">
        <v>0.82663201345360038</v>
      </c>
      <c r="F153">
        <v>0.64615386603550362</v>
      </c>
      <c r="G153" s="1" t="str">
        <f t="shared" si="26"/>
        <v/>
      </c>
      <c r="H153" s="1" t="str">
        <f t="shared" si="27"/>
        <v/>
      </c>
      <c r="I153" s="1" t="str">
        <f t="shared" si="28"/>
        <v/>
      </c>
      <c r="J153" s="1">
        <f t="shared" si="29"/>
        <v>0.82663201345360038</v>
      </c>
      <c r="K153" s="1" t="str">
        <f t="shared" si="30"/>
        <v/>
      </c>
      <c r="L153" s="1" t="str">
        <f t="shared" si="31"/>
        <v/>
      </c>
    </row>
    <row r="154" spans="1:12">
      <c r="A154" t="s">
        <v>32</v>
      </c>
      <c r="B154">
        <v>20</v>
      </c>
      <c r="C154" t="str">
        <f t="shared" si="25"/>
        <v>test.Base64_20_</v>
      </c>
      <c r="D154">
        <v>28</v>
      </c>
      <c r="E154">
        <v>0.90918819752331448</v>
      </c>
      <c r="F154">
        <v>0.66153846650887593</v>
      </c>
      <c r="G154" s="1" t="str">
        <f t="shared" si="26"/>
        <v/>
      </c>
      <c r="H154" s="1" t="str">
        <f t="shared" si="27"/>
        <v/>
      </c>
      <c r="I154" s="1" t="str">
        <f t="shared" si="28"/>
        <v/>
      </c>
      <c r="J154" s="1">
        <f t="shared" si="29"/>
        <v>0.90918819752331448</v>
      </c>
      <c r="K154" s="1" t="str">
        <f t="shared" si="30"/>
        <v/>
      </c>
      <c r="L154" s="1" t="str">
        <f t="shared" si="31"/>
        <v/>
      </c>
    </row>
    <row r="155" spans="1:12">
      <c r="A155" t="s">
        <v>32</v>
      </c>
      <c r="B155">
        <v>20</v>
      </c>
      <c r="C155" t="str">
        <f t="shared" si="25"/>
        <v>test.Base64_20_</v>
      </c>
      <c r="D155">
        <v>29</v>
      </c>
      <c r="E155">
        <v>1</v>
      </c>
      <c r="F155">
        <v>0.67692311313609588</v>
      </c>
      <c r="G155" s="1" t="str">
        <f t="shared" si="26"/>
        <v/>
      </c>
      <c r="H155" s="1" t="str">
        <f t="shared" si="27"/>
        <v/>
      </c>
      <c r="I155" s="1" t="str">
        <f t="shared" si="28"/>
        <v/>
      </c>
      <c r="J155" s="1">
        <f t="shared" si="29"/>
        <v>1</v>
      </c>
      <c r="K155" s="1" t="str">
        <f t="shared" si="30"/>
        <v/>
      </c>
      <c r="L155" s="1" t="str">
        <f t="shared" si="31"/>
        <v/>
      </c>
    </row>
    <row r="156" spans="1:12">
      <c r="A156" t="s">
        <v>32</v>
      </c>
      <c r="B156">
        <v>20</v>
      </c>
      <c r="C156" t="str">
        <f t="shared" si="25"/>
        <v>test.Base64_20_</v>
      </c>
      <c r="D156">
        <v>30</v>
      </c>
      <c r="E156">
        <v>1</v>
      </c>
      <c r="F156">
        <v>0.70769231408284039</v>
      </c>
      <c r="G156" s="1" t="str">
        <f t="shared" si="26"/>
        <v/>
      </c>
      <c r="H156" s="1" t="str">
        <f t="shared" si="27"/>
        <v/>
      </c>
      <c r="I156" s="1" t="str">
        <f t="shared" si="28"/>
        <v/>
      </c>
      <c r="J156" s="1">
        <f t="shared" si="29"/>
        <v>1</v>
      </c>
      <c r="K156" s="1" t="str">
        <f t="shared" si="30"/>
        <v/>
      </c>
      <c r="L156" s="1" t="str">
        <f t="shared" si="31"/>
        <v/>
      </c>
    </row>
    <row r="157" spans="1:12">
      <c r="A157" t="s">
        <v>32</v>
      </c>
      <c r="B157">
        <v>20</v>
      </c>
      <c r="C157" t="str">
        <f t="shared" si="25"/>
        <v>test.Base64_20_</v>
      </c>
      <c r="D157">
        <v>31</v>
      </c>
      <c r="E157">
        <v>1</v>
      </c>
      <c r="F157">
        <v>0.72307696071006033</v>
      </c>
      <c r="G157" s="1" t="str">
        <f t="shared" si="26"/>
        <v/>
      </c>
      <c r="H157" s="1" t="str">
        <f t="shared" si="27"/>
        <v/>
      </c>
      <c r="I157" s="1" t="str">
        <f t="shared" si="28"/>
        <v/>
      </c>
      <c r="J157" s="1">
        <f t="shared" si="29"/>
        <v>1</v>
      </c>
      <c r="K157" s="1" t="str">
        <f t="shared" si="30"/>
        <v/>
      </c>
      <c r="L157" s="1" t="str">
        <f t="shared" si="31"/>
        <v/>
      </c>
    </row>
    <row r="158" spans="1:12">
      <c r="A158" t="s">
        <v>32</v>
      </c>
      <c r="B158">
        <v>20</v>
      </c>
      <c r="C158" t="str">
        <f t="shared" si="25"/>
        <v>test.Base64_20_</v>
      </c>
      <c r="D158">
        <v>32</v>
      </c>
      <c r="E158">
        <v>1</v>
      </c>
      <c r="F158">
        <v>0.73846156118343265</v>
      </c>
      <c r="G158" s="1" t="str">
        <f t="shared" si="26"/>
        <v/>
      </c>
      <c r="H158" s="1" t="str">
        <f t="shared" si="27"/>
        <v/>
      </c>
      <c r="I158" s="1" t="str">
        <f t="shared" si="28"/>
        <v/>
      </c>
      <c r="J158" s="1">
        <f t="shared" si="29"/>
        <v>1</v>
      </c>
      <c r="K158" s="1" t="str">
        <f t="shared" si="30"/>
        <v/>
      </c>
      <c r="L158" s="1" t="str">
        <f t="shared" si="31"/>
        <v/>
      </c>
    </row>
    <row r="159" spans="1:12">
      <c r="A159" t="s">
        <v>32</v>
      </c>
      <c r="B159">
        <v>20</v>
      </c>
      <c r="C159" t="str">
        <f t="shared" si="25"/>
        <v>test.Base64_20_</v>
      </c>
      <c r="D159">
        <v>33</v>
      </c>
      <c r="E159">
        <v>1</v>
      </c>
      <c r="F159">
        <v>0.76923076213017727</v>
      </c>
      <c r="G159" s="1" t="str">
        <f t="shared" si="26"/>
        <v/>
      </c>
      <c r="H159" s="1" t="str">
        <f t="shared" si="27"/>
        <v/>
      </c>
      <c r="I159" s="1" t="str">
        <f t="shared" si="28"/>
        <v/>
      </c>
      <c r="J159" s="1">
        <f t="shared" si="29"/>
        <v>1</v>
      </c>
      <c r="K159" s="1" t="str">
        <f t="shared" si="30"/>
        <v/>
      </c>
      <c r="L159" s="1" t="str">
        <f t="shared" si="31"/>
        <v/>
      </c>
    </row>
    <row r="160" spans="1:12">
      <c r="A160" t="s">
        <v>142</v>
      </c>
      <c r="B160">
        <v>2</v>
      </c>
      <c r="C160" t="str">
        <f t="shared" si="25"/>
        <v>test.Class11_2_</v>
      </c>
      <c r="D160">
        <v>1</v>
      </c>
      <c r="E160">
        <v>1.8545279383429671E-2</v>
      </c>
      <c r="F160">
        <v>0.21428571428571427</v>
      </c>
      <c r="G160" s="1" t="str">
        <f t="shared" si="26"/>
        <v/>
      </c>
      <c r="H160" s="1">
        <f t="shared" si="27"/>
        <v>1.8545279383429671E-2</v>
      </c>
      <c r="I160" s="1" t="str">
        <f t="shared" si="28"/>
        <v/>
      </c>
      <c r="J160" s="1" t="str">
        <f t="shared" si="29"/>
        <v/>
      </c>
      <c r="K160" s="1" t="str">
        <f t="shared" si="30"/>
        <v/>
      </c>
      <c r="L160" s="1" t="str">
        <f t="shared" si="31"/>
        <v/>
      </c>
    </row>
    <row r="161" spans="1:12">
      <c r="A161" t="s">
        <v>142</v>
      </c>
      <c r="B161">
        <v>2</v>
      </c>
      <c r="C161" t="str">
        <f t="shared" si="25"/>
        <v>test.Class11_2_</v>
      </c>
      <c r="D161">
        <v>2</v>
      </c>
      <c r="E161">
        <v>1</v>
      </c>
      <c r="F161">
        <v>1</v>
      </c>
      <c r="G161" s="1" t="str">
        <f t="shared" si="26"/>
        <v/>
      </c>
      <c r="H161" s="1" t="str">
        <f t="shared" si="27"/>
        <v/>
      </c>
      <c r="I161" s="1" t="str">
        <f t="shared" si="28"/>
        <v/>
      </c>
      <c r="J161" s="1" t="str">
        <f t="shared" si="29"/>
        <v/>
      </c>
      <c r="K161" s="1">
        <f t="shared" si="30"/>
        <v>1</v>
      </c>
      <c r="L161" s="1" t="str">
        <f t="shared" si="31"/>
        <v/>
      </c>
    </row>
    <row r="162" spans="1:12">
      <c r="A162" t="s">
        <v>142</v>
      </c>
      <c r="B162">
        <v>2</v>
      </c>
      <c r="C162" t="str">
        <f t="shared" si="25"/>
        <v>test.Class11_2_</v>
      </c>
      <c r="D162">
        <v>3</v>
      </c>
      <c r="E162">
        <v>1</v>
      </c>
      <c r="F162">
        <v>1.0000071428571429</v>
      </c>
      <c r="G162" s="1" t="str">
        <f t="shared" si="26"/>
        <v/>
      </c>
      <c r="H162" s="1" t="str">
        <f t="shared" si="27"/>
        <v/>
      </c>
      <c r="I162" s="1" t="str">
        <f t="shared" si="28"/>
        <v/>
      </c>
      <c r="J162" s="1" t="str">
        <f t="shared" si="29"/>
        <v/>
      </c>
      <c r="K162" s="1">
        <f t="shared" si="30"/>
        <v>1</v>
      </c>
      <c r="L162" s="1" t="str">
        <f t="shared" si="31"/>
        <v/>
      </c>
    </row>
    <row r="163" spans="1:12">
      <c r="A163" t="s">
        <v>142</v>
      </c>
      <c r="B163">
        <v>3</v>
      </c>
      <c r="C163" t="str">
        <f t="shared" si="25"/>
        <v>test.Class11_3_</v>
      </c>
      <c r="D163">
        <v>1</v>
      </c>
      <c r="E163">
        <v>0.97445255474452552</v>
      </c>
      <c r="F163">
        <v>1</v>
      </c>
      <c r="G163" s="1" t="str">
        <f t="shared" si="26"/>
        <v/>
      </c>
      <c r="H163" s="1" t="str">
        <f t="shared" si="27"/>
        <v/>
      </c>
      <c r="I163" s="1" t="str">
        <f t="shared" si="28"/>
        <v/>
      </c>
      <c r="J163" s="1" t="str">
        <f t="shared" si="29"/>
        <v/>
      </c>
      <c r="K163" s="1">
        <f t="shared" si="30"/>
        <v>0.97445255474452552</v>
      </c>
      <c r="L163" s="1" t="str">
        <f t="shared" si="31"/>
        <v/>
      </c>
    </row>
    <row r="164" spans="1:12">
      <c r="A164" t="s">
        <v>142</v>
      </c>
      <c r="B164">
        <v>3</v>
      </c>
      <c r="C164" t="str">
        <f t="shared" si="25"/>
        <v>test.Class11_3_</v>
      </c>
      <c r="D164">
        <v>2</v>
      </c>
      <c r="E164">
        <v>1</v>
      </c>
      <c r="F164">
        <v>1.0000150150003755</v>
      </c>
      <c r="G164" s="1" t="str">
        <f t="shared" si="26"/>
        <v/>
      </c>
      <c r="H164" s="1" t="str">
        <f t="shared" si="27"/>
        <v/>
      </c>
      <c r="I164" s="1" t="str">
        <f t="shared" si="28"/>
        <v/>
      </c>
      <c r="J164" s="1" t="str">
        <f t="shared" si="29"/>
        <v/>
      </c>
      <c r="K164" s="1">
        <f t="shared" si="30"/>
        <v>1</v>
      </c>
      <c r="L164" s="1" t="str">
        <f t="shared" si="31"/>
        <v/>
      </c>
    </row>
    <row r="165" spans="1:12">
      <c r="A165" t="s">
        <v>142</v>
      </c>
      <c r="B165">
        <v>7</v>
      </c>
      <c r="C165" t="str">
        <f t="shared" si="25"/>
        <v>test.Class11_7_</v>
      </c>
      <c r="D165">
        <v>1</v>
      </c>
      <c r="E165">
        <v>1</v>
      </c>
      <c r="F165">
        <v>1</v>
      </c>
      <c r="G165" s="1" t="str">
        <f t="shared" si="26"/>
        <v/>
      </c>
      <c r="H165" s="1" t="str">
        <f t="shared" si="27"/>
        <v/>
      </c>
      <c r="I165" s="1" t="str">
        <f t="shared" si="28"/>
        <v/>
      </c>
      <c r="J165" s="1" t="str">
        <f t="shared" si="29"/>
        <v/>
      </c>
      <c r="K165" s="1">
        <f t="shared" si="30"/>
        <v>1</v>
      </c>
      <c r="L165" s="1" t="str">
        <f t="shared" si="31"/>
        <v/>
      </c>
    </row>
    <row r="166" spans="1:12">
      <c r="A166" t="s">
        <v>142</v>
      </c>
      <c r="B166">
        <v>7</v>
      </c>
      <c r="C166" t="str">
        <f t="shared" si="25"/>
        <v>test.Class11_7_</v>
      </c>
      <c r="D166">
        <v>2</v>
      </c>
      <c r="E166">
        <v>1</v>
      </c>
      <c r="F166">
        <v>1.0500000262500007</v>
      </c>
      <c r="G166" s="1" t="str">
        <f t="shared" si="26"/>
        <v/>
      </c>
      <c r="H166" s="1" t="str">
        <f t="shared" si="27"/>
        <v/>
      </c>
      <c r="I166" s="1" t="str">
        <f t="shared" si="28"/>
        <v/>
      </c>
      <c r="J166" s="1" t="str">
        <f t="shared" si="29"/>
        <v/>
      </c>
      <c r="K166" s="1">
        <f t="shared" si="30"/>
        <v>1</v>
      </c>
      <c r="L166" s="1" t="str">
        <f t="shared" si="31"/>
        <v/>
      </c>
    </row>
    <row r="167" spans="1:12">
      <c r="A167" t="s">
        <v>142</v>
      </c>
      <c r="B167">
        <v>10</v>
      </c>
      <c r="C167" t="str">
        <f t="shared" si="25"/>
        <v>test.Class11_10_</v>
      </c>
      <c r="D167">
        <v>1</v>
      </c>
      <c r="E167">
        <v>8.4634466656938565E-2</v>
      </c>
      <c r="F167">
        <v>0.12727272727272726</v>
      </c>
      <c r="G167" s="1">
        <f t="shared" si="26"/>
        <v>8.4634466656938565E-2</v>
      </c>
      <c r="H167" s="1" t="str">
        <f t="shared" si="27"/>
        <v/>
      </c>
      <c r="I167" s="1" t="str">
        <f t="shared" si="28"/>
        <v/>
      </c>
      <c r="J167" s="1" t="str">
        <f t="shared" si="29"/>
        <v/>
      </c>
      <c r="K167" s="1" t="str">
        <f t="shared" si="30"/>
        <v/>
      </c>
      <c r="L167" s="1" t="str">
        <f t="shared" si="31"/>
        <v/>
      </c>
    </row>
    <row r="168" spans="1:12">
      <c r="A168" t="s">
        <v>142</v>
      </c>
      <c r="B168">
        <v>10</v>
      </c>
      <c r="C168" t="str">
        <f t="shared" si="25"/>
        <v>test.Class11_10_</v>
      </c>
      <c r="D168">
        <v>2</v>
      </c>
      <c r="E168">
        <v>8.4634466656938565E-2</v>
      </c>
      <c r="F168">
        <v>0.13333333636363637</v>
      </c>
      <c r="G168" s="1">
        <f t="shared" si="26"/>
        <v>8.4634466656938565E-2</v>
      </c>
      <c r="H168" s="1" t="str">
        <f t="shared" si="27"/>
        <v/>
      </c>
      <c r="I168" s="1" t="str">
        <f t="shared" si="28"/>
        <v/>
      </c>
      <c r="J168" s="1" t="str">
        <f t="shared" si="29"/>
        <v/>
      </c>
      <c r="K168" s="1" t="str">
        <f t="shared" si="30"/>
        <v/>
      </c>
      <c r="L168" s="1" t="str">
        <f t="shared" si="31"/>
        <v/>
      </c>
    </row>
    <row r="169" spans="1:12">
      <c r="A169" t="s">
        <v>142</v>
      </c>
      <c r="B169">
        <v>10</v>
      </c>
      <c r="C169" t="str">
        <f t="shared" si="25"/>
        <v>test.Class11_10_</v>
      </c>
      <c r="D169">
        <v>3</v>
      </c>
      <c r="E169">
        <v>0.15066394279877426</v>
      </c>
      <c r="F169">
        <v>0.16363636363636364</v>
      </c>
      <c r="G169" s="1">
        <f t="shared" si="26"/>
        <v>0.15066394279877426</v>
      </c>
      <c r="H169" s="1" t="str">
        <f t="shared" si="27"/>
        <v/>
      </c>
      <c r="I169" s="1" t="str">
        <f t="shared" si="28"/>
        <v/>
      </c>
      <c r="J169" s="1" t="str">
        <f t="shared" si="29"/>
        <v/>
      </c>
      <c r="K169" s="1" t="str">
        <f t="shared" si="30"/>
        <v/>
      </c>
      <c r="L169" s="1" t="str">
        <f t="shared" si="31"/>
        <v/>
      </c>
    </row>
    <row r="170" spans="1:12">
      <c r="A170" t="s">
        <v>142</v>
      </c>
      <c r="B170">
        <v>10</v>
      </c>
      <c r="C170" t="str">
        <f t="shared" si="25"/>
        <v>test.Class11_10_</v>
      </c>
      <c r="D170">
        <v>4</v>
      </c>
      <c r="E170">
        <v>0.2251568656063038</v>
      </c>
      <c r="F170">
        <v>0.16363818181818182</v>
      </c>
      <c r="G170" s="1">
        <f t="shared" si="26"/>
        <v>0.2251568656063038</v>
      </c>
      <c r="H170" s="1" t="str">
        <f t="shared" si="27"/>
        <v/>
      </c>
      <c r="I170" s="1" t="str">
        <f t="shared" si="28"/>
        <v/>
      </c>
      <c r="J170" s="1" t="str">
        <f t="shared" si="29"/>
        <v/>
      </c>
      <c r="K170" s="1" t="str">
        <f t="shared" si="30"/>
        <v/>
      </c>
      <c r="L170" s="1" t="str">
        <f t="shared" si="31"/>
        <v/>
      </c>
    </row>
    <row r="171" spans="1:12">
      <c r="A171" t="s">
        <v>142</v>
      </c>
      <c r="B171">
        <v>10</v>
      </c>
      <c r="C171" t="str">
        <f t="shared" si="25"/>
        <v>test.Class11_10_</v>
      </c>
      <c r="D171">
        <v>5</v>
      </c>
      <c r="E171">
        <v>0.29125930249525755</v>
      </c>
      <c r="F171">
        <v>0.16969696363636363</v>
      </c>
      <c r="G171" s="1">
        <f t="shared" si="26"/>
        <v>0.29125930249525755</v>
      </c>
      <c r="H171" s="1" t="str">
        <f t="shared" si="27"/>
        <v/>
      </c>
      <c r="I171" s="1" t="str">
        <f t="shared" si="28"/>
        <v/>
      </c>
      <c r="J171" s="1" t="str">
        <f t="shared" si="29"/>
        <v/>
      </c>
      <c r="K171" s="1" t="str">
        <f t="shared" si="30"/>
        <v/>
      </c>
      <c r="L171" s="1" t="str">
        <f t="shared" si="31"/>
        <v/>
      </c>
    </row>
    <row r="172" spans="1:12">
      <c r="A172" t="s">
        <v>142</v>
      </c>
      <c r="B172">
        <v>10</v>
      </c>
      <c r="C172" t="str">
        <f t="shared" si="25"/>
        <v>test.Class11_10_</v>
      </c>
      <c r="D172">
        <v>6</v>
      </c>
      <c r="E172">
        <v>0.29125930249525755</v>
      </c>
      <c r="F172">
        <v>0.16969878181818182</v>
      </c>
      <c r="G172" s="1">
        <f t="shared" si="26"/>
        <v>0.29125930249525755</v>
      </c>
      <c r="H172" s="1" t="str">
        <f t="shared" si="27"/>
        <v/>
      </c>
      <c r="I172" s="1" t="str">
        <f t="shared" si="28"/>
        <v/>
      </c>
      <c r="J172" s="1" t="str">
        <f t="shared" si="29"/>
        <v/>
      </c>
      <c r="K172" s="1" t="str">
        <f t="shared" si="30"/>
        <v/>
      </c>
      <c r="L172" s="1" t="str">
        <f t="shared" si="31"/>
        <v/>
      </c>
    </row>
    <row r="173" spans="1:12">
      <c r="A173" t="s">
        <v>142</v>
      </c>
      <c r="B173">
        <v>10</v>
      </c>
      <c r="C173" t="str">
        <f t="shared" si="25"/>
        <v>test.Class11_10_</v>
      </c>
      <c r="D173">
        <v>7</v>
      </c>
      <c r="E173">
        <v>0.36735736173938421</v>
      </c>
      <c r="F173">
        <v>0.16970059999999998</v>
      </c>
      <c r="G173" s="1">
        <f t="shared" si="26"/>
        <v>0.36735736173938421</v>
      </c>
      <c r="H173" s="1" t="str">
        <f t="shared" si="27"/>
        <v/>
      </c>
      <c r="I173" s="1" t="str">
        <f t="shared" si="28"/>
        <v/>
      </c>
      <c r="J173" s="1" t="str">
        <f t="shared" si="29"/>
        <v/>
      </c>
      <c r="K173" s="1" t="str">
        <f t="shared" si="30"/>
        <v/>
      </c>
      <c r="L173" s="1" t="str">
        <f t="shared" si="31"/>
        <v/>
      </c>
    </row>
    <row r="174" spans="1:12">
      <c r="A174" t="s">
        <v>142</v>
      </c>
      <c r="B174">
        <v>10</v>
      </c>
      <c r="C174" t="str">
        <f t="shared" si="25"/>
        <v>test.Class11_10_</v>
      </c>
      <c r="D174">
        <v>8</v>
      </c>
      <c r="E174">
        <v>0.36735736173938421</v>
      </c>
      <c r="F174">
        <v>0.17575758181818182</v>
      </c>
      <c r="G174" s="1">
        <f t="shared" si="26"/>
        <v>0.36735736173938421</v>
      </c>
      <c r="H174" s="1" t="str">
        <f t="shared" si="27"/>
        <v/>
      </c>
      <c r="I174" s="1" t="str">
        <f t="shared" si="28"/>
        <v/>
      </c>
      <c r="J174" s="1" t="str">
        <f t="shared" si="29"/>
        <v/>
      </c>
      <c r="K174" s="1" t="str">
        <f t="shared" si="30"/>
        <v/>
      </c>
      <c r="L174" s="1" t="str">
        <f t="shared" si="31"/>
        <v/>
      </c>
    </row>
    <row r="175" spans="1:12">
      <c r="A175" t="s">
        <v>142</v>
      </c>
      <c r="B175">
        <v>10</v>
      </c>
      <c r="C175" t="str">
        <f t="shared" si="25"/>
        <v>test.Class11_10_</v>
      </c>
      <c r="D175">
        <v>9</v>
      </c>
      <c r="E175">
        <v>0.36735736173938421</v>
      </c>
      <c r="F175">
        <v>0.17575940000000001</v>
      </c>
      <c r="G175" s="1">
        <f t="shared" si="26"/>
        <v>0.36735736173938421</v>
      </c>
      <c r="H175" s="1" t="str">
        <f t="shared" si="27"/>
        <v/>
      </c>
      <c r="I175" s="1" t="str">
        <f t="shared" si="28"/>
        <v/>
      </c>
      <c r="J175" s="1" t="str">
        <f t="shared" si="29"/>
        <v/>
      </c>
      <c r="K175" s="1" t="str">
        <f t="shared" si="30"/>
        <v/>
      </c>
      <c r="L175" s="1" t="str">
        <f t="shared" si="31"/>
        <v/>
      </c>
    </row>
    <row r="176" spans="1:12">
      <c r="A176" t="s">
        <v>142</v>
      </c>
      <c r="B176">
        <v>10</v>
      </c>
      <c r="C176" t="str">
        <f t="shared" si="25"/>
        <v>test.Class11_10_</v>
      </c>
      <c r="D176">
        <v>10</v>
      </c>
      <c r="E176">
        <v>0.36735736173938421</v>
      </c>
      <c r="F176">
        <v>0.18787878181818182</v>
      </c>
      <c r="G176" s="1">
        <f t="shared" si="26"/>
        <v>0.36735736173938421</v>
      </c>
      <c r="H176" s="1" t="str">
        <f t="shared" si="27"/>
        <v/>
      </c>
      <c r="I176" s="1" t="str">
        <f t="shared" si="28"/>
        <v/>
      </c>
      <c r="J176" s="1" t="str">
        <f t="shared" si="29"/>
        <v/>
      </c>
      <c r="K176" s="1" t="str">
        <f t="shared" si="30"/>
        <v/>
      </c>
      <c r="L176" s="1" t="str">
        <f t="shared" si="31"/>
        <v/>
      </c>
    </row>
    <row r="177" spans="1:12">
      <c r="A177" t="s">
        <v>142</v>
      </c>
      <c r="B177">
        <v>10</v>
      </c>
      <c r="C177" t="str">
        <f t="shared" si="25"/>
        <v>test.Class11_10_</v>
      </c>
      <c r="D177">
        <v>11</v>
      </c>
      <c r="E177">
        <v>0.38982927185174376</v>
      </c>
      <c r="F177">
        <v>0.2121212181818182</v>
      </c>
      <c r="G177" s="1" t="str">
        <f t="shared" si="26"/>
        <v/>
      </c>
      <c r="H177" s="1">
        <f t="shared" si="27"/>
        <v>0.38982927185174376</v>
      </c>
      <c r="I177" s="1" t="str">
        <f t="shared" si="28"/>
        <v/>
      </c>
      <c r="J177" s="1" t="str">
        <f t="shared" si="29"/>
        <v/>
      </c>
      <c r="K177" s="1" t="str">
        <f t="shared" si="30"/>
        <v/>
      </c>
      <c r="L177" s="1" t="str">
        <f t="shared" si="31"/>
        <v/>
      </c>
    </row>
    <row r="178" spans="1:12">
      <c r="A178" t="s">
        <v>142</v>
      </c>
      <c r="B178">
        <v>10</v>
      </c>
      <c r="C178" t="str">
        <f t="shared" si="25"/>
        <v>test.Class11_10_</v>
      </c>
      <c r="D178">
        <v>12</v>
      </c>
      <c r="E178">
        <v>0.52196118488253318</v>
      </c>
      <c r="F178">
        <v>0.21212303636363636</v>
      </c>
      <c r="G178" s="1" t="str">
        <f t="shared" si="26"/>
        <v/>
      </c>
      <c r="H178" s="1">
        <f t="shared" si="27"/>
        <v>0.52196118488253318</v>
      </c>
      <c r="I178" s="1" t="str">
        <f t="shared" si="28"/>
        <v/>
      </c>
      <c r="J178" s="1" t="str">
        <f t="shared" si="29"/>
        <v/>
      </c>
      <c r="K178" s="1" t="str">
        <f t="shared" si="30"/>
        <v/>
      </c>
      <c r="L178" s="1" t="str">
        <f t="shared" si="31"/>
        <v/>
      </c>
    </row>
    <row r="179" spans="1:12">
      <c r="A179" t="s">
        <v>142</v>
      </c>
      <c r="B179">
        <v>10</v>
      </c>
      <c r="C179" t="str">
        <f t="shared" si="25"/>
        <v>test.Class11_10_</v>
      </c>
      <c r="D179">
        <v>13</v>
      </c>
      <c r="E179">
        <v>0.6757624398073836</v>
      </c>
      <c r="F179">
        <v>0.21818181818181817</v>
      </c>
      <c r="G179" s="1" t="str">
        <f t="shared" si="26"/>
        <v/>
      </c>
      <c r="H179" s="1">
        <f t="shared" si="27"/>
        <v>0.6757624398073836</v>
      </c>
      <c r="I179" s="1" t="str">
        <f t="shared" si="28"/>
        <v/>
      </c>
      <c r="J179" s="1" t="str">
        <f t="shared" si="29"/>
        <v/>
      </c>
      <c r="K179" s="1" t="str">
        <f t="shared" si="30"/>
        <v/>
      </c>
      <c r="L179" s="1" t="str">
        <f t="shared" si="31"/>
        <v/>
      </c>
    </row>
    <row r="180" spans="1:12">
      <c r="A180" t="s">
        <v>142</v>
      </c>
      <c r="B180">
        <v>10</v>
      </c>
      <c r="C180" t="str">
        <f t="shared" si="25"/>
        <v>test.Class11_10_</v>
      </c>
      <c r="D180">
        <v>14</v>
      </c>
      <c r="E180">
        <v>0.6966292134831461</v>
      </c>
      <c r="F180">
        <v>0.21818363636363636</v>
      </c>
      <c r="G180" s="1" t="str">
        <f t="shared" si="26"/>
        <v/>
      </c>
      <c r="H180" s="1">
        <f t="shared" si="27"/>
        <v>0.6966292134831461</v>
      </c>
      <c r="I180" s="1" t="str">
        <f t="shared" si="28"/>
        <v/>
      </c>
      <c r="J180" s="1" t="str">
        <f t="shared" si="29"/>
        <v/>
      </c>
      <c r="K180" s="1" t="str">
        <f t="shared" si="30"/>
        <v/>
      </c>
      <c r="L180" s="1" t="str">
        <f t="shared" si="31"/>
        <v/>
      </c>
    </row>
    <row r="181" spans="1:12">
      <c r="A181" t="s">
        <v>142</v>
      </c>
      <c r="B181">
        <v>10</v>
      </c>
      <c r="C181" t="str">
        <f t="shared" si="25"/>
        <v>test.Class11_10_</v>
      </c>
      <c r="D181">
        <v>15</v>
      </c>
      <c r="E181">
        <v>0.6966292134831461</v>
      </c>
      <c r="F181">
        <v>0.21818545454545454</v>
      </c>
      <c r="G181" s="1" t="str">
        <f t="shared" si="26"/>
        <v/>
      </c>
      <c r="H181" s="1">
        <f t="shared" si="27"/>
        <v>0.6966292134831461</v>
      </c>
      <c r="I181" s="1" t="str">
        <f t="shared" si="28"/>
        <v/>
      </c>
      <c r="J181" s="1" t="str">
        <f t="shared" si="29"/>
        <v/>
      </c>
      <c r="K181" s="1" t="str">
        <f t="shared" si="30"/>
        <v/>
      </c>
      <c r="L181" s="1" t="str">
        <f t="shared" si="31"/>
        <v/>
      </c>
    </row>
    <row r="182" spans="1:12">
      <c r="A182" t="s">
        <v>142</v>
      </c>
      <c r="B182">
        <v>10</v>
      </c>
      <c r="C182" t="str">
        <f t="shared" si="25"/>
        <v>test.Class11_10_</v>
      </c>
      <c r="D182">
        <v>16</v>
      </c>
      <c r="E182">
        <v>0.7191011235955056</v>
      </c>
      <c r="F182">
        <v>0.2181872727272727</v>
      </c>
      <c r="G182" s="1" t="str">
        <f t="shared" si="26"/>
        <v/>
      </c>
      <c r="H182" s="1">
        <f t="shared" si="27"/>
        <v>0.7191011235955056</v>
      </c>
      <c r="I182" s="1" t="str">
        <f t="shared" si="28"/>
        <v/>
      </c>
      <c r="J182" s="1" t="str">
        <f t="shared" si="29"/>
        <v/>
      </c>
      <c r="K182" s="1" t="str">
        <f t="shared" si="30"/>
        <v/>
      </c>
      <c r="L182" s="1" t="str">
        <f t="shared" si="31"/>
        <v/>
      </c>
    </row>
    <row r="183" spans="1:12">
      <c r="A183" t="s">
        <v>142</v>
      </c>
      <c r="B183">
        <v>10</v>
      </c>
      <c r="C183" t="str">
        <f t="shared" si="25"/>
        <v>test.Class11_10_</v>
      </c>
      <c r="D183">
        <v>17</v>
      </c>
      <c r="E183">
        <v>0.7399678972712681</v>
      </c>
      <c r="F183">
        <v>0.21818910909090911</v>
      </c>
      <c r="G183" s="1" t="str">
        <f t="shared" si="26"/>
        <v/>
      </c>
      <c r="H183" s="1">
        <f t="shared" si="27"/>
        <v>0.7399678972712681</v>
      </c>
      <c r="I183" s="1" t="str">
        <f t="shared" si="28"/>
        <v/>
      </c>
      <c r="J183" s="1" t="str">
        <f t="shared" si="29"/>
        <v/>
      </c>
      <c r="K183" s="1" t="str">
        <f t="shared" si="30"/>
        <v/>
      </c>
      <c r="L183" s="1" t="str">
        <f t="shared" si="31"/>
        <v/>
      </c>
    </row>
    <row r="184" spans="1:12">
      <c r="A184" t="s">
        <v>142</v>
      </c>
      <c r="B184">
        <v>10</v>
      </c>
      <c r="C184" t="str">
        <f t="shared" si="25"/>
        <v>test.Class11_10_</v>
      </c>
      <c r="D184">
        <v>18</v>
      </c>
      <c r="E184">
        <v>0.7399678972712681</v>
      </c>
      <c r="F184">
        <v>0.21819092727272726</v>
      </c>
      <c r="G184" s="1" t="str">
        <f t="shared" si="26"/>
        <v/>
      </c>
      <c r="H184" s="1">
        <f t="shared" si="27"/>
        <v>0.7399678972712681</v>
      </c>
      <c r="I184" s="1" t="str">
        <f t="shared" si="28"/>
        <v/>
      </c>
      <c r="J184" s="1" t="str">
        <f t="shared" si="29"/>
        <v/>
      </c>
      <c r="K184" s="1" t="str">
        <f t="shared" si="30"/>
        <v/>
      </c>
      <c r="L184" s="1" t="str">
        <f t="shared" si="31"/>
        <v/>
      </c>
    </row>
    <row r="185" spans="1:12">
      <c r="A185" t="s">
        <v>142</v>
      </c>
      <c r="B185">
        <v>10</v>
      </c>
      <c r="C185" t="str">
        <f t="shared" si="25"/>
        <v>test.Class11_10_</v>
      </c>
      <c r="D185">
        <v>19</v>
      </c>
      <c r="E185">
        <v>0.7399678972712681</v>
      </c>
      <c r="F185">
        <v>0.22424241818181817</v>
      </c>
      <c r="G185" s="1" t="str">
        <f t="shared" si="26"/>
        <v/>
      </c>
      <c r="H185" s="1">
        <f t="shared" si="27"/>
        <v>0.7399678972712681</v>
      </c>
      <c r="I185" s="1" t="str">
        <f t="shared" si="28"/>
        <v/>
      </c>
      <c r="J185" s="1" t="str">
        <f t="shared" si="29"/>
        <v/>
      </c>
      <c r="K185" s="1" t="str">
        <f t="shared" si="30"/>
        <v/>
      </c>
      <c r="L185" s="1" t="str">
        <f t="shared" si="31"/>
        <v/>
      </c>
    </row>
    <row r="186" spans="1:12">
      <c r="A186" t="s">
        <v>142</v>
      </c>
      <c r="B186">
        <v>10</v>
      </c>
      <c r="C186" t="str">
        <f t="shared" si="25"/>
        <v>test.Class11_10_</v>
      </c>
      <c r="D186">
        <v>20</v>
      </c>
      <c r="E186">
        <v>0.7399678972712681</v>
      </c>
      <c r="F186">
        <v>0.22424423636363636</v>
      </c>
      <c r="G186" s="1" t="str">
        <f t="shared" si="26"/>
        <v/>
      </c>
      <c r="H186" s="1">
        <f t="shared" si="27"/>
        <v>0.7399678972712681</v>
      </c>
      <c r="I186" s="1" t="str">
        <f t="shared" si="28"/>
        <v/>
      </c>
      <c r="J186" s="1" t="str">
        <f t="shared" si="29"/>
        <v/>
      </c>
      <c r="K186" s="1" t="str">
        <f t="shared" si="30"/>
        <v/>
      </c>
      <c r="L186" s="1" t="str">
        <f t="shared" si="31"/>
        <v/>
      </c>
    </row>
    <row r="187" spans="1:12">
      <c r="A187" t="s">
        <v>142</v>
      </c>
      <c r="B187">
        <v>10</v>
      </c>
      <c r="C187" t="str">
        <f t="shared" si="25"/>
        <v>test.Class11_10_</v>
      </c>
      <c r="D187">
        <v>21</v>
      </c>
      <c r="E187">
        <v>0.7399678972712681</v>
      </c>
      <c r="F187">
        <v>0.22424605454545454</v>
      </c>
      <c r="G187" s="1" t="str">
        <f t="shared" si="26"/>
        <v/>
      </c>
      <c r="H187" s="1">
        <f t="shared" si="27"/>
        <v>0.7399678972712681</v>
      </c>
      <c r="I187" s="1" t="str">
        <f t="shared" si="28"/>
        <v/>
      </c>
      <c r="J187" s="1" t="str">
        <f t="shared" si="29"/>
        <v/>
      </c>
      <c r="K187" s="1" t="str">
        <f t="shared" si="30"/>
        <v/>
      </c>
      <c r="L187" s="1" t="str">
        <f t="shared" si="31"/>
        <v/>
      </c>
    </row>
    <row r="188" spans="1:12">
      <c r="A188" t="s">
        <v>142</v>
      </c>
      <c r="B188">
        <v>10</v>
      </c>
      <c r="C188" t="str">
        <f t="shared" si="25"/>
        <v>test.Class11_10_</v>
      </c>
      <c r="D188">
        <v>22</v>
      </c>
      <c r="E188">
        <v>0.7399678972712681</v>
      </c>
      <c r="F188">
        <v>0.23030303636363636</v>
      </c>
      <c r="G188" s="1" t="str">
        <f t="shared" si="26"/>
        <v/>
      </c>
      <c r="H188" s="1">
        <f t="shared" si="27"/>
        <v>0.7399678972712681</v>
      </c>
      <c r="I188" s="1" t="str">
        <f t="shared" si="28"/>
        <v/>
      </c>
      <c r="J188" s="1" t="str">
        <f t="shared" si="29"/>
        <v/>
      </c>
      <c r="K188" s="1" t="str">
        <f t="shared" si="30"/>
        <v/>
      </c>
      <c r="L188" s="1" t="str">
        <f t="shared" si="31"/>
        <v/>
      </c>
    </row>
    <row r="189" spans="1:12">
      <c r="A189" t="s">
        <v>142</v>
      </c>
      <c r="B189">
        <v>10</v>
      </c>
      <c r="C189" t="str">
        <f t="shared" si="25"/>
        <v>test.Class11_10_</v>
      </c>
      <c r="D189">
        <v>23</v>
      </c>
      <c r="E189">
        <v>0.78330658105938999</v>
      </c>
      <c r="F189">
        <v>0.26666667272727274</v>
      </c>
      <c r="G189" s="1" t="str">
        <f t="shared" si="26"/>
        <v/>
      </c>
      <c r="H189" s="1">
        <f t="shared" si="27"/>
        <v>0.78330658105938999</v>
      </c>
      <c r="I189" s="1" t="str">
        <f t="shared" si="28"/>
        <v/>
      </c>
      <c r="J189" s="1" t="str">
        <f t="shared" si="29"/>
        <v/>
      </c>
      <c r="K189" s="1" t="str">
        <f t="shared" si="30"/>
        <v/>
      </c>
      <c r="L189" s="1" t="str">
        <f t="shared" si="31"/>
        <v/>
      </c>
    </row>
    <row r="190" spans="1:12">
      <c r="A190" t="s">
        <v>142</v>
      </c>
      <c r="B190">
        <v>10</v>
      </c>
      <c r="C190" t="str">
        <f t="shared" si="25"/>
        <v>test.Class11_10_</v>
      </c>
      <c r="D190">
        <v>24</v>
      </c>
      <c r="E190">
        <v>0.82825040128410909</v>
      </c>
      <c r="F190">
        <v>0.26666849090909089</v>
      </c>
      <c r="G190" s="1" t="str">
        <f t="shared" si="26"/>
        <v/>
      </c>
      <c r="H190" s="1">
        <f t="shared" si="27"/>
        <v>0.82825040128410909</v>
      </c>
      <c r="I190" s="1" t="str">
        <f t="shared" si="28"/>
        <v/>
      </c>
      <c r="J190" s="1" t="str">
        <f t="shared" si="29"/>
        <v/>
      </c>
      <c r="K190" s="1" t="str">
        <f t="shared" si="30"/>
        <v/>
      </c>
      <c r="L190" s="1" t="str">
        <f t="shared" si="31"/>
        <v/>
      </c>
    </row>
    <row r="191" spans="1:12">
      <c r="A191" t="s">
        <v>142</v>
      </c>
      <c r="B191">
        <v>10</v>
      </c>
      <c r="C191" t="str">
        <f t="shared" si="25"/>
        <v>test.Class11_10_</v>
      </c>
      <c r="D191">
        <v>25</v>
      </c>
      <c r="E191">
        <v>0.8715890850722311</v>
      </c>
      <c r="F191">
        <v>0.27272727272727271</v>
      </c>
      <c r="G191" s="1" t="str">
        <f t="shared" si="26"/>
        <v/>
      </c>
      <c r="H191" s="1">
        <f t="shared" si="27"/>
        <v>0.8715890850722311</v>
      </c>
      <c r="I191" s="1" t="str">
        <f t="shared" si="28"/>
        <v/>
      </c>
      <c r="J191" s="1" t="str">
        <f t="shared" si="29"/>
        <v/>
      </c>
      <c r="K191" s="1" t="str">
        <f t="shared" si="30"/>
        <v/>
      </c>
      <c r="L191" s="1" t="str">
        <f t="shared" si="31"/>
        <v/>
      </c>
    </row>
    <row r="192" spans="1:12">
      <c r="A192" t="s">
        <v>142</v>
      </c>
      <c r="B192">
        <v>10</v>
      </c>
      <c r="C192" t="str">
        <f t="shared" si="25"/>
        <v>test.Class11_10_</v>
      </c>
      <c r="D192">
        <v>26</v>
      </c>
      <c r="E192">
        <v>0.913322632423756</v>
      </c>
      <c r="F192">
        <v>0.27272909090909092</v>
      </c>
      <c r="G192" s="1" t="str">
        <f t="shared" si="26"/>
        <v/>
      </c>
      <c r="H192" s="1">
        <f t="shared" si="27"/>
        <v>0.913322632423756</v>
      </c>
      <c r="I192" s="1" t="str">
        <f t="shared" si="28"/>
        <v/>
      </c>
      <c r="J192" s="1" t="str">
        <f t="shared" si="29"/>
        <v/>
      </c>
      <c r="K192" s="1" t="str">
        <f t="shared" si="30"/>
        <v/>
      </c>
      <c r="L192" s="1" t="str">
        <f t="shared" si="31"/>
        <v/>
      </c>
    </row>
    <row r="193" spans="1:12">
      <c r="A193" t="s">
        <v>142</v>
      </c>
      <c r="B193">
        <v>10</v>
      </c>
      <c r="C193" t="str">
        <f t="shared" si="25"/>
        <v>test.Class11_10_</v>
      </c>
      <c r="D193">
        <v>27</v>
      </c>
      <c r="E193">
        <v>0.913322632423756</v>
      </c>
      <c r="F193">
        <v>0.27878787272727273</v>
      </c>
      <c r="G193" s="1" t="str">
        <f t="shared" si="26"/>
        <v/>
      </c>
      <c r="H193" s="1">
        <f t="shared" si="27"/>
        <v>0.913322632423756</v>
      </c>
      <c r="I193" s="1" t="str">
        <f t="shared" si="28"/>
        <v/>
      </c>
      <c r="J193" s="1" t="str">
        <f t="shared" si="29"/>
        <v/>
      </c>
      <c r="K193" s="1" t="str">
        <f t="shared" si="30"/>
        <v/>
      </c>
      <c r="L193" s="1" t="str">
        <f t="shared" si="31"/>
        <v/>
      </c>
    </row>
    <row r="194" spans="1:12">
      <c r="A194" t="s">
        <v>142</v>
      </c>
      <c r="B194">
        <v>10</v>
      </c>
      <c r="C194" t="str">
        <f t="shared" si="25"/>
        <v>test.Class11_10_</v>
      </c>
      <c r="D194">
        <v>28</v>
      </c>
      <c r="E194">
        <v>0.913322632423756</v>
      </c>
      <c r="F194">
        <v>0.27878969090909089</v>
      </c>
      <c r="G194" s="1" t="str">
        <f t="shared" si="26"/>
        <v/>
      </c>
      <c r="H194" s="1">
        <f t="shared" si="27"/>
        <v>0.913322632423756</v>
      </c>
      <c r="I194" s="1" t="str">
        <f t="shared" si="28"/>
        <v/>
      </c>
      <c r="J194" s="1" t="str">
        <f t="shared" si="29"/>
        <v/>
      </c>
      <c r="K194" s="1" t="str">
        <f t="shared" si="30"/>
        <v/>
      </c>
      <c r="L194" s="1" t="str">
        <f t="shared" si="31"/>
        <v/>
      </c>
    </row>
    <row r="195" spans="1:12">
      <c r="A195" t="s">
        <v>142</v>
      </c>
      <c r="B195">
        <v>10</v>
      </c>
      <c r="C195" t="str">
        <f t="shared" ref="C195:C258" si="32">CONCATENATE(A195, "_",B195,"_")</f>
        <v>test.Class11_10_</v>
      </c>
      <c r="D195">
        <v>29</v>
      </c>
      <c r="E195">
        <v>0.913322632423756</v>
      </c>
      <c r="F195">
        <v>0.28484849090909092</v>
      </c>
      <c r="G195" s="1" t="str">
        <f t="shared" ref="G195:G258" si="33">IF($F195 &lt;= 0.2,$E195,"")</f>
        <v/>
      </c>
      <c r="H195" s="1">
        <f t="shared" ref="H195:H258" si="34">IF(AND($F195 &gt; 0.2,$F195 &lt;= 0.4),$E195,"")</f>
        <v>0.913322632423756</v>
      </c>
      <c r="I195" s="1" t="str">
        <f t="shared" ref="I195:I258" si="35">IF(AND($F195 &gt; 0.4,$F195 &lt;= 0.6),$E195,"")</f>
        <v/>
      </c>
      <c r="J195" s="1" t="str">
        <f t="shared" ref="J195:J258" si="36">IF(AND($F195 &gt; 0.6,$F195 &lt;= 0.8),$E195,"")</f>
        <v/>
      </c>
      <c r="K195" s="1" t="str">
        <f t="shared" ref="K195:K258" si="37">IF(AND($F195 &gt; 0.8, $F195 &lt;=1.1),$E195,"")</f>
        <v/>
      </c>
      <c r="L195" s="1" t="str">
        <f t="shared" ref="L195:L258" si="38">IF(AND($F195 &gt; 1.1),$E195,"")</f>
        <v/>
      </c>
    </row>
    <row r="196" spans="1:12">
      <c r="A196" t="s">
        <v>142</v>
      </c>
      <c r="B196">
        <v>10</v>
      </c>
      <c r="C196" t="str">
        <f t="shared" si="32"/>
        <v>test.Class11_10_</v>
      </c>
      <c r="D196">
        <v>30</v>
      </c>
      <c r="E196">
        <v>0.913322632423756</v>
      </c>
      <c r="F196">
        <v>0.28485030909090908</v>
      </c>
      <c r="G196" s="1" t="str">
        <f t="shared" si="33"/>
        <v/>
      </c>
      <c r="H196" s="1">
        <f t="shared" si="34"/>
        <v>0.913322632423756</v>
      </c>
      <c r="I196" s="1" t="str">
        <f t="shared" si="35"/>
        <v/>
      </c>
      <c r="J196" s="1" t="str">
        <f t="shared" si="36"/>
        <v/>
      </c>
      <c r="K196" s="1" t="str">
        <f t="shared" si="37"/>
        <v/>
      </c>
      <c r="L196" s="1" t="str">
        <f t="shared" si="38"/>
        <v/>
      </c>
    </row>
    <row r="197" spans="1:12">
      <c r="A197" t="s">
        <v>142</v>
      </c>
      <c r="B197">
        <v>10</v>
      </c>
      <c r="C197" t="str">
        <f t="shared" si="32"/>
        <v>test.Class11_10_</v>
      </c>
      <c r="D197">
        <v>31</v>
      </c>
      <c r="E197">
        <v>1</v>
      </c>
      <c r="F197">
        <v>0.32121210909090908</v>
      </c>
      <c r="G197" s="1" t="str">
        <f t="shared" si="33"/>
        <v/>
      </c>
      <c r="H197" s="1">
        <f t="shared" si="34"/>
        <v>1</v>
      </c>
      <c r="I197" s="1" t="str">
        <f t="shared" si="35"/>
        <v/>
      </c>
      <c r="J197" s="1" t="str">
        <f t="shared" si="36"/>
        <v/>
      </c>
      <c r="K197" s="1" t="str">
        <f t="shared" si="37"/>
        <v/>
      </c>
      <c r="L197" s="1" t="str">
        <f t="shared" si="38"/>
        <v/>
      </c>
    </row>
    <row r="198" spans="1:12">
      <c r="A198" t="s">
        <v>142</v>
      </c>
      <c r="B198">
        <v>10</v>
      </c>
      <c r="C198" t="str">
        <f t="shared" si="32"/>
        <v>test.Class11_10_</v>
      </c>
      <c r="D198">
        <v>32</v>
      </c>
      <c r="E198">
        <v>1</v>
      </c>
      <c r="F198">
        <v>0.33333334545454546</v>
      </c>
      <c r="G198" s="1" t="str">
        <f t="shared" si="33"/>
        <v/>
      </c>
      <c r="H198" s="1">
        <f t="shared" si="34"/>
        <v>1</v>
      </c>
      <c r="I198" s="1" t="str">
        <f t="shared" si="35"/>
        <v/>
      </c>
      <c r="J198" s="1" t="str">
        <f t="shared" si="36"/>
        <v/>
      </c>
      <c r="K198" s="1" t="str">
        <f t="shared" si="37"/>
        <v/>
      </c>
      <c r="L198" s="1" t="str">
        <f t="shared" si="38"/>
        <v/>
      </c>
    </row>
    <row r="199" spans="1:12">
      <c r="A199" t="s">
        <v>142</v>
      </c>
      <c r="B199">
        <v>11</v>
      </c>
      <c r="C199" t="str">
        <f t="shared" si="32"/>
        <v>test.Class11_11_</v>
      </c>
      <c r="D199">
        <v>1</v>
      </c>
      <c r="E199">
        <v>1.3948256467941508E-2</v>
      </c>
      <c r="F199">
        <v>0.19148935762788599</v>
      </c>
      <c r="G199" s="1">
        <f t="shared" si="33"/>
        <v>1.3948256467941508E-2</v>
      </c>
      <c r="H199" s="1" t="str">
        <f t="shared" si="34"/>
        <v/>
      </c>
      <c r="I199" s="1" t="str">
        <f t="shared" si="35"/>
        <v/>
      </c>
      <c r="J199" s="1" t="str">
        <f t="shared" si="36"/>
        <v/>
      </c>
      <c r="K199" s="1" t="str">
        <f t="shared" si="37"/>
        <v/>
      </c>
      <c r="L199" s="1" t="str">
        <f t="shared" si="38"/>
        <v/>
      </c>
    </row>
    <row r="200" spans="1:12">
      <c r="A200" t="s">
        <v>142</v>
      </c>
      <c r="B200">
        <v>11</v>
      </c>
      <c r="C200" t="str">
        <f t="shared" si="32"/>
        <v>test.Class11_11_</v>
      </c>
      <c r="D200">
        <v>2</v>
      </c>
      <c r="E200">
        <v>0.29988751406074243</v>
      </c>
      <c r="F200">
        <v>0.44680850113173398</v>
      </c>
      <c r="G200" s="1" t="str">
        <f t="shared" si="33"/>
        <v/>
      </c>
      <c r="H200" s="1" t="str">
        <f t="shared" si="34"/>
        <v/>
      </c>
      <c r="I200" s="1">
        <f t="shared" si="35"/>
        <v>0.29988751406074243</v>
      </c>
      <c r="J200" s="1" t="str">
        <f t="shared" si="36"/>
        <v/>
      </c>
      <c r="K200" s="1" t="str">
        <f t="shared" si="37"/>
        <v/>
      </c>
      <c r="L200" s="1" t="str">
        <f t="shared" si="38"/>
        <v/>
      </c>
    </row>
    <row r="201" spans="1:12">
      <c r="A201" t="s">
        <v>142</v>
      </c>
      <c r="B201">
        <v>11</v>
      </c>
      <c r="C201" t="str">
        <f t="shared" si="32"/>
        <v>test.Class11_11_</v>
      </c>
      <c r="D201">
        <v>3</v>
      </c>
      <c r="E201">
        <v>0.29988751406074243</v>
      </c>
      <c r="F201">
        <v>0.468085107062019</v>
      </c>
      <c r="G201" s="1" t="str">
        <f t="shared" si="33"/>
        <v/>
      </c>
      <c r="H201" s="1" t="str">
        <f t="shared" si="34"/>
        <v/>
      </c>
      <c r="I201" s="1">
        <f t="shared" si="35"/>
        <v>0.29988751406074243</v>
      </c>
      <c r="J201" s="1" t="str">
        <f t="shared" si="36"/>
        <v/>
      </c>
      <c r="K201" s="1" t="str">
        <f t="shared" si="37"/>
        <v/>
      </c>
      <c r="L201" s="1" t="str">
        <f t="shared" si="38"/>
        <v/>
      </c>
    </row>
    <row r="202" spans="1:12">
      <c r="A202" t="s">
        <v>142</v>
      </c>
      <c r="B202">
        <v>11</v>
      </c>
      <c r="C202" t="str">
        <f t="shared" si="32"/>
        <v>test.Class11_11_</v>
      </c>
      <c r="D202">
        <v>4</v>
      </c>
      <c r="E202">
        <v>0.47401574803149604</v>
      </c>
      <c r="F202">
        <v>0.53191486102308805</v>
      </c>
      <c r="G202" s="1" t="str">
        <f t="shared" si="33"/>
        <v/>
      </c>
      <c r="H202" s="1" t="str">
        <f t="shared" si="34"/>
        <v/>
      </c>
      <c r="I202" s="1">
        <f t="shared" si="35"/>
        <v>0.47401574803149604</v>
      </c>
      <c r="J202" s="1" t="str">
        <f t="shared" si="36"/>
        <v/>
      </c>
      <c r="K202" s="1" t="str">
        <f t="shared" si="37"/>
        <v/>
      </c>
      <c r="L202" s="1" t="str">
        <f t="shared" si="38"/>
        <v/>
      </c>
    </row>
    <row r="203" spans="1:12">
      <c r="A203" t="s">
        <v>142</v>
      </c>
      <c r="B203">
        <v>11</v>
      </c>
      <c r="C203" t="str">
        <f t="shared" si="32"/>
        <v>test.Class11_11_</v>
      </c>
      <c r="D203">
        <v>5</v>
      </c>
      <c r="E203">
        <v>0.64814398200224976</v>
      </c>
      <c r="F203">
        <v>0.55319149886826602</v>
      </c>
      <c r="G203" s="1" t="str">
        <f t="shared" si="33"/>
        <v/>
      </c>
      <c r="H203" s="1" t="str">
        <f t="shared" si="34"/>
        <v/>
      </c>
      <c r="I203" s="1">
        <f t="shared" si="35"/>
        <v>0.64814398200224976</v>
      </c>
      <c r="J203" s="1" t="str">
        <f t="shared" si="36"/>
        <v/>
      </c>
      <c r="K203" s="1" t="str">
        <f t="shared" si="37"/>
        <v/>
      </c>
      <c r="L203" s="1" t="str">
        <f t="shared" si="38"/>
        <v/>
      </c>
    </row>
    <row r="204" spans="1:12">
      <c r="A204" t="s">
        <v>142</v>
      </c>
      <c r="B204">
        <v>11</v>
      </c>
      <c r="C204" t="str">
        <f t="shared" si="32"/>
        <v>test.Class11_11_</v>
      </c>
      <c r="D204">
        <v>6</v>
      </c>
      <c r="E204">
        <v>0.82227221597300337</v>
      </c>
      <c r="F204">
        <v>0.55319788184685359</v>
      </c>
      <c r="G204" s="1" t="str">
        <f t="shared" si="33"/>
        <v/>
      </c>
      <c r="H204" s="1" t="str">
        <f t="shared" si="34"/>
        <v/>
      </c>
      <c r="I204" s="1">
        <f t="shared" si="35"/>
        <v>0.82227221597300337</v>
      </c>
      <c r="J204" s="1" t="str">
        <f t="shared" si="36"/>
        <v/>
      </c>
      <c r="K204" s="1" t="str">
        <f t="shared" si="37"/>
        <v/>
      </c>
      <c r="L204" s="1" t="str">
        <f t="shared" si="38"/>
        <v/>
      </c>
    </row>
    <row r="205" spans="1:12">
      <c r="A205" t="s">
        <v>142</v>
      </c>
      <c r="B205">
        <v>11</v>
      </c>
      <c r="C205" t="str">
        <f t="shared" si="32"/>
        <v>test.Class11_11_</v>
      </c>
      <c r="D205">
        <v>7</v>
      </c>
      <c r="E205">
        <v>0.82227221597300337</v>
      </c>
      <c r="F205">
        <v>0.55320426482544116</v>
      </c>
      <c r="G205" s="1" t="str">
        <f t="shared" si="33"/>
        <v/>
      </c>
      <c r="H205" s="1" t="str">
        <f t="shared" si="34"/>
        <v/>
      </c>
      <c r="I205" s="1">
        <f t="shared" si="35"/>
        <v>0.82227221597300337</v>
      </c>
      <c r="J205" s="1" t="str">
        <f t="shared" si="36"/>
        <v/>
      </c>
      <c r="K205" s="1" t="str">
        <f t="shared" si="37"/>
        <v/>
      </c>
      <c r="L205" s="1" t="str">
        <f t="shared" si="38"/>
        <v/>
      </c>
    </row>
    <row r="206" spans="1:12">
      <c r="A206" t="s">
        <v>142</v>
      </c>
      <c r="B206">
        <v>11</v>
      </c>
      <c r="C206" t="str">
        <f t="shared" si="32"/>
        <v>test.Class11_11_</v>
      </c>
      <c r="D206">
        <v>8</v>
      </c>
      <c r="E206">
        <v>0.99640044994375698</v>
      </c>
      <c r="F206">
        <v>0.57446807288365798</v>
      </c>
      <c r="G206" s="1" t="str">
        <f t="shared" si="33"/>
        <v/>
      </c>
      <c r="H206" s="1" t="str">
        <f t="shared" si="34"/>
        <v/>
      </c>
      <c r="I206" s="1">
        <f t="shared" si="35"/>
        <v>0.99640044994375698</v>
      </c>
      <c r="J206" s="1" t="str">
        <f t="shared" si="36"/>
        <v/>
      </c>
      <c r="K206" s="1" t="str">
        <f t="shared" si="37"/>
        <v/>
      </c>
      <c r="L206" s="1" t="str">
        <f t="shared" si="38"/>
        <v/>
      </c>
    </row>
    <row r="207" spans="1:12">
      <c r="A207" t="s">
        <v>142</v>
      </c>
      <c r="B207">
        <v>11</v>
      </c>
      <c r="C207" t="str">
        <f t="shared" si="32"/>
        <v>test.Class11_11_</v>
      </c>
      <c r="D207">
        <v>9</v>
      </c>
      <c r="E207">
        <v>0.99640044994375698</v>
      </c>
      <c r="F207">
        <v>0.57447445586224555</v>
      </c>
      <c r="G207" s="1" t="str">
        <f t="shared" si="33"/>
        <v/>
      </c>
      <c r="H207" s="1" t="str">
        <f t="shared" si="34"/>
        <v/>
      </c>
      <c r="I207" s="1">
        <f t="shared" si="35"/>
        <v>0.99640044994375698</v>
      </c>
      <c r="J207" s="1" t="str">
        <f t="shared" si="36"/>
        <v/>
      </c>
      <c r="K207" s="1" t="str">
        <f t="shared" si="37"/>
        <v/>
      </c>
      <c r="L207" s="1" t="str">
        <f t="shared" si="38"/>
        <v/>
      </c>
    </row>
    <row r="208" spans="1:12">
      <c r="A208" t="s">
        <v>142</v>
      </c>
      <c r="B208">
        <v>11</v>
      </c>
      <c r="C208" t="str">
        <f t="shared" si="32"/>
        <v>test.Class11_11_</v>
      </c>
      <c r="D208">
        <v>10</v>
      </c>
      <c r="E208">
        <v>0.99640044994375698</v>
      </c>
      <c r="F208">
        <v>0.57448083884083312</v>
      </c>
      <c r="G208" s="1" t="str">
        <f t="shared" si="33"/>
        <v/>
      </c>
      <c r="H208" s="1" t="str">
        <f t="shared" si="34"/>
        <v/>
      </c>
      <c r="I208" s="1">
        <f t="shared" si="35"/>
        <v>0.99640044994375698</v>
      </c>
      <c r="J208" s="1" t="str">
        <f t="shared" si="36"/>
        <v/>
      </c>
      <c r="K208" s="1" t="str">
        <f t="shared" si="37"/>
        <v/>
      </c>
      <c r="L208" s="1" t="str">
        <f t="shared" si="38"/>
        <v/>
      </c>
    </row>
    <row r="209" spans="1:12">
      <c r="A209" t="s">
        <v>142</v>
      </c>
      <c r="B209">
        <v>11</v>
      </c>
      <c r="C209" t="str">
        <f t="shared" si="32"/>
        <v>test.Class11_11_</v>
      </c>
      <c r="D209">
        <v>11</v>
      </c>
      <c r="E209">
        <v>0.99640044994375698</v>
      </c>
      <c r="F209">
        <v>0.59574464689905005</v>
      </c>
      <c r="G209" s="1" t="str">
        <f t="shared" si="33"/>
        <v/>
      </c>
      <c r="H209" s="1" t="str">
        <f t="shared" si="34"/>
        <v/>
      </c>
      <c r="I209" s="1">
        <f t="shared" si="35"/>
        <v>0.99640044994375698</v>
      </c>
      <c r="J209" s="1" t="str">
        <f t="shared" si="36"/>
        <v/>
      </c>
      <c r="K209" s="1" t="str">
        <f t="shared" si="37"/>
        <v/>
      </c>
      <c r="L209" s="1" t="str">
        <f t="shared" si="38"/>
        <v/>
      </c>
    </row>
    <row r="210" spans="1:12">
      <c r="A210" t="s">
        <v>142</v>
      </c>
      <c r="B210">
        <v>11</v>
      </c>
      <c r="C210" t="str">
        <f t="shared" si="32"/>
        <v>test.Class11_11_</v>
      </c>
      <c r="D210">
        <v>12</v>
      </c>
      <c r="E210">
        <v>1</v>
      </c>
      <c r="F210">
        <v>0.85106379040289803</v>
      </c>
      <c r="G210" s="1" t="str">
        <f t="shared" si="33"/>
        <v/>
      </c>
      <c r="H210" s="1" t="str">
        <f t="shared" si="34"/>
        <v/>
      </c>
      <c r="I210" s="1" t="str">
        <f t="shared" si="35"/>
        <v/>
      </c>
      <c r="J210" s="1" t="str">
        <f t="shared" si="36"/>
        <v/>
      </c>
      <c r="K210" s="1">
        <f t="shared" si="37"/>
        <v>1</v>
      </c>
      <c r="L210" s="1" t="str">
        <f t="shared" si="38"/>
        <v/>
      </c>
    </row>
    <row r="211" spans="1:12">
      <c r="A211" t="s">
        <v>142</v>
      </c>
      <c r="B211">
        <v>11</v>
      </c>
      <c r="C211" t="str">
        <f t="shared" si="32"/>
        <v>test.Class11_11_</v>
      </c>
      <c r="D211">
        <v>13</v>
      </c>
      <c r="E211">
        <v>1</v>
      </c>
      <c r="F211">
        <v>0.89361700226346796</v>
      </c>
      <c r="G211" s="1" t="str">
        <f t="shared" si="33"/>
        <v/>
      </c>
      <c r="H211" s="1" t="str">
        <f t="shared" si="34"/>
        <v/>
      </c>
      <c r="I211" s="1" t="str">
        <f t="shared" si="35"/>
        <v/>
      </c>
      <c r="J211" s="1" t="str">
        <f t="shared" si="36"/>
        <v/>
      </c>
      <c r="K211" s="1">
        <f t="shared" si="37"/>
        <v>1</v>
      </c>
      <c r="L211" s="1" t="str">
        <f t="shared" si="38"/>
        <v/>
      </c>
    </row>
    <row r="212" spans="1:12">
      <c r="A212" t="s">
        <v>142</v>
      </c>
      <c r="B212">
        <v>12</v>
      </c>
      <c r="C212" t="str">
        <f t="shared" si="32"/>
        <v>test.Class11_12_</v>
      </c>
      <c r="D212">
        <v>1</v>
      </c>
      <c r="E212">
        <v>3.1705227077977724E-2</v>
      </c>
      <c r="F212">
        <v>0.29629630000000001</v>
      </c>
      <c r="G212" s="1" t="str">
        <f t="shared" si="33"/>
        <v/>
      </c>
      <c r="H212" s="1">
        <f t="shared" si="34"/>
        <v>3.1705227077977724E-2</v>
      </c>
      <c r="I212" s="1" t="str">
        <f t="shared" si="35"/>
        <v/>
      </c>
      <c r="J212" s="1" t="str">
        <f t="shared" si="36"/>
        <v/>
      </c>
      <c r="K212" s="1" t="str">
        <f t="shared" si="37"/>
        <v/>
      </c>
      <c r="L212" s="1" t="str">
        <f t="shared" si="38"/>
        <v/>
      </c>
    </row>
    <row r="213" spans="1:12">
      <c r="A213" t="s">
        <v>142</v>
      </c>
      <c r="B213">
        <v>12</v>
      </c>
      <c r="C213" t="str">
        <f t="shared" si="32"/>
        <v>test.Class11_12_</v>
      </c>
      <c r="D213">
        <v>2</v>
      </c>
      <c r="E213">
        <v>0.43444730077120824</v>
      </c>
      <c r="F213">
        <v>0.62962961111111104</v>
      </c>
      <c r="G213" s="1" t="str">
        <f t="shared" si="33"/>
        <v/>
      </c>
      <c r="H213" s="1" t="str">
        <f t="shared" si="34"/>
        <v/>
      </c>
      <c r="I213" s="1" t="str">
        <f t="shared" si="35"/>
        <v/>
      </c>
      <c r="J213" s="1">
        <f t="shared" si="36"/>
        <v>0.43444730077120824</v>
      </c>
      <c r="K213" s="1" t="str">
        <f t="shared" si="37"/>
        <v/>
      </c>
      <c r="L213" s="1" t="str">
        <f t="shared" si="38"/>
        <v/>
      </c>
    </row>
    <row r="214" spans="1:12">
      <c r="A214" t="s">
        <v>142</v>
      </c>
      <c r="B214">
        <v>12</v>
      </c>
      <c r="C214" t="str">
        <f t="shared" si="32"/>
        <v>test.Class11_12_</v>
      </c>
      <c r="D214">
        <v>3</v>
      </c>
      <c r="E214">
        <v>0.4473007712082262</v>
      </c>
      <c r="F214">
        <v>0.66666666666666663</v>
      </c>
      <c r="G214" s="1" t="str">
        <f t="shared" si="33"/>
        <v/>
      </c>
      <c r="H214" s="1" t="str">
        <f t="shared" si="34"/>
        <v/>
      </c>
      <c r="I214" s="1" t="str">
        <f t="shared" si="35"/>
        <v/>
      </c>
      <c r="J214" s="1">
        <f t="shared" si="36"/>
        <v>0.4473007712082262</v>
      </c>
      <c r="K214" s="1" t="str">
        <f t="shared" si="37"/>
        <v/>
      </c>
      <c r="L214" s="1" t="str">
        <f t="shared" si="38"/>
        <v/>
      </c>
    </row>
    <row r="215" spans="1:12">
      <c r="A215" t="s">
        <v>142</v>
      </c>
      <c r="B215">
        <v>12</v>
      </c>
      <c r="C215" t="str">
        <f t="shared" si="32"/>
        <v>test.Class11_12_</v>
      </c>
      <c r="D215">
        <v>4</v>
      </c>
      <c r="E215">
        <v>0.46958011996572407</v>
      </c>
      <c r="F215">
        <v>0.6666777777777777</v>
      </c>
      <c r="G215" s="1" t="str">
        <f t="shared" si="33"/>
        <v/>
      </c>
      <c r="H215" s="1" t="str">
        <f t="shared" si="34"/>
        <v/>
      </c>
      <c r="I215" s="1" t="str">
        <f t="shared" si="35"/>
        <v/>
      </c>
      <c r="J215" s="1">
        <f t="shared" si="36"/>
        <v>0.46958011996572407</v>
      </c>
      <c r="K215" s="1" t="str">
        <f t="shared" si="37"/>
        <v/>
      </c>
      <c r="L215" s="1" t="str">
        <f t="shared" si="38"/>
        <v/>
      </c>
    </row>
    <row r="216" spans="1:12">
      <c r="A216" t="s">
        <v>142</v>
      </c>
      <c r="B216">
        <v>12</v>
      </c>
      <c r="C216" t="str">
        <f t="shared" si="32"/>
        <v>test.Class11_12_</v>
      </c>
      <c r="D216">
        <v>5</v>
      </c>
      <c r="E216">
        <v>0.46958011996572407</v>
      </c>
      <c r="F216">
        <v>0.66668892222222231</v>
      </c>
      <c r="G216" s="1" t="str">
        <f t="shared" si="33"/>
        <v/>
      </c>
      <c r="H216" s="1" t="str">
        <f t="shared" si="34"/>
        <v/>
      </c>
      <c r="I216" s="1" t="str">
        <f t="shared" si="35"/>
        <v/>
      </c>
      <c r="J216" s="1">
        <f t="shared" si="36"/>
        <v>0.46958011996572407</v>
      </c>
      <c r="K216" s="1" t="str">
        <f t="shared" si="37"/>
        <v/>
      </c>
      <c r="L216" s="1" t="str">
        <f t="shared" si="38"/>
        <v/>
      </c>
    </row>
    <row r="217" spans="1:12">
      <c r="A217" t="s">
        <v>142</v>
      </c>
      <c r="B217">
        <v>12</v>
      </c>
      <c r="C217" t="str">
        <f t="shared" si="32"/>
        <v>test.Class11_12_</v>
      </c>
      <c r="D217">
        <v>6</v>
      </c>
      <c r="E217">
        <v>0.46958011996572407</v>
      </c>
      <c r="F217">
        <v>0.66670004444444453</v>
      </c>
      <c r="G217" s="1" t="str">
        <f t="shared" si="33"/>
        <v/>
      </c>
      <c r="H217" s="1" t="str">
        <f t="shared" si="34"/>
        <v/>
      </c>
      <c r="I217" s="1" t="str">
        <f t="shared" si="35"/>
        <v/>
      </c>
      <c r="J217" s="1">
        <f t="shared" si="36"/>
        <v>0.46958011996572407</v>
      </c>
      <c r="K217" s="1" t="str">
        <f t="shared" si="37"/>
        <v/>
      </c>
      <c r="L217" s="1" t="str">
        <f t="shared" si="38"/>
        <v/>
      </c>
    </row>
    <row r="218" spans="1:12">
      <c r="A218" t="s">
        <v>142</v>
      </c>
      <c r="B218">
        <v>12</v>
      </c>
      <c r="C218" t="str">
        <f t="shared" si="32"/>
        <v>test.Class11_12_</v>
      </c>
      <c r="D218">
        <v>7</v>
      </c>
      <c r="E218">
        <v>0.46958011996572407</v>
      </c>
      <c r="F218">
        <v>0.7407407222222222</v>
      </c>
      <c r="G218" s="1" t="str">
        <f t="shared" si="33"/>
        <v/>
      </c>
      <c r="H218" s="1" t="str">
        <f t="shared" si="34"/>
        <v/>
      </c>
      <c r="I218" s="1" t="str">
        <f t="shared" si="35"/>
        <v/>
      </c>
      <c r="J218" s="1">
        <f t="shared" si="36"/>
        <v>0.46958011996572407</v>
      </c>
      <c r="K218" s="1" t="str">
        <f t="shared" si="37"/>
        <v/>
      </c>
      <c r="L218" s="1" t="str">
        <f t="shared" si="38"/>
        <v/>
      </c>
    </row>
    <row r="219" spans="1:12">
      <c r="A219" t="s">
        <v>142</v>
      </c>
      <c r="B219">
        <v>12</v>
      </c>
      <c r="C219" t="str">
        <f t="shared" si="32"/>
        <v>test.Class11_12_</v>
      </c>
      <c r="D219">
        <v>8</v>
      </c>
      <c r="E219">
        <v>0.7005141388174807</v>
      </c>
      <c r="F219">
        <v>0.77777777777777779</v>
      </c>
      <c r="G219" s="1" t="str">
        <f t="shared" si="33"/>
        <v/>
      </c>
      <c r="H219" s="1" t="str">
        <f t="shared" si="34"/>
        <v/>
      </c>
      <c r="I219" s="1" t="str">
        <f t="shared" si="35"/>
        <v/>
      </c>
      <c r="J219" s="1">
        <f t="shared" si="36"/>
        <v>0.7005141388174807</v>
      </c>
      <c r="K219" s="1" t="str">
        <f t="shared" si="37"/>
        <v/>
      </c>
      <c r="L219" s="1" t="str">
        <f t="shared" si="38"/>
        <v/>
      </c>
    </row>
    <row r="220" spans="1:12">
      <c r="A220" t="s">
        <v>142</v>
      </c>
      <c r="B220">
        <v>12</v>
      </c>
      <c r="C220" t="str">
        <f t="shared" si="32"/>
        <v>test.Class11_12_</v>
      </c>
      <c r="D220">
        <v>9</v>
      </c>
      <c r="E220">
        <v>0.94601542416452444</v>
      </c>
      <c r="F220">
        <v>0.81481483333333338</v>
      </c>
      <c r="G220" s="1" t="str">
        <f t="shared" si="33"/>
        <v/>
      </c>
      <c r="H220" s="1" t="str">
        <f t="shared" si="34"/>
        <v/>
      </c>
      <c r="I220" s="1" t="str">
        <f t="shared" si="35"/>
        <v/>
      </c>
      <c r="J220" s="1" t="str">
        <f t="shared" si="36"/>
        <v/>
      </c>
      <c r="K220" s="1">
        <f t="shared" si="37"/>
        <v>0.94601542416452444</v>
      </c>
      <c r="L220" s="1" t="str">
        <f t="shared" si="38"/>
        <v/>
      </c>
    </row>
    <row r="221" spans="1:12">
      <c r="A221" t="s">
        <v>142</v>
      </c>
      <c r="B221">
        <v>12</v>
      </c>
      <c r="C221" t="str">
        <f t="shared" si="32"/>
        <v>test.Class11_12_</v>
      </c>
      <c r="D221">
        <v>10</v>
      </c>
      <c r="E221">
        <v>0.94987146529562982</v>
      </c>
      <c r="F221">
        <v>0.81482595555555559</v>
      </c>
      <c r="G221" s="1" t="str">
        <f t="shared" si="33"/>
        <v/>
      </c>
      <c r="H221" s="1" t="str">
        <f t="shared" si="34"/>
        <v/>
      </c>
      <c r="I221" s="1" t="str">
        <f t="shared" si="35"/>
        <v/>
      </c>
      <c r="J221" s="1" t="str">
        <f t="shared" si="36"/>
        <v/>
      </c>
      <c r="K221" s="1">
        <f t="shared" si="37"/>
        <v>0.94987146529562982</v>
      </c>
      <c r="L221" s="1" t="str">
        <f t="shared" si="38"/>
        <v/>
      </c>
    </row>
    <row r="222" spans="1:12">
      <c r="A222" t="s">
        <v>142</v>
      </c>
      <c r="B222">
        <v>12</v>
      </c>
      <c r="C222" t="str">
        <f t="shared" si="32"/>
        <v>test.Class11_12_</v>
      </c>
      <c r="D222">
        <v>11</v>
      </c>
      <c r="E222">
        <v>0.95372750642673521</v>
      </c>
      <c r="F222">
        <v>0.81483711111111112</v>
      </c>
      <c r="G222" s="1" t="str">
        <f t="shared" si="33"/>
        <v/>
      </c>
      <c r="H222" s="1" t="str">
        <f t="shared" si="34"/>
        <v/>
      </c>
      <c r="I222" s="1" t="str">
        <f t="shared" si="35"/>
        <v/>
      </c>
      <c r="J222" s="1" t="str">
        <f t="shared" si="36"/>
        <v/>
      </c>
      <c r="K222" s="1">
        <f t="shared" si="37"/>
        <v>0.95372750642673521</v>
      </c>
      <c r="L222" s="1" t="str">
        <f t="shared" si="38"/>
        <v/>
      </c>
    </row>
    <row r="223" spans="1:12">
      <c r="A223" t="s">
        <v>142</v>
      </c>
      <c r="B223">
        <v>12</v>
      </c>
      <c r="C223" t="str">
        <f t="shared" si="32"/>
        <v>test.Class11_12_</v>
      </c>
      <c r="D223">
        <v>12</v>
      </c>
      <c r="E223">
        <v>0.95372750642673521</v>
      </c>
      <c r="F223">
        <v>0.8148482222222222</v>
      </c>
      <c r="G223" s="1" t="str">
        <f t="shared" si="33"/>
        <v/>
      </c>
      <c r="H223" s="1" t="str">
        <f t="shared" si="34"/>
        <v/>
      </c>
      <c r="I223" s="1" t="str">
        <f t="shared" si="35"/>
        <v/>
      </c>
      <c r="J223" s="1" t="str">
        <f t="shared" si="36"/>
        <v/>
      </c>
      <c r="K223" s="1">
        <f t="shared" si="37"/>
        <v>0.95372750642673521</v>
      </c>
      <c r="L223" s="1" t="str">
        <f t="shared" si="38"/>
        <v/>
      </c>
    </row>
    <row r="224" spans="1:12">
      <c r="A224" t="s">
        <v>142</v>
      </c>
      <c r="B224">
        <v>12</v>
      </c>
      <c r="C224" t="str">
        <f t="shared" si="32"/>
        <v>test.Class11_12_</v>
      </c>
      <c r="D224">
        <v>13</v>
      </c>
      <c r="E224">
        <v>0.95372750642673521</v>
      </c>
      <c r="F224">
        <v>0.85185183333333336</v>
      </c>
      <c r="G224" s="1" t="str">
        <f t="shared" si="33"/>
        <v/>
      </c>
      <c r="H224" s="1" t="str">
        <f t="shared" si="34"/>
        <v/>
      </c>
      <c r="I224" s="1" t="str">
        <f t="shared" si="35"/>
        <v/>
      </c>
      <c r="J224" s="1" t="str">
        <f t="shared" si="36"/>
        <v/>
      </c>
      <c r="K224" s="1">
        <f t="shared" si="37"/>
        <v>0.95372750642673521</v>
      </c>
      <c r="L224" s="1" t="str">
        <f t="shared" si="38"/>
        <v/>
      </c>
    </row>
    <row r="225" spans="1:12">
      <c r="A225" t="s">
        <v>142</v>
      </c>
      <c r="B225">
        <v>12</v>
      </c>
      <c r="C225" t="str">
        <f t="shared" si="32"/>
        <v>test.Class11_12_</v>
      </c>
      <c r="D225">
        <v>14</v>
      </c>
      <c r="E225">
        <v>0.95372750642673521</v>
      </c>
      <c r="F225">
        <v>0.88888888888888884</v>
      </c>
      <c r="G225" s="1" t="str">
        <f t="shared" si="33"/>
        <v/>
      </c>
      <c r="H225" s="1" t="str">
        <f t="shared" si="34"/>
        <v/>
      </c>
      <c r="I225" s="1" t="str">
        <f t="shared" si="35"/>
        <v/>
      </c>
      <c r="J225" s="1" t="str">
        <f t="shared" si="36"/>
        <v/>
      </c>
      <c r="K225" s="1">
        <f t="shared" si="37"/>
        <v>0.95372750642673521</v>
      </c>
      <c r="L225" s="1" t="str">
        <f t="shared" si="38"/>
        <v/>
      </c>
    </row>
    <row r="226" spans="1:12">
      <c r="A226" t="s">
        <v>142</v>
      </c>
      <c r="B226">
        <v>12</v>
      </c>
      <c r="C226" t="str">
        <f t="shared" si="32"/>
        <v>test.Class11_12_</v>
      </c>
      <c r="D226">
        <v>15</v>
      </c>
      <c r="E226">
        <v>1</v>
      </c>
      <c r="F226">
        <v>0.96296300000000001</v>
      </c>
      <c r="G226" s="1" t="str">
        <f t="shared" si="33"/>
        <v/>
      </c>
      <c r="H226" s="1" t="str">
        <f t="shared" si="34"/>
        <v/>
      </c>
      <c r="I226" s="1" t="str">
        <f t="shared" si="35"/>
        <v/>
      </c>
      <c r="J226" s="1" t="str">
        <f t="shared" si="36"/>
        <v/>
      </c>
      <c r="K226" s="1">
        <f t="shared" si="37"/>
        <v>1</v>
      </c>
      <c r="L226" s="1" t="str">
        <f t="shared" si="38"/>
        <v/>
      </c>
    </row>
    <row r="227" spans="1:12">
      <c r="A227" t="s">
        <v>142</v>
      </c>
      <c r="B227">
        <v>12</v>
      </c>
      <c r="C227" t="str">
        <f t="shared" si="32"/>
        <v>test.Class11_12_</v>
      </c>
      <c r="D227">
        <v>16</v>
      </c>
      <c r="E227">
        <v>1</v>
      </c>
      <c r="F227">
        <v>1</v>
      </c>
      <c r="G227" s="1" t="str">
        <f t="shared" si="33"/>
        <v/>
      </c>
      <c r="H227" s="1" t="str">
        <f t="shared" si="34"/>
        <v/>
      </c>
      <c r="I227" s="1" t="str">
        <f t="shared" si="35"/>
        <v/>
      </c>
      <c r="J227" s="1" t="str">
        <f t="shared" si="36"/>
        <v/>
      </c>
      <c r="K227" s="1">
        <f t="shared" si="37"/>
        <v>1</v>
      </c>
      <c r="L227" s="1" t="str">
        <f t="shared" si="38"/>
        <v/>
      </c>
    </row>
    <row r="228" spans="1:12">
      <c r="A228" t="s">
        <v>142</v>
      </c>
      <c r="B228">
        <v>12</v>
      </c>
      <c r="C228" t="str">
        <f t="shared" si="32"/>
        <v>test.Class11_12_</v>
      </c>
      <c r="D228">
        <v>17</v>
      </c>
      <c r="E228">
        <v>1</v>
      </c>
      <c r="F228">
        <v>1.0000111111111112</v>
      </c>
      <c r="G228" s="1" t="str">
        <f t="shared" si="33"/>
        <v/>
      </c>
      <c r="H228" s="1" t="str">
        <f t="shared" si="34"/>
        <v/>
      </c>
      <c r="I228" s="1" t="str">
        <f t="shared" si="35"/>
        <v/>
      </c>
      <c r="J228" s="1" t="str">
        <f t="shared" si="36"/>
        <v/>
      </c>
      <c r="K228" s="1">
        <f t="shared" si="37"/>
        <v>1</v>
      </c>
      <c r="L228" s="1" t="str">
        <f t="shared" si="38"/>
        <v/>
      </c>
    </row>
    <row r="229" spans="1:12">
      <c r="A229" t="s">
        <v>206</v>
      </c>
      <c r="B229">
        <v>1</v>
      </c>
      <c r="C229" t="str">
        <f t="shared" si="32"/>
        <v>test.Class13_1_</v>
      </c>
      <c r="D229">
        <v>1</v>
      </c>
      <c r="E229">
        <v>0.63285420944558524</v>
      </c>
      <c r="F229">
        <v>0.31188117576708213</v>
      </c>
      <c r="G229" s="1" t="str">
        <f t="shared" si="33"/>
        <v/>
      </c>
      <c r="H229" s="1">
        <f t="shared" si="34"/>
        <v>0.63285420944558524</v>
      </c>
      <c r="I229" s="1" t="str">
        <f t="shared" si="35"/>
        <v/>
      </c>
      <c r="J229" s="1" t="str">
        <f t="shared" si="36"/>
        <v/>
      </c>
      <c r="K229" s="1" t="str">
        <f t="shared" si="37"/>
        <v/>
      </c>
      <c r="L229" s="1" t="str">
        <f t="shared" si="38"/>
        <v/>
      </c>
    </row>
    <row r="230" spans="1:12">
      <c r="A230" t="s">
        <v>206</v>
      </c>
      <c r="B230">
        <v>1</v>
      </c>
      <c r="C230" t="str">
        <f t="shared" si="32"/>
        <v>test.Class13_1_</v>
      </c>
      <c r="D230">
        <v>2</v>
      </c>
      <c r="E230">
        <v>0.88213552361396308</v>
      </c>
      <c r="F230">
        <v>0.39108910332320385</v>
      </c>
      <c r="G230" s="1" t="str">
        <f t="shared" si="33"/>
        <v/>
      </c>
      <c r="H230" s="1">
        <f t="shared" si="34"/>
        <v>0.88213552361396308</v>
      </c>
      <c r="I230" s="1" t="str">
        <f t="shared" si="35"/>
        <v/>
      </c>
      <c r="J230" s="1" t="str">
        <f t="shared" si="36"/>
        <v/>
      </c>
      <c r="K230" s="1" t="str">
        <f t="shared" si="37"/>
        <v/>
      </c>
      <c r="L230" s="1" t="str">
        <f t="shared" si="38"/>
        <v/>
      </c>
    </row>
    <row r="231" spans="1:12">
      <c r="A231" t="s">
        <v>206</v>
      </c>
      <c r="B231">
        <v>1</v>
      </c>
      <c r="C231" t="str">
        <f t="shared" si="32"/>
        <v>test.Class13_1_</v>
      </c>
      <c r="D231">
        <v>3</v>
      </c>
      <c r="E231">
        <v>0.99630390143737169</v>
      </c>
      <c r="F231">
        <v>0.43069305224978011</v>
      </c>
      <c r="G231" s="1" t="str">
        <f t="shared" si="33"/>
        <v/>
      </c>
      <c r="H231" s="1" t="str">
        <f t="shared" si="34"/>
        <v/>
      </c>
      <c r="I231" s="1">
        <f t="shared" si="35"/>
        <v>0.99630390143737169</v>
      </c>
      <c r="J231" s="1" t="str">
        <f t="shared" si="36"/>
        <v/>
      </c>
      <c r="K231" s="1" t="str">
        <f t="shared" si="37"/>
        <v/>
      </c>
      <c r="L231" s="1" t="str">
        <f t="shared" si="38"/>
        <v/>
      </c>
    </row>
    <row r="232" spans="1:12">
      <c r="A232" t="s">
        <v>206</v>
      </c>
      <c r="B232">
        <v>1</v>
      </c>
      <c r="C232" t="str">
        <f t="shared" si="32"/>
        <v>test.Class13_1_</v>
      </c>
      <c r="D232">
        <v>4</v>
      </c>
      <c r="E232">
        <v>0.99630390143737169</v>
      </c>
      <c r="F232">
        <v>0.43564355700421553</v>
      </c>
      <c r="G232" s="1" t="str">
        <f t="shared" si="33"/>
        <v/>
      </c>
      <c r="H232" s="1" t="str">
        <f t="shared" si="34"/>
        <v/>
      </c>
      <c r="I232" s="1">
        <f t="shared" si="35"/>
        <v>0.99630390143737169</v>
      </c>
      <c r="J232" s="1" t="str">
        <f t="shared" si="36"/>
        <v/>
      </c>
      <c r="K232" s="1" t="str">
        <f t="shared" si="37"/>
        <v/>
      </c>
      <c r="L232" s="1" t="str">
        <f t="shared" si="38"/>
        <v/>
      </c>
    </row>
    <row r="233" spans="1:12">
      <c r="A233" t="s">
        <v>206</v>
      </c>
      <c r="B233">
        <v>1</v>
      </c>
      <c r="C233" t="str">
        <f t="shared" si="32"/>
        <v>test.Class13_1_</v>
      </c>
      <c r="D233">
        <v>5</v>
      </c>
      <c r="E233">
        <v>0.99630390143737169</v>
      </c>
      <c r="F233">
        <v>0.48514851543966275</v>
      </c>
      <c r="G233" s="1" t="str">
        <f t="shared" si="33"/>
        <v/>
      </c>
      <c r="H233" s="1" t="str">
        <f t="shared" si="34"/>
        <v/>
      </c>
      <c r="I233" s="1">
        <f t="shared" si="35"/>
        <v>0.99630390143737169</v>
      </c>
      <c r="J233" s="1" t="str">
        <f t="shared" si="36"/>
        <v/>
      </c>
      <c r="K233" s="1" t="str">
        <f t="shared" si="37"/>
        <v/>
      </c>
      <c r="L233" s="1" t="str">
        <f t="shared" si="38"/>
        <v/>
      </c>
    </row>
    <row r="234" spans="1:12">
      <c r="A234" t="s">
        <v>206</v>
      </c>
      <c r="B234">
        <v>1</v>
      </c>
      <c r="C234" t="str">
        <f t="shared" si="32"/>
        <v>test.Class13_1_</v>
      </c>
      <c r="D234">
        <v>6</v>
      </c>
      <c r="E234">
        <v>1</v>
      </c>
      <c r="F234">
        <v>0.4851499857366342</v>
      </c>
      <c r="G234" s="1" t="str">
        <f t="shared" si="33"/>
        <v/>
      </c>
      <c r="H234" s="1" t="str">
        <f t="shared" si="34"/>
        <v/>
      </c>
      <c r="I234" s="1">
        <f t="shared" si="35"/>
        <v>1</v>
      </c>
      <c r="J234" s="1" t="str">
        <f t="shared" si="36"/>
        <v/>
      </c>
      <c r="K234" s="1" t="str">
        <f t="shared" si="37"/>
        <v/>
      </c>
      <c r="L234" s="1" t="str">
        <f t="shared" si="38"/>
        <v/>
      </c>
    </row>
    <row r="235" spans="1:12">
      <c r="A235" t="s">
        <v>206</v>
      </c>
      <c r="B235">
        <v>1</v>
      </c>
      <c r="C235" t="str">
        <f t="shared" si="32"/>
        <v>test.Class13_1_</v>
      </c>
      <c r="D235">
        <v>7</v>
      </c>
      <c r="E235">
        <v>1</v>
      </c>
      <c r="F235">
        <v>0.54455445368101174</v>
      </c>
      <c r="G235" s="1" t="str">
        <f t="shared" si="33"/>
        <v/>
      </c>
      <c r="H235" s="1" t="str">
        <f t="shared" si="34"/>
        <v/>
      </c>
      <c r="I235" s="1">
        <f t="shared" si="35"/>
        <v>1</v>
      </c>
      <c r="J235" s="1" t="str">
        <f t="shared" si="36"/>
        <v/>
      </c>
      <c r="K235" s="1" t="str">
        <f t="shared" si="37"/>
        <v/>
      </c>
      <c r="L235" s="1" t="str">
        <f t="shared" si="38"/>
        <v/>
      </c>
    </row>
    <row r="236" spans="1:12">
      <c r="A236" t="s">
        <v>214</v>
      </c>
      <c r="B236">
        <v>1</v>
      </c>
      <c r="C236" t="str">
        <f t="shared" si="32"/>
        <v>test.client_1_</v>
      </c>
      <c r="D236">
        <v>1</v>
      </c>
      <c r="E236">
        <v>7.1806030463164444E-2</v>
      </c>
      <c r="F236">
        <v>0.26666666666666666</v>
      </c>
      <c r="G236" s="1" t="str">
        <f t="shared" si="33"/>
        <v/>
      </c>
      <c r="H236" s="1">
        <f t="shared" si="34"/>
        <v>7.1806030463164444E-2</v>
      </c>
      <c r="I236" s="1" t="str">
        <f t="shared" si="35"/>
        <v/>
      </c>
      <c r="J236" s="1" t="str">
        <f t="shared" si="36"/>
        <v/>
      </c>
      <c r="K236" s="1" t="str">
        <f t="shared" si="37"/>
        <v/>
      </c>
      <c r="L236" s="1" t="str">
        <f t="shared" si="38"/>
        <v/>
      </c>
    </row>
    <row r="237" spans="1:12">
      <c r="A237" t="s">
        <v>214</v>
      </c>
      <c r="B237">
        <v>1</v>
      </c>
      <c r="C237" t="str">
        <f t="shared" si="32"/>
        <v>test.client_1_</v>
      </c>
      <c r="D237">
        <v>2</v>
      </c>
      <c r="E237">
        <v>7.1806030463164444E-2</v>
      </c>
      <c r="F237">
        <v>0.26667333333333332</v>
      </c>
      <c r="G237" s="1" t="str">
        <f t="shared" si="33"/>
        <v/>
      </c>
      <c r="H237" s="1">
        <f t="shared" si="34"/>
        <v>7.1806030463164444E-2</v>
      </c>
      <c r="I237" s="1" t="str">
        <f t="shared" si="35"/>
        <v/>
      </c>
      <c r="J237" s="1" t="str">
        <f t="shared" si="36"/>
        <v/>
      </c>
      <c r="K237" s="1" t="str">
        <f t="shared" si="37"/>
        <v/>
      </c>
      <c r="L237" s="1" t="str">
        <f t="shared" si="38"/>
        <v/>
      </c>
    </row>
    <row r="238" spans="1:12">
      <c r="A238" t="s">
        <v>214</v>
      </c>
      <c r="B238">
        <v>1</v>
      </c>
      <c r="C238" t="str">
        <f t="shared" si="32"/>
        <v>test.client_1_</v>
      </c>
      <c r="D238">
        <v>3</v>
      </c>
      <c r="E238">
        <v>0.20391669257071807</v>
      </c>
      <c r="F238">
        <v>0.33333333333333331</v>
      </c>
      <c r="G238" s="1" t="str">
        <f t="shared" si="33"/>
        <v/>
      </c>
      <c r="H238" s="1">
        <f t="shared" si="34"/>
        <v>0.20391669257071807</v>
      </c>
      <c r="I238" s="1" t="str">
        <f t="shared" si="35"/>
        <v/>
      </c>
      <c r="J238" s="1" t="str">
        <f t="shared" si="36"/>
        <v/>
      </c>
      <c r="K238" s="1" t="str">
        <f t="shared" si="37"/>
        <v/>
      </c>
      <c r="L238" s="1" t="str">
        <f t="shared" si="38"/>
        <v/>
      </c>
    </row>
    <row r="239" spans="1:12">
      <c r="A239" t="s">
        <v>214</v>
      </c>
      <c r="B239">
        <v>1</v>
      </c>
      <c r="C239" t="str">
        <f t="shared" si="32"/>
        <v>test.client_1_</v>
      </c>
      <c r="D239">
        <v>4</v>
      </c>
      <c r="E239">
        <v>0.20391669257071807</v>
      </c>
      <c r="F239">
        <v>0.33333999999999997</v>
      </c>
      <c r="G239" s="1" t="str">
        <f t="shared" si="33"/>
        <v/>
      </c>
      <c r="H239" s="1">
        <f t="shared" si="34"/>
        <v>0.20391669257071807</v>
      </c>
      <c r="I239" s="1" t="str">
        <f t="shared" si="35"/>
        <v/>
      </c>
      <c r="J239" s="1" t="str">
        <f t="shared" si="36"/>
        <v/>
      </c>
      <c r="K239" s="1" t="str">
        <f t="shared" si="37"/>
        <v/>
      </c>
      <c r="L239" s="1" t="str">
        <f t="shared" si="38"/>
        <v/>
      </c>
    </row>
    <row r="240" spans="1:12">
      <c r="A240" t="s">
        <v>214</v>
      </c>
      <c r="B240">
        <v>1</v>
      </c>
      <c r="C240" t="str">
        <f t="shared" si="32"/>
        <v>test.client_1_</v>
      </c>
      <c r="D240">
        <v>5</v>
      </c>
      <c r="E240">
        <v>0.20391669257071807</v>
      </c>
      <c r="F240">
        <v>0.33334668666666667</v>
      </c>
      <c r="G240" s="1" t="str">
        <f t="shared" si="33"/>
        <v/>
      </c>
      <c r="H240" s="1">
        <f t="shared" si="34"/>
        <v>0.20391669257071807</v>
      </c>
      <c r="I240" s="1" t="str">
        <f t="shared" si="35"/>
        <v/>
      </c>
      <c r="J240" s="1" t="str">
        <f t="shared" si="36"/>
        <v/>
      </c>
      <c r="K240" s="1" t="str">
        <f t="shared" si="37"/>
        <v/>
      </c>
      <c r="L240" s="1" t="str">
        <f t="shared" si="38"/>
        <v/>
      </c>
    </row>
    <row r="241" spans="1:12">
      <c r="A241" t="s">
        <v>214</v>
      </c>
      <c r="B241">
        <v>1</v>
      </c>
      <c r="C241" t="str">
        <f t="shared" si="32"/>
        <v>test.client_1_</v>
      </c>
      <c r="D241">
        <v>6</v>
      </c>
      <c r="E241">
        <v>0.2197699720236245</v>
      </c>
      <c r="F241">
        <v>0.35555556666666666</v>
      </c>
      <c r="G241" s="1" t="str">
        <f t="shared" si="33"/>
        <v/>
      </c>
      <c r="H241" s="1">
        <f t="shared" si="34"/>
        <v>0.2197699720236245</v>
      </c>
      <c r="I241" s="1" t="str">
        <f t="shared" si="35"/>
        <v/>
      </c>
      <c r="J241" s="1" t="str">
        <f t="shared" si="36"/>
        <v/>
      </c>
      <c r="K241" s="1" t="str">
        <f t="shared" si="37"/>
        <v/>
      </c>
      <c r="L241" s="1" t="str">
        <f t="shared" si="38"/>
        <v/>
      </c>
    </row>
    <row r="242" spans="1:12">
      <c r="A242" t="s">
        <v>214</v>
      </c>
      <c r="B242">
        <v>1</v>
      </c>
      <c r="C242" t="str">
        <f t="shared" si="32"/>
        <v>test.client_1_</v>
      </c>
      <c r="D242">
        <v>7</v>
      </c>
      <c r="E242">
        <v>0.2197699720236245</v>
      </c>
      <c r="F242">
        <v>0.35556224000000003</v>
      </c>
      <c r="G242" s="1" t="str">
        <f t="shared" si="33"/>
        <v/>
      </c>
      <c r="H242" s="1">
        <f t="shared" si="34"/>
        <v>0.2197699720236245</v>
      </c>
      <c r="I242" s="1" t="str">
        <f t="shared" si="35"/>
        <v/>
      </c>
      <c r="J242" s="1" t="str">
        <f t="shared" si="36"/>
        <v/>
      </c>
      <c r="K242" s="1" t="str">
        <f t="shared" si="37"/>
        <v/>
      </c>
      <c r="L242" s="1" t="str">
        <f t="shared" si="38"/>
        <v/>
      </c>
    </row>
    <row r="243" spans="1:12">
      <c r="A243" t="s">
        <v>214</v>
      </c>
      <c r="B243">
        <v>1</v>
      </c>
      <c r="C243" t="str">
        <f t="shared" si="32"/>
        <v>test.client_1_</v>
      </c>
      <c r="D243">
        <v>8</v>
      </c>
      <c r="E243">
        <v>0.2197699720236245</v>
      </c>
      <c r="F243">
        <v>0.35556893333333334</v>
      </c>
      <c r="G243" s="1" t="str">
        <f t="shared" si="33"/>
        <v/>
      </c>
      <c r="H243" s="1">
        <f t="shared" si="34"/>
        <v>0.2197699720236245</v>
      </c>
      <c r="I243" s="1" t="str">
        <f t="shared" si="35"/>
        <v/>
      </c>
      <c r="J243" s="1" t="str">
        <f t="shared" si="36"/>
        <v/>
      </c>
      <c r="K243" s="1" t="str">
        <f t="shared" si="37"/>
        <v/>
      </c>
      <c r="L243" s="1" t="str">
        <f t="shared" si="38"/>
        <v/>
      </c>
    </row>
    <row r="244" spans="1:12">
      <c r="A244" t="s">
        <v>214</v>
      </c>
      <c r="B244">
        <v>1</v>
      </c>
      <c r="C244" t="str">
        <f t="shared" si="32"/>
        <v>test.client_1_</v>
      </c>
      <c r="D244">
        <v>9</v>
      </c>
      <c r="E244">
        <v>0.25240907677960833</v>
      </c>
      <c r="F244">
        <v>0.37777776666666668</v>
      </c>
      <c r="G244" s="1" t="str">
        <f t="shared" si="33"/>
        <v/>
      </c>
      <c r="H244" s="1">
        <f t="shared" si="34"/>
        <v>0.25240907677960833</v>
      </c>
      <c r="I244" s="1" t="str">
        <f t="shared" si="35"/>
        <v/>
      </c>
      <c r="J244" s="1" t="str">
        <f t="shared" si="36"/>
        <v/>
      </c>
      <c r="K244" s="1" t="str">
        <f t="shared" si="37"/>
        <v/>
      </c>
      <c r="L244" s="1" t="str">
        <f t="shared" si="38"/>
        <v/>
      </c>
    </row>
    <row r="245" spans="1:12">
      <c r="A245" t="s">
        <v>214</v>
      </c>
      <c r="B245">
        <v>1</v>
      </c>
      <c r="C245" t="str">
        <f t="shared" si="32"/>
        <v>test.client_1_</v>
      </c>
      <c r="D245">
        <v>10</v>
      </c>
      <c r="E245">
        <v>0.25240907677960833</v>
      </c>
      <c r="F245">
        <v>0.37778444</v>
      </c>
      <c r="G245" s="1" t="str">
        <f t="shared" si="33"/>
        <v/>
      </c>
      <c r="H245" s="1">
        <f t="shared" si="34"/>
        <v>0.25240907677960833</v>
      </c>
      <c r="I245" s="1" t="str">
        <f t="shared" si="35"/>
        <v/>
      </c>
      <c r="J245" s="1" t="str">
        <f t="shared" si="36"/>
        <v/>
      </c>
      <c r="K245" s="1" t="str">
        <f t="shared" si="37"/>
        <v/>
      </c>
      <c r="L245" s="1" t="str">
        <f t="shared" si="38"/>
        <v/>
      </c>
    </row>
    <row r="246" spans="1:12">
      <c r="A246" t="s">
        <v>214</v>
      </c>
      <c r="B246">
        <v>1</v>
      </c>
      <c r="C246" t="str">
        <f t="shared" si="32"/>
        <v>test.client_1_</v>
      </c>
      <c r="D246">
        <v>11</v>
      </c>
      <c r="E246">
        <v>0.25240907677960833</v>
      </c>
      <c r="F246">
        <v>0.4</v>
      </c>
      <c r="G246" s="1" t="str">
        <f t="shared" si="33"/>
        <v/>
      </c>
      <c r="H246" s="1">
        <f t="shared" si="34"/>
        <v>0.25240907677960833</v>
      </c>
      <c r="I246" s="1" t="str">
        <f t="shared" si="35"/>
        <v/>
      </c>
      <c r="J246" s="1" t="str">
        <f t="shared" si="36"/>
        <v/>
      </c>
      <c r="K246" s="1" t="str">
        <f t="shared" si="37"/>
        <v/>
      </c>
      <c r="L246" s="1" t="str">
        <f t="shared" si="38"/>
        <v/>
      </c>
    </row>
    <row r="247" spans="1:12">
      <c r="A247" t="s">
        <v>214</v>
      </c>
      <c r="B247">
        <v>1</v>
      </c>
      <c r="C247" t="str">
        <f t="shared" si="32"/>
        <v>test.client_1_</v>
      </c>
      <c r="D247">
        <v>12</v>
      </c>
      <c r="E247">
        <v>0.25240907677960833</v>
      </c>
      <c r="F247">
        <v>0.40000666666666668</v>
      </c>
      <c r="G247" s="1" t="str">
        <f t="shared" si="33"/>
        <v/>
      </c>
      <c r="H247" s="1" t="str">
        <f t="shared" si="34"/>
        <v/>
      </c>
      <c r="I247" s="1">
        <f t="shared" si="35"/>
        <v>0.25240907677960833</v>
      </c>
      <c r="J247" s="1" t="str">
        <f t="shared" si="36"/>
        <v/>
      </c>
      <c r="K247" s="1" t="str">
        <f t="shared" si="37"/>
        <v/>
      </c>
      <c r="L247" s="1" t="str">
        <f t="shared" si="38"/>
        <v/>
      </c>
    </row>
    <row r="248" spans="1:12">
      <c r="A248" t="s">
        <v>214</v>
      </c>
      <c r="B248">
        <v>1</v>
      </c>
      <c r="C248" t="str">
        <f t="shared" si="32"/>
        <v>test.client_1_</v>
      </c>
      <c r="D248">
        <v>13</v>
      </c>
      <c r="E248">
        <v>0.25240907677960833</v>
      </c>
      <c r="F248">
        <v>0.40001335333333338</v>
      </c>
      <c r="G248" s="1" t="str">
        <f t="shared" si="33"/>
        <v/>
      </c>
      <c r="H248" s="1" t="str">
        <f t="shared" si="34"/>
        <v/>
      </c>
      <c r="I248" s="1">
        <f t="shared" si="35"/>
        <v>0.25240907677960833</v>
      </c>
      <c r="J248" s="1" t="str">
        <f t="shared" si="36"/>
        <v/>
      </c>
      <c r="K248" s="1" t="str">
        <f t="shared" si="37"/>
        <v/>
      </c>
      <c r="L248" s="1" t="str">
        <f t="shared" si="38"/>
        <v/>
      </c>
    </row>
    <row r="249" spans="1:12">
      <c r="A249" t="s">
        <v>214</v>
      </c>
      <c r="B249">
        <v>1</v>
      </c>
      <c r="C249" t="str">
        <f t="shared" si="32"/>
        <v>test.client_1_</v>
      </c>
      <c r="D249">
        <v>14</v>
      </c>
      <c r="E249">
        <v>0.25240907677960833</v>
      </c>
      <c r="F249">
        <v>0.42222223333333336</v>
      </c>
      <c r="G249" s="1" t="str">
        <f t="shared" si="33"/>
        <v/>
      </c>
      <c r="H249" s="1" t="str">
        <f t="shared" si="34"/>
        <v/>
      </c>
      <c r="I249" s="1">
        <f t="shared" si="35"/>
        <v>0.25240907677960833</v>
      </c>
      <c r="J249" s="1" t="str">
        <f t="shared" si="36"/>
        <v/>
      </c>
      <c r="K249" s="1" t="str">
        <f t="shared" si="37"/>
        <v/>
      </c>
      <c r="L249" s="1" t="str">
        <f t="shared" si="38"/>
        <v/>
      </c>
    </row>
    <row r="250" spans="1:12">
      <c r="A250" t="s">
        <v>214</v>
      </c>
      <c r="B250">
        <v>1</v>
      </c>
      <c r="C250" t="str">
        <f t="shared" si="32"/>
        <v>test.client_1_</v>
      </c>
      <c r="D250">
        <v>15</v>
      </c>
      <c r="E250">
        <v>0.25240907677960833</v>
      </c>
      <c r="F250">
        <v>0.44444443333333333</v>
      </c>
      <c r="G250" s="1" t="str">
        <f t="shared" si="33"/>
        <v/>
      </c>
      <c r="H250" s="1" t="str">
        <f t="shared" si="34"/>
        <v/>
      </c>
      <c r="I250" s="1">
        <f t="shared" si="35"/>
        <v>0.25240907677960833</v>
      </c>
      <c r="J250" s="1" t="str">
        <f t="shared" si="36"/>
        <v/>
      </c>
      <c r="K250" s="1" t="str">
        <f t="shared" si="37"/>
        <v/>
      </c>
      <c r="L250" s="1" t="str">
        <f t="shared" si="38"/>
        <v/>
      </c>
    </row>
    <row r="251" spans="1:12">
      <c r="A251" t="s">
        <v>214</v>
      </c>
      <c r="B251">
        <v>1</v>
      </c>
      <c r="C251" t="str">
        <f t="shared" si="32"/>
        <v>test.client_1_</v>
      </c>
      <c r="D251">
        <v>16</v>
      </c>
      <c r="E251">
        <v>1</v>
      </c>
      <c r="F251">
        <v>0.8666666666666667</v>
      </c>
      <c r="G251" s="1" t="str">
        <f t="shared" si="33"/>
        <v/>
      </c>
      <c r="H251" s="1" t="str">
        <f t="shared" si="34"/>
        <v/>
      </c>
      <c r="I251" s="1" t="str">
        <f t="shared" si="35"/>
        <v/>
      </c>
      <c r="J251" s="1" t="str">
        <f t="shared" si="36"/>
        <v/>
      </c>
      <c r="K251" s="1">
        <f t="shared" si="37"/>
        <v>1</v>
      </c>
      <c r="L251" s="1" t="str">
        <f t="shared" si="38"/>
        <v/>
      </c>
    </row>
    <row r="252" spans="1:12">
      <c r="A252" t="s">
        <v>214</v>
      </c>
      <c r="B252">
        <v>3</v>
      </c>
      <c r="C252" t="str">
        <f t="shared" si="32"/>
        <v>test.client_3_</v>
      </c>
      <c r="D252">
        <v>1</v>
      </c>
      <c r="E252">
        <v>0.89374382318588841</v>
      </c>
      <c r="F252">
        <v>0.94980390588235286</v>
      </c>
      <c r="G252" s="1" t="str">
        <f t="shared" si="33"/>
        <v/>
      </c>
      <c r="H252" s="1" t="str">
        <f t="shared" si="34"/>
        <v/>
      </c>
      <c r="I252" s="1" t="str">
        <f t="shared" si="35"/>
        <v/>
      </c>
      <c r="J252" s="1" t="str">
        <f t="shared" si="36"/>
        <v/>
      </c>
      <c r="K252" s="1">
        <f t="shared" si="37"/>
        <v>0.89374382318588841</v>
      </c>
      <c r="L252" s="1" t="str">
        <f t="shared" si="38"/>
        <v/>
      </c>
    </row>
    <row r="253" spans="1:12">
      <c r="A253" t="s">
        <v>214</v>
      </c>
      <c r="B253">
        <v>3</v>
      </c>
      <c r="C253" t="str">
        <f t="shared" si="32"/>
        <v>test.client_3_</v>
      </c>
      <c r="D253">
        <v>2</v>
      </c>
      <c r="E253">
        <v>0.99251295259201577</v>
      </c>
      <c r="F253">
        <v>0.96862743529411754</v>
      </c>
      <c r="G253" s="1" t="str">
        <f t="shared" si="33"/>
        <v/>
      </c>
      <c r="H253" s="1" t="str">
        <f t="shared" si="34"/>
        <v/>
      </c>
      <c r="I253" s="1" t="str">
        <f t="shared" si="35"/>
        <v/>
      </c>
      <c r="J253" s="1" t="str">
        <f t="shared" si="36"/>
        <v/>
      </c>
      <c r="K253" s="1">
        <f t="shared" si="37"/>
        <v>0.99251295259201577</v>
      </c>
      <c r="L253" s="1" t="str">
        <f t="shared" si="38"/>
        <v/>
      </c>
    </row>
    <row r="254" spans="1:12">
      <c r="A254" t="s">
        <v>214</v>
      </c>
      <c r="B254">
        <v>3</v>
      </c>
      <c r="C254" t="str">
        <f t="shared" si="32"/>
        <v>test.client_3_</v>
      </c>
      <c r="D254">
        <v>3</v>
      </c>
      <c r="E254">
        <v>1</v>
      </c>
      <c r="F254">
        <v>0.99921567058823524</v>
      </c>
      <c r="G254" s="1" t="str">
        <f t="shared" si="33"/>
        <v/>
      </c>
      <c r="H254" s="1" t="str">
        <f t="shared" si="34"/>
        <v/>
      </c>
      <c r="I254" s="1" t="str">
        <f t="shared" si="35"/>
        <v/>
      </c>
      <c r="J254" s="1" t="str">
        <f t="shared" si="36"/>
        <v/>
      </c>
      <c r="K254" s="1">
        <f t="shared" si="37"/>
        <v>1</v>
      </c>
      <c r="L254" s="1" t="str">
        <f t="shared" si="38"/>
        <v/>
      </c>
    </row>
    <row r="255" spans="1:12">
      <c r="A255" t="s">
        <v>214</v>
      </c>
      <c r="B255">
        <v>4</v>
      </c>
      <c r="C255" t="str">
        <f t="shared" si="32"/>
        <v>test.client_4_</v>
      </c>
      <c r="D255">
        <v>1</v>
      </c>
      <c r="E255">
        <v>0.8470809792843691</v>
      </c>
      <c r="F255">
        <v>0.82608695652173914</v>
      </c>
      <c r="G255" s="1" t="str">
        <f t="shared" si="33"/>
        <v/>
      </c>
      <c r="H255" s="1" t="str">
        <f t="shared" si="34"/>
        <v/>
      </c>
      <c r="I255" s="1" t="str">
        <f t="shared" si="35"/>
        <v/>
      </c>
      <c r="J255" s="1" t="str">
        <f t="shared" si="36"/>
        <v/>
      </c>
      <c r="K255" s="1">
        <f t="shared" si="37"/>
        <v>0.8470809792843691</v>
      </c>
      <c r="L255" s="1" t="str">
        <f t="shared" si="38"/>
        <v/>
      </c>
    </row>
    <row r="256" spans="1:12">
      <c r="A256" t="s">
        <v>214</v>
      </c>
      <c r="B256">
        <v>4</v>
      </c>
      <c r="C256" t="str">
        <f t="shared" si="32"/>
        <v>test.client_4_</v>
      </c>
      <c r="D256">
        <v>2</v>
      </c>
      <c r="E256">
        <v>0.8470809792843691</v>
      </c>
      <c r="F256">
        <v>0.82609130434782607</v>
      </c>
      <c r="G256" s="1" t="str">
        <f t="shared" si="33"/>
        <v/>
      </c>
      <c r="H256" s="1" t="str">
        <f t="shared" si="34"/>
        <v/>
      </c>
      <c r="I256" s="1" t="str">
        <f t="shared" si="35"/>
        <v/>
      </c>
      <c r="J256" s="1" t="str">
        <f t="shared" si="36"/>
        <v/>
      </c>
      <c r="K256" s="1">
        <f t="shared" si="37"/>
        <v>0.8470809792843691</v>
      </c>
      <c r="L256" s="1" t="str">
        <f t="shared" si="38"/>
        <v/>
      </c>
    </row>
    <row r="257" spans="1:12">
      <c r="A257" t="s">
        <v>214</v>
      </c>
      <c r="B257">
        <v>4</v>
      </c>
      <c r="C257" t="str">
        <f t="shared" si="32"/>
        <v>test.client_4_</v>
      </c>
      <c r="D257">
        <v>3</v>
      </c>
      <c r="E257">
        <v>0.89642184557438798</v>
      </c>
      <c r="F257">
        <v>0.85507243478260864</v>
      </c>
      <c r="G257" s="1" t="str">
        <f t="shared" si="33"/>
        <v/>
      </c>
      <c r="H257" s="1" t="str">
        <f t="shared" si="34"/>
        <v/>
      </c>
      <c r="I257" s="1" t="str">
        <f t="shared" si="35"/>
        <v/>
      </c>
      <c r="J257" s="1" t="str">
        <f t="shared" si="36"/>
        <v/>
      </c>
      <c r="K257" s="1">
        <f t="shared" si="37"/>
        <v>0.89642184557438798</v>
      </c>
      <c r="L257" s="1" t="str">
        <f t="shared" si="38"/>
        <v/>
      </c>
    </row>
    <row r="258" spans="1:12">
      <c r="A258" t="s">
        <v>214</v>
      </c>
      <c r="B258">
        <v>4</v>
      </c>
      <c r="C258" t="str">
        <f t="shared" si="32"/>
        <v>test.client_4_</v>
      </c>
      <c r="D258">
        <v>4</v>
      </c>
      <c r="E258">
        <v>0.94500941619585688</v>
      </c>
      <c r="F258">
        <v>0.8550767391304348</v>
      </c>
      <c r="G258" s="1" t="str">
        <f t="shared" si="33"/>
        <v/>
      </c>
      <c r="H258" s="1" t="str">
        <f t="shared" si="34"/>
        <v/>
      </c>
      <c r="I258" s="1" t="str">
        <f t="shared" si="35"/>
        <v/>
      </c>
      <c r="J258" s="1" t="str">
        <f t="shared" si="36"/>
        <v/>
      </c>
      <c r="K258" s="1">
        <f t="shared" si="37"/>
        <v>0.94500941619585688</v>
      </c>
      <c r="L258" s="1" t="str">
        <f t="shared" si="38"/>
        <v/>
      </c>
    </row>
    <row r="259" spans="1:12">
      <c r="A259" t="s">
        <v>214</v>
      </c>
      <c r="B259">
        <v>4</v>
      </c>
      <c r="C259" t="str">
        <f t="shared" ref="C259:C322" si="39">CONCATENATE(A259, "_",B259,"_")</f>
        <v>test.client_4_</v>
      </c>
      <c r="D259">
        <v>5</v>
      </c>
      <c r="E259">
        <v>0.94576271186440675</v>
      </c>
      <c r="F259">
        <v>0.86956521739130432</v>
      </c>
      <c r="G259" s="1" t="str">
        <f t="shared" ref="G259:G322" si="40">IF($F259 &lt;= 0.2,$E259,"")</f>
        <v/>
      </c>
      <c r="H259" s="1" t="str">
        <f t="shared" ref="H259:H322" si="41">IF(AND($F259 &gt; 0.2,$F259 &lt;= 0.4),$E259,"")</f>
        <v/>
      </c>
      <c r="I259" s="1" t="str">
        <f t="shared" ref="I259:I322" si="42">IF(AND($F259 &gt; 0.4,$F259 &lt;= 0.6),$E259,"")</f>
        <v/>
      </c>
      <c r="J259" s="1" t="str">
        <f t="shared" ref="J259:J322" si="43">IF(AND($F259 &gt; 0.6,$F259 &lt;= 0.8),$E259,"")</f>
        <v/>
      </c>
      <c r="K259" s="1">
        <f t="shared" ref="K259:K322" si="44">IF(AND($F259 &gt; 0.8, $F259 &lt;=1.1),$E259,"")</f>
        <v>0.94576271186440675</v>
      </c>
      <c r="L259" s="1" t="str">
        <f t="shared" ref="L259:L322" si="45">IF(AND($F259 &gt; 1.1),$E259,"")</f>
        <v/>
      </c>
    </row>
    <row r="260" spans="1:12">
      <c r="A260" t="s">
        <v>214</v>
      </c>
      <c r="B260">
        <v>4</v>
      </c>
      <c r="C260" t="str">
        <f t="shared" si="39"/>
        <v>test.client_4_</v>
      </c>
      <c r="D260">
        <v>6</v>
      </c>
      <c r="E260">
        <v>0.99623352165725043</v>
      </c>
      <c r="F260">
        <v>0.86956956521739126</v>
      </c>
      <c r="G260" s="1" t="str">
        <f t="shared" si="40"/>
        <v/>
      </c>
      <c r="H260" s="1" t="str">
        <f t="shared" si="41"/>
        <v/>
      </c>
      <c r="I260" s="1" t="str">
        <f t="shared" si="42"/>
        <v/>
      </c>
      <c r="J260" s="1" t="str">
        <f t="shared" si="43"/>
        <v/>
      </c>
      <c r="K260" s="1">
        <f t="shared" si="44"/>
        <v>0.99623352165725043</v>
      </c>
      <c r="L260" s="1" t="str">
        <f t="shared" si="45"/>
        <v/>
      </c>
    </row>
    <row r="261" spans="1:12">
      <c r="A261" t="s">
        <v>214</v>
      </c>
      <c r="B261">
        <v>4</v>
      </c>
      <c r="C261" t="str">
        <f t="shared" si="39"/>
        <v>test.client_4_</v>
      </c>
      <c r="D261">
        <v>7</v>
      </c>
      <c r="E261">
        <v>0.99698681732580041</v>
      </c>
      <c r="F261">
        <v>0.88405800000000001</v>
      </c>
      <c r="G261" s="1" t="str">
        <f t="shared" si="40"/>
        <v/>
      </c>
      <c r="H261" s="1" t="str">
        <f t="shared" si="41"/>
        <v/>
      </c>
      <c r="I261" s="1" t="str">
        <f t="shared" si="42"/>
        <v/>
      </c>
      <c r="J261" s="1" t="str">
        <f t="shared" si="43"/>
        <v/>
      </c>
      <c r="K261" s="1">
        <f t="shared" si="44"/>
        <v>0.99698681732580041</v>
      </c>
      <c r="L261" s="1" t="str">
        <f t="shared" si="45"/>
        <v/>
      </c>
    </row>
    <row r="262" spans="1:12">
      <c r="A262" t="s">
        <v>214</v>
      </c>
      <c r="B262">
        <v>4</v>
      </c>
      <c r="C262" t="str">
        <f t="shared" si="39"/>
        <v>test.client_4_</v>
      </c>
      <c r="D262">
        <v>8</v>
      </c>
      <c r="E262">
        <v>0.99849340866290015</v>
      </c>
      <c r="F262">
        <v>0.88406230434782607</v>
      </c>
      <c r="G262" s="1" t="str">
        <f t="shared" si="40"/>
        <v/>
      </c>
      <c r="H262" s="1" t="str">
        <f t="shared" si="41"/>
        <v/>
      </c>
      <c r="I262" s="1" t="str">
        <f t="shared" si="42"/>
        <v/>
      </c>
      <c r="J262" s="1" t="str">
        <f t="shared" si="43"/>
        <v/>
      </c>
      <c r="K262" s="1">
        <f t="shared" si="44"/>
        <v>0.99849340866290015</v>
      </c>
      <c r="L262" s="1" t="str">
        <f t="shared" si="45"/>
        <v/>
      </c>
    </row>
    <row r="263" spans="1:12">
      <c r="A263" t="s">
        <v>214</v>
      </c>
      <c r="B263">
        <v>4</v>
      </c>
      <c r="C263" t="str">
        <f t="shared" si="39"/>
        <v>test.client_4_</v>
      </c>
      <c r="D263">
        <v>9</v>
      </c>
      <c r="E263">
        <v>1</v>
      </c>
      <c r="F263">
        <v>0.89855069565217394</v>
      </c>
      <c r="G263" s="1" t="str">
        <f t="shared" si="40"/>
        <v/>
      </c>
      <c r="H263" s="1" t="str">
        <f t="shared" si="41"/>
        <v/>
      </c>
      <c r="I263" s="1" t="str">
        <f t="shared" si="42"/>
        <v/>
      </c>
      <c r="J263" s="1" t="str">
        <f t="shared" si="43"/>
        <v/>
      </c>
      <c r="K263" s="1">
        <f t="shared" si="44"/>
        <v>1</v>
      </c>
      <c r="L263" s="1" t="str">
        <f t="shared" si="45"/>
        <v/>
      </c>
    </row>
    <row r="264" spans="1:12">
      <c r="A264" t="s">
        <v>214</v>
      </c>
      <c r="B264">
        <v>6</v>
      </c>
      <c r="C264" t="str">
        <f t="shared" si="39"/>
        <v>test.client_6_</v>
      </c>
      <c r="D264">
        <v>1</v>
      </c>
      <c r="E264">
        <v>0.62946580469547464</v>
      </c>
      <c r="F264">
        <v>0.62337663956822442</v>
      </c>
      <c r="G264" s="1" t="str">
        <f t="shared" si="40"/>
        <v/>
      </c>
      <c r="H264" s="1" t="str">
        <f t="shared" si="41"/>
        <v/>
      </c>
      <c r="I264" s="1" t="str">
        <f t="shared" si="42"/>
        <v/>
      </c>
      <c r="J264" s="1">
        <f t="shared" si="43"/>
        <v>0.62946580469547464</v>
      </c>
      <c r="K264" s="1" t="str">
        <f t="shared" si="44"/>
        <v/>
      </c>
      <c r="L264" s="1" t="str">
        <f t="shared" si="45"/>
        <v/>
      </c>
    </row>
    <row r="265" spans="1:12">
      <c r="A265" t="s">
        <v>214</v>
      </c>
      <c r="B265">
        <v>6</v>
      </c>
      <c r="C265" t="str">
        <f t="shared" si="39"/>
        <v>test.client_6_</v>
      </c>
      <c r="D265">
        <v>2</v>
      </c>
      <c r="E265">
        <v>1</v>
      </c>
      <c r="F265">
        <v>0.63636367886658907</v>
      </c>
      <c r="G265" s="1" t="str">
        <f t="shared" si="40"/>
        <v/>
      </c>
      <c r="H265" s="1" t="str">
        <f t="shared" si="41"/>
        <v/>
      </c>
      <c r="I265" s="1" t="str">
        <f t="shared" si="42"/>
        <v/>
      </c>
      <c r="J265" s="1">
        <f t="shared" si="43"/>
        <v>1</v>
      </c>
      <c r="K265" s="1" t="str">
        <f t="shared" si="44"/>
        <v/>
      </c>
      <c r="L265" s="1" t="str">
        <f t="shared" si="45"/>
        <v/>
      </c>
    </row>
    <row r="266" spans="1:12">
      <c r="A266" t="s">
        <v>214</v>
      </c>
      <c r="B266">
        <v>7</v>
      </c>
      <c r="C266" t="str">
        <f t="shared" si="39"/>
        <v>test.client_7_</v>
      </c>
      <c r="D266">
        <v>1</v>
      </c>
      <c r="E266">
        <v>0.14018691588785046</v>
      </c>
      <c r="F266">
        <v>0.40000001500000038</v>
      </c>
      <c r="G266" s="1" t="str">
        <f t="shared" si="40"/>
        <v/>
      </c>
      <c r="H266" s="1" t="str">
        <f t="shared" si="41"/>
        <v/>
      </c>
      <c r="I266" s="1">
        <f t="shared" si="42"/>
        <v>0.14018691588785046</v>
      </c>
      <c r="J266" s="1" t="str">
        <f t="shared" si="43"/>
        <v/>
      </c>
      <c r="K266" s="1" t="str">
        <f t="shared" si="44"/>
        <v/>
      </c>
      <c r="L266" s="1" t="str">
        <f t="shared" si="45"/>
        <v/>
      </c>
    </row>
    <row r="267" spans="1:12">
      <c r="A267" t="s">
        <v>214</v>
      </c>
      <c r="B267">
        <v>7</v>
      </c>
      <c r="C267" t="str">
        <f t="shared" si="39"/>
        <v>test.client_7_</v>
      </c>
      <c r="D267">
        <v>2</v>
      </c>
      <c r="E267">
        <v>0.15140186915887852</v>
      </c>
      <c r="F267">
        <v>0.45000001125000028</v>
      </c>
      <c r="G267" s="1" t="str">
        <f t="shared" si="40"/>
        <v/>
      </c>
      <c r="H267" s="1" t="str">
        <f t="shared" si="41"/>
        <v/>
      </c>
      <c r="I267" s="1">
        <f t="shared" si="42"/>
        <v>0.15140186915887852</v>
      </c>
      <c r="J267" s="1" t="str">
        <f t="shared" si="43"/>
        <v/>
      </c>
      <c r="K267" s="1" t="str">
        <f t="shared" si="44"/>
        <v/>
      </c>
      <c r="L267" s="1" t="str">
        <f t="shared" si="45"/>
        <v/>
      </c>
    </row>
    <row r="268" spans="1:12">
      <c r="A268" t="s">
        <v>214</v>
      </c>
      <c r="B268">
        <v>7</v>
      </c>
      <c r="C268" t="str">
        <f t="shared" si="39"/>
        <v>test.client_7_</v>
      </c>
      <c r="D268">
        <v>3</v>
      </c>
      <c r="E268">
        <v>0.15140186915887852</v>
      </c>
      <c r="F268">
        <v>0.45001501125037535</v>
      </c>
      <c r="G268" s="1" t="str">
        <f t="shared" si="40"/>
        <v/>
      </c>
      <c r="H268" s="1" t="str">
        <f t="shared" si="41"/>
        <v/>
      </c>
      <c r="I268" s="1">
        <f t="shared" si="42"/>
        <v>0.15140186915887852</v>
      </c>
      <c r="J268" s="1" t="str">
        <f t="shared" si="43"/>
        <v/>
      </c>
      <c r="K268" s="1" t="str">
        <f t="shared" si="44"/>
        <v/>
      </c>
      <c r="L268" s="1" t="str">
        <f t="shared" si="45"/>
        <v/>
      </c>
    </row>
    <row r="269" spans="1:12">
      <c r="A269" t="s">
        <v>214</v>
      </c>
      <c r="B269">
        <v>7</v>
      </c>
      <c r="C269" t="str">
        <f t="shared" si="39"/>
        <v>test.client_7_</v>
      </c>
      <c r="D269">
        <v>4</v>
      </c>
      <c r="E269">
        <v>0.15140186915887852</v>
      </c>
      <c r="F269">
        <v>0.4500299812507495</v>
      </c>
      <c r="G269" s="1" t="str">
        <f t="shared" si="40"/>
        <v/>
      </c>
      <c r="H269" s="1" t="str">
        <f t="shared" si="41"/>
        <v/>
      </c>
      <c r="I269" s="1">
        <f t="shared" si="42"/>
        <v>0.15140186915887852</v>
      </c>
      <c r="J269" s="1" t="str">
        <f t="shared" si="43"/>
        <v/>
      </c>
      <c r="K269" s="1" t="str">
        <f t="shared" si="44"/>
        <v/>
      </c>
      <c r="L269" s="1" t="str">
        <f t="shared" si="45"/>
        <v/>
      </c>
    </row>
    <row r="270" spans="1:12">
      <c r="A270" t="s">
        <v>214</v>
      </c>
      <c r="B270">
        <v>7</v>
      </c>
      <c r="C270" t="str">
        <f t="shared" si="39"/>
        <v>test.client_7_</v>
      </c>
      <c r="D270">
        <v>5</v>
      </c>
      <c r="E270">
        <v>0.15140186915887852</v>
      </c>
      <c r="F270">
        <v>0.45004496625112411</v>
      </c>
      <c r="G270" s="1" t="str">
        <f t="shared" si="40"/>
        <v/>
      </c>
      <c r="H270" s="1" t="str">
        <f t="shared" si="41"/>
        <v/>
      </c>
      <c r="I270" s="1">
        <f t="shared" si="42"/>
        <v>0.15140186915887852</v>
      </c>
      <c r="J270" s="1" t="str">
        <f t="shared" si="43"/>
        <v/>
      </c>
      <c r="K270" s="1" t="str">
        <f t="shared" si="44"/>
        <v/>
      </c>
      <c r="L270" s="1" t="str">
        <f t="shared" si="45"/>
        <v/>
      </c>
    </row>
    <row r="271" spans="1:12">
      <c r="A271" t="s">
        <v>214</v>
      </c>
      <c r="B271">
        <v>7</v>
      </c>
      <c r="C271" t="str">
        <f t="shared" si="39"/>
        <v>test.client_7_</v>
      </c>
      <c r="D271">
        <v>6</v>
      </c>
      <c r="E271">
        <v>1</v>
      </c>
      <c r="F271">
        <v>1</v>
      </c>
      <c r="G271" s="1" t="str">
        <f t="shared" si="40"/>
        <v/>
      </c>
      <c r="H271" s="1" t="str">
        <f t="shared" si="41"/>
        <v/>
      </c>
      <c r="I271" s="1" t="str">
        <f t="shared" si="42"/>
        <v/>
      </c>
      <c r="J271" s="1" t="str">
        <f t="shared" si="43"/>
        <v/>
      </c>
      <c r="K271" s="1">
        <f t="shared" si="44"/>
        <v>1</v>
      </c>
      <c r="L271" s="1" t="str">
        <f t="shared" si="45"/>
        <v/>
      </c>
    </row>
    <row r="272" spans="1:12">
      <c r="A272" t="s">
        <v>214</v>
      </c>
      <c r="B272">
        <v>7</v>
      </c>
      <c r="C272" t="str">
        <f t="shared" si="39"/>
        <v>test.client_7_</v>
      </c>
      <c r="D272">
        <v>7</v>
      </c>
      <c r="E272">
        <v>1</v>
      </c>
      <c r="F272">
        <v>1.15000000375</v>
      </c>
      <c r="G272" s="1" t="str">
        <f t="shared" si="40"/>
        <v/>
      </c>
      <c r="H272" s="1" t="str">
        <f t="shared" si="41"/>
        <v/>
      </c>
      <c r="I272" s="1" t="str">
        <f t="shared" si="42"/>
        <v/>
      </c>
      <c r="J272" s="1" t="str">
        <f t="shared" si="43"/>
        <v/>
      </c>
      <c r="K272" s="1" t="str">
        <f t="shared" si="44"/>
        <v/>
      </c>
      <c r="L272" s="1">
        <f t="shared" si="45"/>
        <v>1</v>
      </c>
    </row>
    <row r="273" spans="1:12">
      <c r="A273" t="s">
        <v>247</v>
      </c>
      <c r="B273">
        <v>3</v>
      </c>
      <c r="C273" t="str">
        <f t="shared" si="39"/>
        <v>test.GeoEngine_3_</v>
      </c>
      <c r="D273">
        <v>1</v>
      </c>
      <c r="E273">
        <v>4.4161358811040337E-2</v>
      </c>
      <c r="F273">
        <v>0.22857142489795929</v>
      </c>
      <c r="G273" s="1" t="str">
        <f t="shared" si="40"/>
        <v/>
      </c>
      <c r="H273" s="1">
        <f t="shared" si="41"/>
        <v>4.4161358811040337E-2</v>
      </c>
      <c r="I273" s="1" t="str">
        <f t="shared" si="42"/>
        <v/>
      </c>
      <c r="J273" s="1" t="str">
        <f t="shared" si="43"/>
        <v/>
      </c>
      <c r="K273" s="1" t="str">
        <f t="shared" si="44"/>
        <v/>
      </c>
      <c r="L273" s="1" t="str">
        <f t="shared" si="45"/>
        <v/>
      </c>
    </row>
    <row r="274" spans="1:12">
      <c r="A274" t="s">
        <v>247</v>
      </c>
      <c r="B274">
        <v>3</v>
      </c>
      <c r="C274" t="str">
        <f t="shared" si="39"/>
        <v>test.GeoEngine_3_</v>
      </c>
      <c r="D274">
        <v>2</v>
      </c>
      <c r="E274">
        <v>0.70276008492568998</v>
      </c>
      <c r="F274">
        <v>0.71428566530612381</v>
      </c>
      <c r="G274" s="1" t="str">
        <f t="shared" si="40"/>
        <v/>
      </c>
      <c r="H274" s="1" t="str">
        <f t="shared" si="41"/>
        <v/>
      </c>
      <c r="I274" s="1" t="str">
        <f t="shared" si="42"/>
        <v/>
      </c>
      <c r="J274" s="1">
        <f t="shared" si="43"/>
        <v>0.70276008492568998</v>
      </c>
      <c r="K274" s="1" t="str">
        <f t="shared" si="44"/>
        <v/>
      </c>
      <c r="L274" s="1" t="str">
        <f t="shared" si="45"/>
        <v/>
      </c>
    </row>
    <row r="275" spans="1:12">
      <c r="A275" t="s">
        <v>247</v>
      </c>
      <c r="B275">
        <v>3</v>
      </c>
      <c r="C275" t="str">
        <f t="shared" si="39"/>
        <v>test.GeoEngine_3_</v>
      </c>
      <c r="D275">
        <v>3</v>
      </c>
      <c r="E275">
        <v>1</v>
      </c>
      <c r="F275">
        <v>0.74285715020408138</v>
      </c>
      <c r="G275" s="1" t="str">
        <f t="shared" si="40"/>
        <v/>
      </c>
      <c r="H275" s="1" t="str">
        <f t="shared" si="41"/>
        <v/>
      </c>
      <c r="I275" s="1" t="str">
        <f t="shared" si="42"/>
        <v/>
      </c>
      <c r="J275" s="1">
        <f t="shared" si="43"/>
        <v>1</v>
      </c>
      <c r="K275" s="1" t="str">
        <f t="shared" si="44"/>
        <v/>
      </c>
      <c r="L275" s="1" t="str">
        <f t="shared" si="45"/>
        <v/>
      </c>
    </row>
    <row r="276" spans="1:12">
      <c r="A276" t="s">
        <v>247</v>
      </c>
      <c r="B276">
        <v>7</v>
      </c>
      <c r="C276" t="str">
        <f t="shared" si="39"/>
        <v>test.GeoEngine_7_</v>
      </c>
      <c r="D276">
        <v>1</v>
      </c>
      <c r="E276">
        <v>9.5894607843137261E-2</v>
      </c>
      <c r="F276">
        <v>0.25641025384615385</v>
      </c>
      <c r="G276" s="1" t="str">
        <f t="shared" si="40"/>
        <v/>
      </c>
      <c r="H276" s="1">
        <f t="shared" si="41"/>
        <v>9.5894607843137261E-2</v>
      </c>
      <c r="I276" s="1" t="str">
        <f t="shared" si="42"/>
        <v/>
      </c>
      <c r="J276" s="1" t="str">
        <f t="shared" si="43"/>
        <v/>
      </c>
      <c r="K276" s="1" t="str">
        <f t="shared" si="44"/>
        <v/>
      </c>
      <c r="L276" s="1" t="str">
        <f t="shared" si="45"/>
        <v/>
      </c>
    </row>
    <row r="277" spans="1:12">
      <c r="A277" t="s">
        <v>247</v>
      </c>
      <c r="B277">
        <v>7</v>
      </c>
      <c r="C277" t="str">
        <f t="shared" si="39"/>
        <v>test.GeoEngine_7_</v>
      </c>
      <c r="D277">
        <v>2</v>
      </c>
      <c r="E277">
        <v>0.12285539215686274</v>
      </c>
      <c r="F277">
        <v>0.25641793846153849</v>
      </c>
      <c r="G277" s="1" t="str">
        <f t="shared" si="40"/>
        <v/>
      </c>
      <c r="H277" s="1">
        <f t="shared" si="41"/>
        <v>0.12285539215686274</v>
      </c>
      <c r="I277" s="1" t="str">
        <f t="shared" si="42"/>
        <v/>
      </c>
      <c r="J277" s="1" t="str">
        <f t="shared" si="43"/>
        <v/>
      </c>
      <c r="K277" s="1" t="str">
        <f t="shared" si="44"/>
        <v/>
      </c>
      <c r="L277" s="1" t="str">
        <f t="shared" si="45"/>
        <v/>
      </c>
    </row>
    <row r="278" spans="1:12">
      <c r="A278" t="s">
        <v>247</v>
      </c>
      <c r="B278">
        <v>7</v>
      </c>
      <c r="C278" t="str">
        <f t="shared" si="39"/>
        <v>test.GeoEngine_7_</v>
      </c>
      <c r="D278">
        <v>3</v>
      </c>
      <c r="E278">
        <v>0.29626225490196079</v>
      </c>
      <c r="F278">
        <v>0.38461538461538464</v>
      </c>
      <c r="G278" s="1" t="str">
        <f t="shared" si="40"/>
        <v/>
      </c>
      <c r="H278" s="1">
        <f t="shared" si="41"/>
        <v>0.29626225490196079</v>
      </c>
      <c r="I278" s="1" t="str">
        <f t="shared" si="42"/>
        <v/>
      </c>
      <c r="J278" s="1" t="str">
        <f t="shared" si="43"/>
        <v/>
      </c>
      <c r="K278" s="1" t="str">
        <f t="shared" si="44"/>
        <v/>
      </c>
      <c r="L278" s="1" t="str">
        <f t="shared" si="45"/>
        <v/>
      </c>
    </row>
    <row r="279" spans="1:12">
      <c r="A279" t="s">
        <v>247</v>
      </c>
      <c r="B279">
        <v>7</v>
      </c>
      <c r="C279" t="str">
        <f t="shared" si="39"/>
        <v>test.GeoEngine_7_</v>
      </c>
      <c r="D279">
        <v>4</v>
      </c>
      <c r="E279">
        <v>0.61397058823529416</v>
      </c>
      <c r="F279">
        <v>0.51282050000000001</v>
      </c>
      <c r="G279" s="1" t="str">
        <f t="shared" si="40"/>
        <v/>
      </c>
      <c r="H279" s="1" t="str">
        <f t="shared" si="41"/>
        <v/>
      </c>
      <c r="I279" s="1">
        <f t="shared" si="42"/>
        <v>0.61397058823529416</v>
      </c>
      <c r="J279" s="1" t="str">
        <f t="shared" si="43"/>
        <v/>
      </c>
      <c r="K279" s="1" t="str">
        <f t="shared" si="44"/>
        <v/>
      </c>
      <c r="L279" s="1" t="str">
        <f t="shared" si="45"/>
        <v/>
      </c>
    </row>
    <row r="280" spans="1:12">
      <c r="A280" t="s">
        <v>247</v>
      </c>
      <c r="B280">
        <v>7</v>
      </c>
      <c r="C280" t="str">
        <f t="shared" si="39"/>
        <v>test.GeoEngine_7_</v>
      </c>
      <c r="D280">
        <v>5</v>
      </c>
      <c r="E280">
        <v>0.62438725490196079</v>
      </c>
      <c r="F280">
        <v>0.56410257692307697</v>
      </c>
      <c r="G280" s="1" t="str">
        <f t="shared" si="40"/>
        <v/>
      </c>
      <c r="H280" s="1" t="str">
        <f t="shared" si="41"/>
        <v/>
      </c>
      <c r="I280" s="1">
        <f t="shared" si="42"/>
        <v>0.62438725490196079</v>
      </c>
      <c r="J280" s="1" t="str">
        <f t="shared" si="43"/>
        <v/>
      </c>
      <c r="K280" s="1" t="str">
        <f t="shared" si="44"/>
        <v/>
      </c>
      <c r="L280" s="1" t="str">
        <f t="shared" si="45"/>
        <v/>
      </c>
    </row>
    <row r="281" spans="1:12">
      <c r="A281" t="s">
        <v>247</v>
      </c>
      <c r="B281">
        <v>7</v>
      </c>
      <c r="C281" t="str">
        <f t="shared" si="39"/>
        <v>test.GeoEngine_7_</v>
      </c>
      <c r="D281">
        <v>6</v>
      </c>
      <c r="E281">
        <v>1</v>
      </c>
      <c r="F281">
        <v>1</v>
      </c>
      <c r="G281" s="1" t="str">
        <f t="shared" si="40"/>
        <v/>
      </c>
      <c r="H281" s="1" t="str">
        <f t="shared" si="41"/>
        <v/>
      </c>
      <c r="I281" s="1" t="str">
        <f t="shared" si="42"/>
        <v/>
      </c>
      <c r="J281" s="1" t="str">
        <f t="shared" si="43"/>
        <v/>
      </c>
      <c r="K281" s="1">
        <f t="shared" si="44"/>
        <v>1</v>
      </c>
      <c r="L281" s="1" t="str">
        <f t="shared" si="45"/>
        <v/>
      </c>
    </row>
    <row r="282" spans="1:12">
      <c r="A282" t="s">
        <v>247</v>
      </c>
      <c r="B282">
        <v>8</v>
      </c>
      <c r="C282" t="str">
        <f t="shared" si="39"/>
        <v>test.GeoEngine_8_</v>
      </c>
      <c r="D282">
        <v>1</v>
      </c>
      <c r="E282">
        <v>4.0228245363766048E-2</v>
      </c>
      <c r="F282">
        <v>0.20454544989669432</v>
      </c>
      <c r="G282" s="1" t="str">
        <f t="shared" si="40"/>
        <v/>
      </c>
      <c r="H282" s="1">
        <f t="shared" si="41"/>
        <v>4.0228245363766048E-2</v>
      </c>
      <c r="I282" s="1" t="str">
        <f t="shared" si="42"/>
        <v/>
      </c>
      <c r="J282" s="1" t="str">
        <f t="shared" si="43"/>
        <v/>
      </c>
      <c r="K282" s="1" t="str">
        <f t="shared" si="44"/>
        <v/>
      </c>
      <c r="L282" s="1" t="str">
        <f t="shared" si="45"/>
        <v/>
      </c>
    </row>
    <row r="283" spans="1:12">
      <c r="A283" t="s">
        <v>247</v>
      </c>
      <c r="B283">
        <v>8</v>
      </c>
      <c r="C283" t="str">
        <f t="shared" si="39"/>
        <v>test.GeoEngine_8_</v>
      </c>
      <c r="D283">
        <v>2</v>
      </c>
      <c r="E283">
        <v>0.16776034236804566</v>
      </c>
      <c r="F283">
        <v>0.29545455010330568</v>
      </c>
      <c r="G283" s="1" t="str">
        <f t="shared" si="40"/>
        <v/>
      </c>
      <c r="H283" s="1">
        <f t="shared" si="41"/>
        <v>0.16776034236804566</v>
      </c>
      <c r="I283" s="1" t="str">
        <f t="shared" si="42"/>
        <v/>
      </c>
      <c r="J283" s="1" t="str">
        <f t="shared" si="43"/>
        <v/>
      </c>
      <c r="K283" s="1" t="str">
        <f t="shared" si="44"/>
        <v/>
      </c>
      <c r="L283" s="1" t="str">
        <f t="shared" si="45"/>
        <v/>
      </c>
    </row>
    <row r="284" spans="1:12">
      <c r="A284" t="s">
        <v>247</v>
      </c>
      <c r="B284">
        <v>8</v>
      </c>
      <c r="C284" t="str">
        <f t="shared" si="39"/>
        <v>test.GeoEngine_8_</v>
      </c>
      <c r="D284">
        <v>3</v>
      </c>
      <c r="E284">
        <v>0.17574893009985734</v>
      </c>
      <c r="F284">
        <v>0.31818179958677728</v>
      </c>
      <c r="G284" s="1" t="str">
        <f t="shared" si="40"/>
        <v/>
      </c>
      <c r="H284" s="1">
        <f t="shared" si="41"/>
        <v>0.17574893009985734</v>
      </c>
      <c r="I284" s="1" t="str">
        <f t="shared" si="42"/>
        <v/>
      </c>
      <c r="J284" s="1" t="str">
        <f t="shared" si="43"/>
        <v/>
      </c>
      <c r="K284" s="1" t="str">
        <f t="shared" si="44"/>
        <v/>
      </c>
      <c r="L284" s="1" t="str">
        <f t="shared" si="45"/>
        <v/>
      </c>
    </row>
    <row r="285" spans="1:12">
      <c r="A285" t="s">
        <v>247</v>
      </c>
      <c r="B285">
        <v>8</v>
      </c>
      <c r="C285" t="str">
        <f t="shared" si="39"/>
        <v>test.GeoEngine_8_</v>
      </c>
      <c r="D285">
        <v>4</v>
      </c>
      <c r="E285">
        <v>0.36833095577746078</v>
      </c>
      <c r="F285">
        <v>0.36363636673553712</v>
      </c>
      <c r="G285" s="1" t="str">
        <f t="shared" si="40"/>
        <v/>
      </c>
      <c r="H285" s="1">
        <f t="shared" si="41"/>
        <v>0.36833095577746078</v>
      </c>
      <c r="I285" s="1" t="str">
        <f t="shared" si="42"/>
        <v/>
      </c>
      <c r="J285" s="1" t="str">
        <f t="shared" si="43"/>
        <v/>
      </c>
      <c r="K285" s="1" t="str">
        <f t="shared" si="44"/>
        <v/>
      </c>
      <c r="L285" s="1" t="str">
        <f t="shared" si="45"/>
        <v/>
      </c>
    </row>
    <row r="286" spans="1:12">
      <c r="A286" t="s">
        <v>247</v>
      </c>
      <c r="B286">
        <v>8</v>
      </c>
      <c r="C286" t="str">
        <f t="shared" si="39"/>
        <v>test.GeoEngine_8_</v>
      </c>
      <c r="D286">
        <v>5</v>
      </c>
      <c r="E286">
        <v>0.37517831669044222</v>
      </c>
      <c r="F286">
        <v>0.38636361621900872</v>
      </c>
      <c r="G286" s="1" t="str">
        <f t="shared" si="40"/>
        <v/>
      </c>
      <c r="H286" s="1">
        <f t="shared" si="41"/>
        <v>0.37517831669044222</v>
      </c>
      <c r="I286" s="1" t="str">
        <f t="shared" si="42"/>
        <v/>
      </c>
      <c r="J286" s="1" t="str">
        <f t="shared" si="43"/>
        <v/>
      </c>
      <c r="K286" s="1" t="str">
        <f t="shared" si="44"/>
        <v/>
      </c>
      <c r="L286" s="1" t="str">
        <f t="shared" si="45"/>
        <v/>
      </c>
    </row>
    <row r="287" spans="1:12">
      <c r="A287" t="s">
        <v>247</v>
      </c>
      <c r="B287">
        <v>8</v>
      </c>
      <c r="C287" t="str">
        <f t="shared" si="39"/>
        <v>test.GeoEngine_8_</v>
      </c>
      <c r="D287">
        <v>6</v>
      </c>
      <c r="E287">
        <v>0.72524964336661912</v>
      </c>
      <c r="F287">
        <v>0.6818181663223144</v>
      </c>
      <c r="G287" s="1" t="str">
        <f t="shared" si="40"/>
        <v/>
      </c>
      <c r="H287" s="1" t="str">
        <f t="shared" si="41"/>
        <v/>
      </c>
      <c r="I287" s="1" t="str">
        <f t="shared" si="42"/>
        <v/>
      </c>
      <c r="J287" s="1">
        <f t="shared" si="43"/>
        <v>0.72524964336661912</v>
      </c>
      <c r="K287" s="1" t="str">
        <f t="shared" si="44"/>
        <v/>
      </c>
      <c r="L287" s="1" t="str">
        <f t="shared" si="45"/>
        <v/>
      </c>
    </row>
    <row r="288" spans="1:12">
      <c r="A288" t="s">
        <v>247</v>
      </c>
      <c r="B288">
        <v>8</v>
      </c>
      <c r="C288" t="str">
        <f t="shared" si="39"/>
        <v>test.GeoEngine_8_</v>
      </c>
      <c r="D288">
        <v>7</v>
      </c>
      <c r="E288">
        <v>0.83024251069900146</v>
      </c>
      <c r="F288">
        <v>0.72727273347107424</v>
      </c>
      <c r="G288" s="1" t="str">
        <f t="shared" si="40"/>
        <v/>
      </c>
      <c r="H288" s="1" t="str">
        <f t="shared" si="41"/>
        <v/>
      </c>
      <c r="I288" s="1" t="str">
        <f t="shared" si="42"/>
        <v/>
      </c>
      <c r="J288" s="1">
        <f t="shared" si="43"/>
        <v>0.83024251069900146</v>
      </c>
      <c r="K288" s="1" t="str">
        <f t="shared" si="44"/>
        <v/>
      </c>
      <c r="L288" s="1" t="str">
        <f t="shared" si="45"/>
        <v/>
      </c>
    </row>
    <row r="289" spans="1:12">
      <c r="A289" t="s">
        <v>247</v>
      </c>
      <c r="B289">
        <v>8</v>
      </c>
      <c r="C289" t="str">
        <f t="shared" si="39"/>
        <v>test.GeoEngine_8_</v>
      </c>
      <c r="D289">
        <v>8</v>
      </c>
      <c r="E289">
        <v>0.84308131241084161</v>
      </c>
      <c r="F289">
        <v>0.7272795516527375</v>
      </c>
      <c r="G289" s="1" t="str">
        <f t="shared" si="40"/>
        <v/>
      </c>
      <c r="H289" s="1" t="str">
        <f t="shared" si="41"/>
        <v/>
      </c>
      <c r="I289" s="1" t="str">
        <f t="shared" si="42"/>
        <v/>
      </c>
      <c r="J289" s="1">
        <f t="shared" si="43"/>
        <v>0.84308131241084161</v>
      </c>
      <c r="K289" s="1" t="str">
        <f t="shared" si="44"/>
        <v/>
      </c>
      <c r="L289" s="1" t="str">
        <f t="shared" si="45"/>
        <v/>
      </c>
    </row>
    <row r="290" spans="1:12">
      <c r="A290" t="s">
        <v>247</v>
      </c>
      <c r="B290">
        <v>8</v>
      </c>
      <c r="C290" t="str">
        <f t="shared" si="39"/>
        <v>test.GeoEngine_8_</v>
      </c>
      <c r="D290">
        <v>9</v>
      </c>
      <c r="E290">
        <v>0.85592011412268187</v>
      </c>
      <c r="F290">
        <v>0.72728636983440065</v>
      </c>
      <c r="G290" s="1" t="str">
        <f t="shared" si="40"/>
        <v/>
      </c>
      <c r="H290" s="1" t="str">
        <f t="shared" si="41"/>
        <v/>
      </c>
      <c r="I290" s="1" t="str">
        <f t="shared" si="42"/>
        <v/>
      </c>
      <c r="J290" s="1">
        <f t="shared" si="43"/>
        <v>0.85592011412268187</v>
      </c>
      <c r="K290" s="1" t="str">
        <f t="shared" si="44"/>
        <v/>
      </c>
      <c r="L290" s="1" t="str">
        <f t="shared" si="45"/>
        <v/>
      </c>
    </row>
    <row r="291" spans="1:12">
      <c r="A291" t="s">
        <v>247</v>
      </c>
      <c r="B291">
        <v>8</v>
      </c>
      <c r="C291" t="str">
        <f t="shared" si="39"/>
        <v>test.GeoEngine_8_</v>
      </c>
      <c r="D291">
        <v>10</v>
      </c>
      <c r="E291">
        <v>0.91212553495007131</v>
      </c>
      <c r="F291">
        <v>0.77272723243801744</v>
      </c>
      <c r="G291" s="1" t="str">
        <f t="shared" si="40"/>
        <v/>
      </c>
      <c r="H291" s="1" t="str">
        <f t="shared" si="41"/>
        <v/>
      </c>
      <c r="I291" s="1" t="str">
        <f t="shared" si="42"/>
        <v/>
      </c>
      <c r="J291" s="1">
        <f t="shared" si="43"/>
        <v>0.91212553495007131</v>
      </c>
      <c r="K291" s="1" t="str">
        <f t="shared" si="44"/>
        <v/>
      </c>
      <c r="L291" s="1" t="str">
        <f t="shared" si="45"/>
        <v/>
      </c>
    </row>
    <row r="292" spans="1:12">
      <c r="A292" t="s">
        <v>247</v>
      </c>
      <c r="B292">
        <v>8</v>
      </c>
      <c r="C292" t="str">
        <f t="shared" si="39"/>
        <v>test.GeoEngine_8_</v>
      </c>
      <c r="D292">
        <v>11</v>
      </c>
      <c r="E292">
        <v>1</v>
      </c>
      <c r="F292">
        <v>0.79545455010330568</v>
      </c>
      <c r="G292" s="1" t="str">
        <f t="shared" si="40"/>
        <v/>
      </c>
      <c r="H292" s="1" t="str">
        <f t="shared" si="41"/>
        <v/>
      </c>
      <c r="I292" s="1" t="str">
        <f t="shared" si="42"/>
        <v/>
      </c>
      <c r="J292" s="1">
        <f t="shared" si="43"/>
        <v>1</v>
      </c>
      <c r="K292" s="1" t="str">
        <f t="shared" si="44"/>
        <v/>
      </c>
      <c r="L292" s="1" t="str">
        <f t="shared" si="45"/>
        <v/>
      </c>
    </row>
    <row r="293" spans="1:12">
      <c r="A293" t="s">
        <v>247</v>
      </c>
      <c r="B293">
        <v>9</v>
      </c>
      <c r="C293" t="str">
        <f t="shared" si="39"/>
        <v>test.GeoEngine_9_</v>
      </c>
      <c r="D293">
        <v>1</v>
      </c>
      <c r="E293">
        <v>5.4328358208955221E-2</v>
      </c>
      <c r="F293">
        <v>0.24137929857312762</v>
      </c>
      <c r="G293" s="1" t="str">
        <f t="shared" si="40"/>
        <v/>
      </c>
      <c r="H293" s="1">
        <f t="shared" si="41"/>
        <v>5.4328358208955221E-2</v>
      </c>
      <c r="I293" s="1" t="str">
        <f t="shared" si="42"/>
        <v/>
      </c>
      <c r="J293" s="1" t="str">
        <f t="shared" si="43"/>
        <v/>
      </c>
      <c r="K293" s="1" t="str">
        <f t="shared" si="44"/>
        <v/>
      </c>
      <c r="L293" s="1" t="str">
        <f t="shared" si="45"/>
        <v/>
      </c>
    </row>
    <row r="294" spans="1:12">
      <c r="A294" t="s">
        <v>247</v>
      </c>
      <c r="B294">
        <v>9</v>
      </c>
      <c r="C294" t="str">
        <f t="shared" si="39"/>
        <v>test.GeoEngine_9_</v>
      </c>
      <c r="D294">
        <v>2</v>
      </c>
      <c r="E294">
        <v>0.16417910447761194</v>
      </c>
      <c r="F294">
        <v>0.37931033519619534</v>
      </c>
      <c r="G294" s="1" t="str">
        <f t="shared" si="40"/>
        <v/>
      </c>
      <c r="H294" s="1">
        <f t="shared" si="41"/>
        <v>0.16417910447761194</v>
      </c>
      <c r="I294" s="1" t="str">
        <f t="shared" si="42"/>
        <v/>
      </c>
      <c r="J294" s="1" t="str">
        <f t="shared" si="43"/>
        <v/>
      </c>
      <c r="K294" s="1" t="str">
        <f t="shared" si="44"/>
        <v/>
      </c>
      <c r="L294" s="1" t="str">
        <f t="shared" si="45"/>
        <v/>
      </c>
    </row>
    <row r="295" spans="1:12">
      <c r="A295" t="s">
        <v>247</v>
      </c>
      <c r="B295">
        <v>9</v>
      </c>
      <c r="C295" t="str">
        <f t="shared" si="39"/>
        <v>test.GeoEngine_9_</v>
      </c>
      <c r="D295">
        <v>3</v>
      </c>
      <c r="E295">
        <v>0.52955223880597013</v>
      </c>
      <c r="F295">
        <v>0.55172413614744353</v>
      </c>
      <c r="G295" s="1" t="str">
        <f t="shared" si="40"/>
        <v/>
      </c>
      <c r="H295" s="1" t="str">
        <f t="shared" si="41"/>
        <v/>
      </c>
      <c r="I295" s="1">
        <f t="shared" si="42"/>
        <v>0.52955223880597013</v>
      </c>
      <c r="J295" s="1" t="str">
        <f t="shared" si="43"/>
        <v/>
      </c>
      <c r="K295" s="1" t="str">
        <f t="shared" si="44"/>
        <v/>
      </c>
      <c r="L295" s="1" t="str">
        <f t="shared" si="45"/>
        <v/>
      </c>
    </row>
    <row r="296" spans="1:12">
      <c r="A296" t="s">
        <v>247</v>
      </c>
      <c r="B296">
        <v>9</v>
      </c>
      <c r="C296" t="str">
        <f t="shared" si="39"/>
        <v>test.GeoEngine_9_</v>
      </c>
      <c r="D296">
        <v>4</v>
      </c>
      <c r="E296">
        <v>0.52955223880597013</v>
      </c>
      <c r="F296">
        <v>0.55173449131950025</v>
      </c>
      <c r="G296" s="1" t="str">
        <f t="shared" si="40"/>
        <v/>
      </c>
      <c r="H296" s="1" t="str">
        <f t="shared" si="41"/>
        <v/>
      </c>
      <c r="I296" s="1">
        <f t="shared" si="42"/>
        <v>0.52955223880597013</v>
      </c>
      <c r="J296" s="1" t="str">
        <f t="shared" si="43"/>
        <v/>
      </c>
      <c r="K296" s="1" t="str">
        <f t="shared" si="44"/>
        <v/>
      </c>
      <c r="L296" s="1" t="str">
        <f t="shared" si="45"/>
        <v/>
      </c>
    </row>
    <row r="297" spans="1:12">
      <c r="A297" t="s">
        <v>247</v>
      </c>
      <c r="B297">
        <v>9</v>
      </c>
      <c r="C297" t="str">
        <f t="shared" si="39"/>
        <v>test.GeoEngine_9_</v>
      </c>
      <c r="D297">
        <v>5</v>
      </c>
      <c r="E297">
        <v>1</v>
      </c>
      <c r="F297">
        <v>0.86206890130796887</v>
      </c>
      <c r="G297" s="1" t="str">
        <f t="shared" si="40"/>
        <v/>
      </c>
      <c r="H297" s="1" t="str">
        <f t="shared" si="41"/>
        <v/>
      </c>
      <c r="I297" s="1" t="str">
        <f t="shared" si="42"/>
        <v/>
      </c>
      <c r="J297" s="1" t="str">
        <f t="shared" si="43"/>
        <v/>
      </c>
      <c r="K297" s="1">
        <f t="shared" si="44"/>
        <v>1</v>
      </c>
      <c r="L297" s="1" t="str">
        <f t="shared" si="45"/>
        <v/>
      </c>
    </row>
    <row r="298" spans="1:12">
      <c r="A298" t="s">
        <v>247</v>
      </c>
      <c r="B298">
        <v>10</v>
      </c>
      <c r="C298" t="str">
        <f t="shared" si="39"/>
        <v>test.GeoEngine_10_</v>
      </c>
      <c r="D298">
        <v>1</v>
      </c>
      <c r="E298">
        <v>0.28368794326241137</v>
      </c>
      <c r="F298">
        <v>0.74999999062500011</v>
      </c>
      <c r="G298" s="1" t="str">
        <f t="shared" si="40"/>
        <v/>
      </c>
      <c r="H298" s="1" t="str">
        <f t="shared" si="41"/>
        <v/>
      </c>
      <c r="I298" s="1" t="str">
        <f t="shared" si="42"/>
        <v/>
      </c>
      <c r="J298" s="1">
        <f t="shared" si="43"/>
        <v>0.28368794326241137</v>
      </c>
      <c r="K298" s="1" t="str">
        <f t="shared" si="44"/>
        <v/>
      </c>
      <c r="L298" s="1" t="str">
        <f t="shared" si="45"/>
        <v/>
      </c>
    </row>
    <row r="299" spans="1:12">
      <c r="A299" t="s">
        <v>247</v>
      </c>
      <c r="B299">
        <v>10</v>
      </c>
      <c r="C299" t="str">
        <f t="shared" si="39"/>
        <v>test.GeoEngine_10_</v>
      </c>
      <c r="D299">
        <v>2</v>
      </c>
      <c r="E299">
        <v>0.52482269503546097</v>
      </c>
      <c r="F299">
        <v>0.75003749062453151</v>
      </c>
      <c r="G299" s="1" t="str">
        <f t="shared" si="40"/>
        <v/>
      </c>
      <c r="H299" s="1" t="str">
        <f t="shared" si="41"/>
        <v/>
      </c>
      <c r="I299" s="1" t="str">
        <f t="shared" si="42"/>
        <v/>
      </c>
      <c r="J299" s="1">
        <f t="shared" si="43"/>
        <v>0.52482269503546097</v>
      </c>
      <c r="K299" s="1" t="str">
        <f t="shared" si="44"/>
        <v/>
      </c>
      <c r="L299" s="1" t="str">
        <f t="shared" si="45"/>
        <v/>
      </c>
    </row>
    <row r="300" spans="1:12">
      <c r="A300" t="s">
        <v>247</v>
      </c>
      <c r="B300">
        <v>10</v>
      </c>
      <c r="C300" t="str">
        <f t="shared" si="39"/>
        <v>test.GeoEngine_10_</v>
      </c>
      <c r="D300">
        <v>3</v>
      </c>
      <c r="E300">
        <v>0.56028368794326244</v>
      </c>
      <c r="F300">
        <v>0.75007491562406348</v>
      </c>
      <c r="G300" s="1" t="str">
        <f t="shared" si="40"/>
        <v/>
      </c>
      <c r="H300" s="1" t="str">
        <f t="shared" si="41"/>
        <v/>
      </c>
      <c r="I300" s="1" t="str">
        <f t="shared" si="42"/>
        <v/>
      </c>
      <c r="J300" s="1">
        <f t="shared" si="43"/>
        <v>0.56028368794326244</v>
      </c>
      <c r="K300" s="1" t="str">
        <f t="shared" si="44"/>
        <v/>
      </c>
      <c r="L300" s="1" t="str">
        <f t="shared" si="45"/>
        <v/>
      </c>
    </row>
    <row r="301" spans="1:12">
      <c r="A301" t="s">
        <v>247</v>
      </c>
      <c r="B301">
        <v>10</v>
      </c>
      <c r="C301" t="str">
        <f t="shared" si="39"/>
        <v>test.GeoEngine_10_</v>
      </c>
      <c r="D301">
        <v>4</v>
      </c>
      <c r="E301">
        <v>0.56737588652482274</v>
      </c>
      <c r="F301">
        <v>0.75011237812359521</v>
      </c>
      <c r="G301" s="1" t="str">
        <f t="shared" si="40"/>
        <v/>
      </c>
      <c r="H301" s="1" t="str">
        <f t="shared" si="41"/>
        <v/>
      </c>
      <c r="I301" s="1" t="str">
        <f t="shared" si="42"/>
        <v/>
      </c>
      <c r="J301" s="1">
        <f t="shared" si="43"/>
        <v>0.56737588652482274</v>
      </c>
      <c r="K301" s="1" t="str">
        <f t="shared" si="44"/>
        <v/>
      </c>
      <c r="L301" s="1" t="str">
        <f t="shared" si="45"/>
        <v/>
      </c>
    </row>
    <row r="302" spans="1:12">
      <c r="A302" t="s">
        <v>247</v>
      </c>
      <c r="B302">
        <v>10</v>
      </c>
      <c r="C302" t="str">
        <f t="shared" si="39"/>
        <v>test.GeoEngine_10_</v>
      </c>
      <c r="D302">
        <v>5</v>
      </c>
      <c r="E302">
        <v>0.70921985815602839</v>
      </c>
      <c r="F302">
        <v>0.75014984062312706</v>
      </c>
      <c r="G302" s="1" t="str">
        <f t="shared" si="40"/>
        <v/>
      </c>
      <c r="H302" s="1" t="str">
        <f t="shared" si="41"/>
        <v/>
      </c>
      <c r="I302" s="1" t="str">
        <f t="shared" si="42"/>
        <v/>
      </c>
      <c r="J302" s="1">
        <f t="shared" si="43"/>
        <v>0.70921985815602839</v>
      </c>
      <c r="K302" s="1" t="str">
        <f t="shared" si="44"/>
        <v/>
      </c>
      <c r="L302" s="1" t="str">
        <f t="shared" si="45"/>
        <v/>
      </c>
    </row>
    <row r="303" spans="1:12">
      <c r="A303" t="s">
        <v>247</v>
      </c>
      <c r="B303">
        <v>10</v>
      </c>
      <c r="C303" t="str">
        <f t="shared" si="39"/>
        <v>test.GeoEngine_10_</v>
      </c>
      <c r="D303">
        <v>6</v>
      </c>
      <c r="E303">
        <v>0.70921985815602839</v>
      </c>
      <c r="F303">
        <v>0.7501873031226588</v>
      </c>
      <c r="G303" s="1" t="str">
        <f t="shared" si="40"/>
        <v/>
      </c>
      <c r="H303" s="1" t="str">
        <f t="shared" si="41"/>
        <v/>
      </c>
      <c r="I303" s="1" t="str">
        <f t="shared" si="42"/>
        <v/>
      </c>
      <c r="J303" s="1">
        <f t="shared" si="43"/>
        <v>0.70921985815602839</v>
      </c>
      <c r="K303" s="1" t="str">
        <f t="shared" si="44"/>
        <v/>
      </c>
      <c r="L303" s="1" t="str">
        <f t="shared" si="45"/>
        <v/>
      </c>
    </row>
    <row r="304" spans="1:12">
      <c r="A304" t="s">
        <v>247</v>
      </c>
      <c r="B304">
        <v>10</v>
      </c>
      <c r="C304" t="str">
        <f t="shared" si="39"/>
        <v>test.GeoEngine_10_</v>
      </c>
      <c r="D304">
        <v>7</v>
      </c>
      <c r="E304">
        <v>0.8014184397163121</v>
      </c>
      <c r="F304">
        <v>0.87499997656250028</v>
      </c>
      <c r="G304" s="1" t="str">
        <f t="shared" si="40"/>
        <v/>
      </c>
      <c r="H304" s="1" t="str">
        <f t="shared" si="41"/>
        <v/>
      </c>
      <c r="I304" s="1" t="str">
        <f t="shared" si="42"/>
        <v/>
      </c>
      <c r="J304" s="1" t="str">
        <f t="shared" si="43"/>
        <v/>
      </c>
      <c r="K304" s="1">
        <f t="shared" si="44"/>
        <v>0.8014184397163121</v>
      </c>
      <c r="L304" s="1" t="str">
        <f t="shared" si="45"/>
        <v/>
      </c>
    </row>
    <row r="305" spans="1:12">
      <c r="A305" t="s">
        <v>247</v>
      </c>
      <c r="B305">
        <v>10</v>
      </c>
      <c r="C305" t="str">
        <f t="shared" si="39"/>
        <v>test.GeoEngine_10_</v>
      </c>
      <c r="D305">
        <v>8</v>
      </c>
      <c r="E305">
        <v>0.86524822695035464</v>
      </c>
      <c r="F305">
        <v>0.87503743906203202</v>
      </c>
      <c r="G305" s="1" t="str">
        <f t="shared" si="40"/>
        <v/>
      </c>
      <c r="H305" s="1" t="str">
        <f t="shared" si="41"/>
        <v/>
      </c>
      <c r="I305" s="1" t="str">
        <f t="shared" si="42"/>
        <v/>
      </c>
      <c r="J305" s="1" t="str">
        <f t="shared" si="43"/>
        <v/>
      </c>
      <c r="K305" s="1">
        <f t="shared" si="44"/>
        <v>0.86524822695035464</v>
      </c>
      <c r="L305" s="1" t="str">
        <f t="shared" si="45"/>
        <v/>
      </c>
    </row>
    <row r="306" spans="1:12">
      <c r="A306" t="s">
        <v>247</v>
      </c>
      <c r="B306">
        <v>10</v>
      </c>
      <c r="C306" t="str">
        <f t="shared" si="39"/>
        <v>test.GeoEngine_10_</v>
      </c>
      <c r="D306">
        <v>9</v>
      </c>
      <c r="E306">
        <v>0.86524822695035464</v>
      </c>
      <c r="F306">
        <v>0.87507486406156421</v>
      </c>
      <c r="G306" s="1" t="str">
        <f t="shared" si="40"/>
        <v/>
      </c>
      <c r="H306" s="1" t="str">
        <f t="shared" si="41"/>
        <v/>
      </c>
      <c r="I306" s="1" t="str">
        <f t="shared" si="42"/>
        <v/>
      </c>
      <c r="J306" s="1" t="str">
        <f t="shared" si="43"/>
        <v/>
      </c>
      <c r="K306" s="1">
        <f t="shared" si="44"/>
        <v>0.86524822695035464</v>
      </c>
      <c r="L306" s="1" t="str">
        <f t="shared" si="45"/>
        <v/>
      </c>
    </row>
    <row r="307" spans="1:12">
      <c r="A307" t="s">
        <v>247</v>
      </c>
      <c r="B307">
        <v>10</v>
      </c>
      <c r="C307" t="str">
        <f t="shared" si="39"/>
        <v>test.GeoEngine_10_</v>
      </c>
      <c r="D307">
        <v>10</v>
      </c>
      <c r="E307">
        <v>0.8936170212765957</v>
      </c>
      <c r="F307">
        <v>0.87511236406109538</v>
      </c>
      <c r="G307" s="1" t="str">
        <f t="shared" si="40"/>
        <v/>
      </c>
      <c r="H307" s="1" t="str">
        <f t="shared" si="41"/>
        <v/>
      </c>
      <c r="I307" s="1" t="str">
        <f t="shared" si="42"/>
        <v/>
      </c>
      <c r="J307" s="1" t="str">
        <f t="shared" si="43"/>
        <v/>
      </c>
      <c r="K307" s="1">
        <f t="shared" si="44"/>
        <v>0.8936170212765957</v>
      </c>
      <c r="L307" s="1" t="str">
        <f t="shared" si="45"/>
        <v/>
      </c>
    </row>
    <row r="308" spans="1:12">
      <c r="A308" t="s">
        <v>247</v>
      </c>
      <c r="B308">
        <v>10</v>
      </c>
      <c r="C308" t="str">
        <f t="shared" si="39"/>
        <v>test.GeoEngine_10_</v>
      </c>
      <c r="D308">
        <v>11</v>
      </c>
      <c r="E308">
        <v>0.92198581560283688</v>
      </c>
      <c r="F308">
        <v>0.87514978906062768</v>
      </c>
      <c r="G308" s="1" t="str">
        <f t="shared" si="40"/>
        <v/>
      </c>
      <c r="H308" s="1" t="str">
        <f t="shared" si="41"/>
        <v/>
      </c>
      <c r="I308" s="1" t="str">
        <f t="shared" si="42"/>
        <v/>
      </c>
      <c r="J308" s="1" t="str">
        <f t="shared" si="43"/>
        <v/>
      </c>
      <c r="K308" s="1">
        <f t="shared" si="44"/>
        <v>0.92198581560283688</v>
      </c>
      <c r="L308" s="1" t="str">
        <f t="shared" si="45"/>
        <v/>
      </c>
    </row>
    <row r="309" spans="1:12">
      <c r="A309" t="s">
        <v>247</v>
      </c>
      <c r="B309">
        <v>10</v>
      </c>
      <c r="C309" t="str">
        <f t="shared" si="39"/>
        <v>test.GeoEngine_10_</v>
      </c>
      <c r="D309">
        <v>12</v>
      </c>
      <c r="E309">
        <v>0.96453900709219853</v>
      </c>
      <c r="F309">
        <v>0.87518725156015931</v>
      </c>
      <c r="G309" s="1" t="str">
        <f t="shared" si="40"/>
        <v/>
      </c>
      <c r="H309" s="1" t="str">
        <f t="shared" si="41"/>
        <v/>
      </c>
      <c r="I309" s="1" t="str">
        <f t="shared" si="42"/>
        <v/>
      </c>
      <c r="J309" s="1" t="str">
        <f t="shared" si="43"/>
        <v/>
      </c>
      <c r="K309" s="1">
        <f t="shared" si="44"/>
        <v>0.96453900709219853</v>
      </c>
      <c r="L309" s="1" t="str">
        <f t="shared" si="45"/>
        <v/>
      </c>
    </row>
    <row r="310" spans="1:12">
      <c r="A310" t="s">
        <v>247</v>
      </c>
      <c r="B310">
        <v>10</v>
      </c>
      <c r="C310" t="str">
        <f t="shared" si="39"/>
        <v>test.GeoEngine_10_</v>
      </c>
      <c r="D310">
        <v>13</v>
      </c>
      <c r="E310">
        <v>0.96453900709219853</v>
      </c>
      <c r="F310">
        <v>0.87522471405969104</v>
      </c>
      <c r="G310" s="1" t="str">
        <f t="shared" si="40"/>
        <v/>
      </c>
      <c r="H310" s="1" t="str">
        <f t="shared" si="41"/>
        <v/>
      </c>
      <c r="I310" s="1" t="str">
        <f t="shared" si="42"/>
        <v/>
      </c>
      <c r="J310" s="1" t="str">
        <f t="shared" si="43"/>
        <v/>
      </c>
      <c r="K310" s="1">
        <f t="shared" si="44"/>
        <v>0.96453900709219853</v>
      </c>
      <c r="L310" s="1" t="str">
        <f t="shared" si="45"/>
        <v/>
      </c>
    </row>
    <row r="311" spans="1:12">
      <c r="A311" t="s">
        <v>247</v>
      </c>
      <c r="B311">
        <v>10</v>
      </c>
      <c r="C311" t="str">
        <f t="shared" si="39"/>
        <v>test.GeoEngine_10_</v>
      </c>
      <c r="D311">
        <v>14</v>
      </c>
      <c r="E311">
        <v>0.97163120567375882</v>
      </c>
      <c r="F311">
        <v>1</v>
      </c>
      <c r="G311" s="1" t="str">
        <f t="shared" si="40"/>
        <v/>
      </c>
      <c r="H311" s="1" t="str">
        <f t="shared" si="41"/>
        <v/>
      </c>
      <c r="I311" s="1" t="str">
        <f t="shared" si="42"/>
        <v/>
      </c>
      <c r="J311" s="1" t="str">
        <f t="shared" si="43"/>
        <v/>
      </c>
      <c r="K311" s="1">
        <f t="shared" si="44"/>
        <v>0.97163120567375882</v>
      </c>
      <c r="L311" s="1" t="str">
        <f t="shared" si="45"/>
        <v/>
      </c>
    </row>
    <row r="312" spans="1:12">
      <c r="A312" t="s">
        <v>247</v>
      </c>
      <c r="B312">
        <v>10</v>
      </c>
      <c r="C312" t="str">
        <f t="shared" si="39"/>
        <v>test.GeoEngine_10_</v>
      </c>
      <c r="D312">
        <v>15</v>
      </c>
      <c r="E312">
        <v>0.97163120567375882</v>
      </c>
      <c r="F312">
        <v>1.0000374624995316</v>
      </c>
      <c r="G312" s="1" t="str">
        <f t="shared" si="40"/>
        <v/>
      </c>
      <c r="H312" s="1" t="str">
        <f t="shared" si="41"/>
        <v/>
      </c>
      <c r="I312" s="1" t="str">
        <f t="shared" si="42"/>
        <v/>
      </c>
      <c r="J312" s="1" t="str">
        <f t="shared" si="43"/>
        <v/>
      </c>
      <c r="K312" s="1">
        <f t="shared" si="44"/>
        <v>0.97163120567375882</v>
      </c>
      <c r="L312" s="1" t="str">
        <f t="shared" si="45"/>
        <v/>
      </c>
    </row>
    <row r="313" spans="1:12">
      <c r="A313" t="s">
        <v>247</v>
      </c>
      <c r="B313">
        <v>10</v>
      </c>
      <c r="C313" t="str">
        <f t="shared" si="39"/>
        <v>test.GeoEngine_10_</v>
      </c>
      <c r="D313">
        <v>16</v>
      </c>
      <c r="E313">
        <v>0.99290780141843971</v>
      </c>
      <c r="F313">
        <v>1.0000749249990635</v>
      </c>
      <c r="G313" s="1" t="str">
        <f t="shared" si="40"/>
        <v/>
      </c>
      <c r="H313" s="1" t="str">
        <f t="shared" si="41"/>
        <v/>
      </c>
      <c r="I313" s="1" t="str">
        <f t="shared" si="42"/>
        <v/>
      </c>
      <c r="J313" s="1" t="str">
        <f t="shared" si="43"/>
        <v/>
      </c>
      <c r="K313" s="1">
        <f t="shared" si="44"/>
        <v>0.99290780141843971</v>
      </c>
      <c r="L313" s="1" t="str">
        <f t="shared" si="45"/>
        <v/>
      </c>
    </row>
    <row r="314" spans="1:12">
      <c r="A314" t="s">
        <v>247</v>
      </c>
      <c r="B314">
        <v>10</v>
      </c>
      <c r="C314" t="str">
        <f t="shared" si="39"/>
        <v>test.GeoEngine_10_</v>
      </c>
      <c r="D314">
        <v>17</v>
      </c>
      <c r="E314">
        <v>0.99290780141843971</v>
      </c>
      <c r="F314">
        <v>1.0001123874985953</v>
      </c>
      <c r="G314" s="1" t="str">
        <f t="shared" si="40"/>
        <v/>
      </c>
      <c r="H314" s="1" t="str">
        <f t="shared" si="41"/>
        <v/>
      </c>
      <c r="I314" s="1" t="str">
        <f t="shared" si="42"/>
        <v/>
      </c>
      <c r="J314" s="1" t="str">
        <f t="shared" si="43"/>
        <v/>
      </c>
      <c r="K314" s="1">
        <f t="shared" si="44"/>
        <v>0.99290780141843971</v>
      </c>
      <c r="L314" s="1" t="str">
        <f t="shared" si="45"/>
        <v/>
      </c>
    </row>
    <row r="315" spans="1:12">
      <c r="A315" t="s">
        <v>247</v>
      </c>
      <c r="B315">
        <v>10</v>
      </c>
      <c r="C315" t="str">
        <f t="shared" si="39"/>
        <v>test.GeoEngine_10_</v>
      </c>
      <c r="D315">
        <v>18</v>
      </c>
      <c r="E315">
        <v>0.99290780141843971</v>
      </c>
      <c r="F315">
        <v>1.0001498499981269</v>
      </c>
      <c r="G315" s="1" t="str">
        <f t="shared" si="40"/>
        <v/>
      </c>
      <c r="H315" s="1" t="str">
        <f t="shared" si="41"/>
        <v/>
      </c>
      <c r="I315" s="1" t="str">
        <f t="shared" si="42"/>
        <v/>
      </c>
      <c r="J315" s="1" t="str">
        <f t="shared" si="43"/>
        <v/>
      </c>
      <c r="K315" s="1">
        <f t="shared" si="44"/>
        <v>0.99290780141843971</v>
      </c>
      <c r="L315" s="1" t="str">
        <f t="shared" si="45"/>
        <v/>
      </c>
    </row>
    <row r="316" spans="1:12">
      <c r="A316" t="s">
        <v>247</v>
      </c>
      <c r="B316">
        <v>10</v>
      </c>
      <c r="C316" t="str">
        <f t="shared" si="39"/>
        <v>test.GeoEngine_10_</v>
      </c>
      <c r="D316">
        <v>19</v>
      </c>
      <c r="E316">
        <v>0.99290780141843971</v>
      </c>
      <c r="F316">
        <v>1.0001873124976586</v>
      </c>
      <c r="G316" s="1" t="str">
        <f t="shared" si="40"/>
        <v/>
      </c>
      <c r="H316" s="1" t="str">
        <f t="shared" si="41"/>
        <v/>
      </c>
      <c r="I316" s="1" t="str">
        <f t="shared" si="42"/>
        <v/>
      </c>
      <c r="J316" s="1" t="str">
        <f t="shared" si="43"/>
        <v/>
      </c>
      <c r="K316" s="1">
        <f t="shared" si="44"/>
        <v>0.99290780141843971</v>
      </c>
      <c r="L316" s="1" t="str">
        <f t="shared" si="45"/>
        <v/>
      </c>
    </row>
    <row r="317" spans="1:12">
      <c r="A317" t="s">
        <v>247</v>
      </c>
      <c r="B317">
        <v>10</v>
      </c>
      <c r="C317" t="str">
        <f t="shared" si="39"/>
        <v>test.GeoEngine_10_</v>
      </c>
      <c r="D317">
        <v>20</v>
      </c>
      <c r="E317">
        <v>1</v>
      </c>
      <c r="F317">
        <v>1.0002247749971904</v>
      </c>
      <c r="G317" s="1" t="str">
        <f t="shared" si="40"/>
        <v/>
      </c>
      <c r="H317" s="1" t="str">
        <f t="shared" si="41"/>
        <v/>
      </c>
      <c r="I317" s="1" t="str">
        <f t="shared" si="42"/>
        <v/>
      </c>
      <c r="J317" s="1" t="str">
        <f t="shared" si="43"/>
        <v/>
      </c>
      <c r="K317" s="1">
        <f t="shared" si="44"/>
        <v>1</v>
      </c>
      <c r="L317" s="1" t="str">
        <f t="shared" si="45"/>
        <v/>
      </c>
    </row>
    <row r="318" spans="1:12">
      <c r="A318" t="s">
        <v>247</v>
      </c>
      <c r="B318">
        <v>10</v>
      </c>
      <c r="C318" t="str">
        <f t="shared" si="39"/>
        <v>test.GeoEngine_10_</v>
      </c>
      <c r="D318">
        <v>21</v>
      </c>
      <c r="E318">
        <v>1</v>
      </c>
      <c r="F318">
        <v>1.0002622374967221</v>
      </c>
      <c r="G318" s="1" t="str">
        <f t="shared" si="40"/>
        <v/>
      </c>
      <c r="H318" s="1" t="str">
        <f t="shared" si="41"/>
        <v/>
      </c>
      <c r="I318" s="1" t="str">
        <f t="shared" si="42"/>
        <v/>
      </c>
      <c r="J318" s="1" t="str">
        <f t="shared" si="43"/>
        <v/>
      </c>
      <c r="K318" s="1">
        <f t="shared" si="44"/>
        <v>1</v>
      </c>
      <c r="L318" s="1" t="str">
        <f t="shared" si="45"/>
        <v/>
      </c>
    </row>
    <row r="319" spans="1:12">
      <c r="A319" t="s">
        <v>247</v>
      </c>
      <c r="B319">
        <v>10</v>
      </c>
      <c r="C319" t="str">
        <f t="shared" si="39"/>
        <v>test.GeoEngine_10_</v>
      </c>
      <c r="D319">
        <v>22</v>
      </c>
      <c r="E319">
        <v>1</v>
      </c>
      <c r="F319">
        <v>1.0002997374962534</v>
      </c>
      <c r="G319" s="1" t="str">
        <f t="shared" si="40"/>
        <v/>
      </c>
      <c r="H319" s="1" t="str">
        <f t="shared" si="41"/>
        <v/>
      </c>
      <c r="I319" s="1" t="str">
        <f t="shared" si="42"/>
        <v/>
      </c>
      <c r="J319" s="1" t="str">
        <f t="shared" si="43"/>
        <v/>
      </c>
      <c r="K319" s="1">
        <f t="shared" si="44"/>
        <v>1</v>
      </c>
      <c r="L319" s="1" t="str">
        <f t="shared" si="45"/>
        <v/>
      </c>
    </row>
    <row r="320" spans="1:12">
      <c r="A320" t="s">
        <v>247</v>
      </c>
      <c r="B320">
        <v>10</v>
      </c>
      <c r="C320" t="str">
        <f t="shared" si="39"/>
        <v>test.GeoEngine_10_</v>
      </c>
      <c r="D320">
        <v>23</v>
      </c>
      <c r="E320">
        <v>1</v>
      </c>
      <c r="F320">
        <v>1.0003371624957855</v>
      </c>
      <c r="G320" s="1" t="str">
        <f t="shared" si="40"/>
        <v/>
      </c>
      <c r="H320" s="1" t="str">
        <f t="shared" si="41"/>
        <v/>
      </c>
      <c r="I320" s="1" t="str">
        <f t="shared" si="42"/>
        <v/>
      </c>
      <c r="J320" s="1" t="str">
        <f t="shared" si="43"/>
        <v/>
      </c>
      <c r="K320" s="1">
        <f t="shared" si="44"/>
        <v>1</v>
      </c>
      <c r="L320" s="1" t="str">
        <f t="shared" si="45"/>
        <v/>
      </c>
    </row>
    <row r="321" spans="1:12">
      <c r="A321" t="s">
        <v>247</v>
      </c>
      <c r="B321">
        <v>10</v>
      </c>
      <c r="C321" t="str">
        <f t="shared" si="39"/>
        <v>test.GeoEngine_10_</v>
      </c>
      <c r="D321">
        <v>24</v>
      </c>
      <c r="E321">
        <v>1</v>
      </c>
      <c r="F321">
        <v>1.0003746249953172</v>
      </c>
      <c r="G321" s="1" t="str">
        <f t="shared" si="40"/>
        <v/>
      </c>
      <c r="H321" s="1" t="str">
        <f t="shared" si="41"/>
        <v/>
      </c>
      <c r="I321" s="1" t="str">
        <f t="shared" si="42"/>
        <v/>
      </c>
      <c r="J321" s="1" t="str">
        <f t="shared" si="43"/>
        <v/>
      </c>
      <c r="K321" s="1">
        <f t="shared" si="44"/>
        <v>1</v>
      </c>
      <c r="L321" s="1" t="str">
        <f t="shared" si="45"/>
        <v/>
      </c>
    </row>
    <row r="322" spans="1:12">
      <c r="A322" t="s">
        <v>247</v>
      </c>
      <c r="B322">
        <v>10</v>
      </c>
      <c r="C322" t="str">
        <f t="shared" si="39"/>
        <v>test.GeoEngine_10_</v>
      </c>
      <c r="D322">
        <v>25</v>
      </c>
      <c r="E322">
        <v>1</v>
      </c>
      <c r="F322">
        <v>1.000412087494849</v>
      </c>
      <c r="G322" s="1" t="str">
        <f t="shared" si="40"/>
        <v/>
      </c>
      <c r="H322" s="1" t="str">
        <f t="shared" si="41"/>
        <v/>
      </c>
      <c r="I322" s="1" t="str">
        <f t="shared" si="42"/>
        <v/>
      </c>
      <c r="J322" s="1" t="str">
        <f t="shared" si="43"/>
        <v/>
      </c>
      <c r="K322" s="1">
        <f t="shared" si="44"/>
        <v>1</v>
      </c>
      <c r="L322" s="1" t="str">
        <f t="shared" si="45"/>
        <v/>
      </c>
    </row>
    <row r="323" spans="1:12">
      <c r="A323" t="s">
        <v>247</v>
      </c>
      <c r="B323">
        <v>10</v>
      </c>
      <c r="C323" t="str">
        <f t="shared" ref="C323:C386" si="46">CONCATENATE(A323, "_",B323,"_")</f>
        <v>test.GeoEngine_10_</v>
      </c>
      <c r="D323">
        <v>26</v>
      </c>
      <c r="E323">
        <v>1</v>
      </c>
      <c r="F323">
        <v>1.0004495499943806</v>
      </c>
      <c r="G323" s="1" t="str">
        <f t="shared" ref="G323:G386" si="47">IF($F323 &lt;= 0.2,$E323,"")</f>
        <v/>
      </c>
      <c r="H323" s="1" t="str">
        <f t="shared" ref="H323:H386" si="48">IF(AND($F323 &gt; 0.2,$F323 &lt;= 0.4),$E323,"")</f>
        <v/>
      </c>
      <c r="I323" s="1" t="str">
        <f t="shared" ref="I323:I386" si="49">IF(AND($F323 &gt; 0.4,$F323 &lt;= 0.6),$E323,"")</f>
        <v/>
      </c>
      <c r="J323" s="1" t="str">
        <f t="shared" ref="J323:J386" si="50">IF(AND($F323 &gt; 0.6,$F323 &lt;= 0.8),$E323,"")</f>
        <v/>
      </c>
      <c r="K323" s="1">
        <f t="shared" ref="K323:K386" si="51">IF(AND($F323 &gt; 0.8, $F323 &lt;=1.1),$E323,"")</f>
        <v>1</v>
      </c>
      <c r="L323" s="1" t="str">
        <f t="shared" ref="L323:L386" si="52">IF(AND($F323 &gt; 1.1),$E323,"")</f>
        <v/>
      </c>
    </row>
    <row r="324" spans="1:12">
      <c r="A324" t="s">
        <v>247</v>
      </c>
      <c r="B324">
        <v>10</v>
      </c>
      <c r="C324" t="str">
        <f t="shared" si="46"/>
        <v>test.GeoEngine_10_</v>
      </c>
      <c r="D324">
        <v>27</v>
      </c>
      <c r="E324">
        <v>1</v>
      </c>
      <c r="F324">
        <v>1.1249999859375002</v>
      </c>
      <c r="G324" s="1" t="str">
        <f t="shared" si="47"/>
        <v/>
      </c>
      <c r="H324" s="1" t="str">
        <f t="shared" si="48"/>
        <v/>
      </c>
      <c r="I324" s="1" t="str">
        <f t="shared" si="49"/>
        <v/>
      </c>
      <c r="J324" s="1" t="str">
        <f t="shared" si="50"/>
        <v/>
      </c>
      <c r="K324" s="1" t="str">
        <f t="shared" si="51"/>
        <v/>
      </c>
      <c r="L324" s="1">
        <f t="shared" si="52"/>
        <v>1</v>
      </c>
    </row>
    <row r="325" spans="1:12">
      <c r="A325" t="s">
        <v>247</v>
      </c>
      <c r="B325">
        <v>10</v>
      </c>
      <c r="C325" t="str">
        <f t="shared" si="46"/>
        <v>test.GeoEngine_10_</v>
      </c>
      <c r="D325">
        <v>28</v>
      </c>
      <c r="E325">
        <v>1</v>
      </c>
      <c r="F325">
        <v>1.1250374859370316</v>
      </c>
      <c r="G325" s="1" t="str">
        <f t="shared" si="47"/>
        <v/>
      </c>
      <c r="H325" s="1" t="str">
        <f t="shared" si="48"/>
        <v/>
      </c>
      <c r="I325" s="1" t="str">
        <f t="shared" si="49"/>
        <v/>
      </c>
      <c r="J325" s="1" t="str">
        <f t="shared" si="50"/>
        <v/>
      </c>
      <c r="K325" s="1" t="str">
        <f t="shared" si="51"/>
        <v/>
      </c>
      <c r="L325" s="1">
        <f t="shared" si="52"/>
        <v>1</v>
      </c>
    </row>
    <row r="326" spans="1:12">
      <c r="A326" t="s">
        <v>247</v>
      </c>
      <c r="B326">
        <v>10</v>
      </c>
      <c r="C326" t="str">
        <f t="shared" si="46"/>
        <v>test.GeoEngine_10_</v>
      </c>
      <c r="D326">
        <v>29</v>
      </c>
      <c r="E326">
        <v>1</v>
      </c>
      <c r="F326">
        <v>1.1250749109365636</v>
      </c>
      <c r="G326" s="1" t="str">
        <f t="shared" si="47"/>
        <v/>
      </c>
      <c r="H326" s="1" t="str">
        <f t="shared" si="48"/>
        <v/>
      </c>
      <c r="I326" s="1" t="str">
        <f t="shared" si="49"/>
        <v/>
      </c>
      <c r="J326" s="1" t="str">
        <f t="shared" si="50"/>
        <v/>
      </c>
      <c r="K326" s="1" t="str">
        <f t="shared" si="51"/>
        <v/>
      </c>
      <c r="L326" s="1">
        <f t="shared" si="52"/>
        <v>1</v>
      </c>
    </row>
    <row r="327" spans="1:12">
      <c r="A327" t="s">
        <v>247</v>
      </c>
      <c r="B327">
        <v>10</v>
      </c>
      <c r="C327" t="str">
        <f t="shared" si="46"/>
        <v>test.GeoEngine_10_</v>
      </c>
      <c r="D327">
        <v>30</v>
      </c>
      <c r="E327">
        <v>1</v>
      </c>
      <c r="F327">
        <v>1.1251123734360953</v>
      </c>
      <c r="G327" s="1" t="str">
        <f t="shared" si="47"/>
        <v/>
      </c>
      <c r="H327" s="1" t="str">
        <f t="shared" si="48"/>
        <v/>
      </c>
      <c r="I327" s="1" t="str">
        <f t="shared" si="49"/>
        <v/>
      </c>
      <c r="J327" s="1" t="str">
        <f t="shared" si="50"/>
        <v/>
      </c>
      <c r="K327" s="1" t="str">
        <f t="shared" si="51"/>
        <v/>
      </c>
      <c r="L327" s="1">
        <f t="shared" si="52"/>
        <v>1</v>
      </c>
    </row>
    <row r="328" spans="1:12">
      <c r="A328" t="s">
        <v>247</v>
      </c>
      <c r="B328">
        <v>10</v>
      </c>
      <c r="C328" t="str">
        <f t="shared" si="46"/>
        <v>test.GeoEngine_10_</v>
      </c>
      <c r="D328">
        <v>31</v>
      </c>
      <c r="E328">
        <v>1</v>
      </c>
      <c r="F328">
        <v>1.1251498359356271</v>
      </c>
      <c r="G328" s="1" t="str">
        <f t="shared" si="47"/>
        <v/>
      </c>
      <c r="H328" s="1" t="str">
        <f t="shared" si="48"/>
        <v/>
      </c>
      <c r="I328" s="1" t="str">
        <f t="shared" si="49"/>
        <v/>
      </c>
      <c r="J328" s="1" t="str">
        <f t="shared" si="50"/>
        <v/>
      </c>
      <c r="K328" s="1" t="str">
        <f t="shared" si="51"/>
        <v/>
      </c>
      <c r="L328" s="1">
        <f t="shared" si="52"/>
        <v>1</v>
      </c>
    </row>
    <row r="329" spans="1:12">
      <c r="A329" t="s">
        <v>247</v>
      </c>
      <c r="B329">
        <v>10</v>
      </c>
      <c r="C329" t="str">
        <f t="shared" si="46"/>
        <v>test.GeoEngine_10_</v>
      </c>
      <c r="D329">
        <v>32</v>
      </c>
      <c r="E329">
        <v>1</v>
      </c>
      <c r="F329">
        <v>1.1251872984351587</v>
      </c>
      <c r="G329" s="1" t="str">
        <f t="shared" si="47"/>
        <v/>
      </c>
      <c r="H329" s="1" t="str">
        <f t="shared" si="48"/>
        <v/>
      </c>
      <c r="I329" s="1" t="str">
        <f t="shared" si="49"/>
        <v/>
      </c>
      <c r="J329" s="1" t="str">
        <f t="shared" si="50"/>
        <v/>
      </c>
      <c r="K329" s="1" t="str">
        <f t="shared" si="51"/>
        <v/>
      </c>
      <c r="L329" s="1">
        <f t="shared" si="52"/>
        <v>1</v>
      </c>
    </row>
    <row r="330" spans="1:12">
      <c r="A330" t="s">
        <v>294</v>
      </c>
      <c r="B330">
        <v>3</v>
      </c>
      <c r="C330" t="str">
        <f t="shared" si="46"/>
        <v>test.FastBlurFilter_3_</v>
      </c>
      <c r="D330">
        <v>1</v>
      </c>
      <c r="E330">
        <v>0.96505438555889844</v>
      </c>
      <c r="F330">
        <v>1.0372670798194514</v>
      </c>
      <c r="G330" s="1" t="str">
        <f t="shared" si="47"/>
        <v/>
      </c>
      <c r="H330" s="1" t="str">
        <f t="shared" si="48"/>
        <v/>
      </c>
      <c r="I330" s="1" t="str">
        <f t="shared" si="49"/>
        <v/>
      </c>
      <c r="J330" s="1" t="str">
        <f t="shared" si="50"/>
        <v/>
      </c>
      <c r="K330" s="1">
        <f t="shared" si="51"/>
        <v>0.96505438555889844</v>
      </c>
      <c r="L330" s="1" t="str">
        <f t="shared" si="52"/>
        <v/>
      </c>
    </row>
    <row r="331" spans="1:12">
      <c r="A331" t="s">
        <v>294</v>
      </c>
      <c r="B331">
        <v>3</v>
      </c>
      <c r="C331" t="str">
        <f t="shared" si="46"/>
        <v>test.FastBlurFilter_3_</v>
      </c>
      <c r="D331">
        <v>2</v>
      </c>
      <c r="E331">
        <v>1</v>
      </c>
      <c r="F331">
        <v>1.0559006197291771</v>
      </c>
      <c r="G331" s="1" t="str">
        <f t="shared" si="47"/>
        <v/>
      </c>
      <c r="H331" s="1" t="str">
        <f t="shared" si="48"/>
        <v/>
      </c>
      <c r="I331" s="1" t="str">
        <f t="shared" si="49"/>
        <v/>
      </c>
      <c r="J331" s="1" t="str">
        <f t="shared" si="50"/>
        <v/>
      </c>
      <c r="K331" s="1">
        <f t="shared" si="51"/>
        <v>1</v>
      </c>
      <c r="L331" s="1" t="str">
        <f t="shared" si="52"/>
        <v/>
      </c>
    </row>
    <row r="332" spans="1:12">
      <c r="A332" t="s">
        <v>295</v>
      </c>
      <c r="B332">
        <v>2</v>
      </c>
      <c r="C332" t="str">
        <f t="shared" si="46"/>
        <v>test.ImageData_2_</v>
      </c>
      <c r="D332">
        <v>1</v>
      </c>
      <c r="E332">
        <v>0.17952127659574468</v>
      </c>
      <c r="F332">
        <v>0.40740741111111112</v>
      </c>
      <c r="G332" s="1" t="str">
        <f t="shared" si="47"/>
        <v/>
      </c>
      <c r="H332" s="1" t="str">
        <f t="shared" si="48"/>
        <v/>
      </c>
      <c r="I332" s="1">
        <f t="shared" si="49"/>
        <v>0.17952127659574468</v>
      </c>
      <c r="J332" s="1" t="str">
        <f t="shared" si="50"/>
        <v/>
      </c>
      <c r="K332" s="1" t="str">
        <f t="shared" si="51"/>
        <v/>
      </c>
      <c r="L332" s="1" t="str">
        <f t="shared" si="52"/>
        <v/>
      </c>
    </row>
    <row r="333" spans="1:12">
      <c r="A333" t="s">
        <v>295</v>
      </c>
      <c r="B333">
        <v>2</v>
      </c>
      <c r="C333" t="str">
        <f t="shared" si="46"/>
        <v>test.ImageData_2_</v>
      </c>
      <c r="D333">
        <v>2</v>
      </c>
      <c r="E333">
        <v>0.28191489361702127</v>
      </c>
      <c r="F333">
        <v>0.44444444444444442</v>
      </c>
      <c r="G333" s="1" t="str">
        <f t="shared" si="47"/>
        <v/>
      </c>
      <c r="H333" s="1" t="str">
        <f t="shared" si="48"/>
        <v/>
      </c>
      <c r="I333" s="1">
        <f t="shared" si="49"/>
        <v>0.28191489361702127</v>
      </c>
      <c r="J333" s="1" t="str">
        <f t="shared" si="50"/>
        <v/>
      </c>
      <c r="K333" s="1" t="str">
        <f t="shared" si="51"/>
        <v/>
      </c>
      <c r="L333" s="1" t="str">
        <f t="shared" si="52"/>
        <v/>
      </c>
    </row>
    <row r="334" spans="1:12">
      <c r="A334" t="s">
        <v>295</v>
      </c>
      <c r="B334">
        <v>2</v>
      </c>
      <c r="C334" t="str">
        <f t="shared" si="46"/>
        <v>test.ImageData_2_</v>
      </c>
      <c r="D334">
        <v>3</v>
      </c>
      <c r="E334">
        <v>0.325354609929078</v>
      </c>
      <c r="F334">
        <v>0.44445555555555555</v>
      </c>
      <c r="G334" s="1" t="str">
        <f t="shared" si="47"/>
        <v/>
      </c>
      <c r="H334" s="1" t="str">
        <f t="shared" si="48"/>
        <v/>
      </c>
      <c r="I334" s="1">
        <f t="shared" si="49"/>
        <v>0.325354609929078</v>
      </c>
      <c r="J334" s="1" t="str">
        <f t="shared" si="50"/>
        <v/>
      </c>
      <c r="K334" s="1" t="str">
        <f t="shared" si="51"/>
        <v/>
      </c>
      <c r="L334" s="1" t="str">
        <f t="shared" si="52"/>
        <v/>
      </c>
    </row>
    <row r="335" spans="1:12">
      <c r="A335" t="s">
        <v>295</v>
      </c>
      <c r="B335">
        <v>2</v>
      </c>
      <c r="C335" t="str">
        <f t="shared" si="46"/>
        <v>test.ImageData_2_</v>
      </c>
      <c r="D335">
        <v>4</v>
      </c>
      <c r="E335">
        <v>0.41489361702127658</v>
      </c>
      <c r="F335">
        <v>0.44446670000000005</v>
      </c>
      <c r="G335" s="1" t="str">
        <f t="shared" si="47"/>
        <v/>
      </c>
      <c r="H335" s="1" t="str">
        <f t="shared" si="48"/>
        <v/>
      </c>
      <c r="I335" s="1">
        <f t="shared" si="49"/>
        <v>0.41489361702127658</v>
      </c>
      <c r="J335" s="1" t="str">
        <f t="shared" si="50"/>
        <v/>
      </c>
      <c r="K335" s="1" t="str">
        <f t="shared" si="51"/>
        <v/>
      </c>
      <c r="L335" s="1" t="str">
        <f t="shared" si="52"/>
        <v/>
      </c>
    </row>
    <row r="336" spans="1:12">
      <c r="A336" t="s">
        <v>295</v>
      </c>
      <c r="B336">
        <v>2</v>
      </c>
      <c r="C336" t="str">
        <f t="shared" si="46"/>
        <v>test.ImageData_2_</v>
      </c>
      <c r="D336">
        <v>5</v>
      </c>
      <c r="E336">
        <v>0.5917553191489362</v>
      </c>
      <c r="F336">
        <v>0.44447782222222226</v>
      </c>
      <c r="G336" s="1" t="str">
        <f t="shared" si="47"/>
        <v/>
      </c>
      <c r="H336" s="1" t="str">
        <f t="shared" si="48"/>
        <v/>
      </c>
      <c r="I336" s="1">
        <f t="shared" si="49"/>
        <v>0.5917553191489362</v>
      </c>
      <c r="J336" s="1" t="str">
        <f t="shared" si="50"/>
        <v/>
      </c>
      <c r="K336" s="1" t="str">
        <f t="shared" si="51"/>
        <v/>
      </c>
      <c r="L336" s="1" t="str">
        <f t="shared" si="52"/>
        <v/>
      </c>
    </row>
    <row r="337" spans="1:12">
      <c r="A337" t="s">
        <v>295</v>
      </c>
      <c r="B337">
        <v>2</v>
      </c>
      <c r="C337" t="str">
        <f t="shared" si="46"/>
        <v>test.ImageData_2_</v>
      </c>
      <c r="D337">
        <v>6</v>
      </c>
      <c r="E337">
        <v>0.63031914893617025</v>
      </c>
      <c r="F337">
        <v>0.44448894444444442</v>
      </c>
      <c r="G337" s="1" t="str">
        <f t="shared" si="47"/>
        <v/>
      </c>
      <c r="H337" s="1" t="str">
        <f t="shared" si="48"/>
        <v/>
      </c>
      <c r="I337" s="1">
        <f t="shared" si="49"/>
        <v>0.63031914893617025</v>
      </c>
      <c r="J337" s="1" t="str">
        <f t="shared" si="50"/>
        <v/>
      </c>
      <c r="K337" s="1" t="str">
        <f t="shared" si="51"/>
        <v/>
      </c>
      <c r="L337" s="1" t="str">
        <f t="shared" si="52"/>
        <v/>
      </c>
    </row>
    <row r="338" spans="1:12">
      <c r="A338" t="s">
        <v>295</v>
      </c>
      <c r="B338">
        <v>2</v>
      </c>
      <c r="C338" t="str">
        <f t="shared" si="46"/>
        <v>test.ImageData_2_</v>
      </c>
      <c r="D338">
        <v>7</v>
      </c>
      <c r="E338">
        <v>0.73404255319148937</v>
      </c>
      <c r="F338">
        <v>0.48148150000000001</v>
      </c>
      <c r="G338" s="1" t="str">
        <f t="shared" si="47"/>
        <v/>
      </c>
      <c r="H338" s="1" t="str">
        <f t="shared" si="48"/>
        <v/>
      </c>
      <c r="I338" s="1">
        <f t="shared" si="49"/>
        <v>0.73404255319148937</v>
      </c>
      <c r="J338" s="1" t="str">
        <f t="shared" si="50"/>
        <v/>
      </c>
      <c r="K338" s="1" t="str">
        <f t="shared" si="51"/>
        <v/>
      </c>
      <c r="L338" s="1" t="str">
        <f t="shared" si="52"/>
        <v/>
      </c>
    </row>
    <row r="339" spans="1:12">
      <c r="A339" t="s">
        <v>295</v>
      </c>
      <c r="B339">
        <v>2</v>
      </c>
      <c r="C339" t="str">
        <f t="shared" si="46"/>
        <v>test.ImageData_2_</v>
      </c>
      <c r="D339">
        <v>8</v>
      </c>
      <c r="E339">
        <v>1</v>
      </c>
      <c r="F339">
        <v>0.59259261111111117</v>
      </c>
      <c r="G339" s="1" t="str">
        <f t="shared" si="47"/>
        <v/>
      </c>
      <c r="H339" s="1" t="str">
        <f t="shared" si="48"/>
        <v/>
      </c>
      <c r="I339" s="1">
        <f t="shared" si="49"/>
        <v>1</v>
      </c>
      <c r="J339" s="1" t="str">
        <f t="shared" si="50"/>
        <v/>
      </c>
      <c r="K339" s="1" t="str">
        <f t="shared" si="51"/>
        <v/>
      </c>
      <c r="L339" s="1" t="str">
        <f t="shared" si="52"/>
        <v/>
      </c>
    </row>
    <row r="340" spans="1:12">
      <c r="A340" t="s">
        <v>295</v>
      </c>
      <c r="B340">
        <v>3</v>
      </c>
      <c r="C340" t="str">
        <f t="shared" si="46"/>
        <v>test.ImageData_3_</v>
      </c>
      <c r="D340">
        <v>1</v>
      </c>
      <c r="E340">
        <v>5.1291721666980955E-2</v>
      </c>
      <c r="F340">
        <v>7.8947366343490352E-2</v>
      </c>
      <c r="G340" s="1">
        <f t="shared" si="47"/>
        <v>5.1291721666980955E-2</v>
      </c>
      <c r="H340" s="1" t="str">
        <f t="shared" si="48"/>
        <v/>
      </c>
      <c r="I340" s="1" t="str">
        <f t="shared" si="49"/>
        <v/>
      </c>
      <c r="J340" s="1" t="str">
        <f t="shared" si="50"/>
        <v/>
      </c>
      <c r="K340" s="1" t="str">
        <f t="shared" si="51"/>
        <v/>
      </c>
      <c r="L340" s="1" t="str">
        <f t="shared" si="52"/>
        <v/>
      </c>
    </row>
    <row r="341" spans="1:12">
      <c r="A341" t="s">
        <v>295</v>
      </c>
      <c r="B341">
        <v>3</v>
      </c>
      <c r="C341" t="str">
        <f t="shared" si="46"/>
        <v>test.ImageData_3_</v>
      </c>
      <c r="D341">
        <v>2</v>
      </c>
      <c r="E341">
        <v>9.6360550631717889E-2</v>
      </c>
      <c r="F341">
        <v>9.2105257444598479E-2</v>
      </c>
      <c r="G341" s="1">
        <f t="shared" si="47"/>
        <v>9.6360550631717889E-2</v>
      </c>
      <c r="H341" s="1" t="str">
        <f t="shared" si="48"/>
        <v/>
      </c>
      <c r="I341" s="1" t="str">
        <f t="shared" si="49"/>
        <v/>
      </c>
      <c r="J341" s="1" t="str">
        <f t="shared" si="50"/>
        <v/>
      </c>
      <c r="K341" s="1" t="str">
        <f t="shared" si="51"/>
        <v/>
      </c>
      <c r="L341" s="1" t="str">
        <f t="shared" si="52"/>
        <v/>
      </c>
    </row>
    <row r="342" spans="1:12">
      <c r="A342" t="s">
        <v>295</v>
      </c>
      <c r="B342">
        <v>3</v>
      </c>
      <c r="C342" t="str">
        <f t="shared" si="46"/>
        <v>test.ImageData_3_</v>
      </c>
      <c r="D342">
        <v>3</v>
      </c>
      <c r="E342">
        <v>0.18197246841410522</v>
      </c>
      <c r="F342">
        <v>0.13815789110110813</v>
      </c>
      <c r="G342" s="1">
        <f t="shared" si="47"/>
        <v>0.18197246841410522</v>
      </c>
      <c r="H342" s="1" t="str">
        <f t="shared" si="48"/>
        <v/>
      </c>
      <c r="I342" s="1" t="str">
        <f t="shared" si="49"/>
        <v/>
      </c>
      <c r="J342" s="1" t="str">
        <f t="shared" si="50"/>
        <v/>
      </c>
      <c r="K342" s="1" t="str">
        <f t="shared" si="51"/>
        <v/>
      </c>
      <c r="L342" s="1" t="str">
        <f t="shared" si="52"/>
        <v/>
      </c>
    </row>
    <row r="343" spans="1:12">
      <c r="A343" t="s">
        <v>295</v>
      </c>
      <c r="B343">
        <v>3</v>
      </c>
      <c r="C343" t="str">
        <f t="shared" si="46"/>
        <v>test.ImageData_3_</v>
      </c>
      <c r="D343">
        <v>4</v>
      </c>
      <c r="E343">
        <v>0.41957382613614935</v>
      </c>
      <c r="F343">
        <v>0.24342103964681475</v>
      </c>
      <c r="G343" s="1" t="str">
        <f t="shared" si="47"/>
        <v/>
      </c>
      <c r="H343" s="1">
        <f t="shared" si="48"/>
        <v>0.41957382613614935</v>
      </c>
      <c r="I343" s="1" t="str">
        <f t="shared" si="49"/>
        <v/>
      </c>
      <c r="J343" s="1" t="str">
        <f t="shared" si="50"/>
        <v/>
      </c>
      <c r="K343" s="1" t="str">
        <f t="shared" si="51"/>
        <v/>
      </c>
      <c r="L343" s="1" t="str">
        <f t="shared" si="52"/>
        <v/>
      </c>
    </row>
    <row r="344" spans="1:12">
      <c r="A344" t="s">
        <v>295</v>
      </c>
      <c r="B344">
        <v>3</v>
      </c>
      <c r="C344" t="str">
        <f t="shared" si="46"/>
        <v>test.ImageData_3_</v>
      </c>
      <c r="D344">
        <v>5</v>
      </c>
      <c r="E344">
        <v>0.78351876296435985</v>
      </c>
      <c r="F344">
        <v>0.29605262378808883</v>
      </c>
      <c r="G344" s="1" t="str">
        <f t="shared" si="47"/>
        <v/>
      </c>
      <c r="H344" s="1">
        <f t="shared" si="48"/>
        <v>0.78351876296435985</v>
      </c>
      <c r="I344" s="1" t="str">
        <f t="shared" si="49"/>
        <v/>
      </c>
      <c r="J344" s="1" t="str">
        <f t="shared" si="50"/>
        <v/>
      </c>
      <c r="K344" s="1" t="str">
        <f t="shared" si="51"/>
        <v/>
      </c>
      <c r="L344" s="1" t="str">
        <f t="shared" si="52"/>
        <v/>
      </c>
    </row>
    <row r="345" spans="1:12">
      <c r="A345" t="s">
        <v>295</v>
      </c>
      <c r="B345">
        <v>3</v>
      </c>
      <c r="C345" t="str">
        <f t="shared" si="46"/>
        <v>test.ImageData_3_</v>
      </c>
      <c r="D345">
        <v>6</v>
      </c>
      <c r="E345">
        <v>1</v>
      </c>
      <c r="F345">
        <v>0.30263156440443251</v>
      </c>
      <c r="G345" s="1" t="str">
        <f t="shared" si="47"/>
        <v/>
      </c>
      <c r="H345" s="1">
        <f t="shared" si="48"/>
        <v>1</v>
      </c>
      <c r="I345" s="1" t="str">
        <f t="shared" si="49"/>
        <v/>
      </c>
      <c r="J345" s="1" t="str">
        <f t="shared" si="50"/>
        <v/>
      </c>
      <c r="K345" s="1" t="str">
        <f t="shared" si="51"/>
        <v/>
      </c>
      <c r="L345" s="1" t="str">
        <f t="shared" si="52"/>
        <v/>
      </c>
    </row>
    <row r="346" spans="1:12">
      <c r="A346" t="s">
        <v>295</v>
      </c>
      <c r="B346">
        <v>4</v>
      </c>
      <c r="C346" t="str">
        <f t="shared" si="46"/>
        <v>test.ImageData_4_</v>
      </c>
      <c r="D346">
        <v>1</v>
      </c>
      <c r="E346">
        <v>3.1631585068031168E-2</v>
      </c>
      <c r="F346">
        <v>7.8313257911162851E-2</v>
      </c>
      <c r="G346" s="1">
        <f t="shared" si="47"/>
        <v>3.1631585068031168E-2</v>
      </c>
      <c r="H346" s="1" t="str">
        <f t="shared" si="48"/>
        <v/>
      </c>
      <c r="I346" s="1" t="str">
        <f t="shared" si="49"/>
        <v/>
      </c>
      <c r="J346" s="1" t="str">
        <f t="shared" si="50"/>
        <v/>
      </c>
      <c r="K346" s="1" t="str">
        <f t="shared" si="51"/>
        <v/>
      </c>
      <c r="L346" s="1" t="str">
        <f t="shared" si="52"/>
        <v/>
      </c>
    </row>
    <row r="347" spans="1:12">
      <c r="A347" t="s">
        <v>295</v>
      </c>
      <c r="B347">
        <v>4</v>
      </c>
      <c r="C347" t="str">
        <f t="shared" si="46"/>
        <v>test.ImageData_4_</v>
      </c>
      <c r="D347">
        <v>2</v>
      </c>
      <c r="E347">
        <v>6.3263170136062336E-2</v>
      </c>
      <c r="F347">
        <v>9.6385547503266208E-2</v>
      </c>
      <c r="G347" s="1">
        <f t="shared" si="47"/>
        <v>6.3263170136062336E-2</v>
      </c>
      <c r="H347" s="1" t="str">
        <f t="shared" si="48"/>
        <v/>
      </c>
      <c r="I347" s="1" t="str">
        <f t="shared" si="49"/>
        <v/>
      </c>
      <c r="J347" s="1" t="str">
        <f t="shared" si="50"/>
        <v/>
      </c>
      <c r="K347" s="1" t="str">
        <f t="shared" si="51"/>
        <v/>
      </c>
      <c r="L347" s="1" t="str">
        <f t="shared" si="52"/>
        <v/>
      </c>
    </row>
    <row r="348" spans="1:12">
      <c r="A348" t="s">
        <v>295</v>
      </c>
      <c r="B348">
        <v>4</v>
      </c>
      <c r="C348" t="str">
        <f t="shared" si="46"/>
        <v>test.ImageData_4_</v>
      </c>
      <c r="D348">
        <v>3</v>
      </c>
      <c r="E348">
        <v>0.11861844400511687</v>
      </c>
      <c r="F348">
        <v>0.13855421719407751</v>
      </c>
      <c r="G348" s="1">
        <f t="shared" si="47"/>
        <v>0.11861844400511687</v>
      </c>
      <c r="H348" s="1" t="str">
        <f t="shared" si="48"/>
        <v/>
      </c>
      <c r="I348" s="1" t="str">
        <f t="shared" si="49"/>
        <v/>
      </c>
      <c r="J348" s="1" t="str">
        <f t="shared" si="50"/>
        <v/>
      </c>
      <c r="K348" s="1" t="str">
        <f t="shared" si="51"/>
        <v/>
      </c>
      <c r="L348" s="1" t="str">
        <f t="shared" si="52"/>
        <v/>
      </c>
    </row>
    <row r="349" spans="1:12">
      <c r="A349" t="s">
        <v>295</v>
      </c>
      <c r="B349">
        <v>4</v>
      </c>
      <c r="C349" t="str">
        <f t="shared" si="46"/>
        <v>test.ImageData_4_</v>
      </c>
      <c r="D349">
        <v>4</v>
      </c>
      <c r="E349">
        <v>0.21200139551110594</v>
      </c>
      <c r="F349">
        <v>0.14457831673682692</v>
      </c>
      <c r="G349" s="1">
        <f t="shared" si="47"/>
        <v>0.21200139551110594</v>
      </c>
      <c r="H349" s="1" t="str">
        <f t="shared" si="48"/>
        <v/>
      </c>
      <c r="I349" s="1" t="str">
        <f t="shared" si="49"/>
        <v/>
      </c>
      <c r="J349" s="1" t="str">
        <f t="shared" si="50"/>
        <v/>
      </c>
      <c r="K349" s="1" t="str">
        <f t="shared" si="51"/>
        <v/>
      </c>
      <c r="L349" s="1" t="str">
        <f t="shared" si="52"/>
        <v/>
      </c>
    </row>
    <row r="350" spans="1:12">
      <c r="A350" t="s">
        <v>295</v>
      </c>
      <c r="B350">
        <v>4</v>
      </c>
      <c r="C350" t="str">
        <f t="shared" si="46"/>
        <v>test.ImageData_4_</v>
      </c>
      <c r="D350">
        <v>5</v>
      </c>
      <c r="E350">
        <v>0.34724968019537156</v>
      </c>
      <c r="F350">
        <v>0.16867469683553485</v>
      </c>
      <c r="G350" s="1">
        <f t="shared" si="47"/>
        <v>0.34724968019537156</v>
      </c>
      <c r="H350" s="1" t="str">
        <f t="shared" si="48"/>
        <v/>
      </c>
      <c r="I350" s="1" t="str">
        <f t="shared" si="49"/>
        <v/>
      </c>
      <c r="J350" s="1" t="str">
        <f t="shared" si="50"/>
        <v/>
      </c>
      <c r="K350" s="1" t="str">
        <f t="shared" si="51"/>
        <v/>
      </c>
      <c r="L350" s="1" t="str">
        <f t="shared" si="52"/>
        <v/>
      </c>
    </row>
    <row r="351" spans="1:12">
      <c r="A351" t="s">
        <v>295</v>
      </c>
      <c r="B351">
        <v>4</v>
      </c>
      <c r="C351" t="str">
        <f t="shared" si="46"/>
        <v>test.ImageData_4_</v>
      </c>
      <c r="D351">
        <v>6</v>
      </c>
      <c r="E351">
        <v>0.53948133503895801</v>
      </c>
      <c r="F351">
        <v>0.17469880541442906</v>
      </c>
      <c r="G351" s="1">
        <f t="shared" si="47"/>
        <v>0.53948133503895801</v>
      </c>
      <c r="H351" s="1" t="str">
        <f t="shared" si="48"/>
        <v/>
      </c>
      <c r="I351" s="1" t="str">
        <f t="shared" si="49"/>
        <v/>
      </c>
      <c r="J351" s="1" t="str">
        <f t="shared" si="50"/>
        <v/>
      </c>
      <c r="K351" s="1" t="str">
        <f t="shared" si="51"/>
        <v/>
      </c>
      <c r="L351" s="1" t="str">
        <f t="shared" si="52"/>
        <v/>
      </c>
    </row>
    <row r="352" spans="1:12">
      <c r="A352" t="s">
        <v>295</v>
      </c>
      <c r="B352">
        <v>4</v>
      </c>
      <c r="C352" t="str">
        <f t="shared" si="46"/>
        <v>test.ImageData_4_</v>
      </c>
      <c r="D352">
        <v>7</v>
      </c>
      <c r="E352">
        <v>0.68193976043726012</v>
      </c>
      <c r="F352">
        <v>0.22289156561184495</v>
      </c>
      <c r="G352" s="1" t="str">
        <f t="shared" si="47"/>
        <v/>
      </c>
      <c r="H352" s="1">
        <f t="shared" si="48"/>
        <v>0.68193976043726012</v>
      </c>
      <c r="I352" s="1" t="str">
        <f t="shared" si="49"/>
        <v/>
      </c>
      <c r="J352" s="1" t="str">
        <f t="shared" si="50"/>
        <v/>
      </c>
      <c r="K352" s="1" t="str">
        <f t="shared" si="51"/>
        <v/>
      </c>
      <c r="L352" s="1" t="str">
        <f t="shared" si="52"/>
        <v/>
      </c>
    </row>
    <row r="353" spans="1:12">
      <c r="A353" t="s">
        <v>295</v>
      </c>
      <c r="B353">
        <v>4</v>
      </c>
      <c r="C353" t="str">
        <f t="shared" si="46"/>
        <v>test.ImageData_4_</v>
      </c>
      <c r="D353">
        <v>8</v>
      </c>
      <c r="E353">
        <v>0.81137341551343178</v>
      </c>
      <c r="F353">
        <v>0.25903614479605169</v>
      </c>
      <c r="G353" s="1" t="str">
        <f t="shared" si="47"/>
        <v/>
      </c>
      <c r="H353" s="1">
        <f t="shared" si="48"/>
        <v>0.81137341551343178</v>
      </c>
      <c r="I353" s="1" t="str">
        <f t="shared" si="49"/>
        <v/>
      </c>
      <c r="J353" s="1" t="str">
        <f t="shared" si="50"/>
        <v/>
      </c>
      <c r="K353" s="1" t="str">
        <f t="shared" si="51"/>
        <v/>
      </c>
      <c r="L353" s="1" t="str">
        <f t="shared" si="52"/>
        <v/>
      </c>
    </row>
    <row r="354" spans="1:12">
      <c r="A354" t="s">
        <v>295</v>
      </c>
      <c r="B354">
        <v>4</v>
      </c>
      <c r="C354" t="str">
        <f t="shared" si="46"/>
        <v>test.ImageData_4_</v>
      </c>
      <c r="D354">
        <v>9</v>
      </c>
      <c r="E354">
        <v>1</v>
      </c>
      <c r="F354">
        <v>0.3674699004209615</v>
      </c>
      <c r="G354" s="1" t="str">
        <f t="shared" si="47"/>
        <v/>
      </c>
      <c r="H354" s="1">
        <f t="shared" si="48"/>
        <v>1</v>
      </c>
      <c r="I354" s="1" t="str">
        <f t="shared" si="49"/>
        <v/>
      </c>
      <c r="J354" s="1" t="str">
        <f t="shared" si="50"/>
        <v/>
      </c>
      <c r="K354" s="1" t="str">
        <f t="shared" si="51"/>
        <v/>
      </c>
      <c r="L354" s="1" t="str">
        <f t="shared" si="52"/>
        <v/>
      </c>
    </row>
    <row r="355" spans="1:12">
      <c r="A355" t="s">
        <v>295</v>
      </c>
      <c r="B355">
        <v>5</v>
      </c>
      <c r="C355" t="str">
        <f t="shared" si="46"/>
        <v>test.ImageData_5_</v>
      </c>
      <c r="D355">
        <v>1</v>
      </c>
      <c r="E355">
        <v>0.8614718614718615</v>
      </c>
      <c r="F355">
        <v>0.88888889999999998</v>
      </c>
      <c r="G355" s="1" t="str">
        <f t="shared" si="47"/>
        <v/>
      </c>
      <c r="H355" s="1" t="str">
        <f t="shared" si="48"/>
        <v/>
      </c>
      <c r="I355" s="1" t="str">
        <f t="shared" si="49"/>
        <v/>
      </c>
      <c r="J355" s="1" t="str">
        <f t="shared" si="50"/>
        <v/>
      </c>
      <c r="K355" s="1">
        <f t="shared" si="51"/>
        <v>0.8614718614718615</v>
      </c>
      <c r="L355" s="1" t="str">
        <f t="shared" si="52"/>
        <v/>
      </c>
    </row>
    <row r="356" spans="1:12">
      <c r="A356" t="s">
        <v>295</v>
      </c>
      <c r="B356">
        <v>5</v>
      </c>
      <c r="C356" t="str">
        <f t="shared" si="46"/>
        <v>test.ImageData_5_</v>
      </c>
      <c r="D356">
        <v>2</v>
      </c>
      <c r="E356">
        <v>0.93073593073593075</v>
      </c>
      <c r="F356">
        <v>1</v>
      </c>
      <c r="G356" s="1" t="str">
        <f t="shared" si="47"/>
        <v/>
      </c>
      <c r="H356" s="1" t="str">
        <f t="shared" si="48"/>
        <v/>
      </c>
      <c r="I356" s="1" t="str">
        <f t="shared" si="49"/>
        <v/>
      </c>
      <c r="J356" s="1" t="str">
        <f t="shared" si="50"/>
        <v/>
      </c>
      <c r="K356" s="1">
        <f t="shared" si="51"/>
        <v>0.93073593073593075</v>
      </c>
      <c r="L356" s="1" t="str">
        <f t="shared" si="52"/>
        <v/>
      </c>
    </row>
    <row r="357" spans="1:12">
      <c r="A357" t="s">
        <v>295</v>
      </c>
      <c r="B357">
        <v>5</v>
      </c>
      <c r="C357" t="str">
        <f t="shared" si="46"/>
        <v>test.ImageData_5_</v>
      </c>
      <c r="D357">
        <v>3</v>
      </c>
      <c r="E357">
        <v>0.93073593073593075</v>
      </c>
      <c r="F357">
        <v>1.0000333333333333</v>
      </c>
      <c r="G357" s="1" t="str">
        <f t="shared" si="47"/>
        <v/>
      </c>
      <c r="H357" s="1" t="str">
        <f t="shared" si="48"/>
        <v/>
      </c>
      <c r="I357" s="1" t="str">
        <f t="shared" si="49"/>
        <v/>
      </c>
      <c r="J357" s="1" t="str">
        <f t="shared" si="50"/>
        <v/>
      </c>
      <c r="K357" s="1">
        <f t="shared" si="51"/>
        <v>0.93073593073593075</v>
      </c>
      <c r="L357" s="1" t="str">
        <f t="shared" si="52"/>
        <v/>
      </c>
    </row>
    <row r="358" spans="1:12">
      <c r="A358" t="s">
        <v>295</v>
      </c>
      <c r="B358">
        <v>5</v>
      </c>
      <c r="C358" t="str">
        <f t="shared" si="46"/>
        <v>test.ImageData_5_</v>
      </c>
      <c r="D358">
        <v>4</v>
      </c>
      <c r="E358">
        <v>0.93073593073593075</v>
      </c>
      <c r="F358">
        <v>1.0000666</v>
      </c>
      <c r="G358" s="1" t="str">
        <f t="shared" si="47"/>
        <v/>
      </c>
      <c r="H358" s="1" t="str">
        <f t="shared" si="48"/>
        <v/>
      </c>
      <c r="I358" s="1" t="str">
        <f t="shared" si="49"/>
        <v/>
      </c>
      <c r="J358" s="1" t="str">
        <f t="shared" si="50"/>
        <v/>
      </c>
      <c r="K358" s="1">
        <f t="shared" si="51"/>
        <v>0.93073593073593075</v>
      </c>
      <c r="L358" s="1" t="str">
        <f t="shared" si="52"/>
        <v/>
      </c>
    </row>
    <row r="359" spans="1:12">
      <c r="A359" t="s">
        <v>295</v>
      </c>
      <c r="B359">
        <v>5</v>
      </c>
      <c r="C359" t="str">
        <f t="shared" si="46"/>
        <v>test.ImageData_5_</v>
      </c>
      <c r="D359">
        <v>5</v>
      </c>
      <c r="E359">
        <v>1</v>
      </c>
      <c r="F359">
        <v>1.1111111</v>
      </c>
      <c r="G359" s="1" t="str">
        <f t="shared" si="47"/>
        <v/>
      </c>
      <c r="H359" s="1" t="str">
        <f t="shared" si="48"/>
        <v/>
      </c>
      <c r="I359" s="1" t="str">
        <f t="shared" si="49"/>
        <v/>
      </c>
      <c r="J359" s="1" t="str">
        <f t="shared" si="50"/>
        <v/>
      </c>
      <c r="K359" s="1" t="str">
        <f t="shared" si="51"/>
        <v/>
      </c>
      <c r="L359" s="1">
        <f t="shared" si="52"/>
        <v>1</v>
      </c>
    </row>
    <row r="360" spans="1:12">
      <c r="A360" t="s">
        <v>295</v>
      </c>
      <c r="B360">
        <v>5</v>
      </c>
      <c r="C360" t="str">
        <f t="shared" si="46"/>
        <v>test.ImageData_5_</v>
      </c>
      <c r="D360">
        <v>6</v>
      </c>
      <c r="E360">
        <v>1</v>
      </c>
      <c r="F360">
        <v>1.1111443999999999</v>
      </c>
      <c r="G360" s="1" t="str">
        <f t="shared" si="47"/>
        <v/>
      </c>
      <c r="H360" s="1" t="str">
        <f t="shared" si="48"/>
        <v/>
      </c>
      <c r="I360" s="1" t="str">
        <f t="shared" si="49"/>
        <v/>
      </c>
      <c r="J360" s="1" t="str">
        <f t="shared" si="50"/>
        <v/>
      </c>
      <c r="K360" s="1" t="str">
        <f t="shared" si="51"/>
        <v/>
      </c>
      <c r="L360" s="1">
        <f t="shared" si="52"/>
        <v>1</v>
      </c>
    </row>
    <row r="361" spans="1:12">
      <c r="A361" t="s">
        <v>295</v>
      </c>
      <c r="B361">
        <v>6</v>
      </c>
      <c r="C361" t="str">
        <f t="shared" si="46"/>
        <v>test.ImageData_6_</v>
      </c>
      <c r="D361">
        <v>1</v>
      </c>
      <c r="E361">
        <v>0.40729483282674772</v>
      </c>
      <c r="F361">
        <v>0.77777776666666665</v>
      </c>
      <c r="G361" s="1" t="str">
        <f t="shared" si="47"/>
        <v/>
      </c>
      <c r="H361" s="1" t="str">
        <f t="shared" si="48"/>
        <v/>
      </c>
      <c r="I361" s="1" t="str">
        <f t="shared" si="49"/>
        <v/>
      </c>
      <c r="J361" s="1">
        <f t="shared" si="50"/>
        <v>0.40729483282674772</v>
      </c>
      <c r="K361" s="1" t="str">
        <f t="shared" si="51"/>
        <v/>
      </c>
      <c r="L361" s="1" t="str">
        <f t="shared" si="52"/>
        <v/>
      </c>
    </row>
    <row r="362" spans="1:12">
      <c r="A362" t="s">
        <v>295</v>
      </c>
      <c r="B362">
        <v>6</v>
      </c>
      <c r="C362" t="str">
        <f t="shared" si="46"/>
        <v>test.ImageData_6_</v>
      </c>
      <c r="D362">
        <v>2</v>
      </c>
      <c r="E362">
        <v>0.50759878419452886</v>
      </c>
      <c r="F362">
        <v>1</v>
      </c>
      <c r="G362" s="1" t="str">
        <f t="shared" si="47"/>
        <v/>
      </c>
      <c r="H362" s="1" t="str">
        <f t="shared" si="48"/>
        <v/>
      </c>
      <c r="I362" s="1" t="str">
        <f t="shared" si="49"/>
        <v/>
      </c>
      <c r="J362" s="1" t="str">
        <f t="shared" si="50"/>
        <v/>
      </c>
      <c r="K362" s="1">
        <f t="shared" si="51"/>
        <v>0.50759878419452886</v>
      </c>
      <c r="L362" s="1" t="str">
        <f t="shared" si="52"/>
        <v/>
      </c>
    </row>
    <row r="363" spans="1:12">
      <c r="A363" t="s">
        <v>295</v>
      </c>
      <c r="B363">
        <v>6</v>
      </c>
      <c r="C363" t="str">
        <f t="shared" si="46"/>
        <v>test.ImageData_6_</v>
      </c>
      <c r="D363">
        <v>3</v>
      </c>
      <c r="E363">
        <v>0.50759878419452886</v>
      </c>
      <c r="F363">
        <v>1.0000333333333333</v>
      </c>
      <c r="G363" s="1" t="str">
        <f t="shared" si="47"/>
        <v/>
      </c>
      <c r="H363" s="1" t="str">
        <f t="shared" si="48"/>
        <v/>
      </c>
      <c r="I363" s="1" t="str">
        <f t="shared" si="49"/>
        <v/>
      </c>
      <c r="J363" s="1" t="str">
        <f t="shared" si="50"/>
        <v/>
      </c>
      <c r="K363" s="1">
        <f t="shared" si="51"/>
        <v>0.50759878419452886</v>
      </c>
      <c r="L363" s="1" t="str">
        <f t="shared" si="52"/>
        <v/>
      </c>
    </row>
    <row r="364" spans="1:12">
      <c r="A364" t="s">
        <v>295</v>
      </c>
      <c r="B364">
        <v>6</v>
      </c>
      <c r="C364" t="str">
        <f t="shared" si="46"/>
        <v>test.ImageData_6_</v>
      </c>
      <c r="D364">
        <v>4</v>
      </c>
      <c r="E364">
        <v>0.96656534954407292</v>
      </c>
      <c r="F364">
        <v>1.0000666</v>
      </c>
      <c r="G364" s="1" t="str">
        <f t="shared" si="47"/>
        <v/>
      </c>
      <c r="H364" s="1" t="str">
        <f t="shared" si="48"/>
        <v/>
      </c>
      <c r="I364" s="1" t="str">
        <f t="shared" si="49"/>
        <v/>
      </c>
      <c r="J364" s="1" t="str">
        <f t="shared" si="50"/>
        <v/>
      </c>
      <c r="K364" s="1">
        <f t="shared" si="51"/>
        <v>0.96656534954407292</v>
      </c>
      <c r="L364" s="1" t="str">
        <f t="shared" si="52"/>
        <v/>
      </c>
    </row>
    <row r="365" spans="1:12">
      <c r="A365" t="s">
        <v>295</v>
      </c>
      <c r="B365">
        <v>6</v>
      </c>
      <c r="C365" t="str">
        <f t="shared" si="46"/>
        <v>test.ImageData_6_</v>
      </c>
      <c r="D365">
        <v>5</v>
      </c>
      <c r="E365">
        <v>0.96656534954407292</v>
      </c>
      <c r="F365">
        <v>1.0000998999999999</v>
      </c>
      <c r="G365" s="1" t="str">
        <f t="shared" si="47"/>
        <v/>
      </c>
      <c r="H365" s="1" t="str">
        <f t="shared" si="48"/>
        <v/>
      </c>
      <c r="I365" s="1" t="str">
        <f t="shared" si="49"/>
        <v/>
      </c>
      <c r="J365" s="1" t="str">
        <f t="shared" si="50"/>
        <v/>
      </c>
      <c r="K365" s="1">
        <f t="shared" si="51"/>
        <v>0.96656534954407292</v>
      </c>
      <c r="L365" s="1" t="str">
        <f t="shared" si="52"/>
        <v/>
      </c>
    </row>
    <row r="366" spans="1:12">
      <c r="A366" t="s">
        <v>295</v>
      </c>
      <c r="B366">
        <v>6</v>
      </c>
      <c r="C366" t="str">
        <f t="shared" si="46"/>
        <v>test.ImageData_6_</v>
      </c>
      <c r="D366">
        <v>6</v>
      </c>
      <c r="E366">
        <v>0.96656534954407292</v>
      </c>
      <c r="F366">
        <v>1.0001332000000001</v>
      </c>
      <c r="G366" s="1" t="str">
        <f t="shared" si="47"/>
        <v/>
      </c>
      <c r="H366" s="1" t="str">
        <f t="shared" si="48"/>
        <v/>
      </c>
      <c r="I366" s="1" t="str">
        <f t="shared" si="49"/>
        <v/>
      </c>
      <c r="J366" s="1" t="str">
        <f t="shared" si="50"/>
        <v/>
      </c>
      <c r="K366" s="1">
        <f t="shared" si="51"/>
        <v>0.96656534954407292</v>
      </c>
      <c r="L366" s="1" t="str">
        <f t="shared" si="52"/>
        <v/>
      </c>
    </row>
    <row r="367" spans="1:12">
      <c r="A367" t="s">
        <v>295</v>
      </c>
      <c r="B367">
        <v>6</v>
      </c>
      <c r="C367" t="str">
        <f t="shared" si="46"/>
        <v>test.ImageData_6_</v>
      </c>
      <c r="D367">
        <v>7</v>
      </c>
      <c r="E367">
        <v>1</v>
      </c>
      <c r="F367">
        <v>1.0001665</v>
      </c>
      <c r="G367" s="1" t="str">
        <f t="shared" si="47"/>
        <v/>
      </c>
      <c r="H367" s="1" t="str">
        <f t="shared" si="48"/>
        <v/>
      </c>
      <c r="I367" s="1" t="str">
        <f t="shared" si="49"/>
        <v/>
      </c>
      <c r="J367" s="1" t="str">
        <f t="shared" si="50"/>
        <v/>
      </c>
      <c r="K367" s="1">
        <f t="shared" si="51"/>
        <v>1</v>
      </c>
      <c r="L367" s="1" t="str">
        <f t="shared" si="52"/>
        <v/>
      </c>
    </row>
    <row r="368" spans="1:12">
      <c r="A368" t="s">
        <v>295</v>
      </c>
      <c r="B368">
        <v>6</v>
      </c>
      <c r="C368" t="str">
        <f t="shared" si="46"/>
        <v>test.ImageData_6_</v>
      </c>
      <c r="D368">
        <v>8</v>
      </c>
      <c r="E368">
        <v>1</v>
      </c>
      <c r="F368">
        <v>1.1111111</v>
      </c>
      <c r="G368" s="1" t="str">
        <f t="shared" si="47"/>
        <v/>
      </c>
      <c r="H368" s="1" t="str">
        <f t="shared" si="48"/>
        <v/>
      </c>
      <c r="I368" s="1" t="str">
        <f t="shared" si="49"/>
        <v/>
      </c>
      <c r="J368" s="1" t="str">
        <f t="shared" si="50"/>
        <v/>
      </c>
      <c r="K368" s="1" t="str">
        <f t="shared" si="51"/>
        <v/>
      </c>
      <c r="L368" s="1">
        <f t="shared" si="52"/>
        <v>1</v>
      </c>
    </row>
    <row r="369" spans="1:12">
      <c r="A369" t="s">
        <v>295</v>
      </c>
      <c r="B369">
        <v>6</v>
      </c>
      <c r="C369" t="str">
        <f t="shared" si="46"/>
        <v>test.ImageData_6_</v>
      </c>
      <c r="D369">
        <v>9</v>
      </c>
      <c r="E369">
        <v>1</v>
      </c>
      <c r="F369">
        <v>1.1111443999999999</v>
      </c>
      <c r="G369" s="1" t="str">
        <f t="shared" si="47"/>
        <v/>
      </c>
      <c r="H369" s="1" t="str">
        <f t="shared" si="48"/>
        <v/>
      </c>
      <c r="I369" s="1" t="str">
        <f t="shared" si="49"/>
        <v/>
      </c>
      <c r="J369" s="1" t="str">
        <f t="shared" si="50"/>
        <v/>
      </c>
      <c r="K369" s="1" t="str">
        <f t="shared" si="51"/>
        <v/>
      </c>
      <c r="L369" s="1">
        <f t="shared" si="52"/>
        <v>1</v>
      </c>
    </row>
    <row r="370" spans="1:12">
      <c r="A370" t="s">
        <v>295</v>
      </c>
      <c r="B370">
        <v>6</v>
      </c>
      <c r="C370" t="str">
        <f t="shared" si="46"/>
        <v>test.ImageData_6_</v>
      </c>
      <c r="D370">
        <v>10</v>
      </c>
      <c r="E370">
        <v>1</v>
      </c>
      <c r="F370">
        <v>1.2222222333333332</v>
      </c>
      <c r="G370" s="1" t="str">
        <f t="shared" si="47"/>
        <v/>
      </c>
      <c r="H370" s="1" t="str">
        <f t="shared" si="48"/>
        <v/>
      </c>
      <c r="I370" s="1" t="str">
        <f t="shared" si="49"/>
        <v/>
      </c>
      <c r="J370" s="1" t="str">
        <f t="shared" si="50"/>
        <v/>
      </c>
      <c r="K370" s="1" t="str">
        <f t="shared" si="51"/>
        <v/>
      </c>
      <c r="L370" s="1">
        <f t="shared" si="52"/>
        <v>1</v>
      </c>
    </row>
    <row r="371" spans="1:12">
      <c r="A371" t="s">
        <v>295</v>
      </c>
      <c r="B371">
        <v>7</v>
      </c>
      <c r="C371" t="str">
        <f t="shared" si="46"/>
        <v>test.ImageData_7_</v>
      </c>
      <c r="D371">
        <v>1</v>
      </c>
      <c r="E371">
        <v>8.7901394745377878E-2</v>
      </c>
      <c r="F371">
        <v>0.31249998710937538</v>
      </c>
      <c r="G371" s="1" t="str">
        <f t="shared" si="47"/>
        <v/>
      </c>
      <c r="H371" s="1">
        <f t="shared" si="48"/>
        <v>8.7901394745377878E-2</v>
      </c>
      <c r="I371" s="1" t="str">
        <f t="shared" si="49"/>
        <v/>
      </c>
      <c r="J371" s="1" t="str">
        <f t="shared" si="50"/>
        <v/>
      </c>
      <c r="K371" s="1" t="str">
        <f t="shared" si="51"/>
        <v/>
      </c>
      <c r="L371" s="1" t="str">
        <f t="shared" si="52"/>
        <v/>
      </c>
    </row>
    <row r="372" spans="1:12">
      <c r="A372" t="s">
        <v>295</v>
      </c>
      <c r="B372">
        <v>7</v>
      </c>
      <c r="C372" t="str">
        <f t="shared" si="46"/>
        <v>test.ImageData_7_</v>
      </c>
      <c r="D372">
        <v>2</v>
      </c>
      <c r="E372">
        <v>0.12390528705806034</v>
      </c>
      <c r="F372">
        <v>0.3125093527340827</v>
      </c>
      <c r="G372" s="1" t="str">
        <f t="shared" si="47"/>
        <v/>
      </c>
      <c r="H372" s="1">
        <f t="shared" si="48"/>
        <v>0.12390528705806034</v>
      </c>
      <c r="I372" s="1" t="str">
        <f t="shared" si="49"/>
        <v/>
      </c>
      <c r="J372" s="1" t="str">
        <f t="shared" si="50"/>
        <v/>
      </c>
      <c r="K372" s="1" t="str">
        <f t="shared" si="51"/>
        <v/>
      </c>
      <c r="L372" s="1" t="str">
        <f t="shared" si="52"/>
        <v/>
      </c>
    </row>
    <row r="373" spans="1:12">
      <c r="A373" t="s">
        <v>295</v>
      </c>
      <c r="B373">
        <v>7</v>
      </c>
      <c r="C373" t="str">
        <f t="shared" si="46"/>
        <v>test.ImageData_7_</v>
      </c>
      <c r="D373">
        <v>3</v>
      </c>
      <c r="E373">
        <v>0.22802465131365554</v>
      </c>
      <c r="F373">
        <v>0.37499998828125036</v>
      </c>
      <c r="G373" s="1" t="str">
        <f t="shared" si="47"/>
        <v/>
      </c>
      <c r="H373" s="1">
        <f t="shared" si="48"/>
        <v>0.22802465131365554</v>
      </c>
      <c r="I373" s="1" t="str">
        <f t="shared" si="49"/>
        <v/>
      </c>
      <c r="J373" s="1" t="str">
        <f t="shared" si="50"/>
        <v/>
      </c>
      <c r="K373" s="1" t="str">
        <f t="shared" si="51"/>
        <v/>
      </c>
      <c r="L373" s="1" t="str">
        <f t="shared" si="52"/>
        <v/>
      </c>
    </row>
    <row r="374" spans="1:12">
      <c r="A374" t="s">
        <v>295</v>
      </c>
      <c r="B374">
        <v>7</v>
      </c>
      <c r="C374" t="str">
        <f t="shared" si="46"/>
        <v>test.ImageData_7_</v>
      </c>
      <c r="D374">
        <v>4</v>
      </c>
      <c r="E374">
        <v>0.26759649691858578</v>
      </c>
      <c r="F374">
        <v>0.37500936328095735</v>
      </c>
      <c r="G374" s="1" t="str">
        <f t="shared" si="47"/>
        <v/>
      </c>
      <c r="H374" s="1">
        <f t="shared" si="48"/>
        <v>0.26759649691858578</v>
      </c>
      <c r="I374" s="1" t="str">
        <f t="shared" si="49"/>
        <v/>
      </c>
      <c r="J374" s="1" t="str">
        <f t="shared" si="50"/>
        <v/>
      </c>
      <c r="K374" s="1" t="str">
        <f t="shared" si="51"/>
        <v/>
      </c>
      <c r="L374" s="1" t="str">
        <f t="shared" si="52"/>
        <v/>
      </c>
    </row>
    <row r="375" spans="1:12">
      <c r="A375" t="s">
        <v>295</v>
      </c>
      <c r="B375">
        <v>7</v>
      </c>
      <c r="C375" t="str">
        <f t="shared" si="46"/>
        <v>test.ImageData_7_</v>
      </c>
      <c r="D375">
        <v>5</v>
      </c>
      <c r="E375">
        <v>0.35420045410314627</v>
      </c>
      <c r="F375">
        <v>0.40625000292968744</v>
      </c>
      <c r="G375" s="1" t="str">
        <f t="shared" si="47"/>
        <v/>
      </c>
      <c r="H375" s="1" t="str">
        <f t="shared" si="48"/>
        <v/>
      </c>
      <c r="I375" s="1">
        <f t="shared" si="49"/>
        <v>0.35420045410314627</v>
      </c>
      <c r="J375" s="1" t="str">
        <f t="shared" si="50"/>
        <v/>
      </c>
      <c r="K375" s="1" t="str">
        <f t="shared" si="51"/>
        <v/>
      </c>
      <c r="L375" s="1" t="str">
        <f t="shared" si="52"/>
        <v/>
      </c>
    </row>
    <row r="376" spans="1:12">
      <c r="A376" t="s">
        <v>295</v>
      </c>
      <c r="B376">
        <v>7</v>
      </c>
      <c r="C376" t="str">
        <f t="shared" si="46"/>
        <v>test.ImageData_7_</v>
      </c>
      <c r="D376">
        <v>6</v>
      </c>
      <c r="E376">
        <v>0.43950697372688941</v>
      </c>
      <c r="F376">
        <v>0.40625938730439415</v>
      </c>
      <c r="G376" s="1" t="str">
        <f t="shared" si="47"/>
        <v/>
      </c>
      <c r="H376" s="1" t="str">
        <f t="shared" si="48"/>
        <v/>
      </c>
      <c r="I376" s="1">
        <f t="shared" si="49"/>
        <v>0.43950697372688941</v>
      </c>
      <c r="J376" s="1" t="str">
        <f t="shared" si="50"/>
        <v/>
      </c>
      <c r="K376" s="1" t="str">
        <f t="shared" si="51"/>
        <v/>
      </c>
      <c r="L376" s="1" t="str">
        <f t="shared" si="52"/>
        <v/>
      </c>
    </row>
    <row r="377" spans="1:12">
      <c r="A377" t="s">
        <v>295</v>
      </c>
      <c r="B377">
        <v>7</v>
      </c>
      <c r="C377" t="str">
        <f t="shared" si="46"/>
        <v>test.ImageData_7_</v>
      </c>
      <c r="D377">
        <v>7</v>
      </c>
      <c r="E377">
        <v>0.51151475835225435</v>
      </c>
      <c r="F377">
        <v>0.40626879980410002</v>
      </c>
      <c r="G377" s="1" t="str">
        <f t="shared" si="47"/>
        <v/>
      </c>
      <c r="H377" s="1" t="str">
        <f t="shared" si="48"/>
        <v/>
      </c>
      <c r="I377" s="1">
        <f t="shared" si="49"/>
        <v>0.51151475835225435</v>
      </c>
      <c r="J377" s="1" t="str">
        <f t="shared" si="50"/>
        <v/>
      </c>
      <c r="K377" s="1" t="str">
        <f t="shared" si="51"/>
        <v/>
      </c>
      <c r="L377" s="1" t="str">
        <f t="shared" si="52"/>
        <v/>
      </c>
    </row>
    <row r="378" spans="1:12">
      <c r="A378" t="s">
        <v>295</v>
      </c>
      <c r="B378">
        <v>7</v>
      </c>
      <c r="C378" t="str">
        <f t="shared" si="46"/>
        <v>test.ImageData_7_</v>
      </c>
      <c r="D378">
        <v>8</v>
      </c>
      <c r="E378">
        <v>0.65131365553032761</v>
      </c>
      <c r="F378">
        <v>0.46874998535156293</v>
      </c>
      <c r="G378" s="1" t="str">
        <f t="shared" si="47"/>
        <v/>
      </c>
      <c r="H378" s="1" t="str">
        <f t="shared" si="48"/>
        <v/>
      </c>
      <c r="I378" s="1">
        <f t="shared" si="49"/>
        <v>0.65131365553032761</v>
      </c>
      <c r="J378" s="1" t="str">
        <f t="shared" si="50"/>
        <v/>
      </c>
      <c r="K378" s="1" t="str">
        <f t="shared" si="51"/>
        <v/>
      </c>
      <c r="L378" s="1" t="str">
        <f t="shared" si="52"/>
        <v/>
      </c>
    </row>
    <row r="379" spans="1:12">
      <c r="A379" t="s">
        <v>295</v>
      </c>
      <c r="B379">
        <v>7</v>
      </c>
      <c r="C379" t="str">
        <f t="shared" si="46"/>
        <v>test.ImageData_7_</v>
      </c>
      <c r="D379">
        <v>9</v>
      </c>
      <c r="E379">
        <v>0.7969510217320791</v>
      </c>
      <c r="F379">
        <v>0.46875936035126997</v>
      </c>
      <c r="G379" s="1" t="str">
        <f t="shared" si="47"/>
        <v/>
      </c>
      <c r="H379" s="1" t="str">
        <f t="shared" si="48"/>
        <v/>
      </c>
      <c r="I379" s="1">
        <f t="shared" si="49"/>
        <v>0.7969510217320791</v>
      </c>
      <c r="J379" s="1" t="str">
        <f t="shared" si="50"/>
        <v/>
      </c>
      <c r="K379" s="1" t="str">
        <f t="shared" si="51"/>
        <v/>
      </c>
      <c r="L379" s="1" t="str">
        <f t="shared" si="52"/>
        <v/>
      </c>
    </row>
    <row r="380" spans="1:12">
      <c r="A380" t="s">
        <v>295</v>
      </c>
      <c r="B380">
        <v>7</v>
      </c>
      <c r="C380" t="str">
        <f t="shared" si="46"/>
        <v>test.ImageData_7_</v>
      </c>
      <c r="D380">
        <v>10</v>
      </c>
      <c r="E380">
        <v>1</v>
      </c>
      <c r="F380">
        <v>0.46876876347597618</v>
      </c>
      <c r="G380" s="1" t="str">
        <f t="shared" si="47"/>
        <v/>
      </c>
      <c r="H380" s="1" t="str">
        <f t="shared" si="48"/>
        <v/>
      </c>
      <c r="I380" s="1">
        <f t="shared" si="49"/>
        <v>1</v>
      </c>
      <c r="J380" s="1" t="str">
        <f t="shared" si="50"/>
        <v/>
      </c>
      <c r="K380" s="1" t="str">
        <f t="shared" si="51"/>
        <v/>
      </c>
      <c r="L380" s="1" t="str">
        <f t="shared" si="52"/>
        <v/>
      </c>
    </row>
    <row r="381" spans="1:12">
      <c r="A381" t="s">
        <v>295</v>
      </c>
      <c r="B381">
        <v>8</v>
      </c>
      <c r="C381" t="str">
        <f t="shared" si="46"/>
        <v>test.ImageData_8_</v>
      </c>
      <c r="D381">
        <v>1</v>
      </c>
      <c r="E381">
        <v>4.8519443453442737E-2</v>
      </c>
      <c r="F381">
        <v>5.8201058730158732E-2</v>
      </c>
      <c r="G381" s="1">
        <f t="shared" si="47"/>
        <v>4.8519443453442737E-2</v>
      </c>
      <c r="H381" s="1" t="str">
        <f t="shared" si="48"/>
        <v/>
      </c>
      <c r="I381" s="1" t="str">
        <f t="shared" si="49"/>
        <v/>
      </c>
      <c r="J381" s="1" t="str">
        <f t="shared" si="50"/>
        <v/>
      </c>
      <c r="K381" s="1" t="str">
        <f t="shared" si="51"/>
        <v/>
      </c>
      <c r="L381" s="1" t="str">
        <f t="shared" si="52"/>
        <v/>
      </c>
    </row>
    <row r="382" spans="1:12">
      <c r="A382" t="s">
        <v>295</v>
      </c>
      <c r="B382">
        <v>8</v>
      </c>
      <c r="C382" t="str">
        <f t="shared" si="46"/>
        <v>test.ImageData_8_</v>
      </c>
      <c r="D382">
        <v>2</v>
      </c>
      <c r="E382">
        <v>8.6336068498037821E-2</v>
      </c>
      <c r="F382">
        <v>7.9365079365079361E-2</v>
      </c>
      <c r="G382" s="1">
        <f t="shared" si="47"/>
        <v>8.6336068498037821E-2</v>
      </c>
      <c r="H382" s="1" t="str">
        <f t="shared" si="48"/>
        <v/>
      </c>
      <c r="I382" s="1" t="str">
        <f t="shared" si="49"/>
        <v/>
      </c>
      <c r="J382" s="1" t="str">
        <f t="shared" si="50"/>
        <v/>
      </c>
      <c r="K382" s="1" t="str">
        <f t="shared" si="51"/>
        <v/>
      </c>
      <c r="L382" s="1" t="str">
        <f t="shared" si="52"/>
        <v/>
      </c>
    </row>
    <row r="383" spans="1:12">
      <c r="A383" t="s">
        <v>295</v>
      </c>
      <c r="B383">
        <v>8</v>
      </c>
      <c r="C383" t="str">
        <f t="shared" si="46"/>
        <v>test.ImageData_8_</v>
      </c>
      <c r="D383">
        <v>3</v>
      </c>
      <c r="E383">
        <v>0.17873706742775597</v>
      </c>
      <c r="F383">
        <v>0.1111111111111111</v>
      </c>
      <c r="G383" s="1">
        <f t="shared" si="47"/>
        <v>0.17873706742775597</v>
      </c>
      <c r="H383" s="1" t="str">
        <f t="shared" si="48"/>
        <v/>
      </c>
      <c r="I383" s="1" t="str">
        <f t="shared" si="49"/>
        <v/>
      </c>
      <c r="J383" s="1" t="str">
        <f t="shared" si="50"/>
        <v/>
      </c>
      <c r="K383" s="1" t="str">
        <f t="shared" si="51"/>
        <v/>
      </c>
      <c r="L383" s="1" t="str">
        <f t="shared" si="52"/>
        <v/>
      </c>
    </row>
    <row r="384" spans="1:12">
      <c r="A384" t="s">
        <v>295</v>
      </c>
      <c r="B384">
        <v>8</v>
      </c>
      <c r="C384" t="str">
        <f t="shared" si="46"/>
        <v>test.ImageData_8_</v>
      </c>
      <c r="D384">
        <v>4</v>
      </c>
      <c r="E384">
        <v>0.41705315733143061</v>
      </c>
      <c r="F384">
        <v>0.21693122222222222</v>
      </c>
      <c r="G384" s="1" t="str">
        <f t="shared" si="47"/>
        <v/>
      </c>
      <c r="H384" s="1">
        <f t="shared" si="48"/>
        <v>0.41705315733143061</v>
      </c>
      <c r="I384" s="1" t="str">
        <f t="shared" si="49"/>
        <v/>
      </c>
      <c r="J384" s="1" t="str">
        <f t="shared" si="50"/>
        <v/>
      </c>
      <c r="K384" s="1" t="str">
        <f t="shared" si="51"/>
        <v/>
      </c>
      <c r="L384" s="1" t="str">
        <f t="shared" si="52"/>
        <v/>
      </c>
    </row>
    <row r="385" spans="1:12">
      <c r="A385" t="s">
        <v>295</v>
      </c>
      <c r="B385">
        <v>8</v>
      </c>
      <c r="C385" t="str">
        <f t="shared" si="46"/>
        <v>test.ImageData_8_</v>
      </c>
      <c r="D385">
        <v>5</v>
      </c>
      <c r="E385">
        <v>0.68105601141633965</v>
      </c>
      <c r="F385">
        <v>0.23809523809523808</v>
      </c>
      <c r="G385" s="1" t="str">
        <f t="shared" si="47"/>
        <v/>
      </c>
      <c r="H385" s="1">
        <f t="shared" si="48"/>
        <v>0.68105601141633965</v>
      </c>
      <c r="I385" s="1" t="str">
        <f t="shared" si="49"/>
        <v/>
      </c>
      <c r="J385" s="1" t="str">
        <f t="shared" si="50"/>
        <v/>
      </c>
      <c r="K385" s="1" t="str">
        <f t="shared" si="51"/>
        <v/>
      </c>
      <c r="L385" s="1" t="str">
        <f t="shared" si="52"/>
        <v/>
      </c>
    </row>
    <row r="386" spans="1:12">
      <c r="A386" t="s">
        <v>295</v>
      </c>
      <c r="B386">
        <v>8</v>
      </c>
      <c r="C386" t="str">
        <f t="shared" si="46"/>
        <v>test.ImageData_8_</v>
      </c>
      <c r="D386">
        <v>6</v>
      </c>
      <c r="E386">
        <v>1</v>
      </c>
      <c r="F386">
        <v>0.24867725396825396</v>
      </c>
      <c r="G386" s="1" t="str">
        <f t="shared" si="47"/>
        <v/>
      </c>
      <c r="H386" s="1">
        <f t="shared" si="48"/>
        <v>1</v>
      </c>
      <c r="I386" s="1" t="str">
        <f t="shared" si="49"/>
        <v/>
      </c>
      <c r="J386" s="1" t="str">
        <f t="shared" si="50"/>
        <v/>
      </c>
      <c r="K386" s="1" t="str">
        <f t="shared" si="51"/>
        <v/>
      </c>
      <c r="L386" s="1" t="str">
        <f t="shared" si="52"/>
        <v/>
      </c>
    </row>
    <row r="387" spans="1:12">
      <c r="A387" t="s">
        <v>295</v>
      </c>
      <c r="B387">
        <v>9</v>
      </c>
      <c r="C387" t="str">
        <f t="shared" ref="C387:C450" si="53">CONCATENATE(A387, "_",B387,"_")</f>
        <v>test.ImageData_9_</v>
      </c>
      <c r="D387">
        <v>1</v>
      </c>
      <c r="E387">
        <v>2.9411764705882353E-2</v>
      </c>
      <c r="F387">
        <v>7.2727272727272724E-2</v>
      </c>
      <c r="G387" s="1">
        <f t="shared" ref="G387:G450" si="54">IF($F387 &lt;= 0.2,$E387,"")</f>
        <v>2.9411764705882353E-2</v>
      </c>
      <c r="H387" s="1" t="str">
        <f t="shared" ref="H387:H450" si="55">IF(AND($F387 &gt; 0.2,$F387 &lt;= 0.4),$E387,"")</f>
        <v/>
      </c>
      <c r="I387" s="1" t="str">
        <f t="shared" ref="I387:I450" si="56">IF(AND($F387 &gt; 0.4,$F387 &lt;= 0.6),$E387,"")</f>
        <v/>
      </c>
      <c r="J387" s="1" t="str">
        <f t="shared" ref="J387:J450" si="57">IF(AND($F387 &gt; 0.6,$F387 &lt;= 0.8),$E387,"")</f>
        <v/>
      </c>
      <c r="K387" s="1" t="str">
        <f t="shared" ref="K387:K450" si="58">IF(AND($F387 &gt; 0.8, $F387 &lt;=1.1),$E387,"")</f>
        <v/>
      </c>
      <c r="L387" s="1" t="str">
        <f t="shared" ref="L387:L450" si="59">IF(AND($F387 &gt; 1.1),$E387,"")</f>
        <v/>
      </c>
    </row>
    <row r="388" spans="1:12">
      <c r="A388" t="s">
        <v>295</v>
      </c>
      <c r="B388">
        <v>9</v>
      </c>
      <c r="C388" t="str">
        <f t="shared" si="53"/>
        <v>test.ImageData_9_</v>
      </c>
      <c r="D388">
        <v>2</v>
      </c>
      <c r="E388">
        <v>5.8823529411764705E-2</v>
      </c>
      <c r="F388">
        <v>9.0909090909090912E-2</v>
      </c>
      <c r="G388" s="1">
        <f t="shared" si="54"/>
        <v>5.8823529411764705E-2</v>
      </c>
      <c r="H388" s="1" t="str">
        <f t="shared" si="55"/>
        <v/>
      </c>
      <c r="I388" s="1" t="str">
        <f t="shared" si="56"/>
        <v/>
      </c>
      <c r="J388" s="1" t="str">
        <f t="shared" si="57"/>
        <v/>
      </c>
      <c r="K388" s="1" t="str">
        <f t="shared" si="58"/>
        <v/>
      </c>
      <c r="L388" s="1" t="str">
        <f t="shared" si="59"/>
        <v/>
      </c>
    </row>
    <row r="389" spans="1:12">
      <c r="A389" t="s">
        <v>295</v>
      </c>
      <c r="B389">
        <v>9</v>
      </c>
      <c r="C389" t="str">
        <f t="shared" si="53"/>
        <v>test.ImageData_9_</v>
      </c>
      <c r="D389">
        <v>3</v>
      </c>
      <c r="E389">
        <v>0.1148356401384083</v>
      </c>
      <c r="F389">
        <v>0.12727272727272726</v>
      </c>
      <c r="G389" s="1">
        <f t="shared" si="54"/>
        <v>0.1148356401384083</v>
      </c>
      <c r="H389" s="1" t="str">
        <f t="shared" si="55"/>
        <v/>
      </c>
      <c r="I389" s="1" t="str">
        <f t="shared" si="56"/>
        <v/>
      </c>
      <c r="J389" s="1" t="str">
        <f t="shared" si="57"/>
        <v/>
      </c>
      <c r="K389" s="1" t="str">
        <f t="shared" si="58"/>
        <v/>
      </c>
      <c r="L389" s="1" t="str">
        <f t="shared" si="59"/>
        <v/>
      </c>
    </row>
    <row r="390" spans="1:12">
      <c r="A390" t="s">
        <v>295</v>
      </c>
      <c r="B390">
        <v>9</v>
      </c>
      <c r="C390" t="str">
        <f t="shared" si="53"/>
        <v>test.ImageData_9_</v>
      </c>
      <c r="D390">
        <v>4</v>
      </c>
      <c r="E390">
        <v>0.20523356401384082</v>
      </c>
      <c r="F390">
        <v>0.15151514545454545</v>
      </c>
      <c r="G390" s="1">
        <f t="shared" si="54"/>
        <v>0.20523356401384082</v>
      </c>
      <c r="H390" s="1" t="str">
        <f t="shared" si="55"/>
        <v/>
      </c>
      <c r="I390" s="1" t="str">
        <f t="shared" si="56"/>
        <v/>
      </c>
      <c r="J390" s="1" t="str">
        <f t="shared" si="57"/>
        <v/>
      </c>
      <c r="K390" s="1" t="str">
        <f t="shared" si="58"/>
        <v/>
      </c>
      <c r="L390" s="1" t="str">
        <f t="shared" si="59"/>
        <v/>
      </c>
    </row>
    <row r="391" spans="1:12">
      <c r="A391" t="s">
        <v>295</v>
      </c>
      <c r="B391">
        <v>9</v>
      </c>
      <c r="C391" t="str">
        <f t="shared" si="53"/>
        <v>test.ImageData_9_</v>
      </c>
      <c r="D391">
        <v>5</v>
      </c>
      <c r="E391">
        <v>0.33217993079584773</v>
      </c>
      <c r="F391">
        <v>0.17575758181818182</v>
      </c>
      <c r="G391" s="1">
        <f t="shared" si="54"/>
        <v>0.33217993079584773</v>
      </c>
      <c r="H391" s="1" t="str">
        <f t="shared" si="55"/>
        <v/>
      </c>
      <c r="I391" s="1" t="str">
        <f t="shared" si="56"/>
        <v/>
      </c>
      <c r="J391" s="1" t="str">
        <f t="shared" si="57"/>
        <v/>
      </c>
      <c r="K391" s="1" t="str">
        <f t="shared" si="58"/>
        <v/>
      </c>
      <c r="L391" s="1" t="str">
        <f t="shared" si="59"/>
        <v/>
      </c>
    </row>
    <row r="392" spans="1:12">
      <c r="A392" t="s">
        <v>295</v>
      </c>
      <c r="B392">
        <v>9</v>
      </c>
      <c r="C392" t="str">
        <f t="shared" si="53"/>
        <v>test.ImageData_9_</v>
      </c>
      <c r="D392">
        <v>6</v>
      </c>
      <c r="E392">
        <v>0.50216262975778547</v>
      </c>
      <c r="F392">
        <v>0.23636363636363636</v>
      </c>
      <c r="G392" s="1" t="str">
        <f t="shared" si="54"/>
        <v/>
      </c>
      <c r="H392" s="1">
        <f t="shared" si="55"/>
        <v>0.50216262975778547</v>
      </c>
      <c r="I392" s="1" t="str">
        <f t="shared" si="56"/>
        <v/>
      </c>
      <c r="J392" s="1" t="str">
        <f t="shared" si="57"/>
        <v/>
      </c>
      <c r="K392" s="1" t="str">
        <f t="shared" si="58"/>
        <v/>
      </c>
      <c r="L392" s="1" t="str">
        <f t="shared" si="59"/>
        <v/>
      </c>
    </row>
    <row r="393" spans="1:12">
      <c r="A393" t="s">
        <v>295</v>
      </c>
      <c r="B393">
        <v>9</v>
      </c>
      <c r="C393" t="str">
        <f t="shared" si="53"/>
        <v>test.ImageData_9_</v>
      </c>
      <c r="D393">
        <v>7</v>
      </c>
      <c r="E393">
        <v>0.69550173010380623</v>
      </c>
      <c r="F393">
        <v>0.26060605454545455</v>
      </c>
      <c r="G393" s="1" t="str">
        <f t="shared" si="54"/>
        <v/>
      </c>
      <c r="H393" s="1">
        <f t="shared" si="55"/>
        <v>0.69550173010380623</v>
      </c>
      <c r="I393" s="1" t="str">
        <f t="shared" si="56"/>
        <v/>
      </c>
      <c r="J393" s="1" t="str">
        <f t="shared" si="57"/>
        <v/>
      </c>
      <c r="K393" s="1" t="str">
        <f t="shared" si="58"/>
        <v/>
      </c>
      <c r="L393" s="1" t="str">
        <f t="shared" si="59"/>
        <v/>
      </c>
    </row>
    <row r="394" spans="1:12">
      <c r="A394" t="s">
        <v>295</v>
      </c>
      <c r="B394">
        <v>9</v>
      </c>
      <c r="C394" t="str">
        <f t="shared" si="53"/>
        <v>test.ImageData_9_</v>
      </c>
      <c r="D394">
        <v>8</v>
      </c>
      <c r="E394">
        <v>0.83996539792387548</v>
      </c>
      <c r="F394">
        <v>0.35757574545454546</v>
      </c>
      <c r="G394" s="1" t="str">
        <f t="shared" si="54"/>
        <v/>
      </c>
      <c r="H394" s="1">
        <f t="shared" si="55"/>
        <v>0.83996539792387548</v>
      </c>
      <c r="I394" s="1" t="str">
        <f t="shared" si="56"/>
        <v/>
      </c>
      <c r="J394" s="1" t="str">
        <f t="shared" si="57"/>
        <v/>
      </c>
      <c r="K394" s="1" t="str">
        <f t="shared" si="58"/>
        <v/>
      </c>
      <c r="L394" s="1" t="str">
        <f t="shared" si="59"/>
        <v/>
      </c>
    </row>
    <row r="395" spans="1:12">
      <c r="A395" t="s">
        <v>295</v>
      </c>
      <c r="B395">
        <v>9</v>
      </c>
      <c r="C395" t="str">
        <f t="shared" si="53"/>
        <v>test.ImageData_9_</v>
      </c>
      <c r="D395">
        <v>9</v>
      </c>
      <c r="E395">
        <v>1</v>
      </c>
      <c r="F395">
        <v>0.62424239999999998</v>
      </c>
      <c r="G395" s="1" t="str">
        <f t="shared" si="54"/>
        <v/>
      </c>
      <c r="H395" s="1" t="str">
        <f t="shared" si="55"/>
        <v/>
      </c>
      <c r="I395" s="1" t="str">
        <f t="shared" si="56"/>
        <v/>
      </c>
      <c r="J395" s="1">
        <f t="shared" si="57"/>
        <v>1</v>
      </c>
      <c r="K395" s="1" t="str">
        <f t="shared" si="58"/>
        <v/>
      </c>
      <c r="L395" s="1" t="str">
        <f t="shared" si="59"/>
        <v/>
      </c>
    </row>
    <row r="396" spans="1:12">
      <c r="A396" t="s">
        <v>295</v>
      </c>
      <c r="B396">
        <v>11</v>
      </c>
      <c r="C396" t="str">
        <f t="shared" si="53"/>
        <v>test.ImageData_11_</v>
      </c>
      <c r="D396">
        <v>1</v>
      </c>
      <c r="E396">
        <v>0.31725265739983649</v>
      </c>
      <c r="F396">
        <v>0.4400000216000009</v>
      </c>
      <c r="G396" s="1" t="str">
        <f t="shared" si="54"/>
        <v/>
      </c>
      <c r="H396" s="1" t="str">
        <f t="shared" si="55"/>
        <v/>
      </c>
      <c r="I396" s="1">
        <f t="shared" si="56"/>
        <v>0.31725265739983649</v>
      </c>
      <c r="J396" s="1" t="str">
        <f t="shared" si="57"/>
        <v/>
      </c>
      <c r="K396" s="1" t="str">
        <f t="shared" si="58"/>
        <v/>
      </c>
      <c r="L396" s="1" t="str">
        <f t="shared" si="59"/>
        <v/>
      </c>
    </row>
    <row r="397" spans="1:12">
      <c r="A397" t="s">
        <v>295</v>
      </c>
      <c r="B397">
        <v>11</v>
      </c>
      <c r="C397" t="str">
        <f t="shared" si="53"/>
        <v>test.ImageData_11_</v>
      </c>
      <c r="D397">
        <v>2</v>
      </c>
      <c r="E397">
        <v>1</v>
      </c>
      <c r="F397">
        <v>0.80000001200000048</v>
      </c>
      <c r="G397" s="1" t="str">
        <f t="shared" si="54"/>
        <v/>
      </c>
      <c r="H397" s="1" t="str">
        <f t="shared" si="55"/>
        <v/>
      </c>
      <c r="I397" s="1" t="str">
        <f t="shared" si="56"/>
        <v/>
      </c>
      <c r="J397" s="1" t="str">
        <f t="shared" si="57"/>
        <v/>
      </c>
      <c r="K397" s="1">
        <f t="shared" si="58"/>
        <v>1</v>
      </c>
      <c r="L397" s="1" t="str">
        <f t="shared" si="59"/>
        <v/>
      </c>
    </row>
    <row r="398" spans="1:12">
      <c r="A398" t="s">
        <v>295</v>
      </c>
      <c r="B398">
        <v>13</v>
      </c>
      <c r="C398" t="str">
        <f t="shared" si="53"/>
        <v>test.ImageData_13_</v>
      </c>
      <c r="D398">
        <v>1</v>
      </c>
      <c r="E398">
        <v>1.9681275796529347E-3</v>
      </c>
      <c r="F398">
        <v>4.7814205942622945E-3</v>
      </c>
      <c r="G398" s="1">
        <f t="shared" si="54"/>
        <v>1.9681275796529347E-3</v>
      </c>
      <c r="H398" s="1" t="str">
        <f t="shared" si="55"/>
        <v/>
      </c>
      <c r="I398" s="1" t="str">
        <f t="shared" si="56"/>
        <v/>
      </c>
      <c r="J398" s="1" t="str">
        <f t="shared" si="57"/>
        <v/>
      </c>
      <c r="K398" s="1" t="str">
        <f t="shared" si="58"/>
        <v/>
      </c>
      <c r="L398" s="1" t="str">
        <f t="shared" si="59"/>
        <v/>
      </c>
    </row>
    <row r="399" spans="1:12">
      <c r="A399" t="s">
        <v>295</v>
      </c>
      <c r="B399">
        <v>13</v>
      </c>
      <c r="C399" t="str">
        <f t="shared" si="53"/>
        <v>test.ImageData_13_</v>
      </c>
      <c r="D399">
        <v>2</v>
      </c>
      <c r="E399">
        <v>2.0805920127759596E-3</v>
      </c>
      <c r="F399">
        <v>5.1229508196721308E-3</v>
      </c>
      <c r="G399" s="1">
        <f t="shared" si="54"/>
        <v>2.0805920127759596E-3</v>
      </c>
      <c r="H399" s="1" t="str">
        <f t="shared" si="55"/>
        <v/>
      </c>
      <c r="I399" s="1" t="str">
        <f t="shared" si="56"/>
        <v/>
      </c>
      <c r="J399" s="1" t="str">
        <f t="shared" si="57"/>
        <v/>
      </c>
      <c r="K399" s="1" t="str">
        <f t="shared" si="58"/>
        <v/>
      </c>
      <c r="L399" s="1" t="str">
        <f t="shared" si="59"/>
        <v/>
      </c>
    </row>
    <row r="400" spans="1:12">
      <c r="A400" t="s">
        <v>295</v>
      </c>
      <c r="B400">
        <v>13</v>
      </c>
      <c r="C400" t="str">
        <f t="shared" si="53"/>
        <v>test.ImageData_13_</v>
      </c>
      <c r="D400">
        <v>3</v>
      </c>
      <c r="E400">
        <v>2.0805920127759596E-3</v>
      </c>
      <c r="F400">
        <v>5.464481045081967E-3</v>
      </c>
      <c r="G400" s="1">
        <f t="shared" si="54"/>
        <v>2.0805920127759596E-3</v>
      </c>
      <c r="H400" s="1" t="str">
        <f t="shared" si="55"/>
        <v/>
      </c>
      <c r="I400" s="1" t="str">
        <f t="shared" si="56"/>
        <v/>
      </c>
      <c r="J400" s="1" t="str">
        <f t="shared" si="57"/>
        <v/>
      </c>
      <c r="K400" s="1" t="str">
        <f t="shared" si="58"/>
        <v/>
      </c>
      <c r="L400" s="1" t="str">
        <f t="shared" si="59"/>
        <v/>
      </c>
    </row>
    <row r="401" spans="1:12">
      <c r="A401" t="s">
        <v>295</v>
      </c>
      <c r="B401">
        <v>13</v>
      </c>
      <c r="C401" t="str">
        <f t="shared" si="53"/>
        <v>test.ImageData_13_</v>
      </c>
      <c r="D401">
        <v>4</v>
      </c>
      <c r="E401">
        <v>1</v>
      </c>
      <c r="F401">
        <v>0.9275955942622951</v>
      </c>
      <c r="G401" s="1" t="str">
        <f t="shared" si="54"/>
        <v/>
      </c>
      <c r="H401" s="1" t="str">
        <f t="shared" si="55"/>
        <v/>
      </c>
      <c r="I401" s="1" t="str">
        <f t="shared" si="56"/>
        <v/>
      </c>
      <c r="J401" s="1" t="str">
        <f t="shared" si="57"/>
        <v/>
      </c>
      <c r="K401" s="1">
        <f t="shared" si="58"/>
        <v>1</v>
      </c>
      <c r="L401" s="1" t="str">
        <f t="shared" si="59"/>
        <v/>
      </c>
    </row>
    <row r="402" spans="1:12">
      <c r="A402" t="s">
        <v>295</v>
      </c>
      <c r="B402">
        <v>14</v>
      </c>
      <c r="C402" t="str">
        <f t="shared" si="53"/>
        <v>test.ImageData_14_</v>
      </c>
      <c r="D402">
        <v>1</v>
      </c>
      <c r="E402">
        <v>2.3685563987115052E-3</v>
      </c>
      <c r="F402">
        <v>6.3911378948077503E-3</v>
      </c>
      <c r="G402" s="1">
        <f t="shared" si="54"/>
        <v>2.3685563987115052E-3</v>
      </c>
      <c r="H402" s="1" t="str">
        <f t="shared" si="55"/>
        <v/>
      </c>
      <c r="I402" s="1" t="str">
        <f t="shared" si="56"/>
        <v/>
      </c>
      <c r="J402" s="1" t="str">
        <f t="shared" si="57"/>
        <v/>
      </c>
      <c r="K402" s="1" t="str">
        <f t="shared" si="58"/>
        <v/>
      </c>
      <c r="L402" s="1" t="str">
        <f t="shared" si="59"/>
        <v/>
      </c>
    </row>
    <row r="403" spans="1:12">
      <c r="A403" t="s">
        <v>295</v>
      </c>
      <c r="B403">
        <v>14</v>
      </c>
      <c r="C403" t="str">
        <f t="shared" si="53"/>
        <v>test.ImageData_14_</v>
      </c>
      <c r="D403">
        <v>2</v>
      </c>
      <c r="E403">
        <v>2.3685563987115052E-3</v>
      </c>
      <c r="F403">
        <v>6.8172139674995301E-3</v>
      </c>
      <c r="G403" s="1">
        <f t="shared" si="54"/>
        <v>2.3685563987115052E-3</v>
      </c>
      <c r="H403" s="1" t="str">
        <f t="shared" si="55"/>
        <v/>
      </c>
      <c r="I403" s="1" t="str">
        <f t="shared" si="56"/>
        <v/>
      </c>
      <c r="J403" s="1" t="str">
        <f t="shared" si="57"/>
        <v/>
      </c>
      <c r="K403" s="1" t="str">
        <f t="shared" si="58"/>
        <v/>
      </c>
      <c r="L403" s="1" t="str">
        <f t="shared" si="59"/>
        <v/>
      </c>
    </row>
    <row r="404" spans="1:12">
      <c r="A404" t="s">
        <v>295</v>
      </c>
      <c r="B404">
        <v>14</v>
      </c>
      <c r="C404" t="str">
        <f t="shared" si="53"/>
        <v>test.ImageData_14_</v>
      </c>
      <c r="D404">
        <v>3</v>
      </c>
      <c r="E404">
        <v>2.5039024786378769E-3</v>
      </c>
      <c r="F404">
        <v>7.2432894010775201E-3</v>
      </c>
      <c r="G404" s="1">
        <f t="shared" si="54"/>
        <v>2.5039024786378769E-3</v>
      </c>
      <c r="H404" s="1" t="str">
        <f t="shared" si="55"/>
        <v/>
      </c>
      <c r="I404" s="1" t="str">
        <f t="shared" si="56"/>
        <v/>
      </c>
      <c r="J404" s="1" t="str">
        <f t="shared" si="57"/>
        <v/>
      </c>
      <c r="K404" s="1" t="str">
        <f t="shared" si="58"/>
        <v/>
      </c>
      <c r="L404" s="1" t="str">
        <f t="shared" si="59"/>
        <v/>
      </c>
    </row>
    <row r="405" spans="1:12">
      <c r="A405" t="s">
        <v>295</v>
      </c>
      <c r="B405">
        <v>14</v>
      </c>
      <c r="C405" t="str">
        <f t="shared" si="53"/>
        <v>test.ImageData_14_</v>
      </c>
      <c r="D405">
        <v>4</v>
      </c>
      <c r="E405">
        <v>0.19703682315681198</v>
      </c>
      <c r="F405">
        <v>0.13421389579096274</v>
      </c>
      <c r="G405" s="1">
        <f t="shared" si="54"/>
        <v>0.19703682315681198</v>
      </c>
      <c r="H405" s="1" t="str">
        <f t="shared" si="55"/>
        <v/>
      </c>
      <c r="I405" s="1" t="str">
        <f t="shared" si="56"/>
        <v/>
      </c>
      <c r="J405" s="1" t="str">
        <f t="shared" si="57"/>
        <v/>
      </c>
      <c r="K405" s="1" t="str">
        <f t="shared" si="58"/>
        <v/>
      </c>
      <c r="L405" s="1" t="str">
        <f t="shared" si="59"/>
        <v/>
      </c>
    </row>
    <row r="406" spans="1:12">
      <c r="A406" t="s">
        <v>295</v>
      </c>
      <c r="B406">
        <v>14</v>
      </c>
      <c r="C406" t="str">
        <f t="shared" si="53"/>
        <v>test.ImageData_14_</v>
      </c>
      <c r="D406">
        <v>5</v>
      </c>
      <c r="E406">
        <v>0.19752858058054446</v>
      </c>
      <c r="F406">
        <v>0.13804857852784741</v>
      </c>
      <c r="G406" s="1">
        <f t="shared" si="54"/>
        <v>0.19752858058054446</v>
      </c>
      <c r="H406" s="1" t="str">
        <f t="shared" si="55"/>
        <v/>
      </c>
      <c r="I406" s="1" t="str">
        <f t="shared" si="56"/>
        <v/>
      </c>
      <c r="J406" s="1" t="str">
        <f t="shared" si="57"/>
        <v/>
      </c>
      <c r="K406" s="1" t="str">
        <f t="shared" si="58"/>
        <v/>
      </c>
      <c r="L406" s="1" t="str">
        <f t="shared" si="59"/>
        <v/>
      </c>
    </row>
    <row r="407" spans="1:12">
      <c r="A407" t="s">
        <v>295</v>
      </c>
      <c r="B407">
        <v>14</v>
      </c>
      <c r="C407" t="str">
        <f t="shared" si="53"/>
        <v>test.ImageData_14_</v>
      </c>
      <c r="D407">
        <v>6</v>
      </c>
      <c r="E407">
        <v>0.37500338365199815</v>
      </c>
      <c r="F407">
        <v>0.39625054947808053</v>
      </c>
      <c r="G407" s="1" t="str">
        <f t="shared" si="54"/>
        <v/>
      </c>
      <c r="H407" s="1">
        <f t="shared" si="55"/>
        <v>0.37500338365199815</v>
      </c>
      <c r="I407" s="1" t="str">
        <f t="shared" si="56"/>
        <v/>
      </c>
      <c r="J407" s="1" t="str">
        <f t="shared" si="57"/>
        <v/>
      </c>
      <c r="K407" s="1" t="str">
        <f t="shared" si="58"/>
        <v/>
      </c>
      <c r="L407" s="1" t="str">
        <f t="shared" si="59"/>
        <v/>
      </c>
    </row>
    <row r="408" spans="1:12">
      <c r="A408" t="s">
        <v>295</v>
      </c>
      <c r="B408">
        <v>14</v>
      </c>
      <c r="C408" t="str">
        <f t="shared" si="53"/>
        <v>test.ImageData_14_</v>
      </c>
      <c r="D408">
        <v>7</v>
      </c>
      <c r="E408">
        <v>0.37500338365199815</v>
      </c>
      <c r="F408">
        <v>0.40008523221496517</v>
      </c>
      <c r="G408" s="1" t="str">
        <f t="shared" si="54"/>
        <v/>
      </c>
      <c r="H408" s="1" t="str">
        <f t="shared" si="55"/>
        <v/>
      </c>
      <c r="I408" s="1">
        <f t="shared" si="56"/>
        <v>0.37500338365199815</v>
      </c>
      <c r="J408" s="1" t="str">
        <f t="shared" si="57"/>
        <v/>
      </c>
      <c r="K408" s="1" t="str">
        <f t="shared" si="58"/>
        <v/>
      </c>
      <c r="L408" s="1" t="str">
        <f t="shared" si="59"/>
        <v/>
      </c>
    </row>
    <row r="409" spans="1:12">
      <c r="A409" t="s">
        <v>295</v>
      </c>
      <c r="B409">
        <v>14</v>
      </c>
      <c r="C409" t="str">
        <f t="shared" si="53"/>
        <v>test.ImageData_14_</v>
      </c>
      <c r="D409">
        <v>8</v>
      </c>
      <c r="E409">
        <v>0.37500338365199815</v>
      </c>
      <c r="F409">
        <v>0.40562422691198241</v>
      </c>
      <c r="G409" s="1" t="str">
        <f t="shared" si="54"/>
        <v/>
      </c>
      <c r="H409" s="1" t="str">
        <f t="shared" si="55"/>
        <v/>
      </c>
      <c r="I409" s="1">
        <f t="shared" si="56"/>
        <v>0.37500338365199815</v>
      </c>
      <c r="J409" s="1" t="str">
        <f t="shared" si="57"/>
        <v/>
      </c>
      <c r="K409" s="1" t="str">
        <f t="shared" si="58"/>
        <v/>
      </c>
      <c r="L409" s="1" t="str">
        <f t="shared" si="59"/>
        <v/>
      </c>
    </row>
    <row r="410" spans="1:12">
      <c r="A410" t="s">
        <v>295</v>
      </c>
      <c r="B410">
        <v>14</v>
      </c>
      <c r="C410" t="str">
        <f t="shared" si="53"/>
        <v>test.ImageData_14_</v>
      </c>
      <c r="D410">
        <v>9</v>
      </c>
      <c r="E410">
        <v>0.37500338365199815</v>
      </c>
      <c r="F410">
        <v>0.43757991638602117</v>
      </c>
      <c r="G410" s="1" t="str">
        <f t="shared" si="54"/>
        <v/>
      </c>
      <c r="H410" s="1" t="str">
        <f t="shared" si="55"/>
        <v/>
      </c>
      <c r="I410" s="1">
        <f t="shared" si="56"/>
        <v>0.37500338365199815</v>
      </c>
      <c r="J410" s="1" t="str">
        <f t="shared" si="57"/>
        <v/>
      </c>
      <c r="K410" s="1" t="str">
        <f t="shared" si="58"/>
        <v/>
      </c>
      <c r="L410" s="1" t="str">
        <f t="shared" si="59"/>
        <v/>
      </c>
    </row>
    <row r="411" spans="1:12">
      <c r="A411" t="s">
        <v>295</v>
      </c>
      <c r="B411">
        <v>14</v>
      </c>
      <c r="C411" t="str">
        <f t="shared" si="53"/>
        <v>test.ImageData_14_</v>
      </c>
      <c r="D411">
        <v>10</v>
      </c>
      <c r="E411">
        <v>1</v>
      </c>
      <c r="F411">
        <v>0.7221985821132757</v>
      </c>
      <c r="G411" s="1" t="str">
        <f t="shared" si="54"/>
        <v/>
      </c>
      <c r="H411" s="1" t="str">
        <f t="shared" si="55"/>
        <v/>
      </c>
      <c r="I411" s="1" t="str">
        <f t="shared" si="56"/>
        <v/>
      </c>
      <c r="J411" s="1">
        <f t="shared" si="57"/>
        <v>1</v>
      </c>
      <c r="K411" s="1" t="str">
        <f t="shared" si="58"/>
        <v/>
      </c>
      <c r="L411" s="1" t="str">
        <f t="shared" si="59"/>
        <v/>
      </c>
    </row>
    <row r="412" spans="1:12">
      <c r="A412" t="s">
        <v>295</v>
      </c>
      <c r="B412">
        <v>14</v>
      </c>
      <c r="C412" t="str">
        <f t="shared" si="53"/>
        <v>test.ImageData_14_</v>
      </c>
      <c r="D412">
        <v>11</v>
      </c>
      <c r="E412">
        <v>1</v>
      </c>
      <c r="F412">
        <v>0.75117178317732347</v>
      </c>
      <c r="G412" s="1" t="str">
        <f t="shared" si="54"/>
        <v/>
      </c>
      <c r="H412" s="1" t="str">
        <f t="shared" si="55"/>
        <v/>
      </c>
      <c r="I412" s="1" t="str">
        <f t="shared" si="56"/>
        <v/>
      </c>
      <c r="J412" s="1">
        <f t="shared" si="57"/>
        <v>1</v>
      </c>
      <c r="K412" s="1" t="str">
        <f t="shared" si="58"/>
        <v/>
      </c>
      <c r="L412" s="1" t="str">
        <f t="shared" si="59"/>
        <v/>
      </c>
    </row>
    <row r="413" spans="1:12">
      <c r="A413" t="s">
        <v>295</v>
      </c>
      <c r="B413">
        <v>15</v>
      </c>
      <c r="C413" t="str">
        <f t="shared" si="53"/>
        <v>test.ImageData_15_</v>
      </c>
      <c r="D413">
        <v>1</v>
      </c>
      <c r="E413">
        <v>3.2680170068925449E-3</v>
      </c>
      <c r="F413">
        <v>6.7183465116279076E-3</v>
      </c>
      <c r="G413" s="1">
        <f t="shared" si="54"/>
        <v>3.2680170068925449E-3</v>
      </c>
      <c r="H413" s="1" t="str">
        <f t="shared" si="55"/>
        <v/>
      </c>
      <c r="I413" s="1" t="str">
        <f t="shared" si="56"/>
        <v/>
      </c>
      <c r="J413" s="1" t="str">
        <f t="shared" si="57"/>
        <v/>
      </c>
      <c r="K413" s="1" t="str">
        <f t="shared" si="58"/>
        <v/>
      </c>
      <c r="L413" s="1" t="str">
        <f t="shared" si="59"/>
        <v/>
      </c>
    </row>
    <row r="414" spans="1:12">
      <c r="A414" t="s">
        <v>295</v>
      </c>
      <c r="B414">
        <v>15</v>
      </c>
      <c r="C414" t="str">
        <f t="shared" si="53"/>
        <v>test.ImageData_15_</v>
      </c>
      <c r="D414">
        <v>2</v>
      </c>
      <c r="E414">
        <v>3.4660786436739115E-3</v>
      </c>
      <c r="F414">
        <v>7.2351418604651163E-3</v>
      </c>
      <c r="G414" s="1">
        <f t="shared" si="54"/>
        <v>3.4660786436739115E-3</v>
      </c>
      <c r="H414" s="1" t="str">
        <f t="shared" si="55"/>
        <v/>
      </c>
      <c r="I414" s="1" t="str">
        <f t="shared" si="56"/>
        <v/>
      </c>
      <c r="J414" s="1" t="str">
        <f t="shared" si="57"/>
        <v/>
      </c>
      <c r="K414" s="1" t="str">
        <f t="shared" si="58"/>
        <v/>
      </c>
      <c r="L414" s="1" t="str">
        <f t="shared" si="59"/>
        <v/>
      </c>
    </row>
    <row r="415" spans="1:12">
      <c r="A415" t="s">
        <v>295</v>
      </c>
      <c r="B415">
        <v>15</v>
      </c>
      <c r="C415" t="str">
        <f t="shared" si="53"/>
        <v>test.ImageData_15_</v>
      </c>
      <c r="D415">
        <v>3</v>
      </c>
      <c r="E415">
        <v>3.6641402804552777E-3</v>
      </c>
      <c r="F415">
        <v>7.2352970542635658E-3</v>
      </c>
      <c r="G415" s="1">
        <f t="shared" si="54"/>
        <v>3.6641402804552777E-3</v>
      </c>
      <c r="H415" s="1" t="str">
        <f t="shared" si="55"/>
        <v/>
      </c>
      <c r="I415" s="1" t="str">
        <f t="shared" si="56"/>
        <v/>
      </c>
      <c r="J415" s="1" t="str">
        <f t="shared" si="57"/>
        <v/>
      </c>
      <c r="K415" s="1" t="str">
        <f t="shared" si="58"/>
        <v/>
      </c>
      <c r="L415" s="1" t="str">
        <f t="shared" si="59"/>
        <v/>
      </c>
    </row>
    <row r="416" spans="1:12">
      <c r="A416" t="s">
        <v>295</v>
      </c>
      <c r="B416">
        <v>15</v>
      </c>
      <c r="C416" t="str">
        <f t="shared" si="53"/>
        <v>test.ImageData_15_</v>
      </c>
      <c r="D416">
        <v>4</v>
      </c>
      <c r="E416">
        <v>1</v>
      </c>
      <c r="F416">
        <v>0.87803612403100773</v>
      </c>
      <c r="G416" s="1" t="str">
        <f t="shared" si="54"/>
        <v/>
      </c>
      <c r="H416" s="1" t="str">
        <f t="shared" si="55"/>
        <v/>
      </c>
      <c r="I416" s="1" t="str">
        <f t="shared" si="56"/>
        <v/>
      </c>
      <c r="J416" s="1" t="str">
        <f t="shared" si="57"/>
        <v/>
      </c>
      <c r="K416" s="1">
        <f t="shared" si="58"/>
        <v>1</v>
      </c>
      <c r="L416" s="1" t="str">
        <f t="shared" si="59"/>
        <v/>
      </c>
    </row>
    <row r="417" spans="1:12">
      <c r="A417" t="s">
        <v>295</v>
      </c>
      <c r="B417">
        <v>16</v>
      </c>
      <c r="C417" t="str">
        <f t="shared" si="53"/>
        <v>test.ImageData_16_</v>
      </c>
      <c r="D417">
        <v>1</v>
      </c>
      <c r="E417">
        <v>2.1582169204206561E-3</v>
      </c>
      <c r="F417">
        <v>6.2086095285020498E-3</v>
      </c>
      <c r="G417" s="1">
        <f t="shared" si="54"/>
        <v>2.1582169204206561E-3</v>
      </c>
      <c r="H417" s="1" t="str">
        <f t="shared" si="55"/>
        <v/>
      </c>
      <c r="I417" s="1" t="str">
        <f t="shared" si="56"/>
        <v/>
      </c>
      <c r="J417" s="1" t="str">
        <f t="shared" si="57"/>
        <v/>
      </c>
      <c r="K417" s="1" t="str">
        <f t="shared" si="58"/>
        <v/>
      </c>
      <c r="L417" s="1" t="str">
        <f t="shared" si="59"/>
        <v/>
      </c>
    </row>
    <row r="418" spans="1:12">
      <c r="A418" t="s">
        <v>295</v>
      </c>
      <c r="B418">
        <v>16</v>
      </c>
      <c r="C418" t="str">
        <f t="shared" si="53"/>
        <v>test.ImageData_16_</v>
      </c>
      <c r="D418">
        <v>2</v>
      </c>
      <c r="E418">
        <v>2.2890179459006958E-3</v>
      </c>
      <c r="F418">
        <v>7.4503314342024597E-3</v>
      </c>
      <c r="G418" s="1">
        <f t="shared" si="54"/>
        <v>2.2890179459006958E-3</v>
      </c>
      <c r="H418" s="1" t="str">
        <f t="shared" si="55"/>
        <v/>
      </c>
      <c r="I418" s="1" t="str">
        <f t="shared" si="56"/>
        <v/>
      </c>
      <c r="J418" s="1" t="str">
        <f t="shared" si="57"/>
        <v/>
      </c>
      <c r="K418" s="1" t="str">
        <f t="shared" si="58"/>
        <v/>
      </c>
      <c r="L418" s="1" t="str">
        <f t="shared" si="59"/>
        <v/>
      </c>
    </row>
    <row r="419" spans="1:12">
      <c r="A419" t="s">
        <v>295</v>
      </c>
      <c r="B419">
        <v>16</v>
      </c>
      <c r="C419" t="str">
        <f t="shared" si="53"/>
        <v>test.ImageData_16_</v>
      </c>
      <c r="D419">
        <v>3</v>
      </c>
      <c r="E419">
        <v>2.4198189713807356E-3</v>
      </c>
      <c r="F419">
        <v>7.4504556063930295E-3</v>
      </c>
      <c r="G419" s="1">
        <f t="shared" si="54"/>
        <v>2.4198189713807356E-3</v>
      </c>
      <c r="H419" s="1" t="str">
        <f t="shared" si="55"/>
        <v/>
      </c>
      <c r="I419" s="1" t="str">
        <f t="shared" si="56"/>
        <v/>
      </c>
      <c r="J419" s="1" t="str">
        <f t="shared" si="57"/>
        <v/>
      </c>
      <c r="K419" s="1" t="str">
        <f t="shared" si="58"/>
        <v/>
      </c>
      <c r="L419" s="1" t="str">
        <f t="shared" si="59"/>
        <v/>
      </c>
    </row>
    <row r="420" spans="1:12">
      <c r="A420" t="s">
        <v>295</v>
      </c>
      <c r="B420">
        <v>16</v>
      </c>
      <c r="C420" t="str">
        <f t="shared" si="53"/>
        <v>test.ImageData_16_</v>
      </c>
      <c r="D420">
        <v>4</v>
      </c>
      <c r="E420">
        <v>1</v>
      </c>
      <c r="F420">
        <v>0.9259106757413359</v>
      </c>
      <c r="G420" s="1" t="str">
        <f t="shared" si="54"/>
        <v/>
      </c>
      <c r="H420" s="1" t="str">
        <f t="shared" si="55"/>
        <v/>
      </c>
      <c r="I420" s="1" t="str">
        <f t="shared" si="56"/>
        <v/>
      </c>
      <c r="J420" s="1" t="str">
        <f t="shared" si="57"/>
        <v/>
      </c>
      <c r="K420" s="1">
        <f t="shared" si="58"/>
        <v>1</v>
      </c>
      <c r="L420" s="1" t="str">
        <f t="shared" si="59"/>
        <v/>
      </c>
    </row>
    <row r="421" spans="1:12">
      <c r="A421" t="s">
        <v>295</v>
      </c>
      <c r="B421">
        <v>20</v>
      </c>
      <c r="C421" t="str">
        <f t="shared" si="53"/>
        <v>test.ImageData_20_</v>
      </c>
      <c r="D421">
        <v>1</v>
      </c>
      <c r="E421">
        <v>0.61643835616438358</v>
      </c>
      <c r="F421">
        <v>0.73333333999999994</v>
      </c>
      <c r="G421" s="1" t="str">
        <f t="shared" si="54"/>
        <v/>
      </c>
      <c r="H421" s="1" t="str">
        <f t="shared" si="55"/>
        <v/>
      </c>
      <c r="I421" s="1" t="str">
        <f t="shared" si="56"/>
        <v/>
      </c>
      <c r="J421" s="1">
        <f t="shared" si="57"/>
        <v>0.61643835616438358</v>
      </c>
      <c r="K421" s="1" t="str">
        <f t="shared" si="58"/>
        <v/>
      </c>
      <c r="L421" s="1" t="str">
        <f t="shared" si="59"/>
        <v/>
      </c>
    </row>
    <row r="422" spans="1:12">
      <c r="A422" t="s">
        <v>295</v>
      </c>
      <c r="B422">
        <v>20</v>
      </c>
      <c r="C422" t="str">
        <f t="shared" si="53"/>
        <v>test.ImageData_20_</v>
      </c>
      <c r="D422">
        <v>2</v>
      </c>
      <c r="E422">
        <v>1</v>
      </c>
      <c r="F422">
        <v>0.73335331999999998</v>
      </c>
      <c r="G422" s="1" t="str">
        <f t="shared" si="54"/>
        <v/>
      </c>
      <c r="H422" s="1" t="str">
        <f t="shared" si="55"/>
        <v/>
      </c>
      <c r="I422" s="1" t="str">
        <f t="shared" si="56"/>
        <v/>
      </c>
      <c r="J422" s="1">
        <f t="shared" si="57"/>
        <v>1</v>
      </c>
      <c r="K422" s="1" t="str">
        <f t="shared" si="58"/>
        <v/>
      </c>
      <c r="L422" s="1" t="str">
        <f t="shared" si="59"/>
        <v/>
      </c>
    </row>
    <row r="423" spans="1:12">
      <c r="A423" t="s">
        <v>295</v>
      </c>
      <c r="B423">
        <v>21</v>
      </c>
      <c r="C423" t="str">
        <f t="shared" si="53"/>
        <v>test.ImageData_21_</v>
      </c>
      <c r="D423">
        <v>1</v>
      </c>
      <c r="E423">
        <v>0.53979460847240046</v>
      </c>
      <c r="F423">
        <v>0.5714285714285714</v>
      </c>
      <c r="G423" s="1" t="str">
        <f t="shared" si="54"/>
        <v/>
      </c>
      <c r="H423" s="1" t="str">
        <f t="shared" si="55"/>
        <v/>
      </c>
      <c r="I423" s="1">
        <f t="shared" si="56"/>
        <v>0.53979460847240046</v>
      </c>
      <c r="J423" s="1" t="str">
        <f t="shared" si="57"/>
        <v/>
      </c>
      <c r="K423" s="1" t="str">
        <f t="shared" si="58"/>
        <v/>
      </c>
      <c r="L423" s="1" t="str">
        <f t="shared" si="59"/>
        <v/>
      </c>
    </row>
    <row r="424" spans="1:12">
      <c r="A424" t="s">
        <v>295</v>
      </c>
      <c r="B424">
        <v>21</v>
      </c>
      <c r="C424" t="str">
        <f t="shared" si="53"/>
        <v>test.ImageData_21_</v>
      </c>
      <c r="D424">
        <v>2</v>
      </c>
      <c r="E424">
        <v>1</v>
      </c>
      <c r="F424">
        <v>0.61904764285714287</v>
      </c>
      <c r="G424" s="1" t="str">
        <f t="shared" si="54"/>
        <v/>
      </c>
      <c r="H424" s="1" t="str">
        <f t="shared" si="55"/>
        <v/>
      </c>
      <c r="I424" s="1" t="str">
        <f t="shared" si="56"/>
        <v/>
      </c>
      <c r="J424" s="1">
        <f t="shared" si="57"/>
        <v>1</v>
      </c>
      <c r="K424" s="1" t="str">
        <f t="shared" si="58"/>
        <v/>
      </c>
      <c r="L424" s="1" t="str">
        <f t="shared" si="59"/>
        <v/>
      </c>
    </row>
    <row r="425" spans="1:12">
      <c r="A425" t="s">
        <v>344</v>
      </c>
      <c r="B425">
        <v>0</v>
      </c>
      <c r="C425" t="str">
        <f t="shared" si="53"/>
        <v>test.QRCodeDataBlockReader_0_</v>
      </c>
      <c r="D425">
        <v>1</v>
      </c>
      <c r="E425">
        <v>0.88927335640138405</v>
      </c>
      <c r="F425">
        <v>1</v>
      </c>
      <c r="G425" s="1" t="str">
        <f t="shared" si="54"/>
        <v/>
      </c>
      <c r="H425" s="1" t="str">
        <f t="shared" si="55"/>
        <v/>
      </c>
      <c r="I425" s="1" t="str">
        <f t="shared" si="56"/>
        <v/>
      </c>
      <c r="J425" s="1" t="str">
        <f t="shared" si="57"/>
        <v/>
      </c>
      <c r="K425" s="1">
        <f t="shared" si="58"/>
        <v>0.88927335640138405</v>
      </c>
      <c r="L425" s="1" t="str">
        <f t="shared" si="59"/>
        <v/>
      </c>
    </row>
    <row r="426" spans="1:12">
      <c r="A426" t="s">
        <v>344</v>
      </c>
      <c r="B426">
        <v>0</v>
      </c>
      <c r="C426" t="str">
        <f t="shared" si="53"/>
        <v>test.QRCodeDataBlockReader_0_</v>
      </c>
      <c r="D426">
        <v>2</v>
      </c>
      <c r="E426">
        <v>0.94463667820069208</v>
      </c>
      <c r="F426">
        <v>1.0000249999999999</v>
      </c>
      <c r="G426" s="1" t="str">
        <f t="shared" si="54"/>
        <v/>
      </c>
      <c r="H426" s="1" t="str">
        <f t="shared" si="55"/>
        <v/>
      </c>
      <c r="I426" s="1" t="str">
        <f t="shared" si="56"/>
        <v/>
      </c>
      <c r="J426" s="1" t="str">
        <f t="shared" si="57"/>
        <v/>
      </c>
      <c r="K426" s="1">
        <f t="shared" si="58"/>
        <v>0.94463667820069208</v>
      </c>
      <c r="L426" s="1" t="str">
        <f t="shared" si="59"/>
        <v/>
      </c>
    </row>
    <row r="427" spans="1:12">
      <c r="A427" t="s">
        <v>344</v>
      </c>
      <c r="B427">
        <v>0</v>
      </c>
      <c r="C427" t="str">
        <f t="shared" si="53"/>
        <v>test.QRCodeDataBlockReader_0_</v>
      </c>
      <c r="D427">
        <v>3</v>
      </c>
      <c r="E427">
        <v>1</v>
      </c>
      <c r="F427">
        <v>1.0000500750000001</v>
      </c>
      <c r="G427" s="1" t="str">
        <f t="shared" si="54"/>
        <v/>
      </c>
      <c r="H427" s="1" t="str">
        <f t="shared" si="55"/>
        <v/>
      </c>
      <c r="I427" s="1" t="str">
        <f t="shared" si="56"/>
        <v/>
      </c>
      <c r="J427" s="1" t="str">
        <f t="shared" si="57"/>
        <v/>
      </c>
      <c r="K427" s="1">
        <f t="shared" si="58"/>
        <v>1</v>
      </c>
      <c r="L427" s="1" t="str">
        <f t="shared" si="59"/>
        <v/>
      </c>
    </row>
    <row r="428" spans="1:12">
      <c r="A428" t="s">
        <v>344</v>
      </c>
      <c r="B428">
        <v>0</v>
      </c>
      <c r="C428" t="str">
        <f t="shared" si="53"/>
        <v>test.QRCodeDataBlockReader_0_</v>
      </c>
      <c r="D428">
        <v>4</v>
      </c>
      <c r="E428">
        <v>1</v>
      </c>
      <c r="F428">
        <v>1.083333375</v>
      </c>
      <c r="G428" s="1" t="str">
        <f t="shared" si="54"/>
        <v/>
      </c>
      <c r="H428" s="1" t="str">
        <f t="shared" si="55"/>
        <v/>
      </c>
      <c r="I428" s="1" t="str">
        <f t="shared" si="56"/>
        <v/>
      </c>
      <c r="J428" s="1" t="str">
        <f t="shared" si="57"/>
        <v/>
      </c>
      <c r="K428" s="1">
        <f t="shared" si="58"/>
        <v>1</v>
      </c>
      <c r="L428" s="1" t="str">
        <f t="shared" si="59"/>
        <v/>
      </c>
    </row>
    <row r="429" spans="1:12">
      <c r="A429" t="s">
        <v>344</v>
      </c>
      <c r="B429">
        <v>1</v>
      </c>
      <c r="C429" t="str">
        <f t="shared" si="53"/>
        <v>test.QRCodeDataBlockReader_1_</v>
      </c>
      <c r="D429">
        <v>1</v>
      </c>
      <c r="E429">
        <v>4.1444398851046366E-2</v>
      </c>
      <c r="F429">
        <v>0.25806452767950089</v>
      </c>
      <c r="G429" s="1" t="str">
        <f t="shared" si="54"/>
        <v/>
      </c>
      <c r="H429" s="1">
        <f t="shared" si="55"/>
        <v>4.1444398851046366E-2</v>
      </c>
      <c r="I429" s="1" t="str">
        <f t="shared" si="56"/>
        <v/>
      </c>
      <c r="J429" s="1" t="str">
        <f t="shared" si="57"/>
        <v/>
      </c>
      <c r="K429" s="1" t="str">
        <f t="shared" si="58"/>
        <v/>
      </c>
      <c r="L429" s="1" t="str">
        <f t="shared" si="59"/>
        <v/>
      </c>
    </row>
    <row r="430" spans="1:12">
      <c r="A430" t="s">
        <v>344</v>
      </c>
      <c r="B430">
        <v>1</v>
      </c>
      <c r="C430" t="str">
        <f t="shared" si="53"/>
        <v>test.QRCodeDataBlockReader_1_</v>
      </c>
      <c r="D430">
        <v>2</v>
      </c>
      <c r="E430">
        <v>0.12802626179729176</v>
      </c>
      <c r="F430">
        <v>0.32258065234131139</v>
      </c>
      <c r="G430" s="1" t="str">
        <f t="shared" si="54"/>
        <v/>
      </c>
      <c r="H430" s="1">
        <f t="shared" si="55"/>
        <v>0.12802626179729176</v>
      </c>
      <c r="I430" s="1" t="str">
        <f t="shared" si="56"/>
        <v/>
      </c>
      <c r="J430" s="1" t="str">
        <f t="shared" si="57"/>
        <v/>
      </c>
      <c r="K430" s="1" t="str">
        <f t="shared" si="58"/>
        <v/>
      </c>
      <c r="L430" s="1" t="str">
        <f t="shared" si="59"/>
        <v/>
      </c>
    </row>
    <row r="431" spans="1:12">
      <c r="A431" t="s">
        <v>344</v>
      </c>
      <c r="B431">
        <v>1</v>
      </c>
      <c r="C431" t="str">
        <f t="shared" si="53"/>
        <v>test.QRCodeDataBlockReader_1_</v>
      </c>
      <c r="D431">
        <v>3</v>
      </c>
      <c r="E431">
        <v>0.32663110381616745</v>
      </c>
      <c r="F431">
        <v>0.45161290166493229</v>
      </c>
      <c r="G431" s="1" t="str">
        <f t="shared" si="54"/>
        <v/>
      </c>
      <c r="H431" s="1" t="str">
        <f t="shared" si="55"/>
        <v/>
      </c>
      <c r="I431" s="1">
        <f t="shared" si="56"/>
        <v>0.32663110381616745</v>
      </c>
      <c r="J431" s="1" t="str">
        <f t="shared" si="57"/>
        <v/>
      </c>
      <c r="K431" s="1" t="str">
        <f t="shared" si="58"/>
        <v/>
      </c>
      <c r="L431" s="1" t="str">
        <f t="shared" si="59"/>
        <v/>
      </c>
    </row>
    <row r="432" spans="1:12">
      <c r="A432" t="s">
        <v>344</v>
      </c>
      <c r="B432">
        <v>1</v>
      </c>
      <c r="C432" t="str">
        <f t="shared" si="53"/>
        <v>test.QRCodeDataBlockReader_1_</v>
      </c>
      <c r="D432">
        <v>4</v>
      </c>
      <c r="E432">
        <v>1</v>
      </c>
      <c r="F432">
        <v>0.77419357336108308</v>
      </c>
      <c r="G432" s="1" t="str">
        <f t="shared" si="54"/>
        <v/>
      </c>
      <c r="H432" s="1" t="str">
        <f t="shared" si="55"/>
        <v/>
      </c>
      <c r="I432" s="1" t="str">
        <f t="shared" si="56"/>
        <v/>
      </c>
      <c r="J432" s="1">
        <f t="shared" si="57"/>
        <v>1</v>
      </c>
      <c r="K432" s="1" t="str">
        <f t="shared" si="58"/>
        <v/>
      </c>
      <c r="L432" s="1" t="str">
        <f t="shared" si="59"/>
        <v/>
      </c>
    </row>
    <row r="433" spans="1:12">
      <c r="A433" t="s">
        <v>348</v>
      </c>
      <c r="B433">
        <v>1</v>
      </c>
      <c r="C433" t="str">
        <f t="shared" si="53"/>
        <v>test.StructurePanel_1_</v>
      </c>
      <c r="D433">
        <v>1</v>
      </c>
      <c r="E433">
        <v>6.7865003668378582E-2</v>
      </c>
      <c r="F433">
        <v>0.29032259001040611</v>
      </c>
      <c r="G433" s="1" t="str">
        <f t="shared" si="54"/>
        <v/>
      </c>
      <c r="H433" s="1">
        <f t="shared" si="55"/>
        <v>6.7865003668378582E-2</v>
      </c>
      <c r="I433" s="1" t="str">
        <f t="shared" si="56"/>
        <v/>
      </c>
      <c r="J433" s="1" t="str">
        <f t="shared" si="57"/>
        <v/>
      </c>
      <c r="K433" s="1" t="str">
        <f t="shared" si="58"/>
        <v/>
      </c>
      <c r="L433" s="1" t="str">
        <f t="shared" si="59"/>
        <v/>
      </c>
    </row>
    <row r="434" spans="1:12">
      <c r="A434" t="s">
        <v>348</v>
      </c>
      <c r="B434">
        <v>1</v>
      </c>
      <c r="C434" t="str">
        <f t="shared" si="53"/>
        <v>test.StructurePanel_1_</v>
      </c>
      <c r="D434">
        <v>2</v>
      </c>
      <c r="E434">
        <v>0.11665443873807776</v>
      </c>
      <c r="F434">
        <v>0.29033226743007318</v>
      </c>
      <c r="G434" s="1" t="str">
        <f t="shared" si="54"/>
        <v/>
      </c>
      <c r="H434" s="1">
        <f t="shared" si="55"/>
        <v>0.11665443873807776</v>
      </c>
      <c r="I434" s="1" t="str">
        <f t="shared" si="56"/>
        <v/>
      </c>
      <c r="J434" s="1" t="str">
        <f t="shared" si="57"/>
        <v/>
      </c>
      <c r="K434" s="1" t="str">
        <f t="shared" si="58"/>
        <v/>
      </c>
      <c r="L434" s="1" t="str">
        <f t="shared" si="59"/>
        <v/>
      </c>
    </row>
    <row r="435" spans="1:12">
      <c r="A435" t="s">
        <v>348</v>
      </c>
      <c r="B435">
        <v>1</v>
      </c>
      <c r="C435" t="str">
        <f t="shared" si="53"/>
        <v>test.StructurePanel_1_</v>
      </c>
      <c r="D435">
        <v>3</v>
      </c>
      <c r="E435">
        <v>0.25715333822450476</v>
      </c>
      <c r="F435">
        <v>0.38709678668054154</v>
      </c>
      <c r="G435" s="1" t="str">
        <f t="shared" si="54"/>
        <v/>
      </c>
      <c r="H435" s="1">
        <f t="shared" si="55"/>
        <v>0.25715333822450476</v>
      </c>
      <c r="I435" s="1" t="str">
        <f t="shared" si="56"/>
        <v/>
      </c>
      <c r="J435" s="1" t="str">
        <f t="shared" si="57"/>
        <v/>
      </c>
      <c r="K435" s="1" t="str">
        <f t="shared" si="58"/>
        <v/>
      </c>
      <c r="L435" s="1" t="str">
        <f t="shared" si="59"/>
        <v/>
      </c>
    </row>
    <row r="436" spans="1:12">
      <c r="A436" t="s">
        <v>348</v>
      </c>
      <c r="B436">
        <v>1</v>
      </c>
      <c r="C436" t="str">
        <f t="shared" si="53"/>
        <v>test.StructurePanel_1_</v>
      </c>
      <c r="D436">
        <v>4</v>
      </c>
      <c r="E436">
        <v>0.39728539985326483</v>
      </c>
      <c r="F436">
        <v>0.38710646410020849</v>
      </c>
      <c r="G436" s="1" t="str">
        <f t="shared" si="54"/>
        <v/>
      </c>
      <c r="H436" s="1">
        <f t="shared" si="55"/>
        <v>0.39728539985326483</v>
      </c>
      <c r="I436" s="1" t="str">
        <f t="shared" si="56"/>
        <v/>
      </c>
      <c r="J436" s="1" t="str">
        <f t="shared" si="57"/>
        <v/>
      </c>
      <c r="K436" s="1" t="str">
        <f t="shared" si="58"/>
        <v/>
      </c>
      <c r="L436" s="1" t="str">
        <f t="shared" si="59"/>
        <v/>
      </c>
    </row>
    <row r="437" spans="1:12">
      <c r="A437" t="s">
        <v>348</v>
      </c>
      <c r="B437">
        <v>1</v>
      </c>
      <c r="C437" t="str">
        <f t="shared" si="53"/>
        <v>test.StructurePanel_1_</v>
      </c>
      <c r="D437">
        <v>5</v>
      </c>
      <c r="E437">
        <v>0.54622157006603078</v>
      </c>
      <c r="F437">
        <v>0.4193548683662861</v>
      </c>
      <c r="G437" s="1" t="str">
        <f t="shared" si="54"/>
        <v/>
      </c>
      <c r="H437" s="1" t="str">
        <f t="shared" si="55"/>
        <v/>
      </c>
      <c r="I437" s="1">
        <f t="shared" si="56"/>
        <v>0.54622157006603078</v>
      </c>
      <c r="J437" s="1" t="str">
        <f t="shared" si="57"/>
        <v/>
      </c>
      <c r="K437" s="1" t="str">
        <f t="shared" si="58"/>
        <v/>
      </c>
      <c r="L437" s="1" t="str">
        <f t="shared" si="59"/>
        <v/>
      </c>
    </row>
    <row r="438" spans="1:12">
      <c r="A438" t="s">
        <v>348</v>
      </c>
      <c r="B438">
        <v>1</v>
      </c>
      <c r="C438" t="str">
        <f t="shared" si="53"/>
        <v>test.StructurePanel_1_</v>
      </c>
      <c r="D438">
        <v>6</v>
      </c>
      <c r="E438">
        <v>0.69515774027879673</v>
      </c>
      <c r="F438">
        <v>0.41936455546337281</v>
      </c>
      <c r="G438" s="1" t="str">
        <f t="shared" si="54"/>
        <v/>
      </c>
      <c r="H438" s="1" t="str">
        <f t="shared" si="55"/>
        <v/>
      </c>
      <c r="I438" s="1">
        <f t="shared" si="56"/>
        <v>0.69515774027879673</v>
      </c>
      <c r="J438" s="1" t="str">
        <f t="shared" si="57"/>
        <v/>
      </c>
      <c r="K438" s="1" t="str">
        <f t="shared" si="58"/>
        <v/>
      </c>
      <c r="L438" s="1" t="str">
        <f t="shared" si="59"/>
        <v/>
      </c>
    </row>
    <row r="439" spans="1:12">
      <c r="A439" t="s">
        <v>348</v>
      </c>
      <c r="B439">
        <v>1</v>
      </c>
      <c r="C439" t="str">
        <f t="shared" si="53"/>
        <v>test.StructurePanel_1_</v>
      </c>
      <c r="D439">
        <v>7</v>
      </c>
      <c r="E439">
        <v>0.82648569332355104</v>
      </c>
      <c r="F439">
        <v>0.41937427159271845</v>
      </c>
      <c r="G439" s="1" t="str">
        <f t="shared" si="54"/>
        <v/>
      </c>
      <c r="H439" s="1" t="str">
        <f t="shared" si="55"/>
        <v/>
      </c>
      <c r="I439" s="1">
        <f t="shared" si="56"/>
        <v>0.82648569332355104</v>
      </c>
      <c r="J439" s="1" t="str">
        <f t="shared" si="57"/>
        <v/>
      </c>
      <c r="K439" s="1" t="str">
        <f t="shared" si="58"/>
        <v/>
      </c>
      <c r="L439" s="1" t="str">
        <f t="shared" si="59"/>
        <v/>
      </c>
    </row>
    <row r="440" spans="1:12">
      <c r="A440" t="s">
        <v>348</v>
      </c>
      <c r="B440">
        <v>1</v>
      </c>
      <c r="C440" t="str">
        <f t="shared" si="53"/>
        <v>test.StructurePanel_1_</v>
      </c>
      <c r="D440">
        <v>8</v>
      </c>
      <c r="E440">
        <v>1</v>
      </c>
      <c r="F440">
        <v>0.45161290166493229</v>
      </c>
      <c r="G440" s="1" t="str">
        <f t="shared" si="54"/>
        <v/>
      </c>
      <c r="H440" s="1" t="str">
        <f t="shared" si="55"/>
        <v/>
      </c>
      <c r="I440" s="1">
        <f t="shared" si="56"/>
        <v>1</v>
      </c>
      <c r="J440" s="1" t="str">
        <f t="shared" si="57"/>
        <v/>
      </c>
      <c r="K440" s="1" t="str">
        <f t="shared" si="58"/>
        <v/>
      </c>
      <c r="L440" s="1" t="str">
        <f t="shared" si="59"/>
        <v/>
      </c>
    </row>
    <row r="441" spans="1:12">
      <c r="A441" t="s">
        <v>354</v>
      </c>
      <c r="B441">
        <v>1</v>
      </c>
      <c r="C441" t="str">
        <f t="shared" si="53"/>
        <v>test.WorldController_1_</v>
      </c>
      <c r="D441">
        <v>1</v>
      </c>
      <c r="E441">
        <v>0.23586572438162545</v>
      </c>
      <c r="F441">
        <v>0.21333334000000001</v>
      </c>
      <c r="G441" s="1" t="str">
        <f t="shared" si="54"/>
        <v/>
      </c>
      <c r="H441" s="1">
        <f t="shared" si="55"/>
        <v>0.23586572438162545</v>
      </c>
      <c r="I441" s="1" t="str">
        <f t="shared" si="56"/>
        <v/>
      </c>
      <c r="J441" s="1" t="str">
        <f t="shared" si="57"/>
        <v/>
      </c>
      <c r="K441" s="1" t="str">
        <f t="shared" si="58"/>
        <v/>
      </c>
      <c r="L441" s="1" t="str">
        <f t="shared" si="59"/>
        <v/>
      </c>
    </row>
    <row r="442" spans="1:12">
      <c r="A442" t="s">
        <v>354</v>
      </c>
      <c r="B442">
        <v>1</v>
      </c>
      <c r="C442" t="str">
        <f t="shared" si="53"/>
        <v>test.WorldController_1_</v>
      </c>
      <c r="D442">
        <v>2</v>
      </c>
      <c r="E442">
        <v>0.42977031802120141</v>
      </c>
      <c r="F442">
        <v>0.24</v>
      </c>
      <c r="G442" s="1" t="str">
        <f t="shared" si="54"/>
        <v/>
      </c>
      <c r="H442" s="1">
        <f t="shared" si="55"/>
        <v>0.42977031802120141</v>
      </c>
      <c r="I442" s="1" t="str">
        <f t="shared" si="56"/>
        <v/>
      </c>
      <c r="J442" s="1" t="str">
        <f t="shared" si="57"/>
        <v/>
      </c>
      <c r="K442" s="1" t="str">
        <f t="shared" si="58"/>
        <v/>
      </c>
      <c r="L442" s="1" t="str">
        <f t="shared" si="59"/>
        <v/>
      </c>
    </row>
    <row r="443" spans="1:12">
      <c r="A443" t="s">
        <v>354</v>
      </c>
      <c r="B443">
        <v>1</v>
      </c>
      <c r="C443" t="str">
        <f t="shared" si="53"/>
        <v>test.WorldController_1_</v>
      </c>
      <c r="D443">
        <v>3</v>
      </c>
      <c r="E443">
        <v>0.61793286219081267</v>
      </c>
      <c r="F443">
        <v>0.240004</v>
      </c>
      <c r="G443" s="1" t="str">
        <f t="shared" si="54"/>
        <v/>
      </c>
      <c r="H443" s="1">
        <f t="shared" si="55"/>
        <v>0.61793286219081267</v>
      </c>
      <c r="I443" s="1" t="str">
        <f t="shared" si="56"/>
        <v/>
      </c>
      <c r="J443" s="1" t="str">
        <f t="shared" si="57"/>
        <v/>
      </c>
      <c r="K443" s="1" t="str">
        <f t="shared" si="58"/>
        <v/>
      </c>
      <c r="L443" s="1" t="str">
        <f t="shared" si="59"/>
        <v/>
      </c>
    </row>
    <row r="444" spans="1:12">
      <c r="A444" t="s">
        <v>354</v>
      </c>
      <c r="B444">
        <v>1</v>
      </c>
      <c r="C444" t="str">
        <f t="shared" si="53"/>
        <v>test.WorldController_1_</v>
      </c>
      <c r="D444">
        <v>4</v>
      </c>
      <c r="E444">
        <v>0.80035335689045939</v>
      </c>
      <c r="F444">
        <v>0.25333334000000002</v>
      </c>
      <c r="G444" s="1" t="str">
        <f t="shared" si="54"/>
        <v/>
      </c>
      <c r="H444" s="1">
        <f t="shared" si="55"/>
        <v>0.80035335689045939</v>
      </c>
      <c r="I444" s="1" t="str">
        <f t="shared" si="56"/>
        <v/>
      </c>
      <c r="J444" s="1" t="str">
        <f t="shared" si="57"/>
        <v/>
      </c>
      <c r="K444" s="1" t="str">
        <f t="shared" si="58"/>
        <v/>
      </c>
      <c r="L444" s="1" t="str">
        <f t="shared" si="59"/>
        <v/>
      </c>
    </row>
    <row r="445" spans="1:12">
      <c r="A445" t="s">
        <v>354</v>
      </c>
      <c r="B445">
        <v>1</v>
      </c>
      <c r="C445" t="str">
        <f t="shared" si="53"/>
        <v>test.WorldController_1_</v>
      </c>
      <c r="D445">
        <v>5</v>
      </c>
      <c r="E445">
        <v>1</v>
      </c>
      <c r="F445">
        <v>0.25333734400000002</v>
      </c>
      <c r="G445" s="1" t="str">
        <f t="shared" si="54"/>
        <v/>
      </c>
      <c r="H445" s="1">
        <f t="shared" si="55"/>
        <v>1</v>
      </c>
      <c r="I445" s="1" t="str">
        <f t="shared" si="56"/>
        <v/>
      </c>
      <c r="J445" s="1" t="str">
        <f t="shared" si="57"/>
        <v/>
      </c>
      <c r="K445" s="1" t="str">
        <f t="shared" si="58"/>
        <v/>
      </c>
      <c r="L445" s="1" t="str">
        <f t="shared" si="59"/>
        <v/>
      </c>
    </row>
    <row r="446" spans="1:12">
      <c r="A446" t="s">
        <v>358</v>
      </c>
      <c r="B446">
        <v>5</v>
      </c>
      <c r="C446" t="str">
        <f t="shared" si="53"/>
        <v>test.TIFFFaxDecoder_5_</v>
      </c>
      <c r="D446">
        <v>1</v>
      </c>
      <c r="E446">
        <v>0.2127927474187862</v>
      </c>
      <c r="F446">
        <v>0.30263156440443251</v>
      </c>
      <c r="G446" s="1" t="str">
        <f t="shared" si="54"/>
        <v/>
      </c>
      <c r="H446" s="1">
        <f t="shared" si="55"/>
        <v>0.2127927474187862</v>
      </c>
      <c r="I446" s="1" t="str">
        <f t="shared" si="56"/>
        <v/>
      </c>
      <c r="J446" s="1" t="str">
        <f t="shared" si="57"/>
        <v/>
      </c>
      <c r="K446" s="1" t="str">
        <f t="shared" si="58"/>
        <v/>
      </c>
      <c r="L446" s="1" t="str">
        <f t="shared" si="59"/>
        <v/>
      </c>
    </row>
    <row r="447" spans="1:12">
      <c r="A447" t="s">
        <v>358</v>
      </c>
      <c r="B447">
        <v>5</v>
      </c>
      <c r="C447" t="str">
        <f t="shared" si="53"/>
        <v>test.TIFFFaxDecoder_5_</v>
      </c>
      <c r="D447">
        <v>2</v>
      </c>
      <c r="E447">
        <v>0.29337698312767563</v>
      </c>
      <c r="F447">
        <v>0.3618421088988919</v>
      </c>
      <c r="G447" s="1" t="str">
        <f t="shared" si="54"/>
        <v/>
      </c>
      <c r="H447" s="1">
        <f t="shared" si="55"/>
        <v>0.29337698312767563</v>
      </c>
      <c r="I447" s="1" t="str">
        <f t="shared" si="56"/>
        <v/>
      </c>
      <c r="J447" s="1" t="str">
        <f t="shared" si="57"/>
        <v/>
      </c>
      <c r="K447" s="1" t="str">
        <f t="shared" si="58"/>
        <v/>
      </c>
      <c r="L447" s="1" t="str">
        <f t="shared" si="59"/>
        <v/>
      </c>
    </row>
    <row r="448" spans="1:12">
      <c r="A448" t="s">
        <v>358</v>
      </c>
      <c r="B448">
        <v>5</v>
      </c>
      <c r="C448" t="str">
        <f t="shared" si="53"/>
        <v>test.TIFFFaxDecoder_5_</v>
      </c>
      <c r="D448">
        <v>3</v>
      </c>
      <c r="E448">
        <v>0.42483001762780154</v>
      </c>
      <c r="F448">
        <v>0.39473683171745177</v>
      </c>
      <c r="G448" s="1" t="str">
        <f t="shared" si="54"/>
        <v/>
      </c>
      <c r="H448" s="1">
        <f t="shared" si="55"/>
        <v>0.42483001762780154</v>
      </c>
      <c r="I448" s="1" t="str">
        <f t="shared" si="56"/>
        <v/>
      </c>
      <c r="J448" s="1" t="str">
        <f t="shared" si="57"/>
        <v/>
      </c>
      <c r="K448" s="1" t="str">
        <f t="shared" si="58"/>
        <v/>
      </c>
      <c r="L448" s="1" t="str">
        <f t="shared" si="59"/>
        <v/>
      </c>
    </row>
    <row r="449" spans="1:12">
      <c r="A449" t="s">
        <v>358</v>
      </c>
      <c r="B449">
        <v>5</v>
      </c>
      <c r="C449" t="str">
        <f t="shared" si="53"/>
        <v>test.TIFFFaxDecoder_5_</v>
      </c>
      <c r="D449">
        <v>4</v>
      </c>
      <c r="E449">
        <v>0.61218836565096957</v>
      </c>
      <c r="F449">
        <v>0.44736839612188428</v>
      </c>
      <c r="G449" s="1" t="str">
        <f t="shared" si="54"/>
        <v/>
      </c>
      <c r="H449" s="1" t="str">
        <f t="shared" si="55"/>
        <v/>
      </c>
      <c r="I449" s="1">
        <f t="shared" si="56"/>
        <v>0.61218836565096957</v>
      </c>
      <c r="J449" s="1" t="str">
        <f t="shared" si="57"/>
        <v/>
      </c>
      <c r="K449" s="1" t="str">
        <f t="shared" si="58"/>
        <v/>
      </c>
      <c r="L449" s="1" t="str">
        <f t="shared" si="59"/>
        <v/>
      </c>
    </row>
    <row r="450" spans="1:12">
      <c r="A450" t="s">
        <v>358</v>
      </c>
      <c r="B450">
        <v>5</v>
      </c>
      <c r="C450" t="str">
        <f t="shared" si="53"/>
        <v>test.TIFFFaxDecoder_5_</v>
      </c>
      <c r="D450">
        <v>5</v>
      </c>
      <c r="E450">
        <v>1</v>
      </c>
      <c r="F450">
        <v>0.60526312880886501</v>
      </c>
      <c r="G450" s="1" t="str">
        <f t="shared" si="54"/>
        <v/>
      </c>
      <c r="H450" s="1" t="str">
        <f t="shared" si="55"/>
        <v/>
      </c>
      <c r="I450" s="1" t="str">
        <f t="shared" si="56"/>
        <v/>
      </c>
      <c r="J450" s="1">
        <f t="shared" si="57"/>
        <v>1</v>
      </c>
      <c r="K450" s="1" t="str">
        <f t="shared" si="58"/>
        <v/>
      </c>
      <c r="L450" s="1" t="str">
        <f t="shared" si="59"/>
        <v/>
      </c>
    </row>
    <row r="451" spans="1:12">
      <c r="A451" t="s">
        <v>358</v>
      </c>
      <c r="B451">
        <v>7</v>
      </c>
      <c r="C451" t="str">
        <f t="shared" ref="C451:C514" si="60">CONCATENATE(A451, "_",B451,"_")</f>
        <v>test.TIFFFaxDecoder_7_</v>
      </c>
      <c r="D451">
        <v>1</v>
      </c>
      <c r="E451">
        <v>0.15352112676056337</v>
      </c>
      <c r="F451">
        <v>0.3076922997041423</v>
      </c>
      <c r="G451" s="1" t="str">
        <f t="shared" ref="G451:G514" si="61">IF($F451 &lt;= 0.2,$E451,"")</f>
        <v/>
      </c>
      <c r="H451" s="1">
        <f t="shared" ref="H451:H514" si="62">IF(AND($F451 &gt; 0.2,$F451 &lt;= 0.4),$E451,"")</f>
        <v>0.15352112676056337</v>
      </c>
      <c r="I451" s="1" t="str">
        <f t="shared" ref="I451:I514" si="63">IF(AND($F451 &gt; 0.4,$F451 &lt;= 0.6),$E451,"")</f>
        <v/>
      </c>
      <c r="J451" s="1" t="str">
        <f t="shared" ref="J451:J514" si="64">IF(AND($F451 &gt; 0.6,$F451 &lt;= 0.8),$E451,"")</f>
        <v/>
      </c>
      <c r="K451" s="1" t="str">
        <f t="shared" ref="K451:K514" si="65">IF(AND($F451 &gt; 0.8, $F451 &lt;=1.1),$E451,"")</f>
        <v/>
      </c>
      <c r="L451" s="1" t="str">
        <f t="shared" ref="L451:L513" si="66">IF(AND($F451 &gt; 1.1),$E451,"")</f>
        <v/>
      </c>
    </row>
    <row r="452" spans="1:12">
      <c r="A452" t="s">
        <v>358</v>
      </c>
      <c r="B452">
        <v>7</v>
      </c>
      <c r="C452" t="str">
        <f t="shared" si="60"/>
        <v>test.TIFFFaxDecoder_7_</v>
      </c>
      <c r="D452">
        <v>2</v>
      </c>
      <c r="E452">
        <v>0.75352112676056338</v>
      </c>
      <c r="F452">
        <v>0.53846149852071157</v>
      </c>
      <c r="G452" s="1" t="str">
        <f t="shared" si="61"/>
        <v/>
      </c>
      <c r="H452" s="1" t="str">
        <f t="shared" si="62"/>
        <v/>
      </c>
      <c r="I452" s="1">
        <f t="shared" si="63"/>
        <v>0.75352112676056338</v>
      </c>
      <c r="J452" s="1" t="str">
        <f t="shared" si="64"/>
        <v/>
      </c>
      <c r="K452" s="1" t="str">
        <f t="shared" si="65"/>
        <v/>
      </c>
      <c r="L452" s="1" t="str">
        <f t="shared" si="66"/>
        <v/>
      </c>
    </row>
    <row r="453" spans="1:12">
      <c r="A453" t="s">
        <v>358</v>
      </c>
      <c r="B453">
        <v>7</v>
      </c>
      <c r="C453" t="str">
        <f t="shared" si="60"/>
        <v>test.TIFFFaxDecoder_7_</v>
      </c>
      <c r="D453">
        <v>3</v>
      </c>
      <c r="E453">
        <v>1</v>
      </c>
      <c r="F453">
        <v>0.57692305473372862</v>
      </c>
      <c r="G453" s="1" t="str">
        <f t="shared" si="61"/>
        <v/>
      </c>
      <c r="H453" s="1" t="str">
        <f t="shared" si="62"/>
        <v/>
      </c>
      <c r="I453" s="1">
        <f t="shared" si="63"/>
        <v>1</v>
      </c>
      <c r="J453" s="1" t="str">
        <f t="shared" si="64"/>
        <v/>
      </c>
      <c r="K453" s="1" t="str">
        <f t="shared" si="65"/>
        <v/>
      </c>
      <c r="L453" s="1" t="str">
        <f t="shared" si="66"/>
        <v/>
      </c>
    </row>
    <row r="454" spans="1:12">
      <c r="A454" t="s">
        <v>358</v>
      </c>
      <c r="B454">
        <v>9</v>
      </c>
      <c r="C454" t="str">
        <f t="shared" si="60"/>
        <v>test.TIFFFaxDecoder_9_</v>
      </c>
      <c r="D454">
        <v>1</v>
      </c>
      <c r="E454">
        <v>0.13898305084745763</v>
      </c>
      <c r="F454">
        <v>0.46153844378698289</v>
      </c>
      <c r="G454" s="1" t="str">
        <f t="shared" si="61"/>
        <v/>
      </c>
      <c r="H454" s="1" t="str">
        <f t="shared" si="62"/>
        <v/>
      </c>
      <c r="I454" s="1">
        <f t="shared" si="63"/>
        <v>0.13898305084745763</v>
      </c>
      <c r="J454" s="1" t="str">
        <f t="shared" si="64"/>
        <v/>
      </c>
      <c r="K454" s="1" t="str">
        <f t="shared" si="65"/>
        <v/>
      </c>
      <c r="L454" s="1" t="str">
        <f t="shared" si="66"/>
        <v/>
      </c>
    </row>
    <row r="455" spans="1:12">
      <c r="A455" t="s">
        <v>358</v>
      </c>
      <c r="B455">
        <v>9</v>
      </c>
      <c r="C455" t="str">
        <f t="shared" si="60"/>
        <v>test.TIFFFaxDecoder_9_</v>
      </c>
      <c r="D455">
        <v>2</v>
      </c>
      <c r="E455">
        <v>0.1864406779661017</v>
      </c>
      <c r="F455">
        <v>0.46156152070917233</v>
      </c>
      <c r="G455" s="1" t="str">
        <f t="shared" si="61"/>
        <v/>
      </c>
      <c r="H455" s="1" t="str">
        <f t="shared" si="62"/>
        <v/>
      </c>
      <c r="I455" s="1">
        <f t="shared" si="63"/>
        <v>0.1864406779661017</v>
      </c>
      <c r="J455" s="1" t="str">
        <f t="shared" si="64"/>
        <v/>
      </c>
      <c r="K455" s="1" t="str">
        <f t="shared" si="65"/>
        <v/>
      </c>
      <c r="L455" s="1" t="str">
        <f t="shared" si="66"/>
        <v/>
      </c>
    </row>
    <row r="456" spans="1:12">
      <c r="A456" t="s">
        <v>358</v>
      </c>
      <c r="B456">
        <v>9</v>
      </c>
      <c r="C456" t="str">
        <f t="shared" si="60"/>
        <v>test.TIFFFaxDecoder_9_</v>
      </c>
      <c r="D456">
        <v>3</v>
      </c>
      <c r="E456">
        <v>0.22372881355932203</v>
      </c>
      <c r="F456">
        <v>0.53846151005917264</v>
      </c>
      <c r="G456" s="1" t="str">
        <f t="shared" si="61"/>
        <v/>
      </c>
      <c r="H456" s="1" t="str">
        <f t="shared" si="62"/>
        <v/>
      </c>
      <c r="I456" s="1">
        <f t="shared" si="63"/>
        <v>0.22372881355932203</v>
      </c>
      <c r="J456" s="1" t="str">
        <f t="shared" si="64"/>
        <v/>
      </c>
      <c r="K456" s="1" t="str">
        <f t="shared" si="65"/>
        <v/>
      </c>
      <c r="L456" s="1" t="str">
        <f t="shared" si="66"/>
        <v/>
      </c>
    </row>
    <row r="457" spans="1:12">
      <c r="A457" t="s">
        <v>358</v>
      </c>
      <c r="B457">
        <v>9</v>
      </c>
      <c r="C457" t="str">
        <f t="shared" si="60"/>
        <v>test.TIFFFaxDecoder_9_</v>
      </c>
      <c r="D457">
        <v>4</v>
      </c>
      <c r="E457">
        <v>0.24067796610169492</v>
      </c>
      <c r="F457">
        <v>0.53848456390443977</v>
      </c>
      <c r="G457" s="1" t="str">
        <f t="shared" si="61"/>
        <v/>
      </c>
      <c r="H457" s="1" t="str">
        <f t="shared" si="62"/>
        <v/>
      </c>
      <c r="I457" s="1">
        <f t="shared" si="63"/>
        <v>0.24067796610169492</v>
      </c>
      <c r="J457" s="1" t="str">
        <f t="shared" si="64"/>
        <v/>
      </c>
      <c r="K457" s="1" t="str">
        <f t="shared" si="65"/>
        <v/>
      </c>
      <c r="L457" s="1" t="str">
        <f t="shared" si="66"/>
        <v/>
      </c>
    </row>
    <row r="458" spans="1:12">
      <c r="A458" t="s">
        <v>358</v>
      </c>
      <c r="B458">
        <v>9</v>
      </c>
      <c r="C458" t="str">
        <f t="shared" si="60"/>
        <v>test.TIFFFaxDecoder_9_</v>
      </c>
      <c r="D458">
        <v>5</v>
      </c>
      <c r="E458">
        <v>0.2440677966101695</v>
      </c>
      <c r="F458">
        <v>0.53850759467278486</v>
      </c>
      <c r="G458" s="1" t="str">
        <f t="shared" si="61"/>
        <v/>
      </c>
      <c r="H458" s="1" t="str">
        <f t="shared" si="62"/>
        <v/>
      </c>
      <c r="I458" s="1">
        <f t="shared" si="63"/>
        <v>0.2440677966101695</v>
      </c>
      <c r="J458" s="1" t="str">
        <f t="shared" si="64"/>
        <v/>
      </c>
      <c r="K458" s="1" t="str">
        <f t="shared" si="65"/>
        <v/>
      </c>
      <c r="L458" s="1" t="str">
        <f t="shared" si="66"/>
        <v/>
      </c>
    </row>
    <row r="459" spans="1:12">
      <c r="A459" t="s">
        <v>358</v>
      </c>
      <c r="B459">
        <v>9</v>
      </c>
      <c r="C459" t="str">
        <f t="shared" si="60"/>
        <v>test.TIFFFaxDecoder_9_</v>
      </c>
      <c r="D459">
        <v>6</v>
      </c>
      <c r="E459">
        <v>0.29152542372881357</v>
      </c>
      <c r="F459">
        <v>0.6153845994082846</v>
      </c>
      <c r="G459" s="1" t="str">
        <f t="shared" si="61"/>
        <v/>
      </c>
      <c r="H459" s="1" t="str">
        <f t="shared" si="62"/>
        <v/>
      </c>
      <c r="I459" s="1" t="str">
        <f t="shared" si="63"/>
        <v/>
      </c>
      <c r="J459" s="1">
        <f t="shared" si="64"/>
        <v>0.29152542372881357</v>
      </c>
      <c r="K459" s="1" t="str">
        <f t="shared" si="65"/>
        <v/>
      </c>
      <c r="L459" s="1" t="str">
        <f t="shared" si="66"/>
        <v/>
      </c>
    </row>
    <row r="460" spans="1:12">
      <c r="A460" t="s">
        <v>358</v>
      </c>
      <c r="B460">
        <v>9</v>
      </c>
      <c r="C460" t="str">
        <f t="shared" si="60"/>
        <v>test.TIFFFaxDecoder_9_</v>
      </c>
      <c r="D460">
        <v>7</v>
      </c>
      <c r="E460">
        <v>0.30169491525423731</v>
      </c>
      <c r="F460">
        <v>0.61540765325355173</v>
      </c>
      <c r="G460" s="1" t="str">
        <f t="shared" si="61"/>
        <v/>
      </c>
      <c r="H460" s="1" t="str">
        <f t="shared" si="62"/>
        <v/>
      </c>
      <c r="I460" s="1" t="str">
        <f t="shared" si="63"/>
        <v/>
      </c>
      <c r="J460" s="1">
        <f t="shared" si="64"/>
        <v>0.30169491525423731</v>
      </c>
      <c r="K460" s="1" t="str">
        <f t="shared" si="65"/>
        <v/>
      </c>
      <c r="L460" s="1" t="str">
        <f t="shared" si="66"/>
        <v/>
      </c>
    </row>
    <row r="461" spans="1:12">
      <c r="A461" t="s">
        <v>358</v>
      </c>
      <c r="B461">
        <v>9</v>
      </c>
      <c r="C461" t="str">
        <f t="shared" si="60"/>
        <v>test.TIFFFaxDecoder_9_</v>
      </c>
      <c r="D461">
        <v>8</v>
      </c>
      <c r="E461">
        <v>0.53898305084745768</v>
      </c>
      <c r="F461">
        <v>0.61543070709881886</v>
      </c>
      <c r="G461" s="1" t="str">
        <f t="shared" si="61"/>
        <v/>
      </c>
      <c r="H461" s="1" t="str">
        <f t="shared" si="62"/>
        <v/>
      </c>
      <c r="I461" s="1" t="str">
        <f t="shared" si="63"/>
        <v/>
      </c>
      <c r="J461" s="1">
        <f t="shared" si="64"/>
        <v>0.53898305084745768</v>
      </c>
      <c r="K461" s="1" t="str">
        <f t="shared" si="65"/>
        <v/>
      </c>
      <c r="L461" s="1" t="str">
        <f t="shared" si="66"/>
        <v/>
      </c>
    </row>
    <row r="462" spans="1:12">
      <c r="A462" t="s">
        <v>358</v>
      </c>
      <c r="B462">
        <v>9</v>
      </c>
      <c r="C462" t="str">
        <f t="shared" si="60"/>
        <v>test.TIFFFaxDecoder_9_</v>
      </c>
      <c r="D462">
        <v>9</v>
      </c>
      <c r="E462">
        <v>0.5423728813559322</v>
      </c>
      <c r="F462">
        <v>0.6154537609440861</v>
      </c>
      <c r="G462" s="1" t="str">
        <f t="shared" si="61"/>
        <v/>
      </c>
      <c r="H462" s="1" t="str">
        <f t="shared" si="62"/>
        <v/>
      </c>
      <c r="I462" s="1" t="str">
        <f t="shared" si="63"/>
        <v/>
      </c>
      <c r="J462" s="1">
        <f t="shared" si="64"/>
        <v>0.5423728813559322</v>
      </c>
      <c r="K462" s="1" t="str">
        <f t="shared" si="65"/>
        <v/>
      </c>
      <c r="L462" s="1" t="str">
        <f t="shared" si="66"/>
        <v/>
      </c>
    </row>
    <row r="463" spans="1:12">
      <c r="A463" t="s">
        <v>358</v>
      </c>
      <c r="B463">
        <v>9</v>
      </c>
      <c r="C463" t="str">
        <f t="shared" si="60"/>
        <v>test.TIFFFaxDecoder_9_</v>
      </c>
      <c r="D463">
        <v>10</v>
      </c>
      <c r="E463">
        <v>0.5423728813559322</v>
      </c>
      <c r="F463">
        <v>0.61547681478935323</v>
      </c>
      <c r="G463" s="1" t="str">
        <f t="shared" si="61"/>
        <v/>
      </c>
      <c r="H463" s="1" t="str">
        <f t="shared" si="62"/>
        <v/>
      </c>
      <c r="I463" s="1" t="str">
        <f t="shared" si="63"/>
        <v/>
      </c>
      <c r="J463" s="1">
        <f t="shared" si="64"/>
        <v>0.5423728813559322</v>
      </c>
      <c r="K463" s="1" t="str">
        <f t="shared" si="65"/>
        <v/>
      </c>
      <c r="L463" s="1" t="str">
        <f t="shared" si="66"/>
        <v/>
      </c>
    </row>
    <row r="464" spans="1:12">
      <c r="A464" t="s">
        <v>358</v>
      </c>
      <c r="B464">
        <v>9</v>
      </c>
      <c r="C464" t="str">
        <f t="shared" si="60"/>
        <v>test.TIFFFaxDecoder_9_</v>
      </c>
      <c r="D464">
        <v>11</v>
      </c>
      <c r="E464">
        <v>0.57627118644067798</v>
      </c>
      <c r="F464">
        <v>0.61549986863462047</v>
      </c>
      <c r="G464" s="1" t="str">
        <f t="shared" si="61"/>
        <v/>
      </c>
      <c r="H464" s="1" t="str">
        <f t="shared" si="62"/>
        <v/>
      </c>
      <c r="I464" s="1" t="str">
        <f t="shared" si="63"/>
        <v/>
      </c>
      <c r="J464" s="1">
        <f t="shared" si="64"/>
        <v>0.57627118644067798</v>
      </c>
      <c r="K464" s="1" t="str">
        <f t="shared" si="65"/>
        <v/>
      </c>
      <c r="L464" s="1" t="str">
        <f t="shared" si="66"/>
        <v/>
      </c>
    </row>
    <row r="465" spans="1:12">
      <c r="A465" t="s">
        <v>358</v>
      </c>
      <c r="B465">
        <v>9</v>
      </c>
      <c r="C465" t="str">
        <f t="shared" si="60"/>
        <v>test.TIFFFaxDecoder_9_</v>
      </c>
      <c r="D465">
        <v>12</v>
      </c>
      <c r="E465">
        <v>0.57627118644067798</v>
      </c>
      <c r="F465">
        <v>0.6155229224798876</v>
      </c>
      <c r="G465" s="1" t="str">
        <f t="shared" si="61"/>
        <v/>
      </c>
      <c r="H465" s="1" t="str">
        <f t="shared" si="62"/>
        <v/>
      </c>
      <c r="I465" s="1" t="str">
        <f t="shared" si="63"/>
        <v/>
      </c>
      <c r="J465" s="1">
        <f t="shared" si="64"/>
        <v>0.57627118644067798</v>
      </c>
      <c r="K465" s="1" t="str">
        <f t="shared" si="65"/>
        <v/>
      </c>
      <c r="L465" s="1" t="str">
        <f t="shared" si="66"/>
        <v/>
      </c>
    </row>
    <row r="466" spans="1:12">
      <c r="A466" t="s">
        <v>358</v>
      </c>
      <c r="B466">
        <v>9</v>
      </c>
      <c r="C466" t="str">
        <f t="shared" si="60"/>
        <v>test.TIFFFaxDecoder_9_</v>
      </c>
      <c r="D466">
        <v>13</v>
      </c>
      <c r="E466">
        <v>0.57627118644067798</v>
      </c>
      <c r="F466">
        <v>0.69230766568047442</v>
      </c>
      <c r="G466" s="1" t="str">
        <f t="shared" si="61"/>
        <v/>
      </c>
      <c r="H466" s="1" t="str">
        <f t="shared" si="62"/>
        <v/>
      </c>
      <c r="I466" s="1" t="str">
        <f t="shared" si="63"/>
        <v/>
      </c>
      <c r="J466" s="1">
        <f t="shared" si="64"/>
        <v>0.57627118644067798</v>
      </c>
      <c r="K466" s="1" t="str">
        <f t="shared" si="65"/>
        <v/>
      </c>
      <c r="L466" s="1" t="str">
        <f t="shared" si="66"/>
        <v/>
      </c>
    </row>
    <row r="467" spans="1:12">
      <c r="A467" t="s">
        <v>358</v>
      </c>
      <c r="B467">
        <v>9</v>
      </c>
      <c r="C467" t="str">
        <f t="shared" si="60"/>
        <v>test.TIFFFaxDecoder_9_</v>
      </c>
      <c r="D467">
        <v>14</v>
      </c>
      <c r="E467">
        <v>0.84745762711864403</v>
      </c>
      <c r="F467">
        <v>0.69233074260266381</v>
      </c>
      <c r="G467" s="1" t="str">
        <f t="shared" si="61"/>
        <v/>
      </c>
      <c r="H467" s="1" t="str">
        <f t="shared" si="62"/>
        <v/>
      </c>
      <c r="I467" s="1" t="str">
        <f t="shared" si="63"/>
        <v/>
      </c>
      <c r="J467" s="1">
        <f t="shared" si="64"/>
        <v>0.84745762711864403</v>
      </c>
      <c r="K467" s="1" t="str">
        <f t="shared" si="65"/>
        <v/>
      </c>
      <c r="L467" s="1" t="str">
        <f t="shared" si="66"/>
        <v/>
      </c>
    </row>
    <row r="468" spans="1:12">
      <c r="A468" t="s">
        <v>358</v>
      </c>
      <c r="B468">
        <v>9</v>
      </c>
      <c r="C468" t="str">
        <f t="shared" si="60"/>
        <v>test.TIFFFaxDecoder_9_</v>
      </c>
      <c r="D468">
        <v>15</v>
      </c>
      <c r="E468">
        <v>0.92542372881355928</v>
      </c>
      <c r="F468">
        <v>0.69235377337100867</v>
      </c>
      <c r="G468" s="1" t="str">
        <f t="shared" si="61"/>
        <v/>
      </c>
      <c r="H468" s="1" t="str">
        <f t="shared" si="62"/>
        <v/>
      </c>
      <c r="I468" s="1" t="str">
        <f t="shared" si="63"/>
        <v/>
      </c>
      <c r="J468" s="1">
        <f t="shared" si="64"/>
        <v>0.92542372881355928</v>
      </c>
      <c r="K468" s="1" t="str">
        <f t="shared" si="65"/>
        <v/>
      </c>
      <c r="L468" s="1" t="str">
        <f t="shared" si="66"/>
        <v/>
      </c>
    </row>
    <row r="469" spans="1:12">
      <c r="A469" t="s">
        <v>358</v>
      </c>
      <c r="B469">
        <v>9</v>
      </c>
      <c r="C469" t="str">
        <f t="shared" si="60"/>
        <v>test.TIFFFaxDecoder_9_</v>
      </c>
      <c r="D469">
        <v>16</v>
      </c>
      <c r="E469">
        <v>0.95932203389830506</v>
      </c>
      <c r="F469">
        <v>0.76923073195266412</v>
      </c>
      <c r="G469" s="1" t="str">
        <f t="shared" si="61"/>
        <v/>
      </c>
      <c r="H469" s="1" t="str">
        <f t="shared" si="62"/>
        <v/>
      </c>
      <c r="I469" s="1" t="str">
        <f t="shared" si="63"/>
        <v/>
      </c>
      <c r="J469" s="1">
        <f t="shared" si="64"/>
        <v>0.95932203389830506</v>
      </c>
      <c r="K469" s="1" t="str">
        <f t="shared" si="65"/>
        <v/>
      </c>
      <c r="L469" s="1" t="str">
        <f t="shared" si="66"/>
        <v/>
      </c>
    </row>
    <row r="470" spans="1:12">
      <c r="A470" t="s">
        <v>358</v>
      </c>
      <c r="B470">
        <v>9</v>
      </c>
      <c r="C470" t="str">
        <f t="shared" si="60"/>
        <v>test.TIFFFaxDecoder_9_</v>
      </c>
      <c r="D470">
        <v>17</v>
      </c>
      <c r="E470">
        <v>0.99661016949152548</v>
      </c>
      <c r="F470">
        <v>0.84615382130177608</v>
      </c>
      <c r="G470" s="1" t="str">
        <f t="shared" si="61"/>
        <v/>
      </c>
      <c r="H470" s="1" t="str">
        <f t="shared" si="62"/>
        <v/>
      </c>
      <c r="I470" s="1" t="str">
        <f t="shared" si="63"/>
        <v/>
      </c>
      <c r="J470" s="1" t="str">
        <f t="shared" si="64"/>
        <v/>
      </c>
      <c r="K470" s="1">
        <f t="shared" si="65"/>
        <v>0.99661016949152548</v>
      </c>
      <c r="L470" s="1" t="str">
        <f t="shared" si="66"/>
        <v/>
      </c>
    </row>
    <row r="471" spans="1:12">
      <c r="A471" t="s">
        <v>358</v>
      </c>
      <c r="B471">
        <v>9</v>
      </c>
      <c r="C471" t="str">
        <f t="shared" si="60"/>
        <v>test.TIFFFaxDecoder_9_</v>
      </c>
      <c r="D471">
        <v>18</v>
      </c>
      <c r="E471">
        <v>1</v>
      </c>
      <c r="F471">
        <v>0.84617687514704321</v>
      </c>
      <c r="G471" s="1" t="str">
        <f t="shared" si="61"/>
        <v/>
      </c>
      <c r="H471" s="1" t="str">
        <f t="shared" si="62"/>
        <v/>
      </c>
      <c r="I471" s="1" t="str">
        <f t="shared" si="63"/>
        <v/>
      </c>
      <c r="J471" s="1" t="str">
        <f t="shared" si="64"/>
        <v/>
      </c>
      <c r="K471" s="1">
        <f t="shared" si="65"/>
        <v>1</v>
      </c>
      <c r="L471" s="1" t="str">
        <f t="shared" si="66"/>
        <v/>
      </c>
    </row>
    <row r="472" spans="1:12">
      <c r="A472" t="s">
        <v>358</v>
      </c>
      <c r="B472">
        <v>10</v>
      </c>
      <c r="C472" t="str">
        <f t="shared" si="60"/>
        <v>test.TIFFFaxDecoder_10_</v>
      </c>
      <c r="D472">
        <v>1</v>
      </c>
      <c r="E472">
        <v>0.909967845659164</v>
      </c>
      <c r="F472">
        <v>0.91666667499999999</v>
      </c>
      <c r="G472" s="1" t="str">
        <f t="shared" si="61"/>
        <v/>
      </c>
      <c r="H472" s="1" t="str">
        <f t="shared" si="62"/>
        <v/>
      </c>
      <c r="I472" s="1" t="str">
        <f t="shared" si="63"/>
        <v/>
      </c>
      <c r="J472" s="1" t="str">
        <f t="shared" si="64"/>
        <v/>
      </c>
      <c r="K472" s="1">
        <f t="shared" si="65"/>
        <v>0.909967845659164</v>
      </c>
      <c r="L472" s="1" t="str">
        <f t="shared" si="66"/>
        <v/>
      </c>
    </row>
    <row r="473" spans="1:12">
      <c r="A473" t="s">
        <v>358</v>
      </c>
      <c r="B473">
        <v>10</v>
      </c>
      <c r="C473" t="str">
        <f t="shared" si="60"/>
        <v>test.TIFFFaxDecoder_10_</v>
      </c>
      <c r="D473">
        <v>2</v>
      </c>
      <c r="E473">
        <v>0.977491961414791</v>
      </c>
      <c r="F473">
        <v>0.91669164999999997</v>
      </c>
      <c r="G473" s="1" t="str">
        <f t="shared" si="61"/>
        <v/>
      </c>
      <c r="H473" s="1" t="str">
        <f t="shared" si="62"/>
        <v/>
      </c>
      <c r="I473" s="1" t="str">
        <f t="shared" si="63"/>
        <v/>
      </c>
      <c r="J473" s="1" t="str">
        <f t="shared" si="64"/>
        <v/>
      </c>
      <c r="K473" s="1">
        <f t="shared" si="65"/>
        <v>0.977491961414791</v>
      </c>
      <c r="L473" s="1" t="str">
        <f t="shared" si="66"/>
        <v/>
      </c>
    </row>
    <row r="474" spans="1:12">
      <c r="A474" t="s">
        <v>358</v>
      </c>
      <c r="B474">
        <v>10</v>
      </c>
      <c r="C474" t="str">
        <f t="shared" si="60"/>
        <v>test.TIFFFaxDecoder_10_</v>
      </c>
      <c r="D474">
        <v>3</v>
      </c>
      <c r="E474">
        <v>1</v>
      </c>
      <c r="F474">
        <v>1</v>
      </c>
      <c r="G474" s="1" t="str">
        <f t="shared" si="61"/>
        <v/>
      </c>
      <c r="H474" s="1" t="str">
        <f t="shared" si="62"/>
        <v/>
      </c>
      <c r="I474" s="1" t="str">
        <f t="shared" si="63"/>
        <v/>
      </c>
      <c r="J474" s="1" t="str">
        <f t="shared" si="64"/>
        <v/>
      </c>
      <c r="K474" s="1">
        <f t="shared" si="65"/>
        <v>1</v>
      </c>
      <c r="L474" s="1" t="str">
        <f t="shared" si="66"/>
        <v/>
      </c>
    </row>
    <row r="475" spans="1:12">
      <c r="A475" t="s">
        <v>358</v>
      </c>
      <c r="B475">
        <v>10</v>
      </c>
      <c r="C475" t="str">
        <f t="shared" si="60"/>
        <v>test.TIFFFaxDecoder_10_</v>
      </c>
      <c r="D475">
        <v>4</v>
      </c>
      <c r="E475">
        <v>1</v>
      </c>
      <c r="F475">
        <v>1.0000249999999999</v>
      </c>
      <c r="G475" s="1" t="str">
        <f t="shared" si="61"/>
        <v/>
      </c>
      <c r="H475" s="1" t="str">
        <f t="shared" si="62"/>
        <v/>
      </c>
      <c r="I475" s="1" t="str">
        <f t="shared" si="63"/>
        <v/>
      </c>
      <c r="J475" s="1" t="str">
        <f t="shared" si="64"/>
        <v/>
      </c>
      <c r="K475" s="1">
        <f t="shared" si="65"/>
        <v>1</v>
      </c>
      <c r="L475" s="1" t="str">
        <f t="shared" si="66"/>
        <v/>
      </c>
    </row>
    <row r="476" spans="1:12">
      <c r="A476" t="s">
        <v>358</v>
      </c>
      <c r="B476">
        <v>11</v>
      </c>
      <c r="C476" t="str">
        <f t="shared" si="60"/>
        <v>test.TIFFFaxDecoder_11_</v>
      </c>
      <c r="D476">
        <v>1</v>
      </c>
      <c r="E476">
        <v>2.2157996146435453E-2</v>
      </c>
      <c r="F476">
        <v>0.22580645567117599</v>
      </c>
      <c r="G476" s="1" t="str">
        <f t="shared" si="61"/>
        <v/>
      </c>
      <c r="H476" s="1">
        <f t="shared" si="62"/>
        <v>2.2157996146435453E-2</v>
      </c>
      <c r="I476" s="1" t="str">
        <f t="shared" si="63"/>
        <v/>
      </c>
      <c r="J476" s="1" t="str">
        <f t="shared" si="64"/>
        <v/>
      </c>
      <c r="K476" s="1" t="str">
        <f t="shared" si="65"/>
        <v/>
      </c>
      <c r="L476" s="1" t="str">
        <f t="shared" si="66"/>
        <v/>
      </c>
    </row>
    <row r="477" spans="1:12">
      <c r="A477" t="s">
        <v>358</v>
      </c>
      <c r="B477">
        <v>11</v>
      </c>
      <c r="C477" t="str">
        <f t="shared" si="60"/>
        <v>test.TIFFFaxDecoder_11_</v>
      </c>
      <c r="D477">
        <v>2</v>
      </c>
      <c r="E477">
        <v>0.24919717405266539</v>
      </c>
      <c r="F477">
        <v>0.4193548683662861</v>
      </c>
      <c r="G477" s="1" t="str">
        <f t="shared" si="61"/>
        <v/>
      </c>
      <c r="H477" s="1" t="str">
        <f t="shared" si="62"/>
        <v/>
      </c>
      <c r="I477" s="1">
        <f t="shared" si="63"/>
        <v>0.24919717405266539</v>
      </c>
      <c r="J477" s="1" t="str">
        <f t="shared" si="64"/>
        <v/>
      </c>
      <c r="K477" s="1" t="str">
        <f t="shared" si="65"/>
        <v/>
      </c>
      <c r="L477" s="1" t="str">
        <f t="shared" si="66"/>
        <v/>
      </c>
    </row>
    <row r="478" spans="1:12">
      <c r="A478" t="s">
        <v>358</v>
      </c>
      <c r="B478">
        <v>11</v>
      </c>
      <c r="C478" t="str">
        <f t="shared" si="60"/>
        <v>test.TIFFFaxDecoder_11_</v>
      </c>
      <c r="D478">
        <v>3</v>
      </c>
      <c r="E478">
        <v>0.25883108542068078</v>
      </c>
      <c r="F478">
        <v>0.45161290166493229</v>
      </c>
      <c r="G478" s="1" t="str">
        <f t="shared" si="61"/>
        <v/>
      </c>
      <c r="H478" s="1" t="str">
        <f t="shared" si="62"/>
        <v/>
      </c>
      <c r="I478" s="1">
        <f t="shared" si="63"/>
        <v>0.25883108542068078</v>
      </c>
      <c r="J478" s="1" t="str">
        <f t="shared" si="64"/>
        <v/>
      </c>
      <c r="K478" s="1" t="str">
        <f t="shared" si="65"/>
        <v/>
      </c>
      <c r="L478" s="1" t="str">
        <f t="shared" si="66"/>
        <v/>
      </c>
    </row>
    <row r="479" spans="1:12">
      <c r="A479" t="s">
        <v>358</v>
      </c>
      <c r="B479">
        <v>11</v>
      </c>
      <c r="C479" t="str">
        <f t="shared" si="60"/>
        <v>test.TIFFFaxDecoder_11_</v>
      </c>
      <c r="D479">
        <v>4</v>
      </c>
      <c r="E479">
        <v>0.30667951188182402</v>
      </c>
      <c r="F479">
        <v>0.45162258876201899</v>
      </c>
      <c r="G479" s="1" t="str">
        <f t="shared" si="61"/>
        <v/>
      </c>
      <c r="H479" s="1" t="str">
        <f t="shared" si="62"/>
        <v/>
      </c>
      <c r="I479" s="1">
        <f t="shared" si="63"/>
        <v>0.30667951188182402</v>
      </c>
      <c r="J479" s="1" t="str">
        <f t="shared" si="64"/>
        <v/>
      </c>
      <c r="K479" s="1" t="str">
        <f t="shared" si="65"/>
        <v/>
      </c>
      <c r="L479" s="1" t="str">
        <f t="shared" si="66"/>
        <v/>
      </c>
    </row>
    <row r="480" spans="1:12">
      <c r="A480" t="s">
        <v>358</v>
      </c>
      <c r="B480">
        <v>11</v>
      </c>
      <c r="C480" t="str">
        <f t="shared" si="60"/>
        <v>test.TIFFFaxDecoder_11_</v>
      </c>
      <c r="D480">
        <v>5</v>
      </c>
      <c r="E480">
        <v>0.37604367373153502</v>
      </c>
      <c r="F480">
        <v>0.48387098335067691</v>
      </c>
      <c r="G480" s="1" t="str">
        <f t="shared" si="61"/>
        <v/>
      </c>
      <c r="H480" s="1" t="str">
        <f t="shared" si="62"/>
        <v/>
      </c>
      <c r="I480" s="1">
        <f t="shared" si="63"/>
        <v>0.37604367373153502</v>
      </c>
      <c r="J480" s="1" t="str">
        <f t="shared" si="64"/>
        <v/>
      </c>
      <c r="K480" s="1" t="str">
        <f t="shared" si="65"/>
        <v/>
      </c>
      <c r="L480" s="1" t="str">
        <f t="shared" si="66"/>
        <v/>
      </c>
    </row>
    <row r="481" spans="1:12">
      <c r="A481" t="s">
        <v>358</v>
      </c>
      <c r="B481">
        <v>11</v>
      </c>
      <c r="C481" t="str">
        <f t="shared" si="60"/>
        <v>test.TIFFFaxDecoder_11_</v>
      </c>
      <c r="D481">
        <v>6</v>
      </c>
      <c r="E481">
        <v>0.3773281952472704</v>
      </c>
      <c r="F481">
        <v>0.48388066077034386</v>
      </c>
      <c r="G481" s="1" t="str">
        <f t="shared" si="61"/>
        <v/>
      </c>
      <c r="H481" s="1" t="str">
        <f t="shared" si="62"/>
        <v/>
      </c>
      <c r="I481" s="1">
        <f t="shared" si="63"/>
        <v>0.3773281952472704</v>
      </c>
      <c r="J481" s="1" t="str">
        <f t="shared" si="64"/>
        <v/>
      </c>
      <c r="K481" s="1" t="str">
        <f t="shared" si="65"/>
        <v/>
      </c>
      <c r="L481" s="1" t="str">
        <f t="shared" si="66"/>
        <v/>
      </c>
    </row>
    <row r="482" spans="1:12">
      <c r="A482" t="s">
        <v>358</v>
      </c>
      <c r="B482">
        <v>11</v>
      </c>
      <c r="C482" t="str">
        <f t="shared" si="60"/>
        <v>test.TIFFFaxDecoder_11_</v>
      </c>
      <c r="D482">
        <v>7</v>
      </c>
      <c r="E482">
        <v>0.45279383429672448</v>
      </c>
      <c r="F482">
        <v>0.48389036722226997</v>
      </c>
      <c r="G482" s="1" t="str">
        <f t="shared" si="61"/>
        <v/>
      </c>
      <c r="H482" s="1" t="str">
        <f t="shared" si="62"/>
        <v/>
      </c>
      <c r="I482" s="1">
        <f t="shared" si="63"/>
        <v>0.45279383429672448</v>
      </c>
      <c r="J482" s="1" t="str">
        <f t="shared" si="64"/>
        <v/>
      </c>
      <c r="K482" s="1" t="str">
        <f t="shared" si="65"/>
        <v/>
      </c>
      <c r="L482" s="1" t="str">
        <f t="shared" si="66"/>
        <v/>
      </c>
    </row>
    <row r="483" spans="1:12">
      <c r="A483" t="s">
        <v>358</v>
      </c>
      <c r="B483">
        <v>11</v>
      </c>
      <c r="C483" t="str">
        <f t="shared" si="60"/>
        <v>test.TIFFFaxDecoder_11_</v>
      </c>
      <c r="D483">
        <v>8</v>
      </c>
      <c r="E483">
        <v>0.45600513808606297</v>
      </c>
      <c r="F483">
        <v>0.48390005431935662</v>
      </c>
      <c r="G483" s="1" t="str">
        <f t="shared" si="61"/>
        <v/>
      </c>
      <c r="H483" s="1" t="str">
        <f t="shared" si="62"/>
        <v/>
      </c>
      <c r="I483" s="1">
        <f t="shared" si="63"/>
        <v>0.45600513808606297</v>
      </c>
      <c r="J483" s="1" t="str">
        <f t="shared" si="64"/>
        <v/>
      </c>
      <c r="K483" s="1" t="str">
        <f t="shared" si="65"/>
        <v/>
      </c>
      <c r="L483" s="1" t="str">
        <f t="shared" si="66"/>
        <v/>
      </c>
    </row>
    <row r="484" spans="1:12">
      <c r="A484" t="s">
        <v>358</v>
      </c>
      <c r="B484">
        <v>11</v>
      </c>
      <c r="C484" t="str">
        <f t="shared" si="60"/>
        <v>test.TIFFFaxDecoder_11_</v>
      </c>
      <c r="D484">
        <v>9</v>
      </c>
      <c r="E484">
        <v>0.59922928709055878</v>
      </c>
      <c r="F484">
        <v>0.48390974141644327</v>
      </c>
      <c r="G484" s="1" t="str">
        <f t="shared" si="61"/>
        <v/>
      </c>
      <c r="H484" s="1" t="str">
        <f t="shared" si="62"/>
        <v/>
      </c>
      <c r="I484" s="1">
        <f t="shared" si="63"/>
        <v>0.59922928709055878</v>
      </c>
      <c r="J484" s="1" t="str">
        <f t="shared" si="64"/>
        <v/>
      </c>
      <c r="K484" s="1" t="str">
        <f t="shared" si="65"/>
        <v/>
      </c>
      <c r="L484" s="1" t="str">
        <f t="shared" si="66"/>
        <v/>
      </c>
    </row>
    <row r="485" spans="1:12">
      <c r="A485" t="s">
        <v>358</v>
      </c>
      <c r="B485">
        <v>11</v>
      </c>
      <c r="C485" t="str">
        <f t="shared" si="60"/>
        <v>test.TIFFFaxDecoder_11_</v>
      </c>
      <c r="D485">
        <v>10</v>
      </c>
      <c r="E485">
        <v>0.59922928709055878</v>
      </c>
      <c r="F485">
        <v>0.51612906503642153</v>
      </c>
      <c r="G485" s="1" t="str">
        <f t="shared" si="61"/>
        <v/>
      </c>
      <c r="H485" s="1" t="str">
        <f t="shared" si="62"/>
        <v/>
      </c>
      <c r="I485" s="1">
        <f t="shared" si="63"/>
        <v>0.59922928709055878</v>
      </c>
      <c r="J485" s="1" t="str">
        <f t="shared" si="64"/>
        <v/>
      </c>
      <c r="K485" s="1" t="str">
        <f t="shared" si="65"/>
        <v/>
      </c>
      <c r="L485" s="1" t="str">
        <f t="shared" si="66"/>
        <v/>
      </c>
    </row>
    <row r="486" spans="1:12">
      <c r="A486" t="s">
        <v>358</v>
      </c>
      <c r="B486">
        <v>11</v>
      </c>
      <c r="C486" t="str">
        <f t="shared" si="60"/>
        <v>test.TIFFFaxDecoder_11_</v>
      </c>
      <c r="D486">
        <v>11</v>
      </c>
      <c r="E486">
        <v>0.61849710982658956</v>
      </c>
      <c r="F486">
        <v>0.51613875213350813</v>
      </c>
      <c r="G486" s="1" t="str">
        <f t="shared" si="61"/>
        <v/>
      </c>
      <c r="H486" s="1" t="str">
        <f t="shared" si="62"/>
        <v/>
      </c>
      <c r="I486" s="1">
        <f t="shared" si="63"/>
        <v>0.61849710982658956</v>
      </c>
      <c r="J486" s="1" t="str">
        <f t="shared" si="64"/>
        <v/>
      </c>
      <c r="K486" s="1" t="str">
        <f t="shared" si="65"/>
        <v/>
      </c>
      <c r="L486" s="1" t="str">
        <f t="shared" si="66"/>
        <v/>
      </c>
    </row>
    <row r="487" spans="1:12">
      <c r="A487" t="s">
        <v>358</v>
      </c>
      <c r="B487">
        <v>11</v>
      </c>
      <c r="C487" t="str">
        <f t="shared" si="60"/>
        <v>test.TIFFFaxDecoder_11_</v>
      </c>
      <c r="D487">
        <v>12</v>
      </c>
      <c r="E487">
        <v>0.72222222222222221</v>
      </c>
      <c r="F487">
        <v>0.51614846826285388</v>
      </c>
      <c r="G487" s="1" t="str">
        <f t="shared" si="61"/>
        <v/>
      </c>
      <c r="H487" s="1" t="str">
        <f t="shared" si="62"/>
        <v/>
      </c>
      <c r="I487" s="1">
        <f t="shared" si="63"/>
        <v>0.72222222222222221</v>
      </c>
      <c r="J487" s="1" t="str">
        <f t="shared" si="64"/>
        <v/>
      </c>
      <c r="K487" s="1" t="str">
        <f t="shared" si="65"/>
        <v/>
      </c>
      <c r="L487" s="1" t="str">
        <f t="shared" si="66"/>
        <v/>
      </c>
    </row>
    <row r="488" spans="1:12">
      <c r="A488" t="s">
        <v>358</v>
      </c>
      <c r="B488">
        <v>11</v>
      </c>
      <c r="C488" t="str">
        <f t="shared" si="60"/>
        <v>test.TIFFFaxDecoder_11_</v>
      </c>
      <c r="D488">
        <v>13</v>
      </c>
      <c r="E488">
        <v>0.73025048169556839</v>
      </c>
      <c r="F488">
        <v>0.51615814568252083</v>
      </c>
      <c r="G488" s="1" t="str">
        <f t="shared" si="61"/>
        <v/>
      </c>
      <c r="H488" s="1" t="str">
        <f t="shared" si="62"/>
        <v/>
      </c>
      <c r="I488" s="1">
        <f t="shared" si="63"/>
        <v>0.73025048169556839</v>
      </c>
      <c r="J488" s="1" t="str">
        <f t="shared" si="64"/>
        <v/>
      </c>
      <c r="K488" s="1" t="str">
        <f t="shared" si="65"/>
        <v/>
      </c>
      <c r="L488" s="1" t="str">
        <f t="shared" si="66"/>
        <v/>
      </c>
    </row>
    <row r="489" spans="1:12">
      <c r="A489" t="s">
        <v>358</v>
      </c>
      <c r="B489">
        <v>11</v>
      </c>
      <c r="C489" t="str">
        <f t="shared" si="60"/>
        <v>test.TIFFFaxDecoder_11_</v>
      </c>
      <c r="D489">
        <v>14</v>
      </c>
      <c r="E489">
        <v>0.74566473988439308</v>
      </c>
      <c r="F489">
        <v>0.54838709833506771</v>
      </c>
      <c r="G489" s="1" t="str">
        <f t="shared" si="61"/>
        <v/>
      </c>
      <c r="H489" s="1" t="str">
        <f t="shared" si="62"/>
        <v/>
      </c>
      <c r="I489" s="1">
        <f t="shared" si="63"/>
        <v>0.74566473988439308</v>
      </c>
      <c r="J489" s="1" t="str">
        <f t="shared" si="64"/>
        <v/>
      </c>
      <c r="K489" s="1" t="str">
        <f t="shared" si="65"/>
        <v/>
      </c>
      <c r="L489" s="1" t="str">
        <f t="shared" si="66"/>
        <v/>
      </c>
    </row>
    <row r="490" spans="1:12">
      <c r="A490" t="s">
        <v>358</v>
      </c>
      <c r="B490">
        <v>11</v>
      </c>
      <c r="C490" t="str">
        <f t="shared" si="60"/>
        <v>test.TIFFFaxDecoder_11_</v>
      </c>
      <c r="D490">
        <v>15</v>
      </c>
      <c r="E490">
        <v>0.9126525369299936</v>
      </c>
      <c r="F490">
        <v>0.54839678543215442</v>
      </c>
      <c r="G490" s="1" t="str">
        <f t="shared" si="61"/>
        <v/>
      </c>
      <c r="H490" s="1" t="str">
        <f t="shared" si="62"/>
        <v/>
      </c>
      <c r="I490" s="1">
        <f t="shared" si="63"/>
        <v>0.9126525369299936</v>
      </c>
      <c r="J490" s="1" t="str">
        <f t="shared" si="64"/>
        <v/>
      </c>
      <c r="K490" s="1" t="str">
        <f t="shared" si="65"/>
        <v/>
      </c>
      <c r="L490" s="1" t="str">
        <f t="shared" si="66"/>
        <v/>
      </c>
    </row>
    <row r="491" spans="1:12">
      <c r="A491" t="s">
        <v>358</v>
      </c>
      <c r="B491">
        <v>11</v>
      </c>
      <c r="C491" t="str">
        <f t="shared" si="60"/>
        <v>test.TIFFFaxDecoder_11_</v>
      </c>
      <c r="D491">
        <v>16</v>
      </c>
      <c r="E491">
        <v>0.92228644829800899</v>
      </c>
      <c r="F491">
        <v>0.54840650156150006</v>
      </c>
      <c r="G491" s="1" t="str">
        <f t="shared" si="61"/>
        <v/>
      </c>
      <c r="H491" s="1" t="str">
        <f t="shared" si="62"/>
        <v/>
      </c>
      <c r="I491" s="1">
        <f t="shared" si="63"/>
        <v>0.92228644829800899</v>
      </c>
      <c r="J491" s="1" t="str">
        <f t="shared" si="64"/>
        <v/>
      </c>
      <c r="K491" s="1" t="str">
        <f t="shared" si="65"/>
        <v/>
      </c>
      <c r="L491" s="1" t="str">
        <f t="shared" si="66"/>
        <v/>
      </c>
    </row>
    <row r="492" spans="1:12">
      <c r="A492" t="s">
        <v>358</v>
      </c>
      <c r="B492">
        <v>11</v>
      </c>
      <c r="C492" t="str">
        <f t="shared" si="60"/>
        <v>test.TIFFFaxDecoder_11_</v>
      </c>
      <c r="D492">
        <v>17</v>
      </c>
      <c r="E492">
        <v>0.94540783558124597</v>
      </c>
      <c r="F492">
        <v>0.64516129500520303</v>
      </c>
      <c r="G492" s="1" t="str">
        <f t="shared" si="61"/>
        <v/>
      </c>
      <c r="H492" s="1" t="str">
        <f t="shared" si="62"/>
        <v/>
      </c>
      <c r="I492" s="1" t="str">
        <f t="shared" si="63"/>
        <v/>
      </c>
      <c r="J492" s="1">
        <f t="shared" si="64"/>
        <v>0.94540783558124597</v>
      </c>
      <c r="K492" s="1" t="str">
        <f t="shared" si="65"/>
        <v/>
      </c>
      <c r="L492" s="1" t="str">
        <f t="shared" si="66"/>
        <v/>
      </c>
    </row>
    <row r="493" spans="1:12">
      <c r="A493" t="s">
        <v>358</v>
      </c>
      <c r="B493">
        <v>11</v>
      </c>
      <c r="C493" t="str">
        <f t="shared" si="60"/>
        <v>test.TIFFFaxDecoder_11_</v>
      </c>
      <c r="D493">
        <v>18</v>
      </c>
      <c r="E493">
        <v>0.96146435452793833</v>
      </c>
      <c r="F493">
        <v>0.64517098210228974</v>
      </c>
      <c r="G493" s="1" t="str">
        <f t="shared" si="61"/>
        <v/>
      </c>
      <c r="H493" s="1" t="str">
        <f t="shared" si="62"/>
        <v/>
      </c>
      <c r="I493" s="1" t="str">
        <f t="shared" si="63"/>
        <v/>
      </c>
      <c r="J493" s="1">
        <f t="shared" si="64"/>
        <v>0.96146435452793833</v>
      </c>
      <c r="K493" s="1" t="str">
        <f t="shared" si="65"/>
        <v/>
      </c>
      <c r="L493" s="1" t="str">
        <f t="shared" si="66"/>
        <v/>
      </c>
    </row>
    <row r="494" spans="1:12">
      <c r="A494" t="s">
        <v>358</v>
      </c>
      <c r="B494">
        <v>11</v>
      </c>
      <c r="C494" t="str">
        <f t="shared" si="60"/>
        <v>test.TIFFFaxDecoder_11_</v>
      </c>
      <c r="D494">
        <v>19</v>
      </c>
      <c r="E494">
        <v>1</v>
      </c>
      <c r="F494">
        <v>0.70967745837669227</v>
      </c>
      <c r="G494" s="1" t="str">
        <f t="shared" si="61"/>
        <v/>
      </c>
      <c r="H494" s="1" t="str">
        <f t="shared" si="62"/>
        <v/>
      </c>
      <c r="I494" s="1" t="str">
        <f t="shared" si="63"/>
        <v/>
      </c>
      <c r="J494" s="1">
        <f t="shared" si="64"/>
        <v>1</v>
      </c>
      <c r="K494" s="1" t="str">
        <f t="shared" si="65"/>
        <v/>
      </c>
      <c r="L494" s="1" t="str">
        <f t="shared" si="66"/>
        <v/>
      </c>
    </row>
    <row r="495" spans="1:12">
      <c r="A495" t="s">
        <v>358</v>
      </c>
      <c r="B495">
        <v>12</v>
      </c>
      <c r="C495" t="str">
        <f t="shared" si="60"/>
        <v>test.TIFFFaxDecoder_12_</v>
      </c>
      <c r="D495">
        <v>1</v>
      </c>
      <c r="E495">
        <v>4.7422680412371132E-2</v>
      </c>
      <c r="F495">
        <v>0.40000001500000038</v>
      </c>
      <c r="G495" s="1" t="str">
        <f t="shared" si="61"/>
        <v/>
      </c>
      <c r="H495" s="1" t="str">
        <f t="shared" si="62"/>
        <v/>
      </c>
      <c r="I495" s="1">
        <f t="shared" si="63"/>
        <v>4.7422680412371132E-2</v>
      </c>
      <c r="J495" s="1" t="str">
        <f t="shared" si="64"/>
        <v/>
      </c>
      <c r="K495" s="1" t="str">
        <f t="shared" si="65"/>
        <v/>
      </c>
      <c r="L495" s="1" t="str">
        <f t="shared" si="66"/>
        <v/>
      </c>
    </row>
    <row r="496" spans="1:12">
      <c r="A496" t="s">
        <v>358</v>
      </c>
      <c r="B496">
        <v>12</v>
      </c>
      <c r="C496" t="str">
        <f t="shared" si="60"/>
        <v>test.TIFFFaxDecoder_12_</v>
      </c>
      <c r="D496">
        <v>2</v>
      </c>
      <c r="E496">
        <v>0.31958762886597936</v>
      </c>
      <c r="F496">
        <v>0.60000001500000044</v>
      </c>
      <c r="G496" s="1" t="str">
        <f t="shared" si="61"/>
        <v/>
      </c>
      <c r="H496" s="1" t="str">
        <f t="shared" si="62"/>
        <v/>
      </c>
      <c r="I496" s="1" t="str">
        <f t="shared" si="63"/>
        <v/>
      </c>
      <c r="J496" s="1">
        <f t="shared" si="64"/>
        <v>0.31958762886597936</v>
      </c>
      <c r="K496" s="1" t="str">
        <f t="shared" si="65"/>
        <v/>
      </c>
      <c r="L496" s="1" t="str">
        <f t="shared" si="66"/>
        <v/>
      </c>
    </row>
    <row r="497" spans="1:12">
      <c r="A497" t="s">
        <v>358</v>
      </c>
      <c r="B497">
        <v>12</v>
      </c>
      <c r="C497" t="str">
        <f t="shared" si="60"/>
        <v>test.TIFFFaxDecoder_12_</v>
      </c>
      <c r="D497">
        <v>3</v>
      </c>
      <c r="E497">
        <v>0.37594501718213058</v>
      </c>
      <c r="F497">
        <v>0.60001501500037535</v>
      </c>
      <c r="G497" s="1" t="str">
        <f t="shared" si="61"/>
        <v/>
      </c>
      <c r="H497" s="1" t="str">
        <f t="shared" si="62"/>
        <v/>
      </c>
      <c r="I497" s="1" t="str">
        <f t="shared" si="63"/>
        <v/>
      </c>
      <c r="J497" s="1">
        <f t="shared" si="64"/>
        <v>0.37594501718213058</v>
      </c>
      <c r="K497" s="1" t="str">
        <f t="shared" si="65"/>
        <v/>
      </c>
      <c r="L497" s="1" t="str">
        <f t="shared" si="66"/>
        <v/>
      </c>
    </row>
    <row r="498" spans="1:12">
      <c r="A498" t="s">
        <v>358</v>
      </c>
      <c r="B498">
        <v>12</v>
      </c>
      <c r="C498" t="str">
        <f t="shared" si="60"/>
        <v>test.TIFFFaxDecoder_12_</v>
      </c>
      <c r="D498">
        <v>4</v>
      </c>
      <c r="E498">
        <v>0.6</v>
      </c>
      <c r="F498">
        <v>0.60003006000075154</v>
      </c>
      <c r="G498" s="1" t="str">
        <f t="shared" si="61"/>
        <v/>
      </c>
      <c r="H498" s="1" t="str">
        <f t="shared" si="62"/>
        <v/>
      </c>
      <c r="I498" s="1" t="str">
        <f t="shared" si="63"/>
        <v/>
      </c>
      <c r="J498" s="1">
        <f t="shared" si="64"/>
        <v>0.6</v>
      </c>
      <c r="K498" s="1" t="str">
        <f t="shared" si="65"/>
        <v/>
      </c>
      <c r="L498" s="1" t="str">
        <f t="shared" si="66"/>
        <v/>
      </c>
    </row>
    <row r="499" spans="1:12">
      <c r="A499" t="s">
        <v>358</v>
      </c>
      <c r="B499">
        <v>12</v>
      </c>
      <c r="C499" t="str">
        <f t="shared" si="60"/>
        <v>test.TIFFFaxDecoder_12_</v>
      </c>
      <c r="D499">
        <v>5</v>
      </c>
      <c r="E499">
        <v>0.73402061855670098</v>
      </c>
      <c r="F499">
        <v>0.60004507500112692</v>
      </c>
      <c r="G499" s="1" t="str">
        <f t="shared" si="61"/>
        <v/>
      </c>
      <c r="H499" s="1" t="str">
        <f t="shared" si="62"/>
        <v/>
      </c>
      <c r="I499" s="1" t="str">
        <f t="shared" si="63"/>
        <v/>
      </c>
      <c r="J499" s="1">
        <f t="shared" si="64"/>
        <v>0.73402061855670098</v>
      </c>
      <c r="K499" s="1" t="str">
        <f t="shared" si="65"/>
        <v/>
      </c>
      <c r="L499" s="1" t="str">
        <f t="shared" si="66"/>
        <v/>
      </c>
    </row>
    <row r="500" spans="1:12">
      <c r="A500" t="s">
        <v>358</v>
      </c>
      <c r="B500">
        <v>12</v>
      </c>
      <c r="C500" t="str">
        <f t="shared" si="60"/>
        <v>test.TIFFFaxDecoder_12_</v>
      </c>
      <c r="D500">
        <v>6</v>
      </c>
      <c r="E500">
        <v>0.78213058419243986</v>
      </c>
      <c r="F500">
        <v>0.6500000412500011</v>
      </c>
      <c r="G500" s="1" t="str">
        <f t="shared" si="61"/>
        <v/>
      </c>
      <c r="H500" s="1" t="str">
        <f t="shared" si="62"/>
        <v/>
      </c>
      <c r="I500" s="1" t="str">
        <f t="shared" si="63"/>
        <v/>
      </c>
      <c r="J500" s="1">
        <f t="shared" si="64"/>
        <v>0.78213058419243986</v>
      </c>
      <c r="K500" s="1" t="str">
        <f t="shared" si="65"/>
        <v/>
      </c>
      <c r="L500" s="1" t="str">
        <f t="shared" si="66"/>
        <v/>
      </c>
    </row>
    <row r="501" spans="1:12">
      <c r="A501" t="s">
        <v>358</v>
      </c>
      <c r="B501">
        <v>12</v>
      </c>
      <c r="C501" t="str">
        <f t="shared" si="60"/>
        <v>test.TIFFFaxDecoder_12_</v>
      </c>
      <c r="D501">
        <v>7</v>
      </c>
      <c r="E501">
        <v>0.80274914089347083</v>
      </c>
      <c r="F501">
        <v>0.65001505625037648</v>
      </c>
      <c r="G501" s="1" t="str">
        <f t="shared" si="61"/>
        <v/>
      </c>
      <c r="H501" s="1" t="str">
        <f t="shared" si="62"/>
        <v/>
      </c>
      <c r="I501" s="1" t="str">
        <f t="shared" si="63"/>
        <v/>
      </c>
      <c r="J501" s="1">
        <f t="shared" si="64"/>
        <v>0.80274914089347083</v>
      </c>
      <c r="K501" s="1" t="str">
        <f t="shared" si="65"/>
        <v/>
      </c>
      <c r="L501" s="1" t="str">
        <f t="shared" si="66"/>
        <v/>
      </c>
    </row>
    <row r="502" spans="1:12">
      <c r="A502" t="s">
        <v>358</v>
      </c>
      <c r="B502">
        <v>12</v>
      </c>
      <c r="C502" t="str">
        <f t="shared" si="60"/>
        <v>test.TIFFFaxDecoder_12_</v>
      </c>
      <c r="D502">
        <v>8</v>
      </c>
      <c r="E502">
        <v>0.94845360824742264</v>
      </c>
      <c r="F502">
        <v>0.69999999249999978</v>
      </c>
      <c r="G502" s="1" t="str">
        <f t="shared" si="61"/>
        <v/>
      </c>
      <c r="H502" s="1" t="str">
        <f t="shared" si="62"/>
        <v/>
      </c>
      <c r="I502" s="1" t="str">
        <f t="shared" si="63"/>
        <v/>
      </c>
      <c r="J502" s="1">
        <f t="shared" si="64"/>
        <v>0.94845360824742264</v>
      </c>
      <c r="K502" s="1" t="str">
        <f t="shared" si="65"/>
        <v/>
      </c>
      <c r="L502" s="1" t="str">
        <f t="shared" si="66"/>
        <v/>
      </c>
    </row>
    <row r="503" spans="1:12">
      <c r="A503" t="s">
        <v>358</v>
      </c>
      <c r="B503">
        <v>12</v>
      </c>
      <c r="C503" t="str">
        <f t="shared" si="60"/>
        <v>test.TIFFFaxDecoder_12_</v>
      </c>
      <c r="D503">
        <v>9</v>
      </c>
      <c r="E503">
        <v>1</v>
      </c>
      <c r="F503">
        <v>0.75000001875000044</v>
      </c>
      <c r="G503" s="1" t="str">
        <f t="shared" si="61"/>
        <v/>
      </c>
      <c r="H503" s="1" t="str">
        <f t="shared" si="62"/>
        <v/>
      </c>
      <c r="I503" s="1" t="str">
        <f t="shared" si="63"/>
        <v/>
      </c>
      <c r="J503" s="1">
        <f t="shared" si="64"/>
        <v>1</v>
      </c>
      <c r="K503" s="1" t="str">
        <f t="shared" si="65"/>
        <v/>
      </c>
      <c r="L503" s="1" t="str">
        <f t="shared" si="66"/>
        <v/>
      </c>
    </row>
    <row r="504" spans="1:12">
      <c r="A504" t="s">
        <v>358</v>
      </c>
      <c r="B504">
        <v>13</v>
      </c>
      <c r="C504" t="str">
        <f t="shared" si="60"/>
        <v>test.TIFFFaxDecoder_13_</v>
      </c>
      <c r="D504">
        <v>1</v>
      </c>
      <c r="E504">
        <v>0.32142857142857145</v>
      </c>
      <c r="F504">
        <v>0.8571428693877553</v>
      </c>
      <c r="G504" s="1" t="str">
        <f t="shared" si="61"/>
        <v/>
      </c>
      <c r="H504" s="1" t="str">
        <f t="shared" si="62"/>
        <v/>
      </c>
      <c r="I504" s="1" t="str">
        <f t="shared" si="63"/>
        <v/>
      </c>
      <c r="J504" s="1" t="str">
        <f t="shared" si="64"/>
        <v/>
      </c>
      <c r="K504" s="1">
        <f t="shared" si="65"/>
        <v>0.32142857142857145</v>
      </c>
      <c r="L504" s="1" t="str">
        <f t="shared" si="66"/>
        <v/>
      </c>
    </row>
    <row r="505" spans="1:12">
      <c r="A505" t="s">
        <v>358</v>
      </c>
      <c r="B505">
        <v>13</v>
      </c>
      <c r="C505" t="str">
        <f t="shared" si="60"/>
        <v>test.TIFFFaxDecoder_13_</v>
      </c>
      <c r="D505">
        <v>2</v>
      </c>
      <c r="E505">
        <v>1</v>
      </c>
      <c r="F505">
        <v>1</v>
      </c>
      <c r="G505" s="1" t="str">
        <f t="shared" si="61"/>
        <v/>
      </c>
      <c r="H505" s="1" t="str">
        <f t="shared" si="62"/>
        <v/>
      </c>
      <c r="I505" s="1" t="str">
        <f t="shared" si="63"/>
        <v/>
      </c>
      <c r="J505" s="1" t="str">
        <f t="shared" si="64"/>
        <v/>
      </c>
      <c r="K505" s="1">
        <f t="shared" si="65"/>
        <v>1</v>
      </c>
      <c r="L505" s="1" t="str">
        <f t="shared" si="66"/>
        <v/>
      </c>
    </row>
    <row r="506" spans="1:12">
      <c r="A506" t="s">
        <v>405</v>
      </c>
      <c r="B506">
        <v>2</v>
      </c>
      <c r="C506" t="str">
        <f t="shared" si="60"/>
        <v>test.TIFFFaxEncoder_2_</v>
      </c>
      <c r="D506">
        <v>1</v>
      </c>
      <c r="E506">
        <v>0.31790123456790126</v>
      </c>
      <c r="F506">
        <v>0.52173914177693792</v>
      </c>
      <c r="G506" s="1" t="str">
        <f t="shared" si="61"/>
        <v/>
      </c>
      <c r="H506" s="1" t="str">
        <f t="shared" si="62"/>
        <v/>
      </c>
      <c r="I506" s="1">
        <f t="shared" si="63"/>
        <v>0.31790123456790126</v>
      </c>
      <c r="J506" s="1" t="str">
        <f t="shared" si="64"/>
        <v/>
      </c>
      <c r="K506" s="1" t="str">
        <f t="shared" si="65"/>
        <v/>
      </c>
      <c r="L506" s="1" t="str">
        <f t="shared" si="66"/>
        <v/>
      </c>
    </row>
    <row r="507" spans="1:12">
      <c r="A507" t="s">
        <v>405</v>
      </c>
      <c r="B507">
        <v>2</v>
      </c>
      <c r="C507" t="str">
        <f t="shared" si="60"/>
        <v>test.TIFFFaxEncoder_2_</v>
      </c>
      <c r="D507">
        <v>2</v>
      </c>
      <c r="E507">
        <v>0.68595679012345678</v>
      </c>
      <c r="F507">
        <v>0.69565221077504813</v>
      </c>
      <c r="G507" s="1" t="str">
        <f t="shared" si="61"/>
        <v/>
      </c>
      <c r="H507" s="1" t="str">
        <f t="shared" si="62"/>
        <v/>
      </c>
      <c r="I507" s="1" t="str">
        <f t="shared" si="63"/>
        <v/>
      </c>
      <c r="J507" s="1">
        <f t="shared" si="64"/>
        <v>0.68595679012345678</v>
      </c>
      <c r="K507" s="1" t="str">
        <f t="shared" si="65"/>
        <v/>
      </c>
      <c r="L507" s="1" t="str">
        <f t="shared" si="66"/>
        <v/>
      </c>
    </row>
    <row r="508" spans="1:12">
      <c r="A508" t="s">
        <v>405</v>
      </c>
      <c r="B508">
        <v>2</v>
      </c>
      <c r="C508" t="str">
        <f t="shared" si="60"/>
        <v>test.TIFFFaxEncoder_2_</v>
      </c>
      <c r="D508">
        <v>3</v>
      </c>
      <c r="E508">
        <v>1</v>
      </c>
      <c r="F508">
        <v>0.73913042911153104</v>
      </c>
      <c r="G508" s="1" t="str">
        <f t="shared" si="61"/>
        <v/>
      </c>
      <c r="H508" s="1" t="str">
        <f t="shared" si="62"/>
        <v/>
      </c>
      <c r="I508" s="1" t="str">
        <f t="shared" si="63"/>
        <v/>
      </c>
      <c r="J508" s="1">
        <f t="shared" si="64"/>
        <v>1</v>
      </c>
      <c r="K508" s="1" t="str">
        <f t="shared" si="65"/>
        <v/>
      </c>
      <c r="L508" s="1" t="str">
        <f t="shared" si="66"/>
        <v/>
      </c>
    </row>
    <row r="509" spans="1:12">
      <c r="A509" t="s">
        <v>405</v>
      </c>
      <c r="B509">
        <v>6</v>
      </c>
      <c r="C509" t="str">
        <f t="shared" si="60"/>
        <v>test.TIFFFaxEncoder_6_</v>
      </c>
      <c r="D509">
        <v>1</v>
      </c>
      <c r="E509">
        <v>0.72233400402414483</v>
      </c>
      <c r="F509">
        <v>0.8</v>
      </c>
      <c r="G509" s="1" t="str">
        <f t="shared" si="61"/>
        <v/>
      </c>
      <c r="H509" s="1" t="str">
        <f t="shared" si="62"/>
        <v/>
      </c>
      <c r="I509" s="1" t="str">
        <f t="shared" si="63"/>
        <v/>
      </c>
      <c r="J509" s="1">
        <f t="shared" si="64"/>
        <v>0.72233400402414483</v>
      </c>
      <c r="K509" s="1" t="str">
        <f t="shared" si="65"/>
        <v/>
      </c>
      <c r="L509" s="1" t="str">
        <f t="shared" si="66"/>
        <v/>
      </c>
    </row>
    <row r="510" spans="1:12">
      <c r="A510" t="s">
        <v>405</v>
      </c>
      <c r="B510">
        <v>6</v>
      </c>
      <c r="C510" t="str">
        <f t="shared" si="60"/>
        <v>test.TIFFFaxEncoder_6_</v>
      </c>
      <c r="D510">
        <v>2</v>
      </c>
      <c r="E510">
        <v>0.74446680080482897</v>
      </c>
      <c r="F510">
        <v>0.86666670000000001</v>
      </c>
      <c r="G510" s="1" t="str">
        <f t="shared" si="61"/>
        <v/>
      </c>
      <c r="H510" s="1" t="str">
        <f t="shared" si="62"/>
        <v/>
      </c>
      <c r="I510" s="1" t="str">
        <f t="shared" si="63"/>
        <v/>
      </c>
      <c r="J510" s="1" t="str">
        <f t="shared" si="64"/>
        <v/>
      </c>
      <c r="K510" s="1">
        <f t="shared" si="65"/>
        <v>0.74446680080482897</v>
      </c>
      <c r="L510" s="1" t="str">
        <f t="shared" si="66"/>
        <v/>
      </c>
    </row>
    <row r="511" spans="1:12">
      <c r="A511" t="s">
        <v>405</v>
      </c>
      <c r="B511">
        <v>6</v>
      </c>
      <c r="C511" t="str">
        <f t="shared" si="60"/>
        <v>test.TIFFFaxEncoder_6_</v>
      </c>
      <c r="D511">
        <v>3</v>
      </c>
      <c r="E511">
        <v>0.94969818913480886</v>
      </c>
      <c r="F511">
        <v>0.86668672000000002</v>
      </c>
      <c r="G511" s="1" t="str">
        <f t="shared" si="61"/>
        <v/>
      </c>
      <c r="H511" s="1" t="str">
        <f t="shared" si="62"/>
        <v/>
      </c>
      <c r="I511" s="1" t="str">
        <f t="shared" si="63"/>
        <v/>
      </c>
      <c r="J511" s="1" t="str">
        <f t="shared" si="64"/>
        <v/>
      </c>
      <c r="K511" s="1">
        <f t="shared" si="65"/>
        <v>0.94969818913480886</v>
      </c>
      <c r="L511" s="1" t="str">
        <f t="shared" si="66"/>
        <v/>
      </c>
    </row>
    <row r="512" spans="1:12">
      <c r="A512" t="s">
        <v>405</v>
      </c>
      <c r="B512">
        <v>6</v>
      </c>
      <c r="C512" t="str">
        <f t="shared" si="60"/>
        <v>test.TIFFFaxEncoder_6_</v>
      </c>
      <c r="D512">
        <v>4</v>
      </c>
      <c r="E512">
        <v>1</v>
      </c>
      <c r="F512">
        <v>0.93333329999999992</v>
      </c>
      <c r="G512" s="1" t="str">
        <f t="shared" si="61"/>
        <v/>
      </c>
      <c r="H512" s="1" t="str">
        <f t="shared" si="62"/>
        <v/>
      </c>
      <c r="I512" s="1" t="str">
        <f t="shared" si="63"/>
        <v/>
      </c>
      <c r="J512" s="1" t="str">
        <f t="shared" si="64"/>
        <v/>
      </c>
      <c r="K512" s="1">
        <f t="shared" si="65"/>
        <v>1</v>
      </c>
      <c r="L512" s="1" t="str">
        <f t="shared" si="66"/>
        <v/>
      </c>
    </row>
    <row r="513" spans="1:12">
      <c r="A513" t="s">
        <v>405</v>
      </c>
      <c r="B513">
        <v>6</v>
      </c>
      <c r="C513" t="str">
        <f t="shared" si="60"/>
        <v>test.TIFFFaxEncoder_6_</v>
      </c>
      <c r="D513">
        <v>5</v>
      </c>
      <c r="E513">
        <v>1</v>
      </c>
      <c r="F513">
        <v>0.93335331999999993</v>
      </c>
      <c r="G513" s="1" t="str">
        <f t="shared" si="61"/>
        <v/>
      </c>
      <c r="H513" s="1" t="str">
        <f t="shared" si="62"/>
        <v/>
      </c>
      <c r="I513" s="1" t="str">
        <f t="shared" si="63"/>
        <v/>
      </c>
      <c r="J513" s="1" t="str">
        <f t="shared" si="64"/>
        <v/>
      </c>
      <c r="K513" s="1">
        <f t="shared" si="65"/>
        <v>1</v>
      </c>
      <c r="L513" s="1" t="str">
        <f t="shared" si="66"/>
        <v/>
      </c>
    </row>
    <row r="514" spans="1:12">
      <c r="A514" t="s">
        <v>405</v>
      </c>
      <c r="B514">
        <v>6</v>
      </c>
      <c r="C514" t="str">
        <f t="shared" si="60"/>
        <v>test.TIFFFaxEncoder_6_</v>
      </c>
      <c r="D514">
        <v>6</v>
      </c>
      <c r="E514">
        <v>1</v>
      </c>
      <c r="F514">
        <v>1</v>
      </c>
      <c r="G514" s="1" t="str">
        <f t="shared" si="61"/>
        <v/>
      </c>
      <c r="H514" s="1" t="str">
        <f t="shared" si="62"/>
        <v/>
      </c>
      <c r="I514" s="1" t="str">
        <f t="shared" si="63"/>
        <v/>
      </c>
      <c r="J514" s="1" t="str">
        <f t="shared" si="64"/>
        <v/>
      </c>
      <c r="K514" s="1">
        <f t="shared" si="65"/>
        <v>1</v>
      </c>
    </row>
    <row r="515" spans="1:12">
      <c r="A515" t="s">
        <v>405</v>
      </c>
      <c r="B515">
        <v>8</v>
      </c>
      <c r="C515" t="str">
        <f t="shared" ref="C515:C516" si="67">CONCATENATE(A515, "_",B515,"_")</f>
        <v>test.TIFFFaxEncoder_8_</v>
      </c>
      <c r="D515">
        <v>1</v>
      </c>
      <c r="E515">
        <v>0.86578449905482047</v>
      </c>
      <c r="F515">
        <v>0.86666670000000001</v>
      </c>
      <c r="G515" s="1" t="str">
        <f t="shared" ref="G515:G516" si="68">IF($F515 &lt;= 0.2,$E515,"")</f>
        <v/>
      </c>
      <c r="H515" s="1" t="str">
        <f t="shared" ref="H515:H516" si="69">IF(AND($F515 &gt; 0.2,$F515 &lt;= 0.4),$E515,"")</f>
        <v/>
      </c>
      <c r="I515" s="1" t="str">
        <f t="shared" ref="I515:I516" si="70">IF(AND($F515 &gt; 0.4,$F515 &lt;= 0.6),$E515,"")</f>
        <v/>
      </c>
      <c r="J515" s="1" t="str">
        <f t="shared" ref="J515:J516" si="71">IF(AND($F515 &gt; 0.6,$F515 &lt;= 0.8),$E515,"")</f>
        <v/>
      </c>
      <c r="K515" s="1">
        <f t="shared" ref="K515:K516" si="72">IF(AND($F515 &gt; 0.8, $F515 &lt;=1.1),$E515,"")</f>
        <v>0.86578449905482047</v>
      </c>
    </row>
    <row r="516" spans="1:12">
      <c r="A516" t="s">
        <v>405</v>
      </c>
      <c r="B516">
        <v>8</v>
      </c>
      <c r="C516" t="str">
        <f t="shared" si="67"/>
        <v>test.TIFFFaxEncoder_8_</v>
      </c>
      <c r="D516">
        <v>2</v>
      </c>
      <c r="E516">
        <v>1</v>
      </c>
      <c r="F516">
        <v>1</v>
      </c>
      <c r="G516" s="1" t="str">
        <f t="shared" si="68"/>
        <v/>
      </c>
      <c r="H516" s="1" t="str">
        <f t="shared" si="69"/>
        <v/>
      </c>
      <c r="I516" s="1" t="str">
        <f t="shared" si="70"/>
        <v/>
      </c>
      <c r="J516" s="1" t="str">
        <f t="shared" si="71"/>
        <v/>
      </c>
      <c r="K516" s="1">
        <f t="shared" si="72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6"/>
  <sheetViews>
    <sheetView workbookViewId="0">
      <selection activeCell="I2" sqref="I2"/>
    </sheetView>
  </sheetViews>
  <sheetFormatPr baseColWidth="10" defaultRowHeight="15" x14ac:dyDescent="0"/>
  <cols>
    <col min="1" max="1" width="25.33203125" bestFit="1" customWidth="1"/>
  </cols>
  <sheetData>
    <row r="1" spans="1:9">
      <c r="A1" t="s">
        <v>412</v>
      </c>
      <c r="B1" t="s">
        <v>413</v>
      </c>
      <c r="C1" t="s">
        <v>503</v>
      </c>
      <c r="D1" s="4" t="s">
        <v>504</v>
      </c>
      <c r="E1" s="4" t="s">
        <v>505</v>
      </c>
      <c r="F1" s="4" t="s">
        <v>431</v>
      </c>
      <c r="G1" s="4" t="s">
        <v>506</v>
      </c>
      <c r="H1" s="4" t="s">
        <v>507</v>
      </c>
      <c r="I1" s="4" t="s">
        <v>508</v>
      </c>
    </row>
    <row r="2" spans="1:9">
      <c r="A2" t="s">
        <v>4</v>
      </c>
      <c r="B2">
        <v>1</v>
      </c>
      <c r="C2">
        <v>1</v>
      </c>
      <c r="D2">
        <v>46</v>
      </c>
      <c r="E2">
        <v>0</v>
      </c>
      <c r="F2">
        <v>5</v>
      </c>
      <c r="G2">
        <v>0</v>
      </c>
      <c r="H2">
        <v>51</v>
      </c>
      <c r="I2" s="1">
        <f>D2/H2</f>
        <v>0.90196078431372551</v>
      </c>
    </row>
    <row r="3" spans="1:9">
      <c r="A3" t="s">
        <v>4</v>
      </c>
      <c r="B3">
        <v>1</v>
      </c>
      <c r="C3">
        <v>2</v>
      </c>
      <c r="D3">
        <v>48</v>
      </c>
      <c r="E3">
        <v>0</v>
      </c>
      <c r="F3">
        <v>3</v>
      </c>
      <c r="G3">
        <v>0</v>
      </c>
      <c r="H3">
        <v>51</v>
      </c>
      <c r="I3" s="1">
        <f t="shared" ref="I3:I66" si="0">D3/H3</f>
        <v>0.94117647058823528</v>
      </c>
    </row>
    <row r="4" spans="1:9">
      <c r="A4" t="s">
        <v>4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1">
        <f t="shared" si="0"/>
        <v>1</v>
      </c>
    </row>
    <row r="5" spans="1:9">
      <c r="A5" t="s">
        <v>4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1">
        <f t="shared" si="0"/>
        <v>1</v>
      </c>
    </row>
    <row r="6" spans="1:9">
      <c r="A6" t="s">
        <v>4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1">
        <f t="shared" si="0"/>
        <v>0.33333333333333331</v>
      </c>
    </row>
    <row r="7" spans="1:9">
      <c r="A7" t="s">
        <v>4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1">
        <f t="shared" si="0"/>
        <v>0.5757575757575758</v>
      </c>
    </row>
    <row r="8" spans="1:9">
      <c r="A8" t="s">
        <v>4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1">
        <f t="shared" si="0"/>
        <v>0.60606060606060608</v>
      </c>
    </row>
    <row r="9" spans="1:9">
      <c r="A9" t="s">
        <v>4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1">
        <f t="shared" si="0"/>
        <v>0.78787878787878785</v>
      </c>
    </row>
    <row r="10" spans="1:9">
      <c r="A10" t="s">
        <v>4</v>
      </c>
      <c r="B10">
        <v>2</v>
      </c>
      <c r="C10">
        <v>5</v>
      </c>
      <c r="D10">
        <v>26</v>
      </c>
      <c r="E10">
        <v>0</v>
      </c>
      <c r="F10">
        <v>3</v>
      </c>
      <c r="G10">
        <v>0</v>
      </c>
      <c r="H10">
        <v>33</v>
      </c>
      <c r="I10" s="1">
        <f t="shared" si="0"/>
        <v>0.78787878787878785</v>
      </c>
    </row>
    <row r="11" spans="1:9">
      <c r="A11" t="s">
        <v>4</v>
      </c>
      <c r="B11">
        <v>2</v>
      </c>
      <c r="C11">
        <v>6</v>
      </c>
      <c r="D11">
        <v>27</v>
      </c>
      <c r="E11">
        <v>0</v>
      </c>
      <c r="F11">
        <v>2</v>
      </c>
      <c r="G11">
        <v>0</v>
      </c>
      <c r="H11">
        <v>33</v>
      </c>
      <c r="I11" s="1">
        <f t="shared" si="0"/>
        <v>0.81818181818181823</v>
      </c>
    </row>
    <row r="12" spans="1:9">
      <c r="A12" t="s">
        <v>4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1">
        <f t="shared" si="0"/>
        <v>0.96969696969696972</v>
      </c>
    </row>
    <row r="13" spans="1:9">
      <c r="A13" t="s">
        <v>4</v>
      </c>
      <c r="B13">
        <v>2</v>
      </c>
      <c r="C13">
        <v>8</v>
      </c>
      <c r="D13">
        <v>33</v>
      </c>
      <c r="E13">
        <v>0</v>
      </c>
      <c r="F13">
        <v>0</v>
      </c>
      <c r="G13">
        <v>0</v>
      </c>
      <c r="H13">
        <v>33</v>
      </c>
      <c r="I13" s="1">
        <f t="shared" si="0"/>
        <v>1</v>
      </c>
    </row>
    <row r="14" spans="1:9">
      <c r="A14" t="s">
        <v>4</v>
      </c>
      <c r="B14">
        <v>2</v>
      </c>
      <c r="C14">
        <v>9</v>
      </c>
      <c r="D14">
        <v>33</v>
      </c>
      <c r="E14">
        <v>0</v>
      </c>
      <c r="F14">
        <v>0</v>
      </c>
      <c r="G14">
        <v>0</v>
      </c>
      <c r="H14">
        <v>33</v>
      </c>
      <c r="I14" s="1">
        <f t="shared" si="0"/>
        <v>1</v>
      </c>
    </row>
    <row r="15" spans="1:9">
      <c r="A15" t="s">
        <v>4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1">
        <f t="shared" si="0"/>
        <v>1</v>
      </c>
    </row>
    <row r="16" spans="1:9">
      <c r="A16" t="s">
        <v>4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1">
        <f t="shared" si="0"/>
        <v>1</v>
      </c>
    </row>
    <row r="17" spans="1:9">
      <c r="A17" t="s">
        <v>4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1">
        <f t="shared" si="0"/>
        <v>1</v>
      </c>
    </row>
    <row r="18" spans="1:9">
      <c r="A18" t="s">
        <v>4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1">
        <f t="shared" si="0"/>
        <v>1</v>
      </c>
    </row>
    <row r="19" spans="1:9">
      <c r="A19" t="s">
        <v>4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1">
        <f t="shared" si="0"/>
        <v>1</v>
      </c>
    </row>
    <row r="20" spans="1:9">
      <c r="A20" t="s">
        <v>4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1">
        <f t="shared" si="0"/>
        <v>1</v>
      </c>
    </row>
    <row r="21" spans="1:9">
      <c r="A21" t="s">
        <v>4</v>
      </c>
      <c r="B21">
        <v>6</v>
      </c>
      <c r="C21">
        <v>1</v>
      </c>
      <c r="D21">
        <v>4</v>
      </c>
      <c r="E21">
        <v>0</v>
      </c>
      <c r="F21">
        <v>2</v>
      </c>
      <c r="G21">
        <v>0</v>
      </c>
      <c r="H21">
        <v>18</v>
      </c>
      <c r="I21" s="1">
        <f t="shared" si="0"/>
        <v>0.22222222222222221</v>
      </c>
    </row>
    <row r="22" spans="1:9">
      <c r="A22" t="s">
        <v>4</v>
      </c>
      <c r="B22">
        <v>6</v>
      </c>
      <c r="C22">
        <v>2</v>
      </c>
      <c r="D22">
        <v>10</v>
      </c>
      <c r="E22">
        <v>0</v>
      </c>
      <c r="F22">
        <v>3</v>
      </c>
      <c r="G22">
        <v>0</v>
      </c>
      <c r="H22">
        <v>18</v>
      </c>
      <c r="I22" s="1">
        <f t="shared" si="0"/>
        <v>0.55555555555555558</v>
      </c>
    </row>
    <row r="23" spans="1:9">
      <c r="A23" t="s">
        <v>4</v>
      </c>
      <c r="B23">
        <v>6</v>
      </c>
      <c r="C23">
        <v>3</v>
      </c>
      <c r="D23">
        <v>15</v>
      </c>
      <c r="E23">
        <v>0</v>
      </c>
      <c r="F23">
        <v>3</v>
      </c>
      <c r="G23">
        <v>0</v>
      </c>
      <c r="H23">
        <v>18</v>
      </c>
      <c r="I23" s="1">
        <f t="shared" si="0"/>
        <v>0.83333333333333337</v>
      </c>
    </row>
    <row r="24" spans="1:9">
      <c r="A24" t="s">
        <v>4</v>
      </c>
      <c r="B24">
        <v>6</v>
      </c>
      <c r="C24">
        <v>4</v>
      </c>
      <c r="D24">
        <v>17</v>
      </c>
      <c r="E24">
        <v>0</v>
      </c>
      <c r="F24">
        <v>1</v>
      </c>
      <c r="G24">
        <v>0</v>
      </c>
      <c r="H24">
        <v>18</v>
      </c>
      <c r="I24" s="1">
        <f t="shared" si="0"/>
        <v>0.94444444444444442</v>
      </c>
    </row>
    <row r="25" spans="1:9">
      <c r="A25" t="s">
        <v>4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1">
        <f t="shared" si="0"/>
        <v>1</v>
      </c>
    </row>
    <row r="26" spans="1:9">
      <c r="A26" t="s">
        <v>4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1">
        <f t="shared" si="0"/>
        <v>6.5217391304347824E-2</v>
      </c>
    </row>
    <row r="27" spans="1:9">
      <c r="A27" t="s">
        <v>4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1">
        <f t="shared" si="0"/>
        <v>6.5217391304347824E-2</v>
      </c>
    </row>
    <row r="28" spans="1:9">
      <c r="A28" t="s">
        <v>4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1">
        <f t="shared" si="0"/>
        <v>6.5217391304347824E-2</v>
      </c>
    </row>
    <row r="29" spans="1:9">
      <c r="A29" t="s">
        <v>4</v>
      </c>
      <c r="B29">
        <v>9</v>
      </c>
      <c r="C29">
        <v>4</v>
      </c>
      <c r="D29">
        <v>7</v>
      </c>
      <c r="E29">
        <v>0</v>
      </c>
      <c r="F29">
        <v>0</v>
      </c>
      <c r="G29">
        <v>0</v>
      </c>
      <c r="H29">
        <v>46</v>
      </c>
      <c r="I29" s="1">
        <f t="shared" si="0"/>
        <v>0.15217391304347827</v>
      </c>
    </row>
    <row r="30" spans="1:9">
      <c r="A30" t="s">
        <v>4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1">
        <f t="shared" si="0"/>
        <v>0.2391304347826087</v>
      </c>
    </row>
    <row r="31" spans="1:9">
      <c r="A31" t="s">
        <v>4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1">
        <f t="shared" si="0"/>
        <v>0.5</v>
      </c>
    </row>
    <row r="32" spans="1:9">
      <c r="A32" t="s">
        <v>4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1">
        <f t="shared" si="0"/>
        <v>0.65217391304347827</v>
      </c>
    </row>
    <row r="33" spans="1:9">
      <c r="A33" t="s">
        <v>4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1">
        <f t="shared" si="0"/>
        <v>0.91304347826086951</v>
      </c>
    </row>
    <row r="34" spans="1:9">
      <c r="A34" t="s">
        <v>4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1">
        <f t="shared" si="0"/>
        <v>1</v>
      </c>
    </row>
    <row r="35" spans="1:9">
      <c r="A35" t="s">
        <v>4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1">
        <f t="shared" si="0"/>
        <v>1</v>
      </c>
    </row>
    <row r="36" spans="1:9">
      <c r="A36" t="s">
        <v>32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1">
        <f t="shared" si="0"/>
        <v>0.19354838709677419</v>
      </c>
    </row>
    <row r="37" spans="1:9">
      <c r="A37" t="s">
        <v>32</v>
      </c>
      <c r="B37">
        <v>2</v>
      </c>
      <c r="C37">
        <v>2</v>
      </c>
      <c r="D37">
        <v>17</v>
      </c>
      <c r="E37">
        <v>0</v>
      </c>
      <c r="F37">
        <v>3</v>
      </c>
      <c r="G37">
        <v>0</v>
      </c>
      <c r="H37">
        <v>31</v>
      </c>
      <c r="I37" s="1">
        <f t="shared" si="0"/>
        <v>0.54838709677419351</v>
      </c>
    </row>
    <row r="38" spans="1:9">
      <c r="A38" t="s">
        <v>32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1">
        <f t="shared" si="0"/>
        <v>0.93548387096774188</v>
      </c>
    </row>
    <row r="39" spans="1:9">
      <c r="A39" t="s">
        <v>32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1">
        <f t="shared" si="0"/>
        <v>1</v>
      </c>
    </row>
    <row r="40" spans="1:9">
      <c r="A40" t="s">
        <v>32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1">
        <f t="shared" si="0"/>
        <v>0.19354838709677419</v>
      </c>
    </row>
    <row r="41" spans="1:9">
      <c r="A41" t="s">
        <v>32</v>
      </c>
      <c r="B41">
        <v>4</v>
      </c>
      <c r="C41">
        <v>2</v>
      </c>
      <c r="D41">
        <v>17</v>
      </c>
      <c r="E41">
        <v>0</v>
      </c>
      <c r="F41">
        <v>3</v>
      </c>
      <c r="G41">
        <v>0</v>
      </c>
      <c r="H41">
        <v>31</v>
      </c>
      <c r="I41" s="1">
        <f t="shared" si="0"/>
        <v>0.54838709677419351</v>
      </c>
    </row>
    <row r="42" spans="1:9">
      <c r="A42" t="s">
        <v>32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1">
        <f t="shared" si="0"/>
        <v>0.93548387096774188</v>
      </c>
    </row>
    <row r="43" spans="1:9">
      <c r="A43" t="s">
        <v>32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1">
        <f t="shared" si="0"/>
        <v>1</v>
      </c>
    </row>
    <row r="44" spans="1:9">
      <c r="A44" t="s">
        <v>32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1">
        <f t="shared" si="0"/>
        <v>0.125</v>
      </c>
    </row>
    <row r="45" spans="1:9">
      <c r="A45" t="s">
        <v>32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1">
        <f t="shared" si="0"/>
        <v>0.375</v>
      </c>
    </row>
    <row r="46" spans="1:9">
      <c r="A46" t="s">
        <v>32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1">
        <f t="shared" si="0"/>
        <v>0.625</v>
      </c>
    </row>
    <row r="47" spans="1:9">
      <c r="A47" t="s">
        <v>32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1">
        <f t="shared" si="0"/>
        <v>0.875</v>
      </c>
    </row>
    <row r="48" spans="1:9">
      <c r="A48" t="s">
        <v>32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1">
        <f t="shared" si="0"/>
        <v>1</v>
      </c>
    </row>
    <row r="49" spans="1:9">
      <c r="A49" t="s">
        <v>32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1">
        <f t="shared" si="0"/>
        <v>1.6393442622950821E-2</v>
      </c>
    </row>
    <row r="50" spans="1:9">
      <c r="A50" t="s">
        <v>32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1">
        <f t="shared" si="0"/>
        <v>3.2786885245901641E-2</v>
      </c>
    </row>
    <row r="51" spans="1:9">
      <c r="A51" t="s">
        <v>32</v>
      </c>
      <c r="B51">
        <v>16</v>
      </c>
      <c r="C51">
        <v>3</v>
      </c>
      <c r="D51">
        <v>149</v>
      </c>
      <c r="E51">
        <v>0</v>
      </c>
      <c r="F51">
        <v>1</v>
      </c>
      <c r="G51">
        <v>0</v>
      </c>
      <c r="H51">
        <v>183</v>
      </c>
      <c r="I51" s="1">
        <f t="shared" si="0"/>
        <v>0.81420765027322406</v>
      </c>
    </row>
    <row r="52" spans="1:9">
      <c r="A52" t="s">
        <v>32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1">
        <f t="shared" si="0"/>
        <v>1</v>
      </c>
    </row>
    <row r="53" spans="1:9">
      <c r="A53" t="s">
        <v>32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1">
        <f t="shared" si="0"/>
        <v>2.1276595744680851E-2</v>
      </c>
    </row>
    <row r="54" spans="1:9">
      <c r="A54" t="s">
        <v>32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1">
        <f t="shared" si="0"/>
        <v>4.2553191489361701E-2</v>
      </c>
    </row>
    <row r="55" spans="1:9">
      <c r="A55" t="s">
        <v>32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1">
        <f t="shared" si="0"/>
        <v>0.12056737588652482</v>
      </c>
    </row>
    <row r="56" spans="1:9">
      <c r="A56" t="s">
        <v>32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1">
        <f t="shared" si="0"/>
        <v>0.16312056737588654</v>
      </c>
    </row>
    <row r="57" spans="1:9">
      <c r="A57" t="s">
        <v>32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1">
        <f t="shared" si="0"/>
        <v>0.24822695035460993</v>
      </c>
    </row>
    <row r="58" spans="1:9">
      <c r="A58" t="s">
        <v>32</v>
      </c>
      <c r="B58">
        <v>18</v>
      </c>
      <c r="C58">
        <v>6</v>
      </c>
      <c r="D58">
        <v>38</v>
      </c>
      <c r="E58">
        <v>0</v>
      </c>
      <c r="F58">
        <v>5</v>
      </c>
      <c r="G58">
        <v>0</v>
      </c>
      <c r="H58">
        <v>141</v>
      </c>
      <c r="I58" s="1">
        <f t="shared" si="0"/>
        <v>0.26950354609929078</v>
      </c>
    </row>
    <row r="59" spans="1:9">
      <c r="A59" t="s">
        <v>32</v>
      </c>
      <c r="B59">
        <v>18</v>
      </c>
      <c r="C59">
        <v>7</v>
      </c>
      <c r="D59">
        <v>41</v>
      </c>
      <c r="E59">
        <v>0</v>
      </c>
      <c r="F59">
        <v>5</v>
      </c>
      <c r="G59">
        <v>0</v>
      </c>
      <c r="H59">
        <v>141</v>
      </c>
      <c r="I59" s="1">
        <f t="shared" si="0"/>
        <v>0.29078014184397161</v>
      </c>
    </row>
    <row r="60" spans="1:9">
      <c r="A60" t="s">
        <v>32</v>
      </c>
      <c r="B60">
        <v>18</v>
      </c>
      <c r="C60">
        <v>8</v>
      </c>
      <c r="D60">
        <v>44</v>
      </c>
      <c r="E60">
        <v>0</v>
      </c>
      <c r="F60">
        <v>5</v>
      </c>
      <c r="G60">
        <v>0</v>
      </c>
      <c r="H60">
        <v>141</v>
      </c>
      <c r="I60" s="1">
        <f t="shared" si="0"/>
        <v>0.31205673758865249</v>
      </c>
    </row>
    <row r="61" spans="1:9">
      <c r="A61" t="s">
        <v>32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1">
        <f t="shared" si="0"/>
        <v>0.33333333333333331</v>
      </c>
    </row>
    <row r="62" spans="1:9">
      <c r="A62" t="s">
        <v>32</v>
      </c>
      <c r="B62">
        <v>18</v>
      </c>
      <c r="C62">
        <v>10</v>
      </c>
      <c r="D62">
        <v>51</v>
      </c>
      <c r="E62">
        <v>0</v>
      </c>
      <c r="F62">
        <v>4</v>
      </c>
      <c r="G62">
        <v>0</v>
      </c>
      <c r="H62">
        <v>141</v>
      </c>
      <c r="I62" s="1">
        <f t="shared" si="0"/>
        <v>0.36170212765957449</v>
      </c>
    </row>
    <row r="63" spans="1:9">
      <c r="A63" t="s">
        <v>32</v>
      </c>
      <c r="B63">
        <v>18</v>
      </c>
      <c r="C63">
        <v>11</v>
      </c>
      <c r="D63">
        <v>51</v>
      </c>
      <c r="E63">
        <v>0</v>
      </c>
      <c r="F63">
        <v>4</v>
      </c>
      <c r="G63">
        <v>0</v>
      </c>
      <c r="H63">
        <v>141</v>
      </c>
      <c r="I63" s="1">
        <f t="shared" si="0"/>
        <v>0.36170212765957449</v>
      </c>
    </row>
    <row r="64" spans="1:9">
      <c r="A64" t="s">
        <v>32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1">
        <f t="shared" si="0"/>
        <v>0.36170212765957449</v>
      </c>
    </row>
    <row r="65" spans="1:9">
      <c r="A65" t="s">
        <v>32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1">
        <f t="shared" si="0"/>
        <v>0.36170212765957449</v>
      </c>
    </row>
    <row r="66" spans="1:9">
      <c r="A66" t="s">
        <v>32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1">
        <f t="shared" si="0"/>
        <v>0.36170212765957449</v>
      </c>
    </row>
    <row r="67" spans="1:9">
      <c r="A67" t="s">
        <v>32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1">
        <f t="shared" ref="I67:I130" si="1">D67/H67</f>
        <v>0.36170212765957449</v>
      </c>
    </row>
    <row r="68" spans="1:9">
      <c r="A68" t="s">
        <v>32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1">
        <f t="shared" si="1"/>
        <v>0.36170212765957449</v>
      </c>
    </row>
    <row r="69" spans="1:9">
      <c r="A69" t="s">
        <v>32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1">
        <f t="shared" si="1"/>
        <v>0.36170212765957449</v>
      </c>
    </row>
    <row r="70" spans="1:9">
      <c r="A70" t="s">
        <v>32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1">
        <f t="shared" si="1"/>
        <v>0.36170212765957449</v>
      </c>
    </row>
    <row r="71" spans="1:9">
      <c r="A71" t="s">
        <v>32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1">
        <f t="shared" si="1"/>
        <v>0.46099290780141844</v>
      </c>
    </row>
    <row r="72" spans="1:9">
      <c r="A72" t="s">
        <v>32</v>
      </c>
      <c r="B72">
        <v>18</v>
      </c>
      <c r="C72">
        <v>20</v>
      </c>
      <c r="D72">
        <v>65</v>
      </c>
      <c r="E72">
        <v>0</v>
      </c>
      <c r="F72">
        <v>9</v>
      </c>
      <c r="G72">
        <v>0</v>
      </c>
      <c r="H72">
        <v>141</v>
      </c>
      <c r="I72" s="1">
        <f t="shared" si="1"/>
        <v>0.46099290780141844</v>
      </c>
    </row>
    <row r="73" spans="1:9">
      <c r="A73" t="s">
        <v>32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1">
        <f t="shared" si="1"/>
        <v>0.5957446808510638</v>
      </c>
    </row>
    <row r="74" spans="1:9">
      <c r="A74" t="s">
        <v>32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1">
        <f t="shared" si="1"/>
        <v>0.63120567375886527</v>
      </c>
    </row>
    <row r="75" spans="1:9">
      <c r="A75" t="s">
        <v>32</v>
      </c>
      <c r="B75">
        <v>18</v>
      </c>
      <c r="C75">
        <v>23</v>
      </c>
      <c r="D75">
        <v>89</v>
      </c>
      <c r="E75">
        <v>0</v>
      </c>
      <c r="F75">
        <v>9</v>
      </c>
      <c r="G75">
        <v>0</v>
      </c>
      <c r="H75">
        <v>141</v>
      </c>
      <c r="I75" s="1">
        <f t="shared" si="1"/>
        <v>0.63120567375886527</v>
      </c>
    </row>
    <row r="76" spans="1:9">
      <c r="A76" t="s">
        <v>32</v>
      </c>
      <c r="B76">
        <v>18</v>
      </c>
      <c r="C76">
        <v>24</v>
      </c>
      <c r="D76">
        <v>89</v>
      </c>
      <c r="E76">
        <v>0</v>
      </c>
      <c r="F76">
        <v>9</v>
      </c>
      <c r="G76">
        <v>0</v>
      </c>
      <c r="H76">
        <v>141</v>
      </c>
      <c r="I76" s="1">
        <f t="shared" si="1"/>
        <v>0.63120567375886527</v>
      </c>
    </row>
    <row r="77" spans="1:9">
      <c r="A77" t="s">
        <v>32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1">
        <f t="shared" si="1"/>
        <v>0.72340425531914898</v>
      </c>
    </row>
    <row r="78" spans="1:9">
      <c r="A78" t="s">
        <v>32</v>
      </c>
      <c r="B78">
        <v>18</v>
      </c>
      <c r="C78">
        <v>26</v>
      </c>
      <c r="D78">
        <v>102</v>
      </c>
      <c r="E78">
        <v>0</v>
      </c>
      <c r="F78">
        <v>7</v>
      </c>
      <c r="G78">
        <v>0</v>
      </c>
      <c r="H78">
        <v>141</v>
      </c>
      <c r="I78" s="1">
        <f t="shared" si="1"/>
        <v>0.72340425531914898</v>
      </c>
    </row>
    <row r="79" spans="1:9">
      <c r="A79" t="s">
        <v>32</v>
      </c>
      <c r="B79">
        <v>18</v>
      </c>
      <c r="C79">
        <v>27</v>
      </c>
      <c r="D79">
        <v>102</v>
      </c>
      <c r="E79">
        <v>0</v>
      </c>
      <c r="F79">
        <v>7</v>
      </c>
      <c r="G79">
        <v>0</v>
      </c>
      <c r="H79">
        <v>141</v>
      </c>
      <c r="I79" s="1">
        <f t="shared" si="1"/>
        <v>0.72340425531914898</v>
      </c>
    </row>
    <row r="80" spans="1:9">
      <c r="A80" t="s">
        <v>32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1">
        <f t="shared" si="1"/>
        <v>0.75886524822695034</v>
      </c>
    </row>
    <row r="81" spans="1:9">
      <c r="A81" t="s">
        <v>32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1">
        <f t="shared" si="1"/>
        <v>0.75886524822695034</v>
      </c>
    </row>
    <row r="82" spans="1:9">
      <c r="A82" t="s">
        <v>32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1">
        <f t="shared" si="1"/>
        <v>0.75886524822695034</v>
      </c>
    </row>
    <row r="83" spans="1:9">
      <c r="A83" t="s">
        <v>32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1">
        <f t="shared" si="1"/>
        <v>0.75886524822695034</v>
      </c>
    </row>
    <row r="84" spans="1:9">
      <c r="A84" t="s">
        <v>32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1">
        <f t="shared" si="1"/>
        <v>0.75886524822695034</v>
      </c>
    </row>
    <row r="85" spans="1:9">
      <c r="A85" t="s">
        <v>32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1">
        <f t="shared" si="1"/>
        <v>0.75886524822695034</v>
      </c>
    </row>
    <row r="86" spans="1:9">
      <c r="A86" t="s">
        <v>32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1">
        <f t="shared" si="1"/>
        <v>0.75886524822695034</v>
      </c>
    </row>
    <row r="87" spans="1:9">
      <c r="A87" t="s">
        <v>32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1">
        <f t="shared" si="1"/>
        <v>0.75886524822695034</v>
      </c>
    </row>
    <row r="88" spans="1:9">
      <c r="A88" t="s">
        <v>32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1">
        <f t="shared" si="1"/>
        <v>0.75886524822695034</v>
      </c>
    </row>
    <row r="89" spans="1:9">
      <c r="A89" t="s">
        <v>32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1">
        <f t="shared" si="1"/>
        <v>0.75886524822695034</v>
      </c>
    </row>
    <row r="90" spans="1:9">
      <c r="A90" t="s">
        <v>32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1">
        <f t="shared" si="1"/>
        <v>0.75886524822695034</v>
      </c>
    </row>
    <row r="91" spans="1:9">
      <c r="A91" t="s">
        <v>32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1">
        <f t="shared" si="1"/>
        <v>0.75886524822695034</v>
      </c>
    </row>
    <row r="92" spans="1:9">
      <c r="A92" t="s">
        <v>32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1">
        <f t="shared" si="1"/>
        <v>1</v>
      </c>
    </row>
    <row r="93" spans="1:9">
      <c r="A93" t="s">
        <v>32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1">
        <f t="shared" si="1"/>
        <v>1</v>
      </c>
    </row>
    <row r="94" spans="1:9">
      <c r="A94" t="s">
        <v>32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1">
        <f t="shared" si="1"/>
        <v>1</v>
      </c>
    </row>
    <row r="95" spans="1:9">
      <c r="A95" t="s">
        <v>32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1">
        <f t="shared" si="1"/>
        <v>1</v>
      </c>
    </row>
    <row r="96" spans="1:9">
      <c r="A96" t="s">
        <v>32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1">
        <f t="shared" si="1"/>
        <v>1</v>
      </c>
    </row>
    <row r="97" spans="1:9">
      <c r="A97" t="s">
        <v>32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1">
        <f t="shared" si="1"/>
        <v>1</v>
      </c>
    </row>
    <row r="98" spans="1:9">
      <c r="A98" t="s">
        <v>32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1">
        <f t="shared" si="1"/>
        <v>1</v>
      </c>
    </row>
    <row r="99" spans="1:9">
      <c r="A99" t="s">
        <v>32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1">
        <f t="shared" si="1"/>
        <v>2.3622047244094488E-2</v>
      </c>
    </row>
    <row r="100" spans="1:9">
      <c r="A100" t="s">
        <v>32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1">
        <f t="shared" si="1"/>
        <v>4.7244094488188976E-2</v>
      </c>
    </row>
    <row r="101" spans="1:9">
      <c r="A101" t="s">
        <v>32</v>
      </c>
      <c r="B101">
        <v>19</v>
      </c>
      <c r="C101">
        <v>3</v>
      </c>
      <c r="D101">
        <v>87</v>
      </c>
      <c r="E101">
        <v>0</v>
      </c>
      <c r="F101">
        <v>11</v>
      </c>
      <c r="G101">
        <v>0</v>
      </c>
      <c r="H101">
        <v>127</v>
      </c>
      <c r="I101" s="1">
        <f t="shared" si="1"/>
        <v>0.68503937007874016</v>
      </c>
    </row>
    <row r="102" spans="1:9">
      <c r="A102" t="s">
        <v>32</v>
      </c>
      <c r="B102">
        <v>19</v>
      </c>
      <c r="C102">
        <v>4</v>
      </c>
      <c r="D102">
        <v>92</v>
      </c>
      <c r="E102">
        <v>0</v>
      </c>
      <c r="F102">
        <v>12</v>
      </c>
      <c r="G102">
        <v>0</v>
      </c>
      <c r="H102">
        <v>127</v>
      </c>
      <c r="I102" s="1">
        <f t="shared" si="1"/>
        <v>0.72440944881889768</v>
      </c>
    </row>
    <row r="103" spans="1:9">
      <c r="A103" t="s">
        <v>32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1">
        <f t="shared" si="1"/>
        <v>0.73228346456692917</v>
      </c>
    </row>
    <row r="104" spans="1:9">
      <c r="A104" t="s">
        <v>32</v>
      </c>
      <c r="B104">
        <v>19</v>
      </c>
      <c r="C104">
        <v>6</v>
      </c>
      <c r="D104">
        <v>125</v>
      </c>
      <c r="E104">
        <v>0</v>
      </c>
      <c r="F104">
        <v>2</v>
      </c>
      <c r="G104">
        <v>0</v>
      </c>
      <c r="H104">
        <v>127</v>
      </c>
      <c r="I104" s="1">
        <f t="shared" si="1"/>
        <v>0.98425196850393704</v>
      </c>
    </row>
    <row r="105" spans="1:9">
      <c r="A105" t="s">
        <v>32</v>
      </c>
      <c r="B105">
        <v>19</v>
      </c>
      <c r="C105">
        <v>7</v>
      </c>
      <c r="D105">
        <v>126</v>
      </c>
      <c r="E105">
        <v>0</v>
      </c>
      <c r="F105">
        <v>1</v>
      </c>
      <c r="G105">
        <v>0</v>
      </c>
      <c r="H105">
        <v>127</v>
      </c>
      <c r="I105" s="1">
        <f t="shared" si="1"/>
        <v>0.99212598425196852</v>
      </c>
    </row>
    <row r="106" spans="1:9">
      <c r="A106" t="s">
        <v>32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1">
        <f t="shared" si="1"/>
        <v>1</v>
      </c>
    </row>
    <row r="107" spans="1:9">
      <c r="A107" t="s">
        <v>32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1">
        <f t="shared" si="1"/>
        <v>1</v>
      </c>
    </row>
    <row r="108" spans="1:9">
      <c r="A108" t="s">
        <v>32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1">
        <f t="shared" si="1"/>
        <v>1</v>
      </c>
    </row>
    <row r="109" spans="1:9">
      <c r="A109" t="s">
        <v>32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1">
        <f t="shared" si="1"/>
        <v>1</v>
      </c>
    </row>
    <row r="110" spans="1:9">
      <c r="A110" t="s">
        <v>32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1">
        <f t="shared" si="1"/>
        <v>1</v>
      </c>
    </row>
    <row r="111" spans="1:9">
      <c r="A111" t="s">
        <v>32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1">
        <f t="shared" si="1"/>
        <v>1</v>
      </c>
    </row>
    <row r="112" spans="1:9">
      <c r="A112" t="s">
        <v>32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1">
        <f t="shared" si="1"/>
        <v>1</v>
      </c>
    </row>
    <row r="113" spans="1:9">
      <c r="A113" t="s">
        <v>32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1">
        <f t="shared" si="1"/>
        <v>1</v>
      </c>
    </row>
    <row r="114" spans="1:9">
      <c r="A114" t="s">
        <v>32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1">
        <f t="shared" si="1"/>
        <v>1</v>
      </c>
    </row>
    <row r="115" spans="1:9">
      <c r="A115" t="s">
        <v>32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1">
        <f t="shared" si="1"/>
        <v>1</v>
      </c>
    </row>
    <row r="116" spans="1:9">
      <c r="A116" t="s">
        <v>32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1">
        <f t="shared" si="1"/>
        <v>1</v>
      </c>
    </row>
    <row r="117" spans="1:9">
      <c r="A117" t="s">
        <v>32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1">
        <f t="shared" si="1"/>
        <v>1</v>
      </c>
    </row>
    <row r="118" spans="1:9">
      <c r="A118" t="s">
        <v>32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1">
        <f t="shared" si="1"/>
        <v>1</v>
      </c>
    </row>
    <row r="119" spans="1:9">
      <c r="A119" t="s">
        <v>32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1">
        <f t="shared" si="1"/>
        <v>1</v>
      </c>
    </row>
    <row r="120" spans="1:9">
      <c r="A120" t="s">
        <v>32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1">
        <f t="shared" si="1"/>
        <v>1</v>
      </c>
    </row>
    <row r="121" spans="1:9">
      <c r="A121" t="s">
        <v>32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1">
        <f t="shared" si="1"/>
        <v>1</v>
      </c>
    </row>
    <row r="122" spans="1:9">
      <c r="A122" t="s">
        <v>32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1">
        <f t="shared" si="1"/>
        <v>1</v>
      </c>
    </row>
    <row r="123" spans="1:9">
      <c r="A123" t="s">
        <v>32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1">
        <f t="shared" si="1"/>
        <v>1</v>
      </c>
    </row>
    <row r="124" spans="1:9">
      <c r="A124" t="s">
        <v>32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1">
        <f t="shared" si="1"/>
        <v>1</v>
      </c>
    </row>
    <row r="125" spans="1:9">
      <c r="A125" t="s">
        <v>32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1">
        <f t="shared" si="1"/>
        <v>1</v>
      </c>
    </row>
    <row r="126" spans="1:9">
      <c r="A126" t="s">
        <v>32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1">
        <f t="shared" si="1"/>
        <v>1</v>
      </c>
    </row>
    <row r="127" spans="1:9">
      <c r="A127" t="s">
        <v>32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1">
        <f t="shared" si="1"/>
        <v>0.19801980198019803</v>
      </c>
    </row>
    <row r="128" spans="1:9">
      <c r="A128" t="s">
        <v>32</v>
      </c>
      <c r="B128">
        <v>20</v>
      </c>
      <c r="C128">
        <v>2</v>
      </c>
      <c r="D128">
        <v>23</v>
      </c>
      <c r="E128">
        <v>0</v>
      </c>
      <c r="F128">
        <v>7</v>
      </c>
      <c r="G128">
        <v>0</v>
      </c>
      <c r="H128">
        <v>101</v>
      </c>
      <c r="I128" s="1">
        <f t="shared" si="1"/>
        <v>0.22772277227722773</v>
      </c>
    </row>
    <row r="129" spans="1:9">
      <c r="A129" t="s">
        <v>32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1">
        <f t="shared" si="1"/>
        <v>0.25742574257425743</v>
      </c>
    </row>
    <row r="130" spans="1:9">
      <c r="A130" t="s">
        <v>32</v>
      </c>
      <c r="B130">
        <v>20</v>
      </c>
      <c r="C130">
        <v>4</v>
      </c>
      <c r="D130">
        <v>42</v>
      </c>
      <c r="E130">
        <v>0</v>
      </c>
      <c r="F130">
        <v>6</v>
      </c>
      <c r="G130">
        <v>0</v>
      </c>
      <c r="H130">
        <v>101</v>
      </c>
      <c r="I130" s="1">
        <f t="shared" si="1"/>
        <v>0.41584158415841582</v>
      </c>
    </row>
    <row r="131" spans="1:9">
      <c r="A131" t="s">
        <v>32</v>
      </c>
      <c r="B131">
        <v>20</v>
      </c>
      <c r="C131">
        <v>5</v>
      </c>
      <c r="D131">
        <v>42</v>
      </c>
      <c r="E131">
        <v>0</v>
      </c>
      <c r="F131">
        <v>6</v>
      </c>
      <c r="G131">
        <v>0</v>
      </c>
      <c r="H131">
        <v>101</v>
      </c>
      <c r="I131" s="1">
        <f t="shared" ref="I131:I194" si="2">D131/H131</f>
        <v>0.41584158415841582</v>
      </c>
    </row>
    <row r="132" spans="1:9">
      <c r="A132" t="s">
        <v>32</v>
      </c>
      <c r="B132">
        <v>20</v>
      </c>
      <c r="C132">
        <v>6</v>
      </c>
      <c r="D132">
        <v>45</v>
      </c>
      <c r="E132">
        <v>0</v>
      </c>
      <c r="F132">
        <v>9</v>
      </c>
      <c r="G132">
        <v>0</v>
      </c>
      <c r="H132">
        <v>101</v>
      </c>
      <c r="I132" s="1">
        <f t="shared" si="2"/>
        <v>0.44554455445544555</v>
      </c>
    </row>
    <row r="133" spans="1:9">
      <c r="A133" t="s">
        <v>32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1">
        <f t="shared" si="2"/>
        <v>0.52475247524752477</v>
      </c>
    </row>
    <row r="134" spans="1:9">
      <c r="A134" t="s">
        <v>32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1">
        <f t="shared" si="2"/>
        <v>0.52475247524752477</v>
      </c>
    </row>
    <row r="135" spans="1:9">
      <c r="A135" t="s">
        <v>32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1">
        <f t="shared" si="2"/>
        <v>0.52475247524752477</v>
      </c>
    </row>
    <row r="136" spans="1:9">
      <c r="A136" t="s">
        <v>32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1">
        <f t="shared" si="2"/>
        <v>0.52475247524752477</v>
      </c>
    </row>
    <row r="137" spans="1:9">
      <c r="A137" t="s">
        <v>32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1">
        <f t="shared" si="2"/>
        <v>0.52475247524752477</v>
      </c>
    </row>
    <row r="138" spans="1:9">
      <c r="A138" t="s">
        <v>32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1">
        <f t="shared" si="2"/>
        <v>0.52475247524752477</v>
      </c>
    </row>
    <row r="139" spans="1:9">
      <c r="A139" t="s">
        <v>32</v>
      </c>
      <c r="B139">
        <v>20</v>
      </c>
      <c r="C139">
        <v>13</v>
      </c>
      <c r="D139">
        <v>53</v>
      </c>
      <c r="E139">
        <v>0</v>
      </c>
      <c r="F139">
        <v>7</v>
      </c>
      <c r="G139">
        <v>0</v>
      </c>
      <c r="H139">
        <v>101</v>
      </c>
      <c r="I139" s="1">
        <f t="shared" si="2"/>
        <v>0.52475247524752477</v>
      </c>
    </row>
    <row r="140" spans="1:9">
      <c r="A140" t="s">
        <v>32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1">
        <f t="shared" si="2"/>
        <v>0.70297029702970293</v>
      </c>
    </row>
    <row r="141" spans="1:9">
      <c r="A141" t="s">
        <v>32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1">
        <f t="shared" si="2"/>
        <v>0.70297029702970293</v>
      </c>
    </row>
    <row r="142" spans="1:9">
      <c r="A142" t="s">
        <v>32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1">
        <f t="shared" si="2"/>
        <v>0.70297029702970293</v>
      </c>
    </row>
    <row r="143" spans="1:9">
      <c r="A143" t="s">
        <v>32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1">
        <f t="shared" si="2"/>
        <v>0.70297029702970293</v>
      </c>
    </row>
    <row r="144" spans="1:9">
      <c r="A144" t="s">
        <v>32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1">
        <f t="shared" si="2"/>
        <v>0.70297029702970293</v>
      </c>
    </row>
    <row r="145" spans="1:9">
      <c r="A145" t="s">
        <v>32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1">
        <f t="shared" si="2"/>
        <v>0.70297029702970293</v>
      </c>
    </row>
    <row r="146" spans="1:9">
      <c r="A146" t="s">
        <v>32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1">
        <f t="shared" si="2"/>
        <v>0.70297029702970293</v>
      </c>
    </row>
    <row r="147" spans="1:9">
      <c r="A147" t="s">
        <v>32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1">
        <f t="shared" si="2"/>
        <v>0.70297029702970293</v>
      </c>
    </row>
    <row r="148" spans="1:9">
      <c r="A148" t="s">
        <v>32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1">
        <f t="shared" si="2"/>
        <v>0.70297029702970293</v>
      </c>
    </row>
    <row r="149" spans="1:9">
      <c r="A149" t="s">
        <v>32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1">
        <f t="shared" si="2"/>
        <v>1</v>
      </c>
    </row>
    <row r="150" spans="1:9">
      <c r="A150" t="s">
        <v>32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1">
        <f t="shared" si="2"/>
        <v>1</v>
      </c>
    </row>
    <row r="151" spans="1:9">
      <c r="A151" t="s">
        <v>32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1">
        <f t="shared" si="2"/>
        <v>1</v>
      </c>
    </row>
    <row r="152" spans="1:9">
      <c r="A152" t="s">
        <v>32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1">
        <f t="shared" si="2"/>
        <v>1</v>
      </c>
    </row>
    <row r="153" spans="1:9">
      <c r="A153" t="s">
        <v>32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1">
        <f t="shared" si="2"/>
        <v>1</v>
      </c>
    </row>
    <row r="154" spans="1:9">
      <c r="A154" t="s">
        <v>32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1">
        <f t="shared" si="2"/>
        <v>1</v>
      </c>
    </row>
    <row r="155" spans="1:9">
      <c r="A155" t="s">
        <v>32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1">
        <f t="shared" si="2"/>
        <v>1</v>
      </c>
    </row>
    <row r="156" spans="1:9">
      <c r="A156" t="s">
        <v>32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1">
        <f t="shared" si="2"/>
        <v>1</v>
      </c>
    </row>
    <row r="157" spans="1:9">
      <c r="A157" t="s">
        <v>32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1">
        <f t="shared" si="2"/>
        <v>1</v>
      </c>
    </row>
    <row r="158" spans="1:9">
      <c r="A158" t="s">
        <v>32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1">
        <f t="shared" si="2"/>
        <v>1</v>
      </c>
    </row>
    <row r="159" spans="1:9">
      <c r="A159" t="s">
        <v>32</v>
      </c>
      <c r="B159">
        <v>20</v>
      </c>
      <c r="C159">
        <v>33</v>
      </c>
      <c r="D159">
        <v>101</v>
      </c>
      <c r="E159">
        <v>0</v>
      </c>
      <c r="F159">
        <v>4</v>
      </c>
      <c r="G159">
        <v>0</v>
      </c>
      <c r="H159" s="5">
        <v>101</v>
      </c>
      <c r="I159" s="1">
        <f t="shared" si="2"/>
        <v>1</v>
      </c>
    </row>
    <row r="160" spans="1:9">
      <c r="A160" t="s">
        <v>142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1">
        <f t="shared" si="2"/>
        <v>4.4642857142857144E-2</v>
      </c>
    </row>
    <row r="161" spans="1:9">
      <c r="A161" t="s">
        <v>142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1">
        <f t="shared" si="2"/>
        <v>0.5</v>
      </c>
    </row>
    <row r="162" spans="1:9">
      <c r="A162" t="s">
        <v>142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1">
        <f t="shared" si="2"/>
        <v>1</v>
      </c>
    </row>
    <row r="163" spans="1:9">
      <c r="A163" t="s">
        <v>142</v>
      </c>
      <c r="B163">
        <v>3</v>
      </c>
      <c r="C163">
        <v>1</v>
      </c>
      <c r="D163">
        <v>41</v>
      </c>
      <c r="E163">
        <v>0</v>
      </c>
      <c r="F163">
        <v>2</v>
      </c>
      <c r="G163">
        <v>0</v>
      </c>
      <c r="H163">
        <v>44</v>
      </c>
      <c r="I163" s="1">
        <f t="shared" si="2"/>
        <v>0.93181818181818177</v>
      </c>
    </row>
    <row r="164" spans="1:9">
      <c r="A164" t="s">
        <v>142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1">
        <f t="shared" si="2"/>
        <v>1</v>
      </c>
    </row>
    <row r="165" spans="1:9">
      <c r="A165" t="s">
        <v>142</v>
      </c>
      <c r="B165">
        <v>7</v>
      </c>
      <c r="C165">
        <v>1</v>
      </c>
      <c r="D165">
        <v>42</v>
      </c>
      <c r="E165">
        <v>0</v>
      </c>
      <c r="F165">
        <v>1</v>
      </c>
      <c r="G165">
        <v>0</v>
      </c>
      <c r="H165">
        <v>43</v>
      </c>
      <c r="I165" s="1">
        <f t="shared" si="2"/>
        <v>0.97674418604651159</v>
      </c>
    </row>
    <row r="166" spans="1:9">
      <c r="A166" t="s">
        <v>142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1">
        <f t="shared" si="2"/>
        <v>1</v>
      </c>
    </row>
    <row r="167" spans="1:9">
      <c r="A167" t="s">
        <v>142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1">
        <f t="shared" si="2"/>
        <v>0.11576354679802955</v>
      </c>
    </row>
    <row r="168" spans="1:9">
      <c r="A168" t="s">
        <v>142</v>
      </c>
      <c r="B168">
        <v>10</v>
      </c>
      <c r="C168">
        <v>2</v>
      </c>
      <c r="D168">
        <v>47</v>
      </c>
      <c r="E168">
        <v>0</v>
      </c>
      <c r="F168">
        <v>8</v>
      </c>
      <c r="G168">
        <v>0</v>
      </c>
      <c r="H168">
        <v>406</v>
      </c>
      <c r="I168" s="1">
        <f t="shared" si="2"/>
        <v>0.11576354679802955</v>
      </c>
    </row>
    <row r="169" spans="1:9">
      <c r="A169" t="s">
        <v>142</v>
      </c>
      <c r="B169">
        <v>10</v>
      </c>
      <c r="C169">
        <v>3</v>
      </c>
      <c r="D169">
        <v>84</v>
      </c>
      <c r="E169">
        <v>0</v>
      </c>
      <c r="F169">
        <v>8</v>
      </c>
      <c r="G169">
        <v>0</v>
      </c>
      <c r="H169">
        <v>406</v>
      </c>
      <c r="I169" s="1">
        <f t="shared" si="2"/>
        <v>0.20689655172413793</v>
      </c>
    </row>
    <row r="170" spans="1:9">
      <c r="A170" t="s">
        <v>142</v>
      </c>
      <c r="B170">
        <v>10</v>
      </c>
      <c r="C170">
        <v>4</v>
      </c>
      <c r="D170">
        <v>84</v>
      </c>
      <c r="E170">
        <v>0</v>
      </c>
      <c r="F170">
        <v>8</v>
      </c>
      <c r="G170">
        <v>0</v>
      </c>
      <c r="H170">
        <v>406</v>
      </c>
      <c r="I170" s="1">
        <f t="shared" si="2"/>
        <v>0.20689655172413793</v>
      </c>
    </row>
    <row r="171" spans="1:9">
      <c r="A171" t="s">
        <v>142</v>
      </c>
      <c r="B171">
        <v>10</v>
      </c>
      <c r="C171">
        <v>5</v>
      </c>
      <c r="D171">
        <v>84</v>
      </c>
      <c r="E171">
        <v>0</v>
      </c>
      <c r="F171">
        <v>8</v>
      </c>
      <c r="G171">
        <v>0</v>
      </c>
      <c r="H171">
        <v>406</v>
      </c>
      <c r="I171" s="1">
        <f t="shared" si="2"/>
        <v>0.20689655172413793</v>
      </c>
    </row>
    <row r="172" spans="1:9">
      <c r="A172" t="s">
        <v>142</v>
      </c>
      <c r="B172">
        <v>10</v>
      </c>
      <c r="C172">
        <v>6</v>
      </c>
      <c r="D172">
        <v>84</v>
      </c>
      <c r="E172">
        <v>0</v>
      </c>
      <c r="F172">
        <v>8</v>
      </c>
      <c r="G172">
        <v>0</v>
      </c>
      <c r="H172">
        <v>406</v>
      </c>
      <c r="I172" s="1">
        <f t="shared" si="2"/>
        <v>0.20689655172413793</v>
      </c>
    </row>
    <row r="173" spans="1:9">
      <c r="A173" t="s">
        <v>142</v>
      </c>
      <c r="B173">
        <v>10</v>
      </c>
      <c r="C173">
        <v>7</v>
      </c>
      <c r="D173">
        <v>90</v>
      </c>
      <c r="E173">
        <v>0</v>
      </c>
      <c r="F173">
        <v>5</v>
      </c>
      <c r="G173">
        <v>0</v>
      </c>
      <c r="H173">
        <v>406</v>
      </c>
      <c r="I173" s="1">
        <f t="shared" si="2"/>
        <v>0.22167487684729065</v>
      </c>
    </row>
    <row r="174" spans="1:9">
      <c r="A174" t="s">
        <v>142</v>
      </c>
      <c r="B174">
        <v>10</v>
      </c>
      <c r="C174">
        <v>8</v>
      </c>
      <c r="D174">
        <v>90</v>
      </c>
      <c r="E174">
        <v>0</v>
      </c>
      <c r="F174">
        <v>5</v>
      </c>
      <c r="G174">
        <v>0</v>
      </c>
      <c r="H174">
        <v>406</v>
      </c>
      <c r="I174" s="1">
        <f t="shared" si="2"/>
        <v>0.22167487684729065</v>
      </c>
    </row>
    <row r="175" spans="1:9">
      <c r="A175" t="s">
        <v>142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1">
        <f t="shared" si="2"/>
        <v>0.22167487684729065</v>
      </c>
    </row>
    <row r="176" spans="1:9">
      <c r="A176" t="s">
        <v>142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1">
        <f t="shared" si="2"/>
        <v>0.22167487684729065</v>
      </c>
    </row>
    <row r="177" spans="1:9">
      <c r="A177" t="s">
        <v>142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1">
        <f t="shared" si="2"/>
        <v>0.22167487684729065</v>
      </c>
    </row>
    <row r="178" spans="1:9">
      <c r="A178" t="s">
        <v>142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1">
        <f t="shared" si="2"/>
        <v>0.22167487684729065</v>
      </c>
    </row>
    <row r="179" spans="1:9">
      <c r="A179" t="s">
        <v>142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1">
        <f t="shared" si="2"/>
        <v>0.22167487684729065</v>
      </c>
    </row>
    <row r="180" spans="1:9">
      <c r="A180" t="s">
        <v>142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1">
        <f t="shared" si="2"/>
        <v>0.22167487684729065</v>
      </c>
    </row>
    <row r="181" spans="1:9">
      <c r="A181" t="s">
        <v>142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1">
        <f t="shared" si="2"/>
        <v>0.22167487684729065</v>
      </c>
    </row>
    <row r="182" spans="1:9">
      <c r="A182" t="s">
        <v>142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1">
        <f t="shared" si="2"/>
        <v>0.22167487684729065</v>
      </c>
    </row>
    <row r="183" spans="1:9">
      <c r="A183" t="s">
        <v>142</v>
      </c>
      <c r="B183">
        <v>10</v>
      </c>
      <c r="C183">
        <v>17</v>
      </c>
      <c r="D183">
        <v>137</v>
      </c>
      <c r="E183">
        <v>0</v>
      </c>
      <c r="F183">
        <v>7</v>
      </c>
      <c r="G183">
        <v>0</v>
      </c>
      <c r="H183">
        <v>406</v>
      </c>
      <c r="I183" s="1">
        <f t="shared" si="2"/>
        <v>0.33743842364532017</v>
      </c>
    </row>
    <row r="184" spans="1:9">
      <c r="A184" t="s">
        <v>142</v>
      </c>
      <c r="B184">
        <v>10</v>
      </c>
      <c r="C184">
        <v>18</v>
      </c>
      <c r="D184">
        <v>183</v>
      </c>
      <c r="E184">
        <v>0</v>
      </c>
      <c r="F184">
        <v>7</v>
      </c>
      <c r="G184">
        <v>0</v>
      </c>
      <c r="H184">
        <v>406</v>
      </c>
      <c r="I184" s="1">
        <f t="shared" si="2"/>
        <v>0.45073891625615764</v>
      </c>
    </row>
    <row r="185" spans="1:9">
      <c r="A185" t="s">
        <v>142</v>
      </c>
      <c r="B185">
        <v>10</v>
      </c>
      <c r="C185">
        <v>19</v>
      </c>
      <c r="D185">
        <v>238</v>
      </c>
      <c r="E185">
        <v>0</v>
      </c>
      <c r="F185">
        <v>4</v>
      </c>
      <c r="G185">
        <v>0</v>
      </c>
      <c r="H185">
        <v>406</v>
      </c>
      <c r="I185" s="1">
        <f t="shared" si="2"/>
        <v>0.58620689655172409</v>
      </c>
    </row>
    <row r="186" spans="1:9">
      <c r="A186" t="s">
        <v>142</v>
      </c>
      <c r="B186">
        <v>10</v>
      </c>
      <c r="C186">
        <v>20</v>
      </c>
      <c r="D186">
        <v>238</v>
      </c>
      <c r="E186">
        <v>0</v>
      </c>
      <c r="F186">
        <v>4</v>
      </c>
      <c r="G186">
        <v>0</v>
      </c>
      <c r="H186">
        <v>406</v>
      </c>
      <c r="I186" s="1">
        <f t="shared" si="2"/>
        <v>0.58620689655172409</v>
      </c>
    </row>
    <row r="187" spans="1:9">
      <c r="A187" t="s">
        <v>142</v>
      </c>
      <c r="B187">
        <v>10</v>
      </c>
      <c r="C187">
        <v>21</v>
      </c>
      <c r="D187">
        <v>238</v>
      </c>
      <c r="E187">
        <v>0</v>
      </c>
      <c r="F187">
        <v>4</v>
      </c>
      <c r="G187">
        <v>0</v>
      </c>
      <c r="H187">
        <v>406</v>
      </c>
      <c r="I187" s="1">
        <f t="shared" si="2"/>
        <v>0.58620689655172409</v>
      </c>
    </row>
    <row r="188" spans="1:9">
      <c r="A188" t="s">
        <v>142</v>
      </c>
      <c r="B188">
        <v>10</v>
      </c>
      <c r="C188">
        <v>22</v>
      </c>
      <c r="D188">
        <v>238</v>
      </c>
      <c r="E188">
        <v>0</v>
      </c>
      <c r="F188">
        <v>4</v>
      </c>
      <c r="G188">
        <v>0</v>
      </c>
      <c r="H188">
        <v>406</v>
      </c>
      <c r="I188" s="1">
        <f t="shared" si="2"/>
        <v>0.58620689655172409</v>
      </c>
    </row>
    <row r="189" spans="1:9">
      <c r="A189" t="s">
        <v>142</v>
      </c>
      <c r="B189">
        <v>10</v>
      </c>
      <c r="C189">
        <v>23</v>
      </c>
      <c r="D189">
        <v>313</v>
      </c>
      <c r="E189">
        <v>0</v>
      </c>
      <c r="F189">
        <v>2</v>
      </c>
      <c r="G189">
        <v>0</v>
      </c>
      <c r="H189">
        <v>406</v>
      </c>
      <c r="I189" s="1">
        <f t="shared" si="2"/>
        <v>0.77093596059113301</v>
      </c>
    </row>
    <row r="190" spans="1:9">
      <c r="A190" t="s">
        <v>142</v>
      </c>
      <c r="B190">
        <v>10</v>
      </c>
      <c r="C190">
        <v>24</v>
      </c>
      <c r="D190">
        <v>313</v>
      </c>
      <c r="E190">
        <v>0</v>
      </c>
      <c r="F190">
        <v>2</v>
      </c>
      <c r="G190">
        <v>0</v>
      </c>
      <c r="H190">
        <v>406</v>
      </c>
      <c r="I190" s="1">
        <f t="shared" si="2"/>
        <v>0.77093596059113301</v>
      </c>
    </row>
    <row r="191" spans="1:9">
      <c r="A191" t="s">
        <v>142</v>
      </c>
      <c r="B191">
        <v>10</v>
      </c>
      <c r="C191">
        <v>25</v>
      </c>
      <c r="D191">
        <v>313</v>
      </c>
      <c r="E191">
        <v>0</v>
      </c>
      <c r="F191">
        <v>2</v>
      </c>
      <c r="G191">
        <v>0</v>
      </c>
      <c r="H191">
        <v>406</v>
      </c>
      <c r="I191" s="1">
        <f t="shared" si="2"/>
        <v>0.77093596059113301</v>
      </c>
    </row>
    <row r="192" spans="1:9">
      <c r="A192" t="s">
        <v>142</v>
      </c>
      <c r="B192">
        <v>10</v>
      </c>
      <c r="C192">
        <v>26</v>
      </c>
      <c r="D192">
        <v>313</v>
      </c>
      <c r="E192">
        <v>0</v>
      </c>
      <c r="F192">
        <v>2</v>
      </c>
      <c r="G192">
        <v>0</v>
      </c>
      <c r="H192">
        <v>406</v>
      </c>
      <c r="I192" s="1">
        <f t="shared" si="2"/>
        <v>0.77093596059113301</v>
      </c>
    </row>
    <row r="193" spans="1:9">
      <c r="A193" t="s">
        <v>142</v>
      </c>
      <c r="B193">
        <v>10</v>
      </c>
      <c r="C193">
        <v>27</v>
      </c>
      <c r="D193">
        <v>313</v>
      </c>
      <c r="E193">
        <v>0</v>
      </c>
      <c r="F193">
        <v>2</v>
      </c>
      <c r="G193">
        <v>0</v>
      </c>
      <c r="H193">
        <v>406</v>
      </c>
      <c r="I193" s="1">
        <f t="shared" si="2"/>
        <v>0.77093596059113301</v>
      </c>
    </row>
    <row r="194" spans="1:9">
      <c r="A194" t="s">
        <v>142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1">
        <f t="shared" si="2"/>
        <v>0.77093596059113301</v>
      </c>
    </row>
    <row r="195" spans="1:9">
      <c r="A195" t="s">
        <v>142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1">
        <f t="shared" ref="I195:I258" si="3">D195/H195</f>
        <v>0.77093596059113301</v>
      </c>
    </row>
    <row r="196" spans="1:9">
      <c r="A196" t="s">
        <v>142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1">
        <f t="shared" si="3"/>
        <v>0.77093596059113301</v>
      </c>
    </row>
    <row r="197" spans="1:9">
      <c r="A197" t="s">
        <v>142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1">
        <f t="shared" si="3"/>
        <v>1</v>
      </c>
    </row>
    <row r="198" spans="1:9">
      <c r="A198" t="s">
        <v>142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1">
        <f t="shared" si="3"/>
        <v>1</v>
      </c>
    </row>
    <row r="199" spans="1:9">
      <c r="A199" t="s">
        <v>142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1">
        <f t="shared" si="3"/>
        <v>5.208333333333333E-3</v>
      </c>
    </row>
    <row r="200" spans="1:9">
      <c r="A200" t="s">
        <v>142</v>
      </c>
      <c r="B200">
        <v>11</v>
      </c>
      <c r="C200">
        <v>2</v>
      </c>
      <c r="D200">
        <v>74</v>
      </c>
      <c r="E200">
        <v>0</v>
      </c>
      <c r="F200">
        <v>14</v>
      </c>
      <c r="G200">
        <v>0</v>
      </c>
      <c r="H200">
        <v>192</v>
      </c>
      <c r="I200" s="1">
        <f t="shared" si="3"/>
        <v>0.38541666666666669</v>
      </c>
    </row>
    <row r="201" spans="1:9">
      <c r="A201" t="s">
        <v>142</v>
      </c>
      <c r="B201">
        <v>11</v>
      </c>
      <c r="C201">
        <v>3</v>
      </c>
      <c r="D201">
        <v>80</v>
      </c>
      <c r="E201">
        <v>0</v>
      </c>
      <c r="F201">
        <v>11</v>
      </c>
      <c r="G201">
        <v>0</v>
      </c>
      <c r="H201">
        <v>192</v>
      </c>
      <c r="I201" s="1">
        <f t="shared" si="3"/>
        <v>0.41666666666666669</v>
      </c>
    </row>
    <row r="202" spans="1:9">
      <c r="A202" t="s">
        <v>142</v>
      </c>
      <c r="B202">
        <v>11</v>
      </c>
      <c r="C202">
        <v>4</v>
      </c>
      <c r="D202">
        <v>107</v>
      </c>
      <c r="E202">
        <v>0</v>
      </c>
      <c r="F202">
        <v>9</v>
      </c>
      <c r="G202">
        <v>0</v>
      </c>
      <c r="H202">
        <v>192</v>
      </c>
      <c r="I202" s="1">
        <f t="shared" si="3"/>
        <v>0.55729166666666663</v>
      </c>
    </row>
    <row r="203" spans="1:9">
      <c r="A203" t="s">
        <v>142</v>
      </c>
      <c r="B203">
        <v>11</v>
      </c>
      <c r="C203">
        <v>5</v>
      </c>
      <c r="D203">
        <v>134</v>
      </c>
      <c r="E203">
        <v>0</v>
      </c>
      <c r="F203">
        <v>7</v>
      </c>
      <c r="G203">
        <v>0</v>
      </c>
      <c r="H203">
        <v>192</v>
      </c>
      <c r="I203" s="1">
        <f t="shared" si="3"/>
        <v>0.69791666666666663</v>
      </c>
    </row>
    <row r="204" spans="1:9">
      <c r="A204" t="s">
        <v>142</v>
      </c>
      <c r="B204">
        <v>11</v>
      </c>
      <c r="C204">
        <v>6</v>
      </c>
      <c r="D204">
        <v>134</v>
      </c>
      <c r="E204">
        <v>0</v>
      </c>
      <c r="F204">
        <v>7</v>
      </c>
      <c r="G204">
        <v>0</v>
      </c>
      <c r="H204">
        <v>192</v>
      </c>
      <c r="I204" s="1">
        <f t="shared" si="3"/>
        <v>0.69791666666666663</v>
      </c>
    </row>
    <row r="205" spans="1:9">
      <c r="A205" t="s">
        <v>142</v>
      </c>
      <c r="B205">
        <v>11</v>
      </c>
      <c r="C205">
        <v>7</v>
      </c>
      <c r="D205">
        <v>161</v>
      </c>
      <c r="E205">
        <v>0</v>
      </c>
      <c r="F205">
        <v>5</v>
      </c>
      <c r="G205">
        <v>0</v>
      </c>
      <c r="H205">
        <v>192</v>
      </c>
      <c r="I205" s="1">
        <f t="shared" si="3"/>
        <v>0.83854166666666663</v>
      </c>
    </row>
    <row r="206" spans="1:9">
      <c r="A206" t="s">
        <v>142</v>
      </c>
      <c r="B206">
        <v>11</v>
      </c>
      <c r="C206">
        <v>8</v>
      </c>
      <c r="D206">
        <v>161</v>
      </c>
      <c r="E206">
        <v>0</v>
      </c>
      <c r="F206">
        <v>5</v>
      </c>
      <c r="G206">
        <v>0</v>
      </c>
      <c r="H206">
        <v>192</v>
      </c>
      <c r="I206" s="1">
        <f t="shared" si="3"/>
        <v>0.83854166666666663</v>
      </c>
    </row>
    <row r="207" spans="1:9">
      <c r="A207" t="s">
        <v>142</v>
      </c>
      <c r="B207">
        <v>11</v>
      </c>
      <c r="C207">
        <v>9</v>
      </c>
      <c r="D207">
        <v>161</v>
      </c>
      <c r="E207">
        <v>0</v>
      </c>
      <c r="F207">
        <v>5</v>
      </c>
      <c r="G207">
        <v>0</v>
      </c>
      <c r="H207">
        <v>192</v>
      </c>
      <c r="I207" s="1">
        <f t="shared" si="3"/>
        <v>0.83854166666666663</v>
      </c>
    </row>
    <row r="208" spans="1:9">
      <c r="A208" t="s">
        <v>142</v>
      </c>
      <c r="B208">
        <v>11</v>
      </c>
      <c r="C208">
        <v>10</v>
      </c>
      <c r="D208">
        <v>188</v>
      </c>
      <c r="E208">
        <v>0</v>
      </c>
      <c r="F208">
        <v>3</v>
      </c>
      <c r="G208">
        <v>0</v>
      </c>
      <c r="H208">
        <v>192</v>
      </c>
      <c r="I208" s="1">
        <f t="shared" si="3"/>
        <v>0.97916666666666663</v>
      </c>
    </row>
    <row r="209" spans="1:9">
      <c r="A209" t="s">
        <v>142</v>
      </c>
      <c r="B209">
        <v>11</v>
      </c>
      <c r="C209">
        <v>11</v>
      </c>
      <c r="D209">
        <v>188</v>
      </c>
      <c r="E209">
        <v>0</v>
      </c>
      <c r="F209">
        <v>3</v>
      </c>
      <c r="G209">
        <v>0</v>
      </c>
      <c r="H209">
        <v>192</v>
      </c>
      <c r="I209" s="1">
        <f t="shared" si="3"/>
        <v>0.97916666666666663</v>
      </c>
    </row>
    <row r="210" spans="1:9">
      <c r="A210" t="s">
        <v>142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1">
        <f t="shared" si="3"/>
        <v>1</v>
      </c>
    </row>
    <row r="211" spans="1:9">
      <c r="A211" t="s">
        <v>142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1">
        <f t="shared" si="3"/>
        <v>1</v>
      </c>
    </row>
    <row r="212" spans="1:9">
      <c r="A212" t="s">
        <v>142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1">
        <f t="shared" si="3"/>
        <v>8.4745762711864406E-3</v>
      </c>
    </row>
    <row r="213" spans="1:9">
      <c r="A213" t="s">
        <v>142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1">
        <f t="shared" si="3"/>
        <v>0.52542372881355937</v>
      </c>
    </row>
    <row r="214" spans="1:9">
      <c r="A214" t="s">
        <v>142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1">
        <f t="shared" si="3"/>
        <v>0.55932203389830504</v>
      </c>
    </row>
    <row r="215" spans="1:9">
      <c r="A215" t="s">
        <v>142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1">
        <f t="shared" si="3"/>
        <v>0.59322033898305082</v>
      </c>
    </row>
    <row r="216" spans="1:9">
      <c r="A216" t="s">
        <v>142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1">
        <f t="shared" si="3"/>
        <v>0.71186440677966101</v>
      </c>
    </row>
    <row r="217" spans="1:9">
      <c r="A217" t="s">
        <v>142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1">
        <f t="shared" si="3"/>
        <v>0.88983050847457623</v>
      </c>
    </row>
    <row r="218" spans="1:9">
      <c r="A218" t="s">
        <v>142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1">
        <f t="shared" si="3"/>
        <v>1</v>
      </c>
    </row>
    <row r="219" spans="1:9">
      <c r="A219" t="s">
        <v>142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1">
        <f t="shared" si="3"/>
        <v>1</v>
      </c>
    </row>
    <row r="220" spans="1:9">
      <c r="A220" t="s">
        <v>142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1">
        <f t="shared" si="3"/>
        <v>1</v>
      </c>
    </row>
    <row r="221" spans="1:9">
      <c r="A221" t="s">
        <v>142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1">
        <f t="shared" si="3"/>
        <v>1</v>
      </c>
    </row>
    <row r="222" spans="1:9">
      <c r="A222" t="s">
        <v>142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1">
        <f t="shared" si="3"/>
        <v>1</v>
      </c>
    </row>
    <row r="223" spans="1:9">
      <c r="A223" t="s">
        <v>142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1">
        <f t="shared" si="3"/>
        <v>1</v>
      </c>
    </row>
    <row r="224" spans="1:9">
      <c r="A224" t="s">
        <v>142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1">
        <f t="shared" si="3"/>
        <v>1</v>
      </c>
    </row>
    <row r="225" spans="1:9">
      <c r="A225" t="s">
        <v>142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1">
        <f t="shared" si="3"/>
        <v>1</v>
      </c>
    </row>
    <row r="226" spans="1:9">
      <c r="A226" t="s">
        <v>142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1">
        <f t="shared" si="3"/>
        <v>1</v>
      </c>
    </row>
    <row r="227" spans="1:9">
      <c r="A227" t="s">
        <v>142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1">
        <f t="shared" si="3"/>
        <v>1</v>
      </c>
    </row>
    <row r="228" spans="1:9">
      <c r="A228" t="s">
        <v>142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1">
        <f t="shared" si="3"/>
        <v>1</v>
      </c>
    </row>
    <row r="229" spans="1:9">
      <c r="A229" t="s">
        <v>206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1">
        <f t="shared" si="3"/>
        <v>0.20454545454545456</v>
      </c>
    </row>
    <row r="230" spans="1:9">
      <c r="A230" t="s">
        <v>206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1">
        <f t="shared" si="3"/>
        <v>0.38636363636363635</v>
      </c>
    </row>
    <row r="231" spans="1:9">
      <c r="A231" t="s">
        <v>206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1">
        <f t="shared" si="3"/>
        <v>0.38636363636363635</v>
      </c>
    </row>
    <row r="232" spans="1:9">
      <c r="A232" t="s">
        <v>206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1">
        <f t="shared" si="3"/>
        <v>0.38636363636363635</v>
      </c>
    </row>
    <row r="233" spans="1:9">
      <c r="A233" t="s">
        <v>206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1">
        <f t="shared" si="3"/>
        <v>1</v>
      </c>
    </row>
    <row r="234" spans="1:9">
      <c r="A234" t="s">
        <v>206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1">
        <f t="shared" si="3"/>
        <v>1</v>
      </c>
    </row>
    <row r="235" spans="1:9">
      <c r="A235" t="s">
        <v>206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1">
        <f t="shared" si="3"/>
        <v>1</v>
      </c>
    </row>
    <row r="236" spans="1:9">
      <c r="A236" t="s">
        <v>214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168</v>
      </c>
      <c r="I236" s="1">
        <f t="shared" si="3"/>
        <v>7.7380952380952384E-2</v>
      </c>
    </row>
    <row r="237" spans="1:9">
      <c r="A237" t="s">
        <v>214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168</v>
      </c>
      <c r="I237" s="1">
        <f t="shared" si="3"/>
        <v>8.9285714285714288E-2</v>
      </c>
    </row>
    <row r="238" spans="1:9">
      <c r="A238" t="s">
        <v>214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168</v>
      </c>
      <c r="I238" s="1">
        <f t="shared" si="3"/>
        <v>0.125</v>
      </c>
    </row>
    <row r="239" spans="1:9">
      <c r="A239" t="s">
        <v>214</v>
      </c>
      <c r="B239">
        <v>1</v>
      </c>
      <c r="C239">
        <v>4</v>
      </c>
      <c r="D239">
        <v>23</v>
      </c>
      <c r="E239">
        <v>0</v>
      </c>
      <c r="F239">
        <v>4</v>
      </c>
      <c r="G239">
        <v>0</v>
      </c>
      <c r="H239">
        <v>168</v>
      </c>
      <c r="I239" s="1">
        <f t="shared" si="3"/>
        <v>0.13690476190476192</v>
      </c>
    </row>
    <row r="240" spans="1:9">
      <c r="A240" t="s">
        <v>214</v>
      </c>
      <c r="B240">
        <v>1</v>
      </c>
      <c r="C240">
        <v>5</v>
      </c>
      <c r="D240">
        <v>25</v>
      </c>
      <c r="E240">
        <v>0</v>
      </c>
      <c r="F240">
        <v>4</v>
      </c>
      <c r="G240">
        <v>0</v>
      </c>
      <c r="H240">
        <v>168</v>
      </c>
      <c r="I240" s="1">
        <f t="shared" si="3"/>
        <v>0.14880952380952381</v>
      </c>
    </row>
    <row r="241" spans="1:9">
      <c r="A241" t="s">
        <v>214</v>
      </c>
      <c r="B241">
        <v>1</v>
      </c>
      <c r="C241">
        <v>6</v>
      </c>
      <c r="D241">
        <v>27</v>
      </c>
      <c r="E241">
        <v>0</v>
      </c>
      <c r="F241">
        <v>4</v>
      </c>
      <c r="G241">
        <v>0</v>
      </c>
      <c r="H241">
        <v>168</v>
      </c>
      <c r="I241" s="1">
        <f t="shared" si="3"/>
        <v>0.16071428571428573</v>
      </c>
    </row>
    <row r="242" spans="1:9">
      <c r="A242" t="s">
        <v>214</v>
      </c>
      <c r="B242">
        <v>1</v>
      </c>
      <c r="C242">
        <v>7</v>
      </c>
      <c r="D242">
        <v>29</v>
      </c>
      <c r="E242">
        <v>0</v>
      </c>
      <c r="F242">
        <v>4</v>
      </c>
      <c r="G242">
        <v>0</v>
      </c>
      <c r="H242">
        <v>168</v>
      </c>
      <c r="I242" s="1">
        <f t="shared" si="3"/>
        <v>0.17261904761904762</v>
      </c>
    </row>
    <row r="243" spans="1:9">
      <c r="A243" t="s">
        <v>214</v>
      </c>
      <c r="B243">
        <v>1</v>
      </c>
      <c r="C243">
        <v>8</v>
      </c>
      <c r="D243">
        <v>32</v>
      </c>
      <c r="E243">
        <v>0</v>
      </c>
      <c r="F243">
        <v>5</v>
      </c>
      <c r="G243">
        <v>0</v>
      </c>
      <c r="H243">
        <v>168</v>
      </c>
      <c r="I243" s="1">
        <f t="shared" si="3"/>
        <v>0.19047619047619047</v>
      </c>
    </row>
    <row r="244" spans="1:9">
      <c r="A244" t="s">
        <v>214</v>
      </c>
      <c r="B244">
        <v>1</v>
      </c>
      <c r="C244">
        <v>9</v>
      </c>
      <c r="D244">
        <v>34</v>
      </c>
      <c r="E244">
        <v>0</v>
      </c>
      <c r="F244">
        <v>5</v>
      </c>
      <c r="G244">
        <v>0</v>
      </c>
      <c r="H244">
        <v>168</v>
      </c>
      <c r="I244" s="1">
        <f t="shared" si="3"/>
        <v>0.20238095238095238</v>
      </c>
    </row>
    <row r="245" spans="1:9">
      <c r="A245" t="s">
        <v>214</v>
      </c>
      <c r="B245">
        <v>1</v>
      </c>
      <c r="C245">
        <v>10</v>
      </c>
      <c r="D245">
        <v>35</v>
      </c>
      <c r="E245">
        <v>0</v>
      </c>
      <c r="F245">
        <v>4</v>
      </c>
      <c r="G245">
        <v>0</v>
      </c>
      <c r="H245">
        <v>168</v>
      </c>
      <c r="I245" s="1">
        <f t="shared" si="3"/>
        <v>0.20833333333333334</v>
      </c>
    </row>
    <row r="246" spans="1:9">
      <c r="A246" t="s">
        <v>214</v>
      </c>
      <c r="B246">
        <v>1</v>
      </c>
      <c r="C246">
        <v>11</v>
      </c>
      <c r="D246">
        <v>38</v>
      </c>
      <c r="E246">
        <v>0</v>
      </c>
      <c r="F246">
        <v>5</v>
      </c>
      <c r="G246">
        <v>0</v>
      </c>
      <c r="H246">
        <v>168</v>
      </c>
      <c r="I246" s="1">
        <f t="shared" si="3"/>
        <v>0.22619047619047619</v>
      </c>
    </row>
    <row r="247" spans="1:9">
      <c r="A247" t="s">
        <v>214</v>
      </c>
      <c r="B247">
        <v>1</v>
      </c>
      <c r="C247">
        <v>12</v>
      </c>
      <c r="D247">
        <v>39</v>
      </c>
      <c r="E247">
        <v>0</v>
      </c>
      <c r="F247">
        <v>4</v>
      </c>
      <c r="G247">
        <v>0</v>
      </c>
      <c r="H247">
        <v>168</v>
      </c>
      <c r="I247" s="1">
        <f t="shared" si="3"/>
        <v>0.23214285714285715</v>
      </c>
    </row>
    <row r="248" spans="1:9">
      <c r="A248" t="s">
        <v>214</v>
      </c>
      <c r="B248">
        <v>1</v>
      </c>
      <c r="C248">
        <v>13</v>
      </c>
      <c r="D248">
        <v>41</v>
      </c>
      <c r="E248">
        <v>0</v>
      </c>
      <c r="F248">
        <v>4</v>
      </c>
      <c r="G248">
        <v>0</v>
      </c>
      <c r="H248">
        <v>168</v>
      </c>
      <c r="I248" s="1">
        <f t="shared" si="3"/>
        <v>0.24404761904761904</v>
      </c>
    </row>
    <row r="249" spans="1:9">
      <c r="A249" t="s">
        <v>214</v>
      </c>
      <c r="B249">
        <v>1</v>
      </c>
      <c r="C249">
        <v>14</v>
      </c>
      <c r="D249">
        <v>43</v>
      </c>
      <c r="E249">
        <v>0</v>
      </c>
      <c r="F249">
        <v>3</v>
      </c>
      <c r="G249">
        <v>0</v>
      </c>
      <c r="H249">
        <v>168</v>
      </c>
      <c r="I249" s="1">
        <f t="shared" si="3"/>
        <v>0.25595238095238093</v>
      </c>
    </row>
    <row r="250" spans="1:9">
      <c r="A250" t="s">
        <v>214</v>
      </c>
      <c r="B250">
        <v>1</v>
      </c>
      <c r="C250">
        <v>15</v>
      </c>
      <c r="D250">
        <v>44</v>
      </c>
      <c r="E250">
        <v>0</v>
      </c>
      <c r="F250">
        <v>2</v>
      </c>
      <c r="G250">
        <v>0</v>
      </c>
      <c r="H250">
        <v>168</v>
      </c>
      <c r="I250" s="1">
        <f t="shared" si="3"/>
        <v>0.26190476190476192</v>
      </c>
    </row>
    <row r="251" spans="1:9">
      <c r="A251" t="s">
        <v>214</v>
      </c>
      <c r="B251">
        <v>1</v>
      </c>
      <c r="C251">
        <v>16</v>
      </c>
      <c r="D251">
        <v>168</v>
      </c>
      <c r="E251">
        <v>0</v>
      </c>
      <c r="F251">
        <v>0</v>
      </c>
      <c r="G251">
        <v>0</v>
      </c>
      <c r="H251">
        <v>168</v>
      </c>
      <c r="I251" s="1">
        <f t="shared" si="3"/>
        <v>1</v>
      </c>
    </row>
    <row r="252" spans="1:9">
      <c r="A252" t="s">
        <v>214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1">
        <f t="shared" si="3"/>
        <v>0.84036144578313254</v>
      </c>
    </row>
    <row r="253" spans="1:9">
      <c r="A253" t="s">
        <v>214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1">
        <f t="shared" si="3"/>
        <v>0.99698795180722888</v>
      </c>
    </row>
    <row r="254" spans="1:9">
      <c r="A254" t="s">
        <v>214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1">
        <f t="shared" si="3"/>
        <v>1</v>
      </c>
    </row>
    <row r="255" spans="1:9">
      <c r="A255" t="s">
        <v>214</v>
      </c>
      <c r="B255">
        <v>4</v>
      </c>
      <c r="C255">
        <v>1</v>
      </c>
      <c r="D255">
        <v>112</v>
      </c>
      <c r="E255">
        <v>0</v>
      </c>
      <c r="F255">
        <v>5</v>
      </c>
      <c r="G255">
        <v>0</v>
      </c>
      <c r="H255">
        <f>129</f>
        <v>129</v>
      </c>
      <c r="I255" s="1">
        <f t="shared" si="3"/>
        <v>0.86821705426356588</v>
      </c>
    </row>
    <row r="256" spans="1:9">
      <c r="A256" t="s">
        <v>214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1">
        <f t="shared" si="3"/>
        <v>0.89922480620155043</v>
      </c>
    </row>
    <row r="257" spans="1:9">
      <c r="A257" t="s">
        <v>214</v>
      </c>
      <c r="B257">
        <v>4</v>
      </c>
      <c r="C257">
        <v>3</v>
      </c>
      <c r="D257">
        <v>119</v>
      </c>
      <c r="E257">
        <v>0</v>
      </c>
      <c r="F257">
        <v>3</v>
      </c>
      <c r="G257">
        <v>0</v>
      </c>
      <c r="H257">
        <f>129</f>
        <v>129</v>
      </c>
      <c r="I257" s="1">
        <f t="shared" si="3"/>
        <v>0.92248062015503873</v>
      </c>
    </row>
    <row r="258" spans="1:9">
      <c r="A258" t="s">
        <v>214</v>
      </c>
      <c r="B258">
        <v>4</v>
      </c>
      <c r="C258">
        <v>4</v>
      </c>
      <c r="D258">
        <v>119</v>
      </c>
      <c r="E258">
        <v>0</v>
      </c>
      <c r="F258">
        <v>3</v>
      </c>
      <c r="G258">
        <v>0</v>
      </c>
      <c r="H258">
        <f>129</f>
        <v>129</v>
      </c>
      <c r="I258" s="1">
        <f t="shared" si="3"/>
        <v>0.92248062015503873</v>
      </c>
    </row>
    <row r="259" spans="1:9">
      <c r="A259" t="s">
        <v>214</v>
      </c>
      <c r="B259">
        <v>4</v>
      </c>
      <c r="C259">
        <v>5</v>
      </c>
      <c r="D259">
        <v>122</v>
      </c>
      <c r="E259">
        <v>0</v>
      </c>
      <c r="F259">
        <v>2</v>
      </c>
      <c r="G259">
        <v>0</v>
      </c>
      <c r="H259">
        <f>129</f>
        <v>129</v>
      </c>
      <c r="I259" s="1">
        <f t="shared" ref="I259:I322" si="4">D259/H259</f>
        <v>0.94573643410852715</v>
      </c>
    </row>
    <row r="260" spans="1:9">
      <c r="A260" t="s">
        <v>214</v>
      </c>
      <c r="B260">
        <v>4</v>
      </c>
      <c r="C260">
        <v>6</v>
      </c>
      <c r="D260">
        <v>129</v>
      </c>
      <c r="E260">
        <v>0</v>
      </c>
      <c r="F260">
        <v>0</v>
      </c>
      <c r="G260">
        <v>0</v>
      </c>
      <c r="H260">
        <f>129</f>
        <v>129</v>
      </c>
      <c r="I260" s="1">
        <f t="shared" si="4"/>
        <v>1</v>
      </c>
    </row>
    <row r="261" spans="1:9">
      <c r="A261" t="s">
        <v>214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1">
        <f t="shared" si="4"/>
        <v>1</v>
      </c>
    </row>
    <row r="262" spans="1:9">
      <c r="A262" t="s">
        <v>214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1">
        <f t="shared" si="4"/>
        <v>1</v>
      </c>
    </row>
    <row r="263" spans="1:9">
      <c r="A263" t="s">
        <v>214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1">
        <f t="shared" si="4"/>
        <v>1</v>
      </c>
    </row>
    <row r="264" spans="1:9">
      <c r="A264" t="s">
        <v>214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1">
        <f t="shared" si="4"/>
        <v>0.64462809917355368</v>
      </c>
    </row>
    <row r="265" spans="1:9">
      <c r="A265" t="s">
        <v>214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1">
        <f t="shared" si="4"/>
        <v>1</v>
      </c>
    </row>
    <row r="266" spans="1:9">
      <c r="A266" t="s">
        <v>214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1">
        <f t="shared" si="4"/>
        <v>2.3255813953488372E-2</v>
      </c>
    </row>
    <row r="267" spans="1:9">
      <c r="A267" t="s">
        <v>214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1">
        <f t="shared" si="4"/>
        <v>6.9767441860465115E-2</v>
      </c>
    </row>
    <row r="268" spans="1:9">
      <c r="A268" t="s">
        <v>214</v>
      </c>
      <c r="B268">
        <v>7</v>
      </c>
      <c r="C268">
        <v>3</v>
      </c>
      <c r="D268">
        <v>6</v>
      </c>
      <c r="E268">
        <v>0</v>
      </c>
      <c r="F268">
        <v>2</v>
      </c>
      <c r="G268">
        <v>0</v>
      </c>
      <c r="H268">
        <v>43</v>
      </c>
      <c r="I268" s="1">
        <f t="shared" si="4"/>
        <v>0.13953488372093023</v>
      </c>
    </row>
    <row r="269" spans="1:9">
      <c r="A269" t="s">
        <v>214</v>
      </c>
      <c r="B269">
        <v>7</v>
      </c>
      <c r="C269">
        <v>4</v>
      </c>
      <c r="D269">
        <v>10</v>
      </c>
      <c r="E269">
        <v>0</v>
      </c>
      <c r="F269">
        <v>4</v>
      </c>
      <c r="G269">
        <v>0</v>
      </c>
      <c r="H269">
        <v>43</v>
      </c>
      <c r="I269" s="1">
        <f t="shared" si="4"/>
        <v>0.23255813953488372</v>
      </c>
    </row>
    <row r="270" spans="1:9">
      <c r="A270" t="s">
        <v>214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1">
        <f t="shared" si="4"/>
        <v>0.2558139534883721</v>
      </c>
    </row>
    <row r="271" spans="1:9">
      <c r="A271" t="s">
        <v>214</v>
      </c>
      <c r="B271">
        <v>7</v>
      </c>
      <c r="C271">
        <v>6</v>
      </c>
      <c r="D271">
        <v>41</v>
      </c>
      <c r="E271">
        <v>0</v>
      </c>
      <c r="F271">
        <v>2</v>
      </c>
      <c r="G271">
        <v>0</v>
      </c>
      <c r="H271">
        <v>43</v>
      </c>
      <c r="I271" s="1">
        <f t="shared" si="4"/>
        <v>0.95348837209302328</v>
      </c>
    </row>
    <row r="272" spans="1:9">
      <c r="A272" t="s">
        <v>214</v>
      </c>
      <c r="B272">
        <v>7</v>
      </c>
      <c r="C272">
        <v>7</v>
      </c>
      <c r="D272">
        <v>43</v>
      </c>
      <c r="E272">
        <v>0</v>
      </c>
      <c r="F272">
        <v>0</v>
      </c>
      <c r="G272">
        <v>0</v>
      </c>
      <c r="H272" s="6">
        <v>43</v>
      </c>
      <c r="I272" s="1">
        <f t="shared" si="4"/>
        <v>1</v>
      </c>
    </row>
    <row r="273" spans="1:9">
      <c r="A273" t="s">
        <v>247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1">
        <f t="shared" si="4"/>
        <v>9.6774193548387094E-2</v>
      </c>
    </row>
    <row r="274" spans="1:9">
      <c r="A274" t="s">
        <v>247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1">
        <f t="shared" si="4"/>
        <v>0.74193548387096775</v>
      </c>
    </row>
    <row r="275" spans="1:9">
      <c r="A275" t="s">
        <v>247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1">
        <f t="shared" si="4"/>
        <v>1</v>
      </c>
    </row>
    <row r="276" spans="1:9">
      <c r="A276" t="s">
        <v>247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1">
        <f t="shared" si="4"/>
        <v>5.3571428571428568E-2</v>
      </c>
    </row>
    <row r="277" spans="1:9">
      <c r="A277" t="s">
        <v>247</v>
      </c>
      <c r="B277">
        <v>7</v>
      </c>
      <c r="C277">
        <v>2</v>
      </c>
      <c r="D277">
        <v>4</v>
      </c>
      <c r="E277">
        <v>0</v>
      </c>
      <c r="F277">
        <v>1</v>
      </c>
      <c r="G277">
        <v>0</v>
      </c>
      <c r="H277">
        <v>56</v>
      </c>
      <c r="I277" s="1">
        <f t="shared" si="4"/>
        <v>7.1428571428571425E-2</v>
      </c>
    </row>
    <row r="278" spans="1:9">
      <c r="A278" t="s">
        <v>247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1">
        <f t="shared" si="4"/>
        <v>0.2857142857142857</v>
      </c>
    </row>
    <row r="279" spans="1:9">
      <c r="A279" t="s">
        <v>247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1">
        <f t="shared" si="4"/>
        <v>0.48214285714285715</v>
      </c>
    </row>
    <row r="280" spans="1:9">
      <c r="A280" t="s">
        <v>247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1">
        <f t="shared" si="4"/>
        <v>0.5178571428571429</v>
      </c>
    </row>
    <row r="281" spans="1:9">
      <c r="A281" t="s">
        <v>247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1">
        <f t="shared" si="4"/>
        <v>1</v>
      </c>
    </row>
    <row r="282" spans="1:9">
      <c r="A282" t="s">
        <v>247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1">
        <f t="shared" si="4"/>
        <v>4.6511627906976744E-2</v>
      </c>
    </row>
    <row r="283" spans="1:9">
      <c r="A283" t="s">
        <v>247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1">
        <f t="shared" si="4"/>
        <v>0.1744186046511628</v>
      </c>
    </row>
    <row r="284" spans="1:9">
      <c r="A284" t="s">
        <v>247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1">
        <f t="shared" si="4"/>
        <v>0.22093023255813954</v>
      </c>
    </row>
    <row r="285" spans="1:9">
      <c r="A285" t="s">
        <v>247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1">
        <f t="shared" si="4"/>
        <v>0.33720930232558138</v>
      </c>
    </row>
    <row r="286" spans="1:9">
      <c r="A286" t="s">
        <v>247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1">
        <f t="shared" si="4"/>
        <v>0.36046511627906974</v>
      </c>
    </row>
    <row r="287" spans="1:9">
      <c r="A287" t="s">
        <v>247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1">
        <f t="shared" si="4"/>
        <v>0.7558139534883721</v>
      </c>
    </row>
    <row r="288" spans="1:9">
      <c r="A288" t="s">
        <v>247</v>
      </c>
      <c r="B288">
        <v>8</v>
      </c>
      <c r="C288">
        <v>7</v>
      </c>
      <c r="D288">
        <v>68</v>
      </c>
      <c r="E288">
        <v>0</v>
      </c>
      <c r="F288">
        <v>2</v>
      </c>
      <c r="G288">
        <v>0</v>
      </c>
      <c r="H288">
        <v>86</v>
      </c>
      <c r="I288" s="1">
        <f t="shared" si="4"/>
        <v>0.79069767441860461</v>
      </c>
    </row>
    <row r="289" spans="1:9">
      <c r="A289" t="s">
        <v>247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1">
        <f t="shared" si="4"/>
        <v>0.81395348837209303</v>
      </c>
    </row>
    <row r="290" spans="1:9">
      <c r="A290" t="s">
        <v>247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1">
        <f t="shared" si="4"/>
        <v>0.87209302325581395</v>
      </c>
    </row>
    <row r="291" spans="1:9">
      <c r="A291" t="s">
        <v>247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1">
        <f t="shared" si="4"/>
        <v>0.91860465116279066</v>
      </c>
    </row>
    <row r="292" spans="1:9">
      <c r="A292" t="s">
        <v>247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1">
        <f t="shared" si="4"/>
        <v>1</v>
      </c>
    </row>
    <row r="293" spans="1:9">
      <c r="A293" t="s">
        <v>247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1">
        <f t="shared" si="4"/>
        <v>8.6956521739130432E-2</v>
      </c>
    </row>
    <row r="294" spans="1:9">
      <c r="A294" t="s">
        <v>247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1">
        <f t="shared" si="4"/>
        <v>0.19565217391304349</v>
      </c>
    </row>
    <row r="295" spans="1:9">
      <c r="A295" t="s">
        <v>247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1">
        <f t="shared" si="4"/>
        <v>0.41304347826086957</v>
      </c>
    </row>
    <row r="296" spans="1:9">
      <c r="A296" t="s">
        <v>247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1">
        <f t="shared" si="4"/>
        <v>0.45652173913043476</v>
      </c>
    </row>
    <row r="297" spans="1:9">
      <c r="A297" t="s">
        <v>247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1">
        <f t="shared" si="4"/>
        <v>1</v>
      </c>
    </row>
    <row r="298" spans="1:9">
      <c r="A298" t="s">
        <v>247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1">
        <f t="shared" si="4"/>
        <v>3.3333333333333333E-2</v>
      </c>
    </row>
    <row r="299" spans="1:9">
      <c r="A299" t="s">
        <v>247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1">
        <f t="shared" si="4"/>
        <v>0.2</v>
      </c>
    </row>
    <row r="300" spans="1:9">
      <c r="A300" t="s">
        <v>247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1">
        <f t="shared" si="4"/>
        <v>0.4</v>
      </c>
    </row>
    <row r="301" spans="1:9">
      <c r="A301" t="s">
        <v>247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1">
        <f t="shared" si="4"/>
        <v>0.43333333333333335</v>
      </c>
    </row>
    <row r="302" spans="1:9">
      <c r="A302" t="s">
        <v>247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1">
        <f t="shared" si="4"/>
        <v>0.6333333333333333</v>
      </c>
    </row>
    <row r="303" spans="1:9">
      <c r="A303" t="s">
        <v>247</v>
      </c>
      <c r="B303">
        <v>10</v>
      </c>
      <c r="C303">
        <v>6</v>
      </c>
      <c r="D303">
        <v>19</v>
      </c>
      <c r="E303">
        <v>0</v>
      </c>
      <c r="F303">
        <v>4</v>
      </c>
      <c r="G303">
        <v>0</v>
      </c>
      <c r="H303">
        <v>30</v>
      </c>
      <c r="I303" s="1">
        <f t="shared" si="4"/>
        <v>0.6333333333333333</v>
      </c>
    </row>
    <row r="304" spans="1:9">
      <c r="A304" t="s">
        <v>247</v>
      </c>
      <c r="B304">
        <v>10</v>
      </c>
      <c r="C304">
        <v>7</v>
      </c>
      <c r="D304">
        <v>20</v>
      </c>
      <c r="E304">
        <v>0</v>
      </c>
      <c r="F304">
        <v>3</v>
      </c>
      <c r="G304">
        <v>0</v>
      </c>
      <c r="H304">
        <v>30</v>
      </c>
      <c r="I304" s="1">
        <f t="shared" si="4"/>
        <v>0.66666666666666663</v>
      </c>
    </row>
    <row r="305" spans="1:9">
      <c r="A305" t="s">
        <v>247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1">
        <f t="shared" si="4"/>
        <v>0.8</v>
      </c>
    </row>
    <row r="306" spans="1:9">
      <c r="A306" t="s">
        <v>247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1">
        <f t="shared" si="4"/>
        <v>0.8</v>
      </c>
    </row>
    <row r="307" spans="1:9">
      <c r="A307" t="s">
        <v>247</v>
      </c>
      <c r="B307">
        <v>10</v>
      </c>
      <c r="C307">
        <v>10</v>
      </c>
      <c r="D307">
        <v>24</v>
      </c>
      <c r="E307">
        <v>0</v>
      </c>
      <c r="F307">
        <v>3</v>
      </c>
      <c r="G307">
        <v>0</v>
      </c>
      <c r="H307">
        <v>30</v>
      </c>
      <c r="I307" s="1">
        <f t="shared" si="4"/>
        <v>0.8</v>
      </c>
    </row>
    <row r="308" spans="1:9">
      <c r="A308" t="s">
        <v>247</v>
      </c>
      <c r="B308">
        <v>10</v>
      </c>
      <c r="C308">
        <v>11</v>
      </c>
      <c r="D308">
        <v>24</v>
      </c>
      <c r="E308">
        <v>0</v>
      </c>
      <c r="F308">
        <v>3</v>
      </c>
      <c r="G308">
        <v>0</v>
      </c>
      <c r="H308">
        <v>30</v>
      </c>
      <c r="I308" s="1">
        <f t="shared" si="4"/>
        <v>0.8</v>
      </c>
    </row>
    <row r="309" spans="1:9">
      <c r="A309" t="s">
        <v>247</v>
      </c>
      <c r="B309">
        <v>10</v>
      </c>
      <c r="C309">
        <v>12</v>
      </c>
      <c r="D309">
        <v>28</v>
      </c>
      <c r="E309">
        <v>0</v>
      </c>
      <c r="F309">
        <v>2</v>
      </c>
      <c r="G309">
        <v>0</v>
      </c>
      <c r="H309">
        <v>30</v>
      </c>
      <c r="I309" s="1">
        <f t="shared" si="4"/>
        <v>0.93333333333333335</v>
      </c>
    </row>
    <row r="310" spans="1:9">
      <c r="A310" t="s">
        <v>247</v>
      </c>
      <c r="B310">
        <v>10</v>
      </c>
      <c r="C310">
        <v>13</v>
      </c>
      <c r="D310">
        <v>29</v>
      </c>
      <c r="E310">
        <v>0</v>
      </c>
      <c r="F310">
        <v>1</v>
      </c>
      <c r="G310">
        <v>0</v>
      </c>
      <c r="H310">
        <v>30</v>
      </c>
      <c r="I310" s="1">
        <f t="shared" si="4"/>
        <v>0.96666666666666667</v>
      </c>
    </row>
    <row r="311" spans="1:9">
      <c r="A311" t="s">
        <v>247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1">
        <f t="shared" si="4"/>
        <v>1</v>
      </c>
    </row>
    <row r="312" spans="1:9">
      <c r="A312" t="s">
        <v>247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1">
        <f t="shared" si="4"/>
        <v>1</v>
      </c>
    </row>
    <row r="313" spans="1:9">
      <c r="A313" t="s">
        <v>247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1">
        <f t="shared" si="4"/>
        <v>1</v>
      </c>
    </row>
    <row r="314" spans="1:9">
      <c r="A314" t="s">
        <v>247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1">
        <f t="shared" si="4"/>
        <v>1</v>
      </c>
    </row>
    <row r="315" spans="1:9">
      <c r="A315" t="s">
        <v>247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1">
        <f t="shared" si="4"/>
        <v>1</v>
      </c>
    </row>
    <row r="316" spans="1:9">
      <c r="A316" t="s">
        <v>247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1">
        <f t="shared" si="4"/>
        <v>1</v>
      </c>
    </row>
    <row r="317" spans="1:9">
      <c r="A317" t="s">
        <v>247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1">
        <f t="shared" si="4"/>
        <v>1</v>
      </c>
    </row>
    <row r="318" spans="1:9">
      <c r="A318" t="s">
        <v>247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1">
        <f t="shared" si="4"/>
        <v>1</v>
      </c>
    </row>
    <row r="319" spans="1:9">
      <c r="A319" t="s">
        <v>247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1">
        <f t="shared" si="4"/>
        <v>1</v>
      </c>
    </row>
    <row r="320" spans="1:9">
      <c r="A320" t="s">
        <v>247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1">
        <f t="shared" si="4"/>
        <v>1</v>
      </c>
    </row>
    <row r="321" spans="1:9">
      <c r="A321" t="s">
        <v>247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1">
        <f t="shared" si="4"/>
        <v>1</v>
      </c>
    </row>
    <row r="322" spans="1:9">
      <c r="A322" t="s">
        <v>247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1">
        <f t="shared" si="4"/>
        <v>1</v>
      </c>
    </row>
    <row r="323" spans="1:9">
      <c r="A323" t="s">
        <v>247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1">
        <f t="shared" ref="I323:I386" si="5">D323/H323</f>
        <v>1</v>
      </c>
    </row>
    <row r="324" spans="1:9">
      <c r="A324" t="s">
        <v>247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1">
        <f t="shared" si="5"/>
        <v>1</v>
      </c>
    </row>
    <row r="325" spans="1:9">
      <c r="A325" t="s">
        <v>247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1">
        <f t="shared" si="5"/>
        <v>1</v>
      </c>
    </row>
    <row r="326" spans="1:9">
      <c r="A326" t="s">
        <v>247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1">
        <f t="shared" si="5"/>
        <v>1</v>
      </c>
    </row>
    <row r="327" spans="1:9">
      <c r="A327" t="s">
        <v>247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1">
        <f t="shared" si="5"/>
        <v>1</v>
      </c>
    </row>
    <row r="328" spans="1:9">
      <c r="A328" t="s">
        <v>247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1">
        <f t="shared" si="5"/>
        <v>1</v>
      </c>
    </row>
    <row r="329" spans="1:9">
      <c r="A329" t="s">
        <v>247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1">
        <f t="shared" si="5"/>
        <v>1</v>
      </c>
    </row>
    <row r="330" spans="1:9">
      <c r="A330" t="s">
        <v>294</v>
      </c>
      <c r="B330">
        <v>3</v>
      </c>
      <c r="C330">
        <v>1</v>
      </c>
      <c r="D330">
        <v>123</v>
      </c>
      <c r="E330">
        <v>0</v>
      </c>
      <c r="F330">
        <v>3</v>
      </c>
      <c r="G330">
        <v>0</v>
      </c>
      <c r="H330">
        <v>139</v>
      </c>
      <c r="I330" s="1">
        <f t="shared" si="5"/>
        <v>0.8848920863309353</v>
      </c>
    </row>
    <row r="331" spans="1:9">
      <c r="A331" t="s">
        <v>294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1">
        <f t="shared" si="5"/>
        <v>1</v>
      </c>
    </row>
    <row r="332" spans="1:9">
      <c r="A332" t="s">
        <v>295</v>
      </c>
      <c r="B332">
        <v>2</v>
      </c>
      <c r="C332">
        <v>1</v>
      </c>
      <c r="D332">
        <v>28</v>
      </c>
      <c r="E332">
        <v>0</v>
      </c>
      <c r="F332">
        <v>1</v>
      </c>
      <c r="G332">
        <v>0</v>
      </c>
      <c r="H332">
        <v>112</v>
      </c>
      <c r="I332" s="1">
        <f t="shared" si="5"/>
        <v>0.25</v>
      </c>
    </row>
    <row r="333" spans="1:9">
      <c r="A333" t="s">
        <v>295</v>
      </c>
      <c r="B333">
        <v>2</v>
      </c>
      <c r="C333">
        <v>2</v>
      </c>
      <c r="D333">
        <v>36</v>
      </c>
      <c r="E333">
        <v>0</v>
      </c>
      <c r="F333">
        <v>5</v>
      </c>
      <c r="G333">
        <v>0</v>
      </c>
      <c r="H333">
        <v>112</v>
      </c>
      <c r="I333" s="1">
        <f t="shared" si="5"/>
        <v>0.32142857142857145</v>
      </c>
    </row>
    <row r="334" spans="1:9">
      <c r="A334" t="s">
        <v>295</v>
      </c>
      <c r="B334">
        <v>2</v>
      </c>
      <c r="C334">
        <v>3</v>
      </c>
      <c r="D334">
        <v>40</v>
      </c>
      <c r="E334">
        <v>0</v>
      </c>
      <c r="F334">
        <v>9</v>
      </c>
      <c r="G334">
        <v>0</v>
      </c>
      <c r="H334">
        <v>112</v>
      </c>
      <c r="I334" s="1">
        <f t="shared" si="5"/>
        <v>0.35714285714285715</v>
      </c>
    </row>
    <row r="335" spans="1:9">
      <c r="A335" t="s">
        <v>295</v>
      </c>
      <c r="B335">
        <v>2</v>
      </c>
      <c r="C335">
        <v>4</v>
      </c>
      <c r="D335">
        <v>53</v>
      </c>
      <c r="E335">
        <v>0</v>
      </c>
      <c r="F335">
        <v>7</v>
      </c>
      <c r="G335">
        <v>0</v>
      </c>
      <c r="H335">
        <v>112</v>
      </c>
      <c r="I335" s="1">
        <f t="shared" si="5"/>
        <v>0.4732142857142857</v>
      </c>
    </row>
    <row r="336" spans="1:9">
      <c r="A336" t="s">
        <v>295</v>
      </c>
      <c r="B336">
        <v>2</v>
      </c>
      <c r="C336">
        <v>5</v>
      </c>
      <c r="D336">
        <v>64</v>
      </c>
      <c r="E336">
        <v>0</v>
      </c>
      <c r="F336">
        <v>5</v>
      </c>
      <c r="G336">
        <v>0</v>
      </c>
      <c r="H336">
        <v>112</v>
      </c>
      <c r="I336" s="1">
        <f t="shared" si="5"/>
        <v>0.5714285714285714</v>
      </c>
    </row>
    <row r="337" spans="1:9">
      <c r="A337" t="s">
        <v>295</v>
      </c>
      <c r="B337">
        <v>2</v>
      </c>
      <c r="C337">
        <v>6</v>
      </c>
      <c r="D337">
        <v>75</v>
      </c>
      <c r="E337">
        <v>0</v>
      </c>
      <c r="F337">
        <v>3</v>
      </c>
      <c r="G337">
        <v>0</v>
      </c>
      <c r="H337">
        <v>112</v>
      </c>
      <c r="I337" s="1">
        <f t="shared" si="5"/>
        <v>0.6696428571428571</v>
      </c>
    </row>
    <row r="338" spans="1:9">
      <c r="A338" t="s">
        <v>295</v>
      </c>
      <c r="B338">
        <v>2</v>
      </c>
      <c r="C338">
        <v>7</v>
      </c>
      <c r="D338">
        <v>91</v>
      </c>
      <c r="E338">
        <v>0</v>
      </c>
      <c r="F338">
        <v>1</v>
      </c>
      <c r="G338">
        <v>0</v>
      </c>
      <c r="H338">
        <v>112</v>
      </c>
      <c r="I338" s="1">
        <f t="shared" si="5"/>
        <v>0.8125</v>
      </c>
    </row>
    <row r="339" spans="1:9">
      <c r="A339" t="s">
        <v>295</v>
      </c>
      <c r="B339">
        <v>2</v>
      </c>
      <c r="C339">
        <v>8</v>
      </c>
      <c r="D339">
        <v>112</v>
      </c>
      <c r="E339">
        <v>0</v>
      </c>
      <c r="F339">
        <v>0</v>
      </c>
      <c r="G339">
        <v>0</v>
      </c>
      <c r="H339">
        <v>112</v>
      </c>
      <c r="I339" s="1">
        <f t="shared" si="5"/>
        <v>1</v>
      </c>
    </row>
    <row r="340" spans="1:9">
      <c r="A340" t="s">
        <v>295</v>
      </c>
      <c r="B340">
        <v>3</v>
      </c>
      <c r="C340">
        <v>1</v>
      </c>
      <c r="D340">
        <v>19</v>
      </c>
      <c r="E340">
        <v>0</v>
      </c>
      <c r="F340">
        <v>1</v>
      </c>
      <c r="G340">
        <v>0</v>
      </c>
      <c r="H340">
        <v>175</v>
      </c>
      <c r="I340" s="1">
        <f t="shared" si="5"/>
        <v>0.10857142857142857</v>
      </c>
    </row>
    <row r="341" spans="1:9">
      <c r="A341" t="s">
        <v>295</v>
      </c>
      <c r="B341">
        <v>3</v>
      </c>
      <c r="C341">
        <v>2</v>
      </c>
      <c r="D341">
        <v>28</v>
      </c>
      <c r="E341">
        <v>0</v>
      </c>
      <c r="F341">
        <v>7</v>
      </c>
      <c r="G341">
        <v>0</v>
      </c>
      <c r="H341">
        <v>175</v>
      </c>
      <c r="I341" s="1">
        <f t="shared" si="5"/>
        <v>0.16</v>
      </c>
    </row>
    <row r="342" spans="1:9">
      <c r="A342" t="s">
        <v>295</v>
      </c>
      <c r="B342">
        <v>3</v>
      </c>
      <c r="C342">
        <v>3</v>
      </c>
      <c r="D342">
        <v>63</v>
      </c>
      <c r="E342">
        <v>0</v>
      </c>
      <c r="F342">
        <v>5</v>
      </c>
      <c r="G342">
        <v>0</v>
      </c>
      <c r="H342">
        <v>175</v>
      </c>
      <c r="I342" s="1">
        <f t="shared" si="5"/>
        <v>0.36</v>
      </c>
    </row>
    <row r="343" spans="1:9">
      <c r="A343" t="s">
        <v>295</v>
      </c>
      <c r="B343">
        <v>3</v>
      </c>
      <c r="C343">
        <v>4</v>
      </c>
      <c r="D343">
        <v>98</v>
      </c>
      <c r="E343">
        <v>0</v>
      </c>
      <c r="F343">
        <v>3</v>
      </c>
      <c r="G343">
        <v>0</v>
      </c>
      <c r="H343">
        <v>175</v>
      </c>
      <c r="I343" s="1">
        <f t="shared" si="5"/>
        <v>0.56000000000000005</v>
      </c>
    </row>
    <row r="344" spans="1:9">
      <c r="A344" t="s">
        <v>295</v>
      </c>
      <c r="B344">
        <v>3</v>
      </c>
      <c r="C344">
        <v>5</v>
      </c>
      <c r="D344">
        <v>155</v>
      </c>
      <c r="E344">
        <v>0</v>
      </c>
      <c r="F344">
        <v>1</v>
      </c>
      <c r="G344">
        <v>0</v>
      </c>
      <c r="H344">
        <v>175</v>
      </c>
      <c r="I344" s="1">
        <f t="shared" si="5"/>
        <v>0.88571428571428568</v>
      </c>
    </row>
    <row r="345" spans="1:9">
      <c r="A345" t="s">
        <v>295</v>
      </c>
      <c r="B345">
        <v>3</v>
      </c>
      <c r="C345">
        <v>6</v>
      </c>
      <c r="D345">
        <v>175</v>
      </c>
      <c r="E345">
        <v>0</v>
      </c>
      <c r="F345">
        <v>0</v>
      </c>
      <c r="G345">
        <v>0</v>
      </c>
      <c r="H345">
        <v>175</v>
      </c>
      <c r="I345" s="1">
        <f t="shared" si="5"/>
        <v>1</v>
      </c>
    </row>
    <row r="346" spans="1:9">
      <c r="A346" t="s">
        <v>295</v>
      </c>
      <c r="B346">
        <v>4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175</v>
      </c>
      <c r="I346" s="1">
        <f t="shared" si="5"/>
        <v>0.10857142857142857</v>
      </c>
    </row>
    <row r="347" spans="1:9">
      <c r="A347" t="s">
        <v>295</v>
      </c>
      <c r="B347">
        <v>4</v>
      </c>
      <c r="C347">
        <v>2</v>
      </c>
      <c r="D347">
        <v>31</v>
      </c>
      <c r="E347">
        <v>0</v>
      </c>
      <c r="F347">
        <v>13</v>
      </c>
      <c r="G347">
        <v>0</v>
      </c>
      <c r="H347">
        <v>272</v>
      </c>
      <c r="I347" s="1">
        <f t="shared" si="5"/>
        <v>0.11397058823529412</v>
      </c>
    </row>
    <row r="348" spans="1:9">
      <c r="A348" t="s">
        <v>295</v>
      </c>
      <c r="B348">
        <v>4</v>
      </c>
      <c r="C348">
        <v>3</v>
      </c>
      <c r="D348">
        <v>66</v>
      </c>
      <c r="E348">
        <v>0</v>
      </c>
      <c r="F348">
        <v>11</v>
      </c>
      <c r="G348">
        <v>0</v>
      </c>
      <c r="H348">
        <v>272</v>
      </c>
      <c r="I348" s="1">
        <f t="shared" si="5"/>
        <v>0.24264705882352941</v>
      </c>
    </row>
    <row r="349" spans="1:9">
      <c r="A349" t="s">
        <v>295</v>
      </c>
      <c r="B349">
        <v>4</v>
      </c>
      <c r="C349">
        <v>4</v>
      </c>
      <c r="D349">
        <v>101</v>
      </c>
      <c r="E349">
        <v>0</v>
      </c>
      <c r="F349">
        <v>9</v>
      </c>
      <c r="G349">
        <v>0</v>
      </c>
      <c r="H349">
        <v>272</v>
      </c>
      <c r="I349" s="1">
        <f t="shared" si="5"/>
        <v>0.37132352941176472</v>
      </c>
    </row>
    <row r="350" spans="1:9">
      <c r="A350" t="s">
        <v>295</v>
      </c>
      <c r="B350">
        <v>4</v>
      </c>
      <c r="C350">
        <v>5</v>
      </c>
      <c r="D350">
        <v>154</v>
      </c>
      <c r="E350">
        <v>0</v>
      </c>
      <c r="F350">
        <v>7</v>
      </c>
      <c r="G350">
        <v>0</v>
      </c>
      <c r="H350">
        <v>272</v>
      </c>
      <c r="I350" s="1">
        <f t="shared" si="5"/>
        <v>0.56617647058823528</v>
      </c>
    </row>
    <row r="351" spans="1:9">
      <c r="A351" t="s">
        <v>295</v>
      </c>
      <c r="B351">
        <v>4</v>
      </c>
      <c r="C351">
        <v>6</v>
      </c>
      <c r="D351">
        <v>175</v>
      </c>
      <c r="E351">
        <v>0</v>
      </c>
      <c r="F351">
        <v>5</v>
      </c>
      <c r="G351">
        <v>0</v>
      </c>
      <c r="H351">
        <v>272</v>
      </c>
      <c r="I351" s="1">
        <f t="shared" si="5"/>
        <v>0.64338235294117652</v>
      </c>
    </row>
    <row r="352" spans="1:9">
      <c r="A352" t="s">
        <v>295</v>
      </c>
      <c r="B352">
        <v>4</v>
      </c>
      <c r="C352">
        <v>7</v>
      </c>
      <c r="D352">
        <v>202</v>
      </c>
      <c r="E352">
        <v>0</v>
      </c>
      <c r="F352">
        <v>3</v>
      </c>
      <c r="G352">
        <v>0</v>
      </c>
      <c r="H352">
        <v>272</v>
      </c>
      <c r="I352" s="1">
        <f t="shared" si="5"/>
        <v>0.74264705882352944</v>
      </c>
    </row>
    <row r="353" spans="1:9">
      <c r="A353" t="s">
        <v>295</v>
      </c>
      <c r="B353">
        <v>4</v>
      </c>
      <c r="C353">
        <v>8</v>
      </c>
      <c r="D353">
        <v>240</v>
      </c>
      <c r="E353">
        <v>0</v>
      </c>
      <c r="F353">
        <v>2</v>
      </c>
      <c r="G353">
        <v>0</v>
      </c>
      <c r="H353">
        <v>272</v>
      </c>
      <c r="I353" s="1">
        <f t="shared" si="5"/>
        <v>0.88235294117647056</v>
      </c>
    </row>
    <row r="354" spans="1:9">
      <c r="A354" t="s">
        <v>295</v>
      </c>
      <c r="B354">
        <v>4</v>
      </c>
      <c r="C354">
        <v>9</v>
      </c>
      <c r="D354">
        <v>272</v>
      </c>
      <c r="E354">
        <v>0</v>
      </c>
      <c r="F354">
        <v>0</v>
      </c>
      <c r="G354">
        <v>0</v>
      </c>
      <c r="H354">
        <v>272</v>
      </c>
      <c r="I354" s="1">
        <f t="shared" si="5"/>
        <v>1</v>
      </c>
    </row>
    <row r="355" spans="1:9">
      <c r="A355" t="s">
        <v>295</v>
      </c>
      <c r="B355">
        <v>5</v>
      </c>
      <c r="C355">
        <v>1</v>
      </c>
      <c r="D355">
        <v>8</v>
      </c>
      <c r="E355">
        <v>0</v>
      </c>
      <c r="F355">
        <v>3</v>
      </c>
      <c r="G355">
        <v>0</v>
      </c>
      <c r="H355">
        <v>22</v>
      </c>
      <c r="I355" s="1">
        <f t="shared" si="5"/>
        <v>0.36363636363636365</v>
      </c>
    </row>
    <row r="356" spans="1:9">
      <c r="A356" t="s">
        <v>295</v>
      </c>
      <c r="B356">
        <v>5</v>
      </c>
      <c r="C356">
        <v>2</v>
      </c>
      <c r="D356">
        <v>12</v>
      </c>
      <c r="E356">
        <v>0</v>
      </c>
      <c r="F356">
        <v>3</v>
      </c>
      <c r="G356">
        <v>0</v>
      </c>
      <c r="H356">
        <v>22</v>
      </c>
      <c r="I356" s="1">
        <f t="shared" si="5"/>
        <v>0.54545454545454541</v>
      </c>
    </row>
    <row r="357" spans="1:9">
      <c r="A357" t="s">
        <v>295</v>
      </c>
      <c r="B357">
        <v>5</v>
      </c>
      <c r="C357">
        <v>3</v>
      </c>
      <c r="D357">
        <v>15</v>
      </c>
      <c r="E357">
        <v>0</v>
      </c>
      <c r="F357">
        <v>2</v>
      </c>
      <c r="G357">
        <v>0</v>
      </c>
      <c r="H357">
        <v>22</v>
      </c>
      <c r="I357" s="1">
        <f t="shared" si="5"/>
        <v>0.68181818181818177</v>
      </c>
    </row>
    <row r="358" spans="1:9">
      <c r="A358" t="s">
        <v>295</v>
      </c>
      <c r="B358">
        <v>5</v>
      </c>
      <c r="C358">
        <v>4</v>
      </c>
      <c r="D358">
        <v>17</v>
      </c>
      <c r="E358">
        <v>0</v>
      </c>
      <c r="F358">
        <v>2</v>
      </c>
      <c r="G358">
        <v>0</v>
      </c>
      <c r="H358">
        <v>22</v>
      </c>
      <c r="I358" s="1">
        <f t="shared" si="5"/>
        <v>0.77272727272727271</v>
      </c>
    </row>
    <row r="359" spans="1:9">
      <c r="A359" t="s">
        <v>295</v>
      </c>
      <c r="B359">
        <v>5</v>
      </c>
      <c r="C359">
        <v>5</v>
      </c>
      <c r="D359">
        <v>19</v>
      </c>
      <c r="E359">
        <v>0</v>
      </c>
      <c r="F359">
        <v>2</v>
      </c>
      <c r="G359">
        <v>0</v>
      </c>
      <c r="H359">
        <v>22</v>
      </c>
      <c r="I359" s="1">
        <f t="shared" si="5"/>
        <v>0.86363636363636365</v>
      </c>
    </row>
    <row r="360" spans="1:9">
      <c r="A360" t="s">
        <v>295</v>
      </c>
      <c r="B360">
        <v>5</v>
      </c>
      <c r="C360">
        <v>6</v>
      </c>
      <c r="D360">
        <v>22</v>
      </c>
      <c r="E360">
        <v>0</v>
      </c>
      <c r="F360">
        <v>0</v>
      </c>
      <c r="G360">
        <v>0</v>
      </c>
      <c r="H360">
        <v>22</v>
      </c>
      <c r="I360" s="1">
        <f t="shared" si="5"/>
        <v>1</v>
      </c>
    </row>
    <row r="361" spans="1:9">
      <c r="A361" t="s">
        <v>295</v>
      </c>
      <c r="B361">
        <v>6</v>
      </c>
      <c r="C361">
        <v>1</v>
      </c>
      <c r="D361">
        <v>3</v>
      </c>
      <c r="E361">
        <v>0</v>
      </c>
      <c r="F361">
        <v>4</v>
      </c>
      <c r="G361">
        <v>0</v>
      </c>
      <c r="H361">
        <v>21</v>
      </c>
      <c r="I361" s="1">
        <f t="shared" si="5"/>
        <v>0.14285714285714285</v>
      </c>
    </row>
    <row r="362" spans="1:9">
      <c r="A362" t="s">
        <v>295</v>
      </c>
      <c r="B362">
        <v>6</v>
      </c>
      <c r="C362">
        <v>2</v>
      </c>
      <c r="D362">
        <v>7</v>
      </c>
      <c r="E362">
        <v>0</v>
      </c>
      <c r="F362">
        <v>4</v>
      </c>
      <c r="G362">
        <v>0</v>
      </c>
      <c r="H362">
        <v>21</v>
      </c>
      <c r="I362" s="1">
        <f t="shared" si="5"/>
        <v>0.33333333333333331</v>
      </c>
    </row>
    <row r="363" spans="1:9">
      <c r="A363" t="s">
        <v>295</v>
      </c>
      <c r="B363">
        <v>6</v>
      </c>
      <c r="C363">
        <v>3</v>
      </c>
      <c r="D363">
        <v>10</v>
      </c>
      <c r="E363">
        <v>0</v>
      </c>
      <c r="F363">
        <v>4</v>
      </c>
      <c r="G363">
        <v>0</v>
      </c>
      <c r="H363">
        <v>21</v>
      </c>
      <c r="I363" s="1">
        <f t="shared" si="5"/>
        <v>0.47619047619047616</v>
      </c>
    </row>
    <row r="364" spans="1:9">
      <c r="A364" t="s">
        <v>295</v>
      </c>
      <c r="B364">
        <v>6</v>
      </c>
      <c r="C364">
        <v>4</v>
      </c>
      <c r="D364">
        <v>14</v>
      </c>
      <c r="E364">
        <v>0</v>
      </c>
      <c r="F364">
        <v>4</v>
      </c>
      <c r="G364">
        <v>0</v>
      </c>
      <c r="H364">
        <v>21</v>
      </c>
      <c r="I364" s="1">
        <f t="shared" si="5"/>
        <v>0.66666666666666663</v>
      </c>
    </row>
    <row r="365" spans="1:9">
      <c r="A365" t="s">
        <v>295</v>
      </c>
      <c r="B365">
        <v>6</v>
      </c>
      <c r="C365">
        <v>5</v>
      </c>
      <c r="D365">
        <v>15</v>
      </c>
      <c r="E365">
        <v>0</v>
      </c>
      <c r="F365">
        <v>3</v>
      </c>
      <c r="G365">
        <v>0</v>
      </c>
      <c r="H365">
        <v>21</v>
      </c>
      <c r="I365" s="1">
        <f t="shared" si="5"/>
        <v>0.7142857142857143</v>
      </c>
    </row>
    <row r="366" spans="1:9">
      <c r="A366" t="s">
        <v>295</v>
      </c>
      <c r="B366">
        <v>6</v>
      </c>
      <c r="C366">
        <v>6</v>
      </c>
      <c r="D366">
        <v>18</v>
      </c>
      <c r="E366">
        <v>0</v>
      </c>
      <c r="F366">
        <v>2</v>
      </c>
      <c r="G366">
        <v>0</v>
      </c>
      <c r="H366">
        <v>21</v>
      </c>
      <c r="I366" s="1">
        <f t="shared" si="5"/>
        <v>0.8571428571428571</v>
      </c>
    </row>
    <row r="367" spans="1:9">
      <c r="A367" t="s">
        <v>295</v>
      </c>
      <c r="B367">
        <v>6</v>
      </c>
      <c r="C367">
        <v>7</v>
      </c>
      <c r="D367">
        <v>21</v>
      </c>
      <c r="E367">
        <v>0</v>
      </c>
      <c r="F367">
        <v>0</v>
      </c>
      <c r="G367">
        <v>0</v>
      </c>
      <c r="H367">
        <v>21</v>
      </c>
      <c r="I367" s="1">
        <f t="shared" si="5"/>
        <v>1</v>
      </c>
    </row>
    <row r="368" spans="1:9">
      <c r="A368" t="s">
        <v>295</v>
      </c>
      <c r="B368">
        <v>6</v>
      </c>
      <c r="C368">
        <v>8</v>
      </c>
      <c r="D368">
        <v>21</v>
      </c>
      <c r="E368">
        <v>0</v>
      </c>
      <c r="F368">
        <v>0</v>
      </c>
      <c r="G368">
        <v>0</v>
      </c>
      <c r="H368">
        <v>21</v>
      </c>
      <c r="I368" s="1">
        <f t="shared" si="5"/>
        <v>1</v>
      </c>
    </row>
    <row r="369" spans="1:9">
      <c r="A369" t="s">
        <v>295</v>
      </c>
      <c r="B369">
        <v>6</v>
      </c>
      <c r="C369">
        <v>9</v>
      </c>
      <c r="D369">
        <v>21</v>
      </c>
      <c r="E369">
        <v>0</v>
      </c>
      <c r="F369">
        <v>0</v>
      </c>
      <c r="G369">
        <v>0</v>
      </c>
      <c r="H369">
        <v>21</v>
      </c>
      <c r="I369" s="1">
        <f t="shared" si="5"/>
        <v>1</v>
      </c>
    </row>
    <row r="370" spans="1:9">
      <c r="A370" t="s">
        <v>295</v>
      </c>
      <c r="B370">
        <v>6</v>
      </c>
      <c r="C370">
        <v>10</v>
      </c>
      <c r="D370">
        <v>21</v>
      </c>
      <c r="E370">
        <v>0</v>
      </c>
      <c r="F370">
        <v>0</v>
      </c>
      <c r="G370">
        <v>0</v>
      </c>
      <c r="H370">
        <v>21</v>
      </c>
      <c r="I370" s="1">
        <f t="shared" si="5"/>
        <v>1</v>
      </c>
    </row>
    <row r="371" spans="1:9">
      <c r="A371" t="s">
        <v>295</v>
      </c>
      <c r="B371">
        <v>7</v>
      </c>
      <c r="C371">
        <v>1</v>
      </c>
      <c r="D371">
        <v>28</v>
      </c>
      <c r="E371">
        <v>0</v>
      </c>
      <c r="F371">
        <v>2</v>
      </c>
      <c r="G371">
        <v>0</v>
      </c>
      <c r="H371">
        <v>120</v>
      </c>
      <c r="I371" s="1">
        <f t="shared" si="5"/>
        <v>0.23333333333333334</v>
      </c>
    </row>
    <row r="372" spans="1:9">
      <c r="A372" t="s">
        <v>295</v>
      </c>
      <c r="B372">
        <v>7</v>
      </c>
      <c r="C372">
        <v>2</v>
      </c>
      <c r="D372">
        <v>32</v>
      </c>
      <c r="E372">
        <v>0</v>
      </c>
      <c r="F372">
        <v>1</v>
      </c>
      <c r="G372">
        <v>0</v>
      </c>
      <c r="H372">
        <v>120</v>
      </c>
      <c r="I372" s="1">
        <f t="shared" si="5"/>
        <v>0.26666666666666666</v>
      </c>
    </row>
    <row r="373" spans="1:9">
      <c r="A373" t="s">
        <v>295</v>
      </c>
      <c r="B373">
        <v>7</v>
      </c>
      <c r="C373">
        <v>3</v>
      </c>
      <c r="D373">
        <v>40</v>
      </c>
      <c r="E373">
        <v>0</v>
      </c>
      <c r="F373">
        <v>5</v>
      </c>
      <c r="G373">
        <v>0</v>
      </c>
      <c r="H373">
        <v>120</v>
      </c>
      <c r="I373" s="1">
        <f t="shared" si="5"/>
        <v>0.33333333333333331</v>
      </c>
    </row>
    <row r="374" spans="1:9">
      <c r="A374" t="s">
        <v>295</v>
      </c>
      <c r="B374">
        <v>7</v>
      </c>
      <c r="C374">
        <v>4</v>
      </c>
      <c r="D374">
        <v>51</v>
      </c>
      <c r="E374">
        <v>0</v>
      </c>
      <c r="F374">
        <v>5</v>
      </c>
      <c r="G374">
        <v>0</v>
      </c>
      <c r="H374">
        <v>120</v>
      </c>
      <c r="I374" s="1">
        <f t="shared" si="5"/>
        <v>0.42499999999999999</v>
      </c>
    </row>
    <row r="375" spans="1:9">
      <c r="A375" t="s">
        <v>295</v>
      </c>
      <c r="B375">
        <v>7</v>
      </c>
      <c r="C375">
        <v>5</v>
      </c>
      <c r="D375">
        <v>55</v>
      </c>
      <c r="E375">
        <v>0</v>
      </c>
      <c r="F375">
        <v>9</v>
      </c>
      <c r="G375">
        <v>0</v>
      </c>
      <c r="H375">
        <v>120</v>
      </c>
      <c r="I375" s="1">
        <f t="shared" si="5"/>
        <v>0.45833333333333331</v>
      </c>
    </row>
    <row r="376" spans="1:9">
      <c r="A376" t="s">
        <v>295</v>
      </c>
      <c r="B376">
        <v>7</v>
      </c>
      <c r="C376">
        <v>6</v>
      </c>
      <c r="D376">
        <v>71</v>
      </c>
      <c r="E376">
        <v>0</v>
      </c>
      <c r="F376">
        <v>7</v>
      </c>
      <c r="G376">
        <v>0</v>
      </c>
      <c r="H376">
        <v>120</v>
      </c>
      <c r="I376" s="1">
        <f t="shared" si="5"/>
        <v>0.59166666666666667</v>
      </c>
    </row>
    <row r="377" spans="1:9">
      <c r="A377" t="s">
        <v>295</v>
      </c>
      <c r="B377">
        <v>7</v>
      </c>
      <c r="C377">
        <v>7</v>
      </c>
      <c r="D377">
        <v>78</v>
      </c>
      <c r="E377">
        <v>0</v>
      </c>
      <c r="F377">
        <v>5</v>
      </c>
      <c r="G377">
        <v>0</v>
      </c>
      <c r="H377">
        <v>120</v>
      </c>
      <c r="I377" s="1">
        <f t="shared" si="5"/>
        <v>0.65</v>
      </c>
    </row>
    <row r="378" spans="1:9">
      <c r="A378" t="s">
        <v>295</v>
      </c>
      <c r="B378">
        <v>7</v>
      </c>
      <c r="C378">
        <v>8</v>
      </c>
      <c r="D378">
        <v>88</v>
      </c>
      <c r="E378">
        <v>0</v>
      </c>
      <c r="F378">
        <v>3</v>
      </c>
      <c r="G378">
        <v>0</v>
      </c>
      <c r="H378">
        <v>120</v>
      </c>
      <c r="I378" s="1">
        <f t="shared" si="5"/>
        <v>0.73333333333333328</v>
      </c>
    </row>
    <row r="379" spans="1:9">
      <c r="A379" t="s">
        <v>295</v>
      </c>
      <c r="B379">
        <v>7</v>
      </c>
      <c r="C379">
        <v>9</v>
      </c>
      <c r="D379">
        <v>102</v>
      </c>
      <c r="E379">
        <v>0</v>
      </c>
      <c r="F379">
        <v>1</v>
      </c>
      <c r="G379">
        <v>0</v>
      </c>
      <c r="H379">
        <v>120</v>
      </c>
      <c r="I379" s="1">
        <f t="shared" si="5"/>
        <v>0.85</v>
      </c>
    </row>
    <row r="380" spans="1:9">
      <c r="A380" t="s">
        <v>295</v>
      </c>
      <c r="B380">
        <v>7</v>
      </c>
      <c r="C380">
        <v>10</v>
      </c>
      <c r="D380">
        <v>120</v>
      </c>
      <c r="E380">
        <v>0</v>
      </c>
      <c r="F380">
        <v>0</v>
      </c>
      <c r="G380">
        <v>0</v>
      </c>
      <c r="H380">
        <v>120</v>
      </c>
      <c r="I380" s="1">
        <f t="shared" si="5"/>
        <v>1</v>
      </c>
    </row>
    <row r="381" spans="1:9">
      <c r="A381" t="s">
        <v>295</v>
      </c>
      <c r="B381">
        <v>8</v>
      </c>
      <c r="C381">
        <v>1</v>
      </c>
      <c r="D381">
        <v>19</v>
      </c>
      <c r="E381">
        <v>0</v>
      </c>
      <c r="F381">
        <v>1</v>
      </c>
      <c r="G381">
        <v>0</v>
      </c>
      <c r="H381">
        <v>162</v>
      </c>
      <c r="I381" s="1">
        <f t="shared" si="5"/>
        <v>0.11728395061728394</v>
      </c>
    </row>
    <row r="382" spans="1:9">
      <c r="A382" t="s">
        <v>295</v>
      </c>
      <c r="B382">
        <v>8</v>
      </c>
      <c r="C382">
        <v>2</v>
      </c>
      <c r="D382">
        <v>28</v>
      </c>
      <c r="E382">
        <v>0</v>
      </c>
      <c r="F382">
        <v>7</v>
      </c>
      <c r="G382">
        <v>0</v>
      </c>
      <c r="H382">
        <v>162</v>
      </c>
      <c r="I382" s="1">
        <f t="shared" si="5"/>
        <v>0.1728395061728395</v>
      </c>
    </row>
    <row r="383" spans="1:9">
      <c r="A383" t="s">
        <v>295</v>
      </c>
      <c r="B383">
        <v>8</v>
      </c>
      <c r="C383">
        <v>3</v>
      </c>
      <c r="D383">
        <v>63</v>
      </c>
      <c r="E383">
        <v>0</v>
      </c>
      <c r="F383">
        <v>5</v>
      </c>
      <c r="G383">
        <v>0</v>
      </c>
      <c r="H383">
        <v>162</v>
      </c>
      <c r="I383" s="1">
        <f t="shared" si="5"/>
        <v>0.3888888888888889</v>
      </c>
    </row>
    <row r="384" spans="1:9">
      <c r="A384" t="s">
        <v>295</v>
      </c>
      <c r="B384">
        <v>8</v>
      </c>
      <c r="C384">
        <v>4</v>
      </c>
      <c r="D384">
        <v>107</v>
      </c>
      <c r="E384">
        <v>0</v>
      </c>
      <c r="F384">
        <v>3</v>
      </c>
      <c r="G384">
        <v>0</v>
      </c>
      <c r="H384">
        <v>162</v>
      </c>
      <c r="I384" s="1">
        <f t="shared" si="5"/>
        <v>0.66049382716049387</v>
      </c>
    </row>
    <row r="385" spans="1:9">
      <c r="A385" t="s">
        <v>295</v>
      </c>
      <c r="B385">
        <v>8</v>
      </c>
      <c r="C385">
        <v>5</v>
      </c>
      <c r="D385">
        <v>140</v>
      </c>
      <c r="E385">
        <v>0</v>
      </c>
      <c r="F385">
        <v>1</v>
      </c>
      <c r="G385">
        <v>0</v>
      </c>
      <c r="H385">
        <v>162</v>
      </c>
      <c r="I385" s="1">
        <f t="shared" si="5"/>
        <v>0.86419753086419748</v>
      </c>
    </row>
    <row r="386" spans="1:9">
      <c r="A386" t="s">
        <v>295</v>
      </c>
      <c r="B386">
        <v>8</v>
      </c>
      <c r="C386">
        <v>6</v>
      </c>
      <c r="D386">
        <v>162</v>
      </c>
      <c r="E386">
        <v>0</v>
      </c>
      <c r="F386">
        <v>0</v>
      </c>
      <c r="G386">
        <v>0</v>
      </c>
      <c r="H386">
        <v>162</v>
      </c>
      <c r="I386" s="1">
        <f t="shared" si="5"/>
        <v>1</v>
      </c>
    </row>
    <row r="387" spans="1:9">
      <c r="A387" t="s">
        <v>295</v>
      </c>
      <c r="B387">
        <v>9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258</v>
      </c>
      <c r="I387" s="1">
        <f t="shared" ref="I387:I450" si="6">D387/H387</f>
        <v>7.3643410852713184E-2</v>
      </c>
    </row>
    <row r="388" spans="1:9">
      <c r="A388" t="s">
        <v>295</v>
      </c>
      <c r="B388">
        <v>9</v>
      </c>
      <c r="C388">
        <v>2</v>
      </c>
      <c r="D388">
        <v>31</v>
      </c>
      <c r="E388">
        <v>0</v>
      </c>
      <c r="F388">
        <v>13</v>
      </c>
      <c r="G388">
        <v>0</v>
      </c>
      <c r="H388">
        <v>258</v>
      </c>
      <c r="I388" s="1">
        <f t="shared" si="6"/>
        <v>0.12015503875968993</v>
      </c>
    </row>
    <row r="389" spans="1:9">
      <c r="A389" t="s">
        <v>295</v>
      </c>
      <c r="B389">
        <v>9</v>
      </c>
      <c r="C389">
        <v>3</v>
      </c>
      <c r="D389">
        <v>66</v>
      </c>
      <c r="E389">
        <v>0</v>
      </c>
      <c r="F389">
        <v>11</v>
      </c>
      <c r="G389">
        <v>0</v>
      </c>
      <c r="H389">
        <v>258</v>
      </c>
      <c r="I389" s="1">
        <f t="shared" si="6"/>
        <v>0.2558139534883721</v>
      </c>
    </row>
    <row r="390" spans="1:9">
      <c r="A390" t="s">
        <v>295</v>
      </c>
      <c r="B390">
        <v>9</v>
      </c>
      <c r="C390">
        <v>4</v>
      </c>
      <c r="D390">
        <v>110</v>
      </c>
      <c r="E390">
        <v>0</v>
      </c>
      <c r="F390">
        <v>9</v>
      </c>
      <c r="G390">
        <v>0</v>
      </c>
      <c r="H390">
        <v>258</v>
      </c>
      <c r="I390" s="1">
        <f t="shared" si="6"/>
        <v>0.4263565891472868</v>
      </c>
    </row>
    <row r="391" spans="1:9">
      <c r="A391" t="s">
        <v>295</v>
      </c>
      <c r="B391">
        <v>9</v>
      </c>
      <c r="C391">
        <v>5</v>
      </c>
      <c r="D391">
        <v>143</v>
      </c>
      <c r="E391">
        <v>0</v>
      </c>
      <c r="F391">
        <v>7</v>
      </c>
      <c r="G391">
        <v>0</v>
      </c>
      <c r="H391">
        <v>258</v>
      </c>
      <c r="I391" s="1">
        <f t="shared" si="6"/>
        <v>0.55426356589147285</v>
      </c>
    </row>
    <row r="392" spans="1:9">
      <c r="A392" t="s">
        <v>295</v>
      </c>
      <c r="B392">
        <v>9</v>
      </c>
      <c r="C392">
        <v>6</v>
      </c>
      <c r="D392">
        <v>170</v>
      </c>
      <c r="E392">
        <v>0</v>
      </c>
      <c r="F392">
        <v>5</v>
      </c>
      <c r="G392">
        <v>0</v>
      </c>
      <c r="H392">
        <v>258</v>
      </c>
      <c r="I392" s="1">
        <f t="shared" si="6"/>
        <v>0.65891472868217049</v>
      </c>
    </row>
    <row r="393" spans="1:9">
      <c r="A393" t="s">
        <v>295</v>
      </c>
      <c r="B393">
        <v>9</v>
      </c>
      <c r="C393">
        <v>7</v>
      </c>
      <c r="D393">
        <v>201</v>
      </c>
      <c r="E393">
        <v>0</v>
      </c>
      <c r="F393">
        <v>3</v>
      </c>
      <c r="G393">
        <v>0</v>
      </c>
      <c r="H393">
        <v>258</v>
      </c>
      <c r="I393" s="1">
        <f t="shared" si="6"/>
        <v>0.77906976744186052</v>
      </c>
    </row>
    <row r="394" spans="1:9">
      <c r="A394" t="s">
        <v>295</v>
      </c>
      <c r="B394">
        <v>9</v>
      </c>
      <c r="C394">
        <v>8</v>
      </c>
      <c r="D394">
        <v>223</v>
      </c>
      <c r="E394">
        <v>0</v>
      </c>
      <c r="F394">
        <v>1</v>
      </c>
      <c r="G394">
        <v>0</v>
      </c>
      <c r="H394">
        <v>258</v>
      </c>
      <c r="I394" s="1">
        <f t="shared" si="6"/>
        <v>0.86434108527131781</v>
      </c>
    </row>
    <row r="395" spans="1:9">
      <c r="A395" t="s">
        <v>295</v>
      </c>
      <c r="B395">
        <v>9</v>
      </c>
      <c r="C395">
        <v>9</v>
      </c>
      <c r="D395">
        <v>258</v>
      </c>
      <c r="E395">
        <v>0</v>
      </c>
      <c r="F395">
        <v>0</v>
      </c>
      <c r="G395">
        <v>0</v>
      </c>
      <c r="H395">
        <v>258</v>
      </c>
      <c r="I395" s="1">
        <f t="shared" si="6"/>
        <v>1</v>
      </c>
    </row>
    <row r="396" spans="1:9">
      <c r="A396" t="s">
        <v>295</v>
      </c>
      <c r="B396">
        <v>11</v>
      </c>
      <c r="C396">
        <v>1</v>
      </c>
      <c r="D396">
        <v>18</v>
      </c>
      <c r="E396">
        <v>0</v>
      </c>
      <c r="F396">
        <v>1</v>
      </c>
      <c r="G396">
        <v>0</v>
      </c>
      <c r="H396">
        <v>53</v>
      </c>
      <c r="I396" s="1">
        <f t="shared" si="6"/>
        <v>0.33962264150943394</v>
      </c>
    </row>
    <row r="397" spans="1:9">
      <c r="A397" t="s">
        <v>295</v>
      </c>
      <c r="B397">
        <v>11</v>
      </c>
      <c r="C397">
        <v>2</v>
      </c>
      <c r="D397">
        <v>53</v>
      </c>
      <c r="E397">
        <v>0</v>
      </c>
      <c r="F397">
        <v>0</v>
      </c>
      <c r="G397">
        <v>0</v>
      </c>
      <c r="H397">
        <v>53</v>
      </c>
      <c r="I397" s="1">
        <f t="shared" si="6"/>
        <v>1</v>
      </c>
    </row>
    <row r="398" spans="1:9">
      <c r="A398" t="s">
        <v>295</v>
      </c>
      <c r="B398">
        <v>13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737</v>
      </c>
      <c r="I398" s="1">
        <f t="shared" si="6"/>
        <v>1.3568521031207597E-3</v>
      </c>
    </row>
    <row r="399" spans="1:9">
      <c r="A399" t="s">
        <v>295</v>
      </c>
      <c r="B399">
        <v>13</v>
      </c>
      <c r="C399">
        <v>2</v>
      </c>
      <c r="D399">
        <v>4</v>
      </c>
      <c r="E399">
        <v>0</v>
      </c>
      <c r="F399">
        <v>2</v>
      </c>
      <c r="G399">
        <v>0</v>
      </c>
      <c r="H399">
        <v>737</v>
      </c>
      <c r="I399" s="1">
        <f t="shared" si="6"/>
        <v>5.4274084124830389E-3</v>
      </c>
    </row>
    <row r="400" spans="1:9">
      <c r="A400" t="s">
        <v>295</v>
      </c>
      <c r="B400">
        <v>13</v>
      </c>
      <c r="C400">
        <v>3</v>
      </c>
      <c r="D400">
        <v>5</v>
      </c>
      <c r="E400">
        <v>0</v>
      </c>
      <c r="F400">
        <v>1</v>
      </c>
      <c r="G400">
        <v>0</v>
      </c>
      <c r="H400">
        <v>737</v>
      </c>
      <c r="I400" s="1">
        <f t="shared" si="6"/>
        <v>6.7842605156037995E-3</v>
      </c>
    </row>
    <row r="401" spans="1:9">
      <c r="A401" t="s">
        <v>295</v>
      </c>
      <c r="B401">
        <v>13</v>
      </c>
      <c r="C401">
        <v>4</v>
      </c>
      <c r="D401">
        <v>737</v>
      </c>
      <c r="E401">
        <v>0</v>
      </c>
      <c r="F401">
        <v>0</v>
      </c>
      <c r="G401">
        <v>0</v>
      </c>
      <c r="H401">
        <v>737</v>
      </c>
      <c r="I401" s="1">
        <f t="shared" si="6"/>
        <v>1</v>
      </c>
    </row>
    <row r="402" spans="1:9">
      <c r="A402" t="s">
        <v>295</v>
      </c>
      <c r="B402">
        <v>14</v>
      </c>
      <c r="C402">
        <v>1</v>
      </c>
      <c r="D402">
        <v>3</v>
      </c>
      <c r="E402">
        <v>0</v>
      </c>
      <c r="F402">
        <v>3</v>
      </c>
      <c r="G402">
        <v>0</v>
      </c>
      <c r="H402">
        <v>958</v>
      </c>
      <c r="I402" s="1">
        <f t="shared" si="6"/>
        <v>3.1315240083507308E-3</v>
      </c>
    </row>
    <row r="403" spans="1:9">
      <c r="A403" t="s">
        <v>295</v>
      </c>
      <c r="B403">
        <v>14</v>
      </c>
      <c r="C403">
        <v>2</v>
      </c>
      <c r="D403">
        <v>4</v>
      </c>
      <c r="E403">
        <v>0</v>
      </c>
      <c r="F403">
        <v>2</v>
      </c>
      <c r="G403">
        <v>0</v>
      </c>
      <c r="H403">
        <v>958</v>
      </c>
      <c r="I403" s="1">
        <f t="shared" si="6"/>
        <v>4.1753653444676405E-3</v>
      </c>
    </row>
    <row r="404" spans="1:9">
      <c r="A404" t="s">
        <v>295</v>
      </c>
      <c r="B404">
        <v>14</v>
      </c>
      <c r="C404">
        <v>3</v>
      </c>
      <c r="D404">
        <v>5</v>
      </c>
      <c r="E404">
        <v>0</v>
      </c>
      <c r="F404">
        <v>1</v>
      </c>
      <c r="G404">
        <v>0</v>
      </c>
      <c r="H404">
        <v>958</v>
      </c>
      <c r="I404" s="1">
        <f t="shared" si="6"/>
        <v>5.2192066805845511E-3</v>
      </c>
    </row>
    <row r="405" spans="1:9">
      <c r="A405" t="s">
        <v>295</v>
      </c>
      <c r="B405">
        <v>14</v>
      </c>
      <c r="C405">
        <v>4</v>
      </c>
      <c r="D405">
        <v>382</v>
      </c>
      <c r="E405">
        <v>0</v>
      </c>
      <c r="F405">
        <v>5</v>
      </c>
      <c r="G405">
        <v>0</v>
      </c>
      <c r="H405">
        <v>958</v>
      </c>
      <c r="I405" s="1">
        <f t="shared" si="6"/>
        <v>0.39874739039665968</v>
      </c>
    </row>
    <row r="406" spans="1:9">
      <c r="A406" t="s">
        <v>295</v>
      </c>
      <c r="B406">
        <v>14</v>
      </c>
      <c r="C406">
        <v>5</v>
      </c>
      <c r="D406">
        <v>562</v>
      </c>
      <c r="E406">
        <v>0</v>
      </c>
      <c r="F406">
        <v>3</v>
      </c>
      <c r="G406">
        <v>0</v>
      </c>
      <c r="H406">
        <v>958</v>
      </c>
      <c r="I406" s="1">
        <f t="shared" si="6"/>
        <v>0.58663883089770352</v>
      </c>
    </row>
    <row r="407" spans="1:9">
      <c r="A407" t="s">
        <v>295</v>
      </c>
      <c r="B407">
        <v>14</v>
      </c>
      <c r="C407">
        <v>6</v>
      </c>
      <c r="D407">
        <v>563</v>
      </c>
      <c r="E407">
        <v>0</v>
      </c>
      <c r="F407">
        <v>2</v>
      </c>
      <c r="G407">
        <v>0</v>
      </c>
      <c r="H407">
        <v>958</v>
      </c>
      <c r="I407" s="1">
        <f t="shared" si="6"/>
        <v>0.58768267223382042</v>
      </c>
    </row>
    <row r="408" spans="1:9">
      <c r="A408" t="s">
        <v>295</v>
      </c>
      <c r="B408">
        <v>14</v>
      </c>
      <c r="C408">
        <v>7</v>
      </c>
      <c r="D408">
        <v>564</v>
      </c>
      <c r="E408">
        <v>0</v>
      </c>
      <c r="F408">
        <v>1</v>
      </c>
      <c r="G408">
        <v>0</v>
      </c>
      <c r="H408">
        <v>958</v>
      </c>
      <c r="I408" s="1">
        <f t="shared" si="6"/>
        <v>0.58872651356993733</v>
      </c>
    </row>
    <row r="409" spans="1:9">
      <c r="A409" t="s">
        <v>295</v>
      </c>
      <c r="B409">
        <v>14</v>
      </c>
      <c r="C409">
        <v>8</v>
      </c>
      <c r="D409">
        <v>564</v>
      </c>
      <c r="E409">
        <v>0</v>
      </c>
      <c r="F409">
        <v>1</v>
      </c>
      <c r="G409">
        <v>0</v>
      </c>
      <c r="H409">
        <v>958</v>
      </c>
      <c r="I409" s="1">
        <f t="shared" si="6"/>
        <v>0.58872651356993733</v>
      </c>
    </row>
    <row r="410" spans="1:9">
      <c r="A410" t="s">
        <v>295</v>
      </c>
      <c r="B410">
        <v>14</v>
      </c>
      <c r="C410">
        <v>9</v>
      </c>
      <c r="D410">
        <v>564</v>
      </c>
      <c r="E410">
        <v>0</v>
      </c>
      <c r="F410">
        <v>1</v>
      </c>
      <c r="G410">
        <v>0</v>
      </c>
      <c r="H410">
        <v>958</v>
      </c>
      <c r="I410" s="1">
        <f t="shared" si="6"/>
        <v>0.58872651356993733</v>
      </c>
    </row>
    <row r="411" spans="1:9">
      <c r="A411" t="s">
        <v>295</v>
      </c>
      <c r="B411">
        <v>14</v>
      </c>
      <c r="C411">
        <v>10</v>
      </c>
      <c r="D411">
        <v>957</v>
      </c>
      <c r="E411">
        <v>0</v>
      </c>
      <c r="F411">
        <v>1</v>
      </c>
      <c r="G411">
        <v>0</v>
      </c>
      <c r="H411">
        <v>958</v>
      </c>
      <c r="I411" s="1">
        <f t="shared" si="6"/>
        <v>0.9989561586638831</v>
      </c>
    </row>
    <row r="412" spans="1:9">
      <c r="A412" t="s">
        <v>295</v>
      </c>
      <c r="B412">
        <v>14</v>
      </c>
      <c r="C412">
        <v>11</v>
      </c>
      <c r="D412">
        <v>958</v>
      </c>
      <c r="E412">
        <v>0</v>
      </c>
      <c r="F412">
        <v>0</v>
      </c>
      <c r="G412">
        <v>0</v>
      </c>
      <c r="H412">
        <v>958</v>
      </c>
      <c r="I412" s="1">
        <f t="shared" si="6"/>
        <v>1</v>
      </c>
    </row>
    <row r="413" spans="1:9">
      <c r="A413" t="s">
        <v>295</v>
      </c>
      <c r="B413">
        <v>15</v>
      </c>
      <c r="C413">
        <v>1</v>
      </c>
      <c r="D413">
        <v>1</v>
      </c>
      <c r="E413">
        <v>0</v>
      </c>
      <c r="F413">
        <v>1</v>
      </c>
      <c r="G413">
        <v>0</v>
      </c>
      <c r="H413">
        <v>476</v>
      </c>
      <c r="I413" s="1">
        <f t="shared" si="6"/>
        <v>2.1008403361344537E-3</v>
      </c>
    </row>
    <row r="414" spans="1:9">
      <c r="A414" t="s">
        <v>295</v>
      </c>
      <c r="B414">
        <v>15</v>
      </c>
      <c r="C414">
        <v>2</v>
      </c>
      <c r="D414">
        <v>3</v>
      </c>
      <c r="E414">
        <v>0</v>
      </c>
      <c r="F414">
        <v>1</v>
      </c>
      <c r="G414">
        <v>0</v>
      </c>
      <c r="H414">
        <v>476</v>
      </c>
      <c r="I414" s="1">
        <f t="shared" si="6"/>
        <v>6.3025210084033615E-3</v>
      </c>
    </row>
    <row r="415" spans="1:9">
      <c r="A415" t="s">
        <v>295</v>
      </c>
      <c r="B415">
        <v>15</v>
      </c>
      <c r="C415">
        <v>3</v>
      </c>
      <c r="D415">
        <v>5</v>
      </c>
      <c r="E415">
        <v>0</v>
      </c>
      <c r="F415">
        <v>1</v>
      </c>
      <c r="G415">
        <v>0</v>
      </c>
      <c r="H415">
        <v>476</v>
      </c>
      <c r="I415" s="1">
        <f t="shared" si="6"/>
        <v>1.050420168067227E-2</v>
      </c>
    </row>
    <row r="416" spans="1:9">
      <c r="A416" t="s">
        <v>295</v>
      </c>
      <c r="B416">
        <v>15</v>
      </c>
      <c r="C416">
        <v>4</v>
      </c>
      <c r="D416">
        <v>476</v>
      </c>
      <c r="E416">
        <v>0</v>
      </c>
      <c r="F416">
        <v>0</v>
      </c>
      <c r="G416">
        <v>0</v>
      </c>
      <c r="H416">
        <v>476</v>
      </c>
      <c r="I416" s="1">
        <f t="shared" si="6"/>
        <v>1</v>
      </c>
    </row>
    <row r="417" spans="1:9">
      <c r="A417" t="s">
        <v>295</v>
      </c>
      <c r="B417">
        <v>16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607</v>
      </c>
      <c r="I417" s="1">
        <f t="shared" si="6"/>
        <v>1.6474464579901153E-3</v>
      </c>
    </row>
    <row r="418" spans="1:9">
      <c r="A418" t="s">
        <v>295</v>
      </c>
      <c r="B418">
        <v>16</v>
      </c>
      <c r="C418">
        <v>2</v>
      </c>
      <c r="D418">
        <v>3</v>
      </c>
      <c r="E418">
        <v>0</v>
      </c>
      <c r="F418">
        <v>1</v>
      </c>
      <c r="G418">
        <v>0</v>
      </c>
      <c r="H418">
        <v>607</v>
      </c>
      <c r="I418" s="1">
        <f t="shared" si="6"/>
        <v>4.9423393739703456E-3</v>
      </c>
    </row>
    <row r="419" spans="1:9">
      <c r="A419" t="s">
        <v>295</v>
      </c>
      <c r="B419">
        <v>16</v>
      </c>
      <c r="C419">
        <v>3</v>
      </c>
      <c r="D419">
        <v>5</v>
      </c>
      <c r="E419">
        <v>0</v>
      </c>
      <c r="F419">
        <v>1</v>
      </c>
      <c r="G419">
        <v>0</v>
      </c>
      <c r="H419">
        <v>607</v>
      </c>
      <c r="I419" s="1">
        <f t="shared" si="6"/>
        <v>8.2372322899505763E-3</v>
      </c>
    </row>
    <row r="420" spans="1:9">
      <c r="A420" t="s">
        <v>295</v>
      </c>
      <c r="B420">
        <v>16</v>
      </c>
      <c r="C420">
        <v>4</v>
      </c>
      <c r="D420">
        <v>607</v>
      </c>
      <c r="E420">
        <v>0</v>
      </c>
      <c r="F420">
        <v>0</v>
      </c>
      <c r="G420">
        <v>0</v>
      </c>
      <c r="H420">
        <v>607</v>
      </c>
      <c r="I420" s="1">
        <f t="shared" si="6"/>
        <v>1</v>
      </c>
    </row>
    <row r="421" spans="1:9">
      <c r="A421" t="s">
        <v>295</v>
      </c>
      <c r="B421">
        <v>20</v>
      </c>
      <c r="C421">
        <v>1</v>
      </c>
      <c r="D421">
        <v>16</v>
      </c>
      <c r="E421">
        <v>0</v>
      </c>
      <c r="F421">
        <v>2</v>
      </c>
      <c r="G421">
        <v>0</v>
      </c>
      <c r="H421">
        <v>27</v>
      </c>
      <c r="I421" s="1">
        <f t="shared" si="6"/>
        <v>0.59259259259259256</v>
      </c>
    </row>
    <row r="422" spans="1:9">
      <c r="A422" t="s">
        <v>295</v>
      </c>
      <c r="B422">
        <v>20</v>
      </c>
      <c r="C422">
        <v>2</v>
      </c>
      <c r="D422">
        <v>27</v>
      </c>
      <c r="E422">
        <v>0</v>
      </c>
      <c r="F422">
        <v>0</v>
      </c>
      <c r="G422">
        <v>0</v>
      </c>
      <c r="H422">
        <v>27</v>
      </c>
      <c r="I422" s="1">
        <f t="shared" si="6"/>
        <v>1</v>
      </c>
    </row>
    <row r="423" spans="1:9">
      <c r="A423" t="s">
        <v>295</v>
      </c>
      <c r="B423">
        <v>21</v>
      </c>
      <c r="C423">
        <v>1</v>
      </c>
      <c r="D423">
        <v>31</v>
      </c>
      <c r="E423">
        <v>0</v>
      </c>
      <c r="F423">
        <v>2</v>
      </c>
      <c r="G423">
        <v>0</v>
      </c>
      <c r="H423">
        <v>57</v>
      </c>
      <c r="I423" s="1">
        <f t="shared" si="6"/>
        <v>0.54385964912280704</v>
      </c>
    </row>
    <row r="424" spans="1:9">
      <c r="A424" t="s">
        <v>295</v>
      </c>
      <c r="B424">
        <v>21</v>
      </c>
      <c r="C424">
        <v>2</v>
      </c>
      <c r="D424">
        <v>57</v>
      </c>
      <c r="E424">
        <v>0</v>
      </c>
      <c r="F424">
        <v>0</v>
      </c>
      <c r="G424">
        <v>0</v>
      </c>
      <c r="H424">
        <v>57</v>
      </c>
      <c r="I424" s="1">
        <f t="shared" si="6"/>
        <v>1</v>
      </c>
    </row>
    <row r="425" spans="1:9">
      <c r="A425" t="s">
        <v>344</v>
      </c>
      <c r="B425">
        <v>0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10</v>
      </c>
      <c r="I425" s="1">
        <f t="shared" si="6"/>
        <v>0.1</v>
      </c>
    </row>
    <row r="426" spans="1:9">
      <c r="A426" t="s">
        <v>344</v>
      </c>
      <c r="B426">
        <v>0</v>
      </c>
      <c r="C426">
        <v>2</v>
      </c>
      <c r="D426">
        <v>4</v>
      </c>
      <c r="E426">
        <v>0</v>
      </c>
      <c r="F426">
        <v>5</v>
      </c>
      <c r="G426">
        <v>0</v>
      </c>
      <c r="H426">
        <v>10</v>
      </c>
      <c r="I426" s="1">
        <f t="shared" si="6"/>
        <v>0.4</v>
      </c>
    </row>
    <row r="427" spans="1:9">
      <c r="A427" t="s">
        <v>344</v>
      </c>
      <c r="B427">
        <v>0</v>
      </c>
      <c r="C427">
        <v>3</v>
      </c>
      <c r="D427">
        <v>6</v>
      </c>
      <c r="E427">
        <v>0</v>
      </c>
      <c r="F427">
        <v>4</v>
      </c>
      <c r="G427">
        <v>0</v>
      </c>
      <c r="H427">
        <v>10</v>
      </c>
      <c r="I427" s="1">
        <f t="shared" si="6"/>
        <v>0.6</v>
      </c>
    </row>
    <row r="428" spans="1:9">
      <c r="A428" t="s">
        <v>344</v>
      </c>
      <c r="B428">
        <v>0</v>
      </c>
      <c r="C428">
        <v>4</v>
      </c>
      <c r="D428">
        <v>10</v>
      </c>
      <c r="E428">
        <v>0</v>
      </c>
      <c r="F428">
        <v>0</v>
      </c>
      <c r="G428">
        <v>0</v>
      </c>
      <c r="H428">
        <v>10</v>
      </c>
      <c r="I428" s="1">
        <f t="shared" si="6"/>
        <v>1</v>
      </c>
    </row>
    <row r="429" spans="1:9">
      <c r="A429" t="s">
        <v>344</v>
      </c>
      <c r="B429">
        <v>1</v>
      </c>
      <c r="C429">
        <v>1</v>
      </c>
      <c r="D429">
        <v>11</v>
      </c>
      <c r="E429">
        <v>0</v>
      </c>
      <c r="F429">
        <v>8</v>
      </c>
      <c r="G429">
        <v>0</v>
      </c>
      <c r="H429">
        <v>113</v>
      </c>
      <c r="I429" s="1">
        <f t="shared" si="6"/>
        <v>9.7345132743362831E-2</v>
      </c>
    </row>
    <row r="430" spans="1:9">
      <c r="A430" t="s">
        <v>344</v>
      </c>
      <c r="B430">
        <v>1</v>
      </c>
      <c r="C430">
        <v>2</v>
      </c>
      <c r="D430">
        <v>30</v>
      </c>
      <c r="E430">
        <v>0</v>
      </c>
      <c r="F430">
        <v>5</v>
      </c>
      <c r="G430">
        <v>0</v>
      </c>
      <c r="H430">
        <v>113</v>
      </c>
      <c r="I430" s="1">
        <f t="shared" si="6"/>
        <v>0.26548672566371684</v>
      </c>
    </row>
    <row r="431" spans="1:9">
      <c r="A431" t="s">
        <v>344</v>
      </c>
      <c r="B431">
        <v>1</v>
      </c>
      <c r="C431">
        <v>3</v>
      </c>
      <c r="D431">
        <v>58</v>
      </c>
      <c r="E431">
        <v>0</v>
      </c>
      <c r="F431">
        <v>2</v>
      </c>
      <c r="G431">
        <v>0</v>
      </c>
      <c r="H431">
        <v>113</v>
      </c>
      <c r="I431" s="1">
        <f t="shared" si="6"/>
        <v>0.51327433628318586</v>
      </c>
    </row>
    <row r="432" spans="1:9">
      <c r="A432" t="s">
        <v>344</v>
      </c>
      <c r="B432">
        <v>1</v>
      </c>
      <c r="C432">
        <v>4</v>
      </c>
      <c r="D432">
        <v>113</v>
      </c>
      <c r="E432">
        <v>0</v>
      </c>
      <c r="F432">
        <v>0</v>
      </c>
      <c r="G432">
        <v>0</v>
      </c>
      <c r="H432">
        <v>113</v>
      </c>
      <c r="I432" s="1">
        <f t="shared" si="6"/>
        <v>1</v>
      </c>
    </row>
    <row r="433" spans="1:9">
      <c r="A433" t="s">
        <v>348</v>
      </c>
      <c r="B433">
        <v>1</v>
      </c>
      <c r="C433">
        <v>1</v>
      </c>
      <c r="D433">
        <v>10</v>
      </c>
      <c r="E433">
        <v>0</v>
      </c>
      <c r="F433">
        <v>7</v>
      </c>
      <c r="G433">
        <v>0</v>
      </c>
      <c r="H433">
        <v>94</v>
      </c>
      <c r="I433" s="1">
        <f t="shared" si="6"/>
        <v>0.10638297872340426</v>
      </c>
    </row>
    <row r="434" spans="1:9">
      <c r="A434" t="s">
        <v>348</v>
      </c>
      <c r="B434">
        <v>1</v>
      </c>
      <c r="C434">
        <v>2</v>
      </c>
      <c r="D434">
        <v>17</v>
      </c>
      <c r="E434">
        <v>0</v>
      </c>
      <c r="F434">
        <v>8</v>
      </c>
      <c r="G434">
        <v>0</v>
      </c>
      <c r="H434">
        <v>94</v>
      </c>
      <c r="I434" s="1">
        <f t="shared" si="6"/>
        <v>0.18085106382978725</v>
      </c>
    </row>
    <row r="435" spans="1:9">
      <c r="A435" t="s">
        <v>348</v>
      </c>
      <c r="B435">
        <v>1</v>
      </c>
      <c r="C435">
        <v>3</v>
      </c>
      <c r="D435">
        <v>28</v>
      </c>
      <c r="E435">
        <v>0</v>
      </c>
      <c r="F435">
        <v>6</v>
      </c>
      <c r="G435">
        <v>0</v>
      </c>
      <c r="H435">
        <v>94</v>
      </c>
      <c r="I435" s="1">
        <f t="shared" si="6"/>
        <v>0.2978723404255319</v>
      </c>
    </row>
    <row r="436" spans="1:9">
      <c r="A436" t="s">
        <v>348</v>
      </c>
      <c r="B436">
        <v>1</v>
      </c>
      <c r="C436">
        <v>4</v>
      </c>
      <c r="D436">
        <v>41</v>
      </c>
      <c r="E436">
        <v>0</v>
      </c>
      <c r="F436">
        <v>6</v>
      </c>
      <c r="G436">
        <v>0</v>
      </c>
      <c r="H436">
        <v>94</v>
      </c>
      <c r="I436" s="1">
        <f t="shared" si="6"/>
        <v>0.43617021276595747</v>
      </c>
    </row>
    <row r="437" spans="1:9">
      <c r="A437" t="s">
        <v>348</v>
      </c>
      <c r="B437">
        <v>1</v>
      </c>
      <c r="C437">
        <v>5</v>
      </c>
      <c r="D437">
        <v>53</v>
      </c>
      <c r="E437">
        <v>0</v>
      </c>
      <c r="F437">
        <v>4</v>
      </c>
      <c r="G437">
        <v>0</v>
      </c>
      <c r="H437">
        <v>94</v>
      </c>
      <c r="I437" s="1">
        <f t="shared" si="6"/>
        <v>0.56382978723404253</v>
      </c>
    </row>
    <row r="438" spans="1:9">
      <c r="A438" t="s">
        <v>348</v>
      </c>
      <c r="B438">
        <v>1</v>
      </c>
      <c r="C438">
        <v>6</v>
      </c>
      <c r="D438">
        <v>65</v>
      </c>
      <c r="E438">
        <v>0</v>
      </c>
      <c r="F438">
        <v>2</v>
      </c>
      <c r="G438">
        <v>0</v>
      </c>
      <c r="H438">
        <v>94</v>
      </c>
      <c r="I438" s="1">
        <f t="shared" si="6"/>
        <v>0.69148936170212771</v>
      </c>
    </row>
    <row r="439" spans="1:9">
      <c r="A439" t="s">
        <v>348</v>
      </c>
      <c r="B439">
        <v>1</v>
      </c>
      <c r="C439">
        <v>7</v>
      </c>
      <c r="D439">
        <v>80</v>
      </c>
      <c r="E439">
        <v>0</v>
      </c>
      <c r="F439">
        <v>2</v>
      </c>
      <c r="G439">
        <v>0</v>
      </c>
      <c r="H439">
        <v>94</v>
      </c>
      <c r="I439" s="1">
        <f t="shared" si="6"/>
        <v>0.85106382978723405</v>
      </c>
    </row>
    <row r="440" spans="1:9">
      <c r="A440" t="s">
        <v>348</v>
      </c>
      <c r="B440">
        <v>1</v>
      </c>
      <c r="C440">
        <v>8</v>
      </c>
      <c r="D440">
        <v>94</v>
      </c>
      <c r="E440">
        <v>0</v>
      </c>
      <c r="F440">
        <v>0</v>
      </c>
      <c r="G440">
        <v>0</v>
      </c>
      <c r="H440">
        <v>94</v>
      </c>
      <c r="I440" s="1">
        <f t="shared" si="6"/>
        <v>1</v>
      </c>
    </row>
    <row r="441" spans="1:9">
      <c r="A441" t="s">
        <v>354</v>
      </c>
      <c r="B441">
        <v>1</v>
      </c>
      <c r="C441">
        <v>1</v>
      </c>
      <c r="D441">
        <v>36</v>
      </c>
      <c r="E441">
        <v>0</v>
      </c>
      <c r="F441">
        <v>2</v>
      </c>
      <c r="G441">
        <v>0</v>
      </c>
      <c r="H441">
        <v>169</v>
      </c>
      <c r="I441" s="1">
        <f t="shared" si="6"/>
        <v>0.21301775147928995</v>
      </c>
    </row>
    <row r="442" spans="1:9">
      <c r="A442" t="s">
        <v>354</v>
      </c>
      <c r="B442">
        <v>1</v>
      </c>
      <c r="C442">
        <v>2</v>
      </c>
      <c r="D442">
        <v>70</v>
      </c>
      <c r="E442">
        <v>0</v>
      </c>
      <c r="F442">
        <v>4</v>
      </c>
      <c r="G442">
        <v>0</v>
      </c>
      <c r="H442">
        <v>169</v>
      </c>
      <c r="I442" s="1">
        <f t="shared" si="6"/>
        <v>0.41420118343195267</v>
      </c>
    </row>
    <row r="443" spans="1:9">
      <c r="A443" t="s">
        <v>354</v>
      </c>
      <c r="B443">
        <v>1</v>
      </c>
      <c r="C443">
        <v>3</v>
      </c>
      <c r="D443">
        <v>103</v>
      </c>
      <c r="E443">
        <v>0</v>
      </c>
      <c r="F443">
        <v>4</v>
      </c>
      <c r="G443">
        <v>0</v>
      </c>
      <c r="H443">
        <v>169</v>
      </c>
      <c r="I443" s="1">
        <f t="shared" si="6"/>
        <v>0.60946745562130178</v>
      </c>
    </row>
    <row r="444" spans="1:9">
      <c r="A444" t="s">
        <v>354</v>
      </c>
      <c r="B444">
        <v>1</v>
      </c>
      <c r="C444">
        <v>4</v>
      </c>
      <c r="D444">
        <v>135</v>
      </c>
      <c r="E444">
        <v>0</v>
      </c>
      <c r="F444">
        <v>2</v>
      </c>
      <c r="G444">
        <v>0</v>
      </c>
      <c r="H444">
        <v>169</v>
      </c>
      <c r="I444" s="1">
        <f t="shared" si="6"/>
        <v>0.79881656804733725</v>
      </c>
    </row>
    <row r="445" spans="1:9">
      <c r="A445" t="s">
        <v>354</v>
      </c>
      <c r="B445">
        <v>1</v>
      </c>
      <c r="C445">
        <v>5</v>
      </c>
      <c r="D445">
        <v>169</v>
      </c>
      <c r="E445">
        <v>0</v>
      </c>
      <c r="F445">
        <v>0</v>
      </c>
      <c r="G445">
        <v>0</v>
      </c>
      <c r="H445">
        <v>169</v>
      </c>
      <c r="I445" s="1">
        <f t="shared" si="6"/>
        <v>1</v>
      </c>
    </row>
    <row r="446" spans="1:9">
      <c r="A446" t="s">
        <v>358</v>
      </c>
      <c r="B446">
        <v>5</v>
      </c>
      <c r="C446">
        <v>1</v>
      </c>
      <c r="D446">
        <v>39</v>
      </c>
      <c r="E446">
        <v>0</v>
      </c>
      <c r="F446">
        <v>9</v>
      </c>
      <c r="G446">
        <v>0</v>
      </c>
      <c r="H446">
        <v>123</v>
      </c>
      <c r="I446" s="1">
        <f t="shared" si="6"/>
        <v>0.31707317073170732</v>
      </c>
    </row>
    <row r="447" spans="1:9">
      <c r="A447" t="s">
        <v>358</v>
      </c>
      <c r="B447">
        <v>5</v>
      </c>
      <c r="C447">
        <v>2</v>
      </c>
      <c r="D447">
        <v>44</v>
      </c>
      <c r="E447">
        <v>0</v>
      </c>
      <c r="F447">
        <v>9</v>
      </c>
      <c r="G447">
        <v>0</v>
      </c>
      <c r="H447">
        <v>123</v>
      </c>
      <c r="I447" s="1">
        <f t="shared" si="6"/>
        <v>0.35772357723577236</v>
      </c>
    </row>
    <row r="448" spans="1:9">
      <c r="A448" t="s">
        <v>358</v>
      </c>
      <c r="B448">
        <v>5</v>
      </c>
      <c r="C448">
        <v>3</v>
      </c>
      <c r="D448">
        <v>55</v>
      </c>
      <c r="E448">
        <v>0</v>
      </c>
      <c r="F448">
        <v>8</v>
      </c>
      <c r="G448">
        <v>0</v>
      </c>
      <c r="H448">
        <v>123</v>
      </c>
      <c r="I448" s="1">
        <f t="shared" si="6"/>
        <v>0.44715447154471544</v>
      </c>
    </row>
    <row r="449" spans="1:9">
      <c r="A449" t="s">
        <v>358</v>
      </c>
      <c r="B449">
        <v>5</v>
      </c>
      <c r="C449">
        <v>4</v>
      </c>
      <c r="D449">
        <v>71</v>
      </c>
      <c r="E449">
        <v>0</v>
      </c>
      <c r="F449">
        <v>6</v>
      </c>
      <c r="G449">
        <v>0</v>
      </c>
      <c r="H449">
        <v>123</v>
      </c>
      <c r="I449" s="1">
        <f t="shared" si="6"/>
        <v>0.57723577235772361</v>
      </c>
    </row>
    <row r="450" spans="1:9">
      <c r="A450" t="s">
        <v>358</v>
      </c>
      <c r="B450">
        <v>5</v>
      </c>
      <c r="C450">
        <v>5</v>
      </c>
      <c r="D450">
        <v>123</v>
      </c>
      <c r="E450">
        <v>0</v>
      </c>
      <c r="F450">
        <v>4</v>
      </c>
      <c r="G450">
        <v>0</v>
      </c>
      <c r="H450">
        <v>123</v>
      </c>
      <c r="I450" s="1">
        <f t="shared" si="6"/>
        <v>1</v>
      </c>
    </row>
    <row r="451" spans="1:9">
      <c r="A451" t="s">
        <v>358</v>
      </c>
      <c r="B451">
        <v>7</v>
      </c>
      <c r="C451">
        <v>1</v>
      </c>
      <c r="D451">
        <v>10</v>
      </c>
      <c r="E451">
        <v>0</v>
      </c>
      <c r="F451">
        <v>5</v>
      </c>
      <c r="G451">
        <v>0</v>
      </c>
      <c r="H451">
        <v>33</v>
      </c>
      <c r="I451" s="1">
        <f t="shared" ref="I451:I514" si="7">D451/H451</f>
        <v>0.30303030303030304</v>
      </c>
    </row>
    <row r="452" spans="1:9">
      <c r="A452" t="s">
        <v>358</v>
      </c>
      <c r="B452">
        <v>7</v>
      </c>
      <c r="C452">
        <v>2</v>
      </c>
      <c r="D452">
        <v>22</v>
      </c>
      <c r="E452">
        <v>0</v>
      </c>
      <c r="F452">
        <v>3</v>
      </c>
      <c r="G452">
        <v>0</v>
      </c>
      <c r="H452">
        <v>33</v>
      </c>
      <c r="I452" s="1">
        <f t="shared" si="7"/>
        <v>0.66666666666666663</v>
      </c>
    </row>
    <row r="453" spans="1:9">
      <c r="A453" t="s">
        <v>358</v>
      </c>
      <c r="B453">
        <v>7</v>
      </c>
      <c r="C453">
        <v>3</v>
      </c>
      <c r="D453">
        <v>33</v>
      </c>
      <c r="E453">
        <v>0</v>
      </c>
      <c r="F453">
        <v>0</v>
      </c>
      <c r="G453">
        <v>0</v>
      </c>
      <c r="H453">
        <v>33</v>
      </c>
      <c r="I453" s="1">
        <f t="shared" si="7"/>
        <v>1</v>
      </c>
    </row>
    <row r="454" spans="1:9">
      <c r="A454" t="s">
        <v>358</v>
      </c>
      <c r="B454">
        <v>9</v>
      </c>
      <c r="C454">
        <v>1</v>
      </c>
      <c r="D454">
        <v>5</v>
      </c>
      <c r="E454">
        <v>0</v>
      </c>
      <c r="F454">
        <v>4</v>
      </c>
      <c r="G454">
        <v>0</v>
      </c>
      <c r="H454">
        <v>36</v>
      </c>
      <c r="I454" s="1">
        <f t="shared" si="7"/>
        <v>0.1388888888888889</v>
      </c>
    </row>
    <row r="455" spans="1:9">
      <c r="A455" t="s">
        <v>358</v>
      </c>
      <c r="B455">
        <v>9</v>
      </c>
      <c r="C455">
        <v>2</v>
      </c>
      <c r="D455">
        <v>11</v>
      </c>
      <c r="E455">
        <v>0</v>
      </c>
      <c r="F455">
        <v>6</v>
      </c>
      <c r="G455">
        <v>0</v>
      </c>
      <c r="H455">
        <v>36</v>
      </c>
      <c r="I455" s="1">
        <f t="shared" si="7"/>
        <v>0.30555555555555558</v>
      </c>
    </row>
    <row r="456" spans="1:9">
      <c r="A456" t="s">
        <v>358</v>
      </c>
      <c r="B456">
        <v>9</v>
      </c>
      <c r="C456">
        <v>3</v>
      </c>
      <c r="D456">
        <v>12</v>
      </c>
      <c r="E456">
        <v>0</v>
      </c>
      <c r="F456">
        <v>5</v>
      </c>
      <c r="G456">
        <v>0</v>
      </c>
      <c r="H456">
        <v>36</v>
      </c>
      <c r="I456" s="1">
        <f t="shared" si="7"/>
        <v>0.33333333333333331</v>
      </c>
    </row>
    <row r="457" spans="1:9">
      <c r="A457" t="s">
        <v>358</v>
      </c>
      <c r="B457">
        <v>9</v>
      </c>
      <c r="C457">
        <v>4</v>
      </c>
      <c r="D457">
        <v>17</v>
      </c>
      <c r="E457">
        <v>0</v>
      </c>
      <c r="F457">
        <v>5</v>
      </c>
      <c r="G457">
        <v>0</v>
      </c>
      <c r="H457">
        <v>36</v>
      </c>
      <c r="I457" s="1">
        <f t="shared" si="7"/>
        <v>0.47222222222222221</v>
      </c>
    </row>
    <row r="458" spans="1:9">
      <c r="A458" t="s">
        <v>358</v>
      </c>
      <c r="B458">
        <v>9</v>
      </c>
      <c r="C458">
        <v>5</v>
      </c>
      <c r="D458">
        <v>18</v>
      </c>
      <c r="E458">
        <v>0</v>
      </c>
      <c r="F458">
        <v>4</v>
      </c>
      <c r="G458">
        <v>0</v>
      </c>
      <c r="H458">
        <v>36</v>
      </c>
      <c r="I458" s="1">
        <f t="shared" si="7"/>
        <v>0.5</v>
      </c>
    </row>
    <row r="459" spans="1:9">
      <c r="A459" t="s">
        <v>358</v>
      </c>
      <c r="B459">
        <v>9</v>
      </c>
      <c r="C459">
        <v>6</v>
      </c>
      <c r="D459">
        <v>20</v>
      </c>
      <c r="E459">
        <v>0</v>
      </c>
      <c r="F459">
        <v>4</v>
      </c>
      <c r="G459">
        <v>0</v>
      </c>
      <c r="H459">
        <v>36</v>
      </c>
      <c r="I459" s="1">
        <f t="shared" si="7"/>
        <v>0.55555555555555558</v>
      </c>
    </row>
    <row r="460" spans="1:9">
      <c r="A460" t="s">
        <v>358</v>
      </c>
      <c r="B460">
        <v>9</v>
      </c>
      <c r="C460">
        <v>7</v>
      </c>
      <c r="D460">
        <v>20</v>
      </c>
      <c r="E460">
        <v>0</v>
      </c>
      <c r="F460">
        <v>4</v>
      </c>
      <c r="G460">
        <v>0</v>
      </c>
      <c r="H460">
        <v>36</v>
      </c>
      <c r="I460" s="1">
        <f t="shared" si="7"/>
        <v>0.55555555555555558</v>
      </c>
    </row>
    <row r="461" spans="1:9">
      <c r="A461" t="s">
        <v>358</v>
      </c>
      <c r="B461">
        <v>9</v>
      </c>
      <c r="C461">
        <v>8</v>
      </c>
      <c r="D461">
        <v>23</v>
      </c>
      <c r="E461">
        <v>0</v>
      </c>
      <c r="F461">
        <v>3</v>
      </c>
      <c r="G461">
        <v>0</v>
      </c>
      <c r="H461">
        <v>36</v>
      </c>
      <c r="I461" s="1">
        <f t="shared" si="7"/>
        <v>0.63888888888888884</v>
      </c>
    </row>
    <row r="462" spans="1:9">
      <c r="A462" t="s">
        <v>358</v>
      </c>
      <c r="B462">
        <v>9</v>
      </c>
      <c r="C462">
        <v>9</v>
      </c>
      <c r="D462">
        <v>24</v>
      </c>
      <c r="E462">
        <v>0</v>
      </c>
      <c r="F462">
        <v>2</v>
      </c>
      <c r="G462">
        <v>0</v>
      </c>
      <c r="H462">
        <v>36</v>
      </c>
      <c r="I462" s="1">
        <f t="shared" si="7"/>
        <v>0.66666666666666663</v>
      </c>
    </row>
    <row r="463" spans="1:9">
      <c r="A463" t="s">
        <v>358</v>
      </c>
      <c r="B463">
        <v>9</v>
      </c>
      <c r="C463">
        <v>10</v>
      </c>
      <c r="D463">
        <v>24</v>
      </c>
      <c r="E463">
        <v>0</v>
      </c>
      <c r="F463">
        <v>2</v>
      </c>
      <c r="G463">
        <v>0</v>
      </c>
      <c r="H463">
        <v>36</v>
      </c>
      <c r="I463" s="1">
        <f t="shared" si="7"/>
        <v>0.66666666666666663</v>
      </c>
    </row>
    <row r="464" spans="1:9">
      <c r="A464" t="s">
        <v>358</v>
      </c>
      <c r="B464">
        <v>9</v>
      </c>
      <c r="C464">
        <v>11</v>
      </c>
      <c r="D464">
        <v>24</v>
      </c>
      <c r="E464">
        <v>0</v>
      </c>
      <c r="F464">
        <v>2</v>
      </c>
      <c r="G464">
        <v>0</v>
      </c>
      <c r="H464">
        <v>36</v>
      </c>
      <c r="I464" s="1">
        <f t="shared" si="7"/>
        <v>0.66666666666666663</v>
      </c>
    </row>
    <row r="465" spans="1:9">
      <c r="A465" t="s">
        <v>358</v>
      </c>
      <c r="B465">
        <v>9</v>
      </c>
      <c r="C465">
        <v>12</v>
      </c>
      <c r="D465">
        <v>24</v>
      </c>
      <c r="E465">
        <v>0</v>
      </c>
      <c r="F465">
        <v>2</v>
      </c>
      <c r="G465">
        <v>0</v>
      </c>
      <c r="H465">
        <v>36</v>
      </c>
      <c r="I465" s="1">
        <f t="shared" si="7"/>
        <v>0.66666666666666663</v>
      </c>
    </row>
    <row r="466" spans="1:9">
      <c r="A466" t="s">
        <v>358</v>
      </c>
      <c r="B466">
        <v>9</v>
      </c>
      <c r="C466">
        <v>13</v>
      </c>
      <c r="D466">
        <v>24</v>
      </c>
      <c r="E466">
        <v>0</v>
      </c>
      <c r="F466">
        <v>2</v>
      </c>
      <c r="G466">
        <v>0</v>
      </c>
      <c r="H466">
        <v>36</v>
      </c>
      <c r="I466" s="1">
        <f t="shared" si="7"/>
        <v>0.66666666666666663</v>
      </c>
    </row>
    <row r="467" spans="1:9">
      <c r="A467" t="s">
        <v>358</v>
      </c>
      <c r="B467">
        <v>9</v>
      </c>
      <c r="C467">
        <v>14</v>
      </c>
      <c r="D467">
        <v>28</v>
      </c>
      <c r="E467">
        <v>0</v>
      </c>
      <c r="F467">
        <v>3</v>
      </c>
      <c r="G467">
        <v>0</v>
      </c>
      <c r="H467">
        <v>36</v>
      </c>
      <c r="I467" s="1">
        <f t="shared" si="7"/>
        <v>0.77777777777777779</v>
      </c>
    </row>
    <row r="468" spans="1:9">
      <c r="A468" t="s">
        <v>358</v>
      </c>
      <c r="B468">
        <v>9</v>
      </c>
      <c r="C468">
        <v>15</v>
      </c>
      <c r="D468">
        <v>35</v>
      </c>
      <c r="E468">
        <v>0</v>
      </c>
      <c r="F468">
        <v>1</v>
      </c>
      <c r="G468">
        <v>0</v>
      </c>
      <c r="H468">
        <v>36</v>
      </c>
      <c r="I468" s="1">
        <f t="shared" si="7"/>
        <v>0.97222222222222221</v>
      </c>
    </row>
    <row r="469" spans="1:9">
      <c r="A469" t="s">
        <v>358</v>
      </c>
      <c r="B469">
        <v>9</v>
      </c>
      <c r="C469">
        <v>16</v>
      </c>
      <c r="D469">
        <v>35</v>
      </c>
      <c r="E469">
        <v>0</v>
      </c>
      <c r="F469">
        <v>1</v>
      </c>
      <c r="G469">
        <v>0</v>
      </c>
      <c r="H469">
        <v>36</v>
      </c>
      <c r="I469" s="1">
        <f t="shared" si="7"/>
        <v>0.97222222222222221</v>
      </c>
    </row>
    <row r="470" spans="1:9">
      <c r="A470" t="s">
        <v>358</v>
      </c>
      <c r="B470">
        <v>9</v>
      </c>
      <c r="C470">
        <v>17</v>
      </c>
      <c r="D470">
        <v>36</v>
      </c>
      <c r="E470">
        <v>0</v>
      </c>
      <c r="F470">
        <v>0</v>
      </c>
      <c r="G470">
        <v>0</v>
      </c>
      <c r="H470">
        <v>36</v>
      </c>
      <c r="I470" s="1">
        <f t="shared" si="7"/>
        <v>1</v>
      </c>
    </row>
    <row r="471" spans="1:9">
      <c r="A471" t="s">
        <v>358</v>
      </c>
      <c r="B471">
        <v>9</v>
      </c>
      <c r="C471">
        <v>18</v>
      </c>
      <c r="D471">
        <v>36</v>
      </c>
      <c r="E471">
        <v>0</v>
      </c>
      <c r="F471">
        <v>0</v>
      </c>
      <c r="G471">
        <v>0</v>
      </c>
      <c r="H471">
        <v>36</v>
      </c>
      <c r="I471" s="1">
        <f t="shared" si="7"/>
        <v>1</v>
      </c>
    </row>
    <row r="472" spans="1:9">
      <c r="A472" t="s">
        <v>358</v>
      </c>
      <c r="B472">
        <v>10</v>
      </c>
      <c r="C472">
        <v>1</v>
      </c>
      <c r="D472">
        <v>24</v>
      </c>
      <c r="E472">
        <v>0</v>
      </c>
      <c r="F472">
        <v>5</v>
      </c>
      <c r="G472">
        <v>0</v>
      </c>
      <c r="H472">
        <v>30</v>
      </c>
      <c r="I472" s="1">
        <f t="shared" si="7"/>
        <v>0.8</v>
      </c>
    </row>
    <row r="473" spans="1:9">
      <c r="A473" t="s">
        <v>358</v>
      </c>
      <c r="B473">
        <v>10</v>
      </c>
      <c r="C473">
        <v>2</v>
      </c>
      <c r="D473">
        <v>26</v>
      </c>
      <c r="E473">
        <v>0</v>
      </c>
      <c r="F473">
        <v>3</v>
      </c>
      <c r="G473">
        <v>0</v>
      </c>
      <c r="H473">
        <v>30</v>
      </c>
      <c r="I473" s="1">
        <f t="shared" si="7"/>
        <v>0.8666666666666667</v>
      </c>
    </row>
    <row r="474" spans="1:9">
      <c r="A474" t="s">
        <v>358</v>
      </c>
      <c r="B474">
        <v>10</v>
      </c>
      <c r="C474">
        <v>3</v>
      </c>
      <c r="D474">
        <v>30</v>
      </c>
      <c r="E474">
        <v>0</v>
      </c>
      <c r="F474">
        <v>0</v>
      </c>
      <c r="G474">
        <v>0</v>
      </c>
      <c r="H474">
        <v>30</v>
      </c>
      <c r="I474" s="1">
        <f t="shared" si="7"/>
        <v>1</v>
      </c>
    </row>
    <row r="475" spans="1:9">
      <c r="A475" t="s">
        <v>358</v>
      </c>
      <c r="B475">
        <v>10</v>
      </c>
      <c r="C475">
        <v>4</v>
      </c>
      <c r="D475">
        <v>30</v>
      </c>
      <c r="E475">
        <v>0</v>
      </c>
      <c r="F475">
        <v>0</v>
      </c>
      <c r="G475">
        <v>0</v>
      </c>
      <c r="H475">
        <v>30</v>
      </c>
      <c r="I475" s="1">
        <f t="shared" si="7"/>
        <v>1</v>
      </c>
    </row>
    <row r="476" spans="1:9">
      <c r="A476" t="s">
        <v>358</v>
      </c>
      <c r="B476">
        <v>11</v>
      </c>
      <c r="C476">
        <v>1</v>
      </c>
      <c r="D476">
        <v>7</v>
      </c>
      <c r="E476">
        <v>0</v>
      </c>
      <c r="F476">
        <v>3</v>
      </c>
      <c r="G476">
        <v>0</v>
      </c>
      <c r="H476">
        <v>88</v>
      </c>
      <c r="I476" s="1">
        <f t="shared" si="7"/>
        <v>7.9545454545454544E-2</v>
      </c>
    </row>
    <row r="477" spans="1:9">
      <c r="A477" t="s">
        <v>358</v>
      </c>
      <c r="B477">
        <v>11</v>
      </c>
      <c r="C477">
        <v>2</v>
      </c>
      <c r="D477">
        <v>34</v>
      </c>
      <c r="E477">
        <v>0</v>
      </c>
      <c r="F477">
        <v>9</v>
      </c>
      <c r="G477">
        <v>0</v>
      </c>
      <c r="H477">
        <v>88</v>
      </c>
      <c r="I477" s="1">
        <f t="shared" si="7"/>
        <v>0.38636363636363635</v>
      </c>
    </row>
    <row r="478" spans="1:9">
      <c r="A478" t="s">
        <v>358</v>
      </c>
      <c r="B478">
        <v>11</v>
      </c>
      <c r="C478">
        <v>3</v>
      </c>
      <c r="D478">
        <v>43</v>
      </c>
      <c r="E478">
        <v>0</v>
      </c>
      <c r="F478">
        <v>7</v>
      </c>
      <c r="G478">
        <v>0</v>
      </c>
      <c r="H478">
        <v>88</v>
      </c>
      <c r="I478" s="1">
        <f t="shared" si="7"/>
        <v>0.48863636363636365</v>
      </c>
    </row>
    <row r="479" spans="1:9">
      <c r="A479" t="s">
        <v>358</v>
      </c>
      <c r="B479">
        <v>11</v>
      </c>
      <c r="C479">
        <v>4</v>
      </c>
      <c r="D479">
        <v>46</v>
      </c>
      <c r="E479">
        <v>0</v>
      </c>
      <c r="F479">
        <v>5</v>
      </c>
      <c r="G479">
        <v>0</v>
      </c>
      <c r="H479">
        <v>88</v>
      </c>
      <c r="I479" s="1">
        <f t="shared" si="7"/>
        <v>0.52272727272727271</v>
      </c>
    </row>
    <row r="480" spans="1:9">
      <c r="A480" t="s">
        <v>358</v>
      </c>
      <c r="B480">
        <v>11</v>
      </c>
      <c r="C480">
        <v>5</v>
      </c>
      <c r="D480">
        <v>54</v>
      </c>
      <c r="E480">
        <v>0</v>
      </c>
      <c r="F480">
        <v>6</v>
      </c>
      <c r="G480">
        <v>0</v>
      </c>
      <c r="H480">
        <v>88</v>
      </c>
      <c r="I480" s="1">
        <f t="shared" si="7"/>
        <v>0.61363636363636365</v>
      </c>
    </row>
    <row r="481" spans="1:9">
      <c r="A481" t="s">
        <v>358</v>
      </c>
      <c r="B481">
        <v>11</v>
      </c>
      <c r="C481">
        <v>6</v>
      </c>
      <c r="D481">
        <v>54</v>
      </c>
      <c r="E481">
        <v>0</v>
      </c>
      <c r="F481">
        <v>6</v>
      </c>
      <c r="G481">
        <v>0</v>
      </c>
      <c r="H481">
        <v>88</v>
      </c>
      <c r="I481" s="1">
        <f t="shared" si="7"/>
        <v>0.61363636363636365</v>
      </c>
    </row>
    <row r="482" spans="1:9">
      <c r="A482" t="s">
        <v>358</v>
      </c>
      <c r="B482">
        <v>11</v>
      </c>
      <c r="C482">
        <v>7</v>
      </c>
      <c r="D482">
        <v>54</v>
      </c>
      <c r="E482">
        <v>0</v>
      </c>
      <c r="F482">
        <v>6</v>
      </c>
      <c r="G482">
        <v>0</v>
      </c>
      <c r="H482">
        <v>88</v>
      </c>
      <c r="I482" s="1">
        <f t="shared" si="7"/>
        <v>0.61363636363636365</v>
      </c>
    </row>
    <row r="483" spans="1:9">
      <c r="A483" t="s">
        <v>358</v>
      </c>
      <c r="B483">
        <v>11</v>
      </c>
      <c r="C483">
        <v>8</v>
      </c>
      <c r="D483">
        <v>63</v>
      </c>
      <c r="E483">
        <v>0</v>
      </c>
      <c r="F483">
        <v>6</v>
      </c>
      <c r="G483">
        <v>0</v>
      </c>
      <c r="H483">
        <v>88</v>
      </c>
      <c r="I483" s="1">
        <f t="shared" si="7"/>
        <v>0.71590909090909094</v>
      </c>
    </row>
    <row r="484" spans="1:9">
      <c r="A484" t="s">
        <v>358</v>
      </c>
      <c r="B484">
        <v>11</v>
      </c>
      <c r="C484">
        <v>9</v>
      </c>
      <c r="D484">
        <v>68</v>
      </c>
      <c r="E484">
        <v>0</v>
      </c>
      <c r="F484">
        <v>3</v>
      </c>
      <c r="G484">
        <v>0</v>
      </c>
      <c r="H484">
        <v>88</v>
      </c>
      <c r="I484" s="1">
        <f t="shared" si="7"/>
        <v>0.77272727272727271</v>
      </c>
    </row>
    <row r="485" spans="1:9">
      <c r="A485" t="s">
        <v>358</v>
      </c>
      <c r="B485">
        <v>11</v>
      </c>
      <c r="C485">
        <v>10</v>
      </c>
      <c r="D485">
        <v>68</v>
      </c>
      <c r="E485">
        <v>0</v>
      </c>
      <c r="F485">
        <v>3</v>
      </c>
      <c r="G485">
        <v>0</v>
      </c>
      <c r="H485">
        <v>88</v>
      </c>
      <c r="I485" s="1">
        <f t="shared" si="7"/>
        <v>0.77272727272727271</v>
      </c>
    </row>
    <row r="486" spans="1:9">
      <c r="A486" t="s">
        <v>358</v>
      </c>
      <c r="B486">
        <v>11</v>
      </c>
      <c r="C486">
        <v>11</v>
      </c>
      <c r="D486">
        <v>68</v>
      </c>
      <c r="E486">
        <v>0</v>
      </c>
      <c r="F486">
        <v>3</v>
      </c>
      <c r="G486">
        <v>0</v>
      </c>
      <c r="H486">
        <v>88</v>
      </c>
      <c r="I486" s="1">
        <f t="shared" si="7"/>
        <v>0.77272727272727271</v>
      </c>
    </row>
    <row r="487" spans="1:9">
      <c r="A487" t="s">
        <v>358</v>
      </c>
      <c r="B487">
        <v>11</v>
      </c>
      <c r="C487">
        <v>12</v>
      </c>
      <c r="D487">
        <v>68</v>
      </c>
      <c r="E487">
        <v>0</v>
      </c>
      <c r="F487">
        <v>3</v>
      </c>
      <c r="G487">
        <v>0</v>
      </c>
      <c r="H487">
        <v>88</v>
      </c>
      <c r="I487" s="1">
        <f t="shared" si="7"/>
        <v>0.77272727272727271</v>
      </c>
    </row>
    <row r="488" spans="1:9">
      <c r="A488" t="s">
        <v>358</v>
      </c>
      <c r="B488">
        <v>11</v>
      </c>
      <c r="C488">
        <v>13</v>
      </c>
      <c r="D488">
        <v>68</v>
      </c>
      <c r="E488">
        <v>0</v>
      </c>
      <c r="F488">
        <v>3</v>
      </c>
      <c r="G488">
        <v>0</v>
      </c>
      <c r="H488">
        <v>88</v>
      </c>
      <c r="I488" s="1">
        <f t="shared" si="7"/>
        <v>0.77272727272727271</v>
      </c>
    </row>
    <row r="489" spans="1:9">
      <c r="A489" t="s">
        <v>358</v>
      </c>
      <c r="B489">
        <v>11</v>
      </c>
      <c r="C489">
        <v>14</v>
      </c>
      <c r="D489">
        <v>78</v>
      </c>
      <c r="E489">
        <v>0</v>
      </c>
      <c r="F489">
        <v>3</v>
      </c>
      <c r="G489">
        <v>0</v>
      </c>
      <c r="H489">
        <v>88</v>
      </c>
      <c r="I489" s="1">
        <f t="shared" si="7"/>
        <v>0.88636363636363635</v>
      </c>
    </row>
    <row r="490" spans="1:9">
      <c r="A490" t="s">
        <v>358</v>
      </c>
      <c r="B490">
        <v>11</v>
      </c>
      <c r="C490">
        <v>15</v>
      </c>
      <c r="D490">
        <v>88</v>
      </c>
      <c r="E490">
        <v>0</v>
      </c>
      <c r="F490">
        <v>0</v>
      </c>
      <c r="G490">
        <v>0</v>
      </c>
      <c r="H490">
        <v>88</v>
      </c>
      <c r="I490" s="1">
        <f t="shared" si="7"/>
        <v>1</v>
      </c>
    </row>
    <row r="491" spans="1:9">
      <c r="A491" t="s">
        <v>358</v>
      </c>
      <c r="B491">
        <v>11</v>
      </c>
      <c r="C491">
        <v>16</v>
      </c>
      <c r="D491">
        <v>88</v>
      </c>
      <c r="E491">
        <v>0</v>
      </c>
      <c r="F491">
        <v>0</v>
      </c>
      <c r="G491">
        <v>0</v>
      </c>
      <c r="H491">
        <v>88</v>
      </c>
      <c r="I491" s="1">
        <f t="shared" si="7"/>
        <v>1</v>
      </c>
    </row>
    <row r="492" spans="1:9">
      <c r="A492" t="s">
        <v>358</v>
      </c>
      <c r="B492">
        <v>11</v>
      </c>
      <c r="C492">
        <v>17</v>
      </c>
      <c r="D492">
        <v>88</v>
      </c>
      <c r="E492">
        <v>0</v>
      </c>
      <c r="F492">
        <v>0</v>
      </c>
      <c r="G492">
        <v>0</v>
      </c>
      <c r="H492">
        <v>88</v>
      </c>
      <c r="I492" s="1">
        <f t="shared" si="7"/>
        <v>1</v>
      </c>
    </row>
    <row r="493" spans="1:9">
      <c r="A493" t="s">
        <v>358</v>
      </c>
      <c r="B493">
        <v>11</v>
      </c>
      <c r="C493">
        <v>18</v>
      </c>
      <c r="D493">
        <v>88</v>
      </c>
      <c r="E493">
        <v>0</v>
      </c>
      <c r="F493">
        <v>0</v>
      </c>
      <c r="G493">
        <v>0</v>
      </c>
      <c r="H493">
        <v>88</v>
      </c>
      <c r="I493" s="1">
        <f t="shared" si="7"/>
        <v>1</v>
      </c>
    </row>
    <row r="494" spans="1:9">
      <c r="A494" t="s">
        <v>358</v>
      </c>
      <c r="B494">
        <v>11</v>
      </c>
      <c r="C494">
        <v>19</v>
      </c>
      <c r="D494">
        <v>88</v>
      </c>
      <c r="E494">
        <v>0</v>
      </c>
      <c r="F494">
        <v>0</v>
      </c>
      <c r="G494">
        <v>0</v>
      </c>
      <c r="H494">
        <v>88</v>
      </c>
      <c r="I494" s="1">
        <f t="shared" si="7"/>
        <v>1</v>
      </c>
    </row>
    <row r="495" spans="1:9">
      <c r="A495" t="s">
        <v>358</v>
      </c>
      <c r="B495">
        <v>12</v>
      </c>
      <c r="C495">
        <v>1</v>
      </c>
      <c r="D495">
        <v>7</v>
      </c>
      <c r="E495">
        <v>0</v>
      </c>
      <c r="F495">
        <v>3</v>
      </c>
      <c r="G495">
        <v>0</v>
      </c>
      <c r="H495">
        <v>56</v>
      </c>
      <c r="I495" s="1">
        <f t="shared" si="7"/>
        <v>0.125</v>
      </c>
    </row>
    <row r="496" spans="1:9">
      <c r="A496" t="s">
        <v>358</v>
      </c>
      <c r="B496">
        <v>12</v>
      </c>
      <c r="C496">
        <v>2</v>
      </c>
      <c r="D496">
        <v>28</v>
      </c>
      <c r="E496">
        <v>0</v>
      </c>
      <c r="F496">
        <v>7</v>
      </c>
      <c r="G496">
        <v>0</v>
      </c>
      <c r="H496">
        <v>56</v>
      </c>
      <c r="I496" s="1">
        <f t="shared" si="7"/>
        <v>0.5</v>
      </c>
    </row>
    <row r="497" spans="1:9">
      <c r="A497" t="s">
        <v>358</v>
      </c>
      <c r="B497">
        <v>12</v>
      </c>
      <c r="C497">
        <v>3</v>
      </c>
      <c r="D497">
        <v>32</v>
      </c>
      <c r="E497">
        <v>0</v>
      </c>
      <c r="F497">
        <v>4</v>
      </c>
      <c r="G497">
        <v>0</v>
      </c>
      <c r="H497">
        <v>56</v>
      </c>
      <c r="I497" s="1">
        <f t="shared" si="7"/>
        <v>0.5714285714285714</v>
      </c>
    </row>
    <row r="498" spans="1:9">
      <c r="A498" t="s">
        <v>358</v>
      </c>
      <c r="B498">
        <v>12</v>
      </c>
      <c r="C498">
        <v>4</v>
      </c>
      <c r="D498">
        <v>43</v>
      </c>
      <c r="E498">
        <v>0</v>
      </c>
      <c r="F498">
        <v>2</v>
      </c>
      <c r="G498">
        <v>0</v>
      </c>
      <c r="H498">
        <v>56</v>
      </c>
      <c r="I498" s="1">
        <f t="shared" si="7"/>
        <v>0.7678571428571429</v>
      </c>
    </row>
    <row r="499" spans="1:9">
      <c r="A499" t="s">
        <v>358</v>
      </c>
      <c r="B499">
        <v>12</v>
      </c>
      <c r="C499">
        <v>5</v>
      </c>
      <c r="D499">
        <v>43</v>
      </c>
      <c r="E499">
        <v>0</v>
      </c>
      <c r="F499">
        <v>2</v>
      </c>
      <c r="G499">
        <v>0</v>
      </c>
      <c r="H499">
        <v>56</v>
      </c>
      <c r="I499" s="1">
        <f t="shared" si="7"/>
        <v>0.7678571428571429</v>
      </c>
    </row>
    <row r="500" spans="1:9">
      <c r="A500" t="s">
        <v>358</v>
      </c>
      <c r="B500">
        <v>12</v>
      </c>
      <c r="C500">
        <v>6</v>
      </c>
      <c r="D500">
        <v>50</v>
      </c>
      <c r="E500">
        <v>0</v>
      </c>
      <c r="F500">
        <v>3</v>
      </c>
      <c r="G500">
        <v>0</v>
      </c>
      <c r="H500">
        <v>56</v>
      </c>
      <c r="I500" s="1">
        <f t="shared" si="7"/>
        <v>0.8928571428571429</v>
      </c>
    </row>
    <row r="501" spans="1:9">
      <c r="A501" t="s">
        <v>358</v>
      </c>
      <c r="B501">
        <v>12</v>
      </c>
      <c r="C501">
        <v>7</v>
      </c>
      <c r="D501">
        <v>56</v>
      </c>
      <c r="E501">
        <v>0</v>
      </c>
      <c r="F501">
        <v>0</v>
      </c>
      <c r="G501">
        <v>0</v>
      </c>
      <c r="H501">
        <v>56</v>
      </c>
      <c r="I501" s="1">
        <f t="shared" si="7"/>
        <v>1</v>
      </c>
    </row>
    <row r="502" spans="1:9">
      <c r="A502" t="s">
        <v>358</v>
      </c>
      <c r="B502">
        <v>12</v>
      </c>
      <c r="C502">
        <v>8</v>
      </c>
      <c r="D502">
        <v>56</v>
      </c>
      <c r="E502">
        <v>0</v>
      </c>
      <c r="F502">
        <v>0</v>
      </c>
      <c r="G502">
        <v>0</v>
      </c>
      <c r="H502">
        <v>56</v>
      </c>
      <c r="I502" s="1">
        <f t="shared" si="7"/>
        <v>1</v>
      </c>
    </row>
    <row r="503" spans="1:9">
      <c r="A503" t="s">
        <v>358</v>
      </c>
      <c r="B503">
        <v>12</v>
      </c>
      <c r="C503">
        <v>9</v>
      </c>
      <c r="D503">
        <v>56</v>
      </c>
      <c r="E503">
        <v>0</v>
      </c>
      <c r="F503">
        <v>0</v>
      </c>
      <c r="G503">
        <v>0</v>
      </c>
      <c r="H503">
        <v>56</v>
      </c>
      <c r="I503" s="1">
        <f t="shared" si="7"/>
        <v>1</v>
      </c>
    </row>
    <row r="504" spans="1:9">
      <c r="A504" t="s">
        <v>358</v>
      </c>
      <c r="B504">
        <v>13</v>
      </c>
      <c r="C504">
        <v>1</v>
      </c>
      <c r="D504">
        <v>3</v>
      </c>
      <c r="E504">
        <v>0</v>
      </c>
      <c r="F504">
        <v>1</v>
      </c>
      <c r="G504">
        <v>0</v>
      </c>
      <c r="H504">
        <v>7</v>
      </c>
      <c r="I504" s="1">
        <f t="shared" si="7"/>
        <v>0.42857142857142855</v>
      </c>
    </row>
    <row r="505" spans="1:9">
      <c r="A505" t="s">
        <v>358</v>
      </c>
      <c r="B505">
        <v>13</v>
      </c>
      <c r="C505">
        <v>2</v>
      </c>
      <c r="D505">
        <v>7</v>
      </c>
      <c r="E505">
        <v>0</v>
      </c>
      <c r="F505">
        <v>0</v>
      </c>
      <c r="G505">
        <v>0</v>
      </c>
      <c r="H505">
        <v>7</v>
      </c>
      <c r="I505" s="1">
        <f t="shared" si="7"/>
        <v>1</v>
      </c>
    </row>
    <row r="506" spans="1:9">
      <c r="A506" t="s">
        <v>405</v>
      </c>
      <c r="B506">
        <v>2</v>
      </c>
      <c r="C506">
        <v>1</v>
      </c>
      <c r="D506">
        <v>25</v>
      </c>
      <c r="E506">
        <v>0</v>
      </c>
      <c r="F506">
        <v>3</v>
      </c>
      <c r="G506">
        <v>0</v>
      </c>
      <c r="H506">
        <v>71</v>
      </c>
      <c r="I506" s="1">
        <f t="shared" si="7"/>
        <v>0.352112676056338</v>
      </c>
    </row>
    <row r="507" spans="1:9">
      <c r="A507" t="s">
        <v>405</v>
      </c>
      <c r="B507">
        <v>2</v>
      </c>
      <c r="C507">
        <v>2</v>
      </c>
      <c r="D507">
        <v>50</v>
      </c>
      <c r="E507">
        <v>0</v>
      </c>
      <c r="F507">
        <v>2</v>
      </c>
      <c r="G507">
        <v>0</v>
      </c>
      <c r="H507">
        <v>71</v>
      </c>
      <c r="I507" s="1">
        <f t="shared" si="7"/>
        <v>0.70422535211267601</v>
      </c>
    </row>
    <row r="508" spans="1:9">
      <c r="A508" t="s">
        <v>405</v>
      </c>
      <c r="B508">
        <v>2</v>
      </c>
      <c r="C508">
        <v>3</v>
      </c>
      <c r="D508">
        <v>71</v>
      </c>
      <c r="E508">
        <v>0</v>
      </c>
      <c r="F508">
        <v>0</v>
      </c>
      <c r="G508">
        <v>0</v>
      </c>
      <c r="H508">
        <v>71</v>
      </c>
      <c r="I508" s="1">
        <f t="shared" si="7"/>
        <v>1</v>
      </c>
    </row>
    <row r="509" spans="1:9">
      <c r="A509" t="s">
        <v>405</v>
      </c>
      <c r="B509">
        <v>6</v>
      </c>
      <c r="C509">
        <v>1</v>
      </c>
      <c r="D509">
        <v>21</v>
      </c>
      <c r="E509">
        <v>0</v>
      </c>
      <c r="F509">
        <v>4</v>
      </c>
      <c r="G509">
        <v>0</v>
      </c>
      <c r="H509">
        <v>31</v>
      </c>
      <c r="I509" s="1">
        <f t="shared" si="7"/>
        <v>0.67741935483870963</v>
      </c>
    </row>
    <row r="510" spans="1:9">
      <c r="A510" t="s">
        <v>405</v>
      </c>
      <c r="B510">
        <v>6</v>
      </c>
      <c r="C510">
        <v>2</v>
      </c>
      <c r="D510">
        <v>23</v>
      </c>
      <c r="E510">
        <v>0</v>
      </c>
      <c r="F510">
        <v>2</v>
      </c>
      <c r="G510">
        <v>0</v>
      </c>
      <c r="H510">
        <v>31</v>
      </c>
      <c r="I510" s="1">
        <f t="shared" si="7"/>
        <v>0.74193548387096775</v>
      </c>
    </row>
    <row r="511" spans="1:9">
      <c r="A511" t="s">
        <v>405</v>
      </c>
      <c r="B511">
        <v>6</v>
      </c>
      <c r="C511">
        <v>3</v>
      </c>
      <c r="D511">
        <v>30</v>
      </c>
      <c r="E511">
        <v>0</v>
      </c>
      <c r="F511">
        <v>1</v>
      </c>
      <c r="G511">
        <v>0</v>
      </c>
      <c r="H511">
        <v>31</v>
      </c>
      <c r="I511" s="1">
        <f t="shared" si="7"/>
        <v>0.967741935483871</v>
      </c>
    </row>
    <row r="512" spans="1:9">
      <c r="A512" t="s">
        <v>405</v>
      </c>
      <c r="B512">
        <v>6</v>
      </c>
      <c r="C512">
        <v>4</v>
      </c>
      <c r="D512">
        <v>30</v>
      </c>
      <c r="E512">
        <v>0</v>
      </c>
      <c r="F512">
        <v>1</v>
      </c>
      <c r="G512">
        <v>0</v>
      </c>
      <c r="H512">
        <v>31</v>
      </c>
      <c r="I512" s="1">
        <f t="shared" si="7"/>
        <v>0.967741935483871</v>
      </c>
    </row>
    <row r="513" spans="1:9">
      <c r="A513" t="s">
        <v>405</v>
      </c>
      <c r="B513">
        <v>6</v>
      </c>
      <c r="C513">
        <v>5</v>
      </c>
      <c r="D513">
        <v>31</v>
      </c>
      <c r="E513">
        <v>0</v>
      </c>
      <c r="F513">
        <v>0</v>
      </c>
      <c r="G513">
        <v>0</v>
      </c>
      <c r="H513">
        <v>31</v>
      </c>
      <c r="I513" s="1">
        <f t="shared" si="7"/>
        <v>1</v>
      </c>
    </row>
    <row r="514" spans="1:9">
      <c r="A514" t="s">
        <v>405</v>
      </c>
      <c r="B514">
        <v>6</v>
      </c>
      <c r="C514">
        <v>6</v>
      </c>
      <c r="D514">
        <v>31</v>
      </c>
      <c r="E514">
        <v>0</v>
      </c>
      <c r="F514">
        <v>0</v>
      </c>
      <c r="G514">
        <v>0</v>
      </c>
      <c r="H514">
        <v>31</v>
      </c>
      <c r="I514" s="1">
        <f t="shared" si="7"/>
        <v>1</v>
      </c>
    </row>
    <row r="515" spans="1:9">
      <c r="A515" t="s">
        <v>405</v>
      </c>
      <c r="B515">
        <v>8</v>
      </c>
      <c r="C515">
        <v>1</v>
      </c>
      <c r="D515">
        <v>26</v>
      </c>
      <c r="E515">
        <v>0</v>
      </c>
      <c r="F515">
        <v>2</v>
      </c>
      <c r="G515">
        <v>0</v>
      </c>
      <c r="H515">
        <v>29</v>
      </c>
      <c r="I515" s="1">
        <f t="shared" ref="I515:I516" si="8">D515/H515</f>
        <v>0.89655172413793105</v>
      </c>
    </row>
    <row r="516" spans="1:9">
      <c r="A516" t="s">
        <v>405</v>
      </c>
      <c r="B516">
        <v>8</v>
      </c>
      <c r="C516">
        <v>2</v>
      </c>
      <c r="D516">
        <v>29</v>
      </c>
      <c r="E516">
        <v>0</v>
      </c>
      <c r="F516">
        <v>0</v>
      </c>
      <c r="G516">
        <v>0</v>
      </c>
      <c r="H516">
        <v>29</v>
      </c>
      <c r="I516" s="1">
        <f t="shared" si="8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7"/>
  <sheetViews>
    <sheetView topLeftCell="A484" workbookViewId="0">
      <selection activeCell="E517" sqref="E517:F517"/>
    </sheetView>
  </sheetViews>
  <sheetFormatPr baseColWidth="10" defaultRowHeight="15" x14ac:dyDescent="0"/>
  <sheetData>
    <row r="1" spans="1:7">
      <c r="A1" t="s">
        <v>509</v>
      </c>
      <c r="B1" t="s">
        <v>510</v>
      </c>
      <c r="C1" t="s">
        <v>511</v>
      </c>
      <c r="D1" t="s">
        <v>512</v>
      </c>
      <c r="E1" t="s">
        <v>513</v>
      </c>
      <c r="F1" t="s">
        <v>514</v>
      </c>
      <c r="G1" t="s">
        <v>515</v>
      </c>
    </row>
    <row r="2" spans="1:7">
      <c r="A2" t="s">
        <v>4</v>
      </c>
      <c r="B2">
        <v>1</v>
      </c>
      <c r="C2" t="s">
        <v>1</v>
      </c>
      <c r="D2">
        <v>1</v>
      </c>
      <c r="E2">
        <v>5273</v>
      </c>
      <c r="F2">
        <v>5184</v>
      </c>
      <c r="G2" s="1">
        <f t="shared" ref="G2:G65" si="0">F2/E2</f>
        <v>0.98312156267779249</v>
      </c>
    </row>
    <row r="3" spans="1:7">
      <c r="A3" t="s">
        <v>4</v>
      </c>
      <c r="B3">
        <v>1</v>
      </c>
      <c r="C3" t="s">
        <v>3</v>
      </c>
      <c r="D3">
        <v>2</v>
      </c>
      <c r="E3">
        <v>5273</v>
      </c>
      <c r="F3">
        <v>5220</v>
      </c>
      <c r="G3" s="1">
        <f t="shared" si="0"/>
        <v>0.98994879575194383</v>
      </c>
    </row>
    <row r="4" spans="1:7">
      <c r="A4" t="s">
        <v>4</v>
      </c>
      <c r="B4">
        <v>1</v>
      </c>
      <c r="C4" t="s">
        <v>0</v>
      </c>
      <c r="D4">
        <v>3</v>
      </c>
      <c r="E4">
        <v>5273</v>
      </c>
      <c r="F4">
        <v>5223</v>
      </c>
      <c r="G4" s="1">
        <f t="shared" si="0"/>
        <v>0.99051773184145653</v>
      </c>
    </row>
    <row r="5" spans="1:7">
      <c r="A5" t="s">
        <v>4</v>
      </c>
      <c r="B5">
        <v>1</v>
      </c>
      <c r="C5" t="s">
        <v>2</v>
      </c>
      <c r="D5">
        <v>4</v>
      </c>
      <c r="E5">
        <v>5273</v>
      </c>
      <c r="F5">
        <v>5241</v>
      </c>
      <c r="G5" s="1">
        <f t="shared" si="0"/>
        <v>0.99393134837853214</v>
      </c>
    </row>
    <row r="6" spans="1:7">
      <c r="A6" t="s">
        <v>4</v>
      </c>
      <c r="B6">
        <v>2</v>
      </c>
      <c r="C6" t="s">
        <v>3</v>
      </c>
      <c r="D6">
        <v>1</v>
      </c>
      <c r="E6">
        <v>792</v>
      </c>
      <c r="F6">
        <v>360</v>
      </c>
      <c r="G6" s="1">
        <f t="shared" si="0"/>
        <v>0.45454545454545453</v>
      </c>
    </row>
    <row r="7" spans="1:7">
      <c r="A7" t="s">
        <v>4</v>
      </c>
      <c r="B7">
        <v>2</v>
      </c>
      <c r="C7" t="s">
        <v>5</v>
      </c>
      <c r="D7">
        <v>2</v>
      </c>
      <c r="E7">
        <v>792</v>
      </c>
      <c r="F7">
        <v>483</v>
      </c>
      <c r="G7" s="1">
        <f t="shared" si="0"/>
        <v>0.60984848484848486</v>
      </c>
    </row>
    <row r="8" spans="1:7">
      <c r="A8" t="s">
        <v>4</v>
      </c>
      <c r="B8">
        <v>2</v>
      </c>
      <c r="C8" t="s">
        <v>18</v>
      </c>
      <c r="D8">
        <v>3</v>
      </c>
      <c r="E8">
        <v>792</v>
      </c>
      <c r="F8">
        <v>544</v>
      </c>
      <c r="G8" s="1">
        <f t="shared" si="0"/>
        <v>0.68686868686868685</v>
      </c>
    </row>
    <row r="9" spans="1:7">
      <c r="A9" t="s">
        <v>4</v>
      </c>
      <c r="B9">
        <v>2</v>
      </c>
      <c r="C9" t="s">
        <v>12</v>
      </c>
      <c r="D9">
        <v>4</v>
      </c>
      <c r="E9">
        <v>792</v>
      </c>
      <c r="F9">
        <v>574</v>
      </c>
      <c r="G9" s="1">
        <f t="shared" si="0"/>
        <v>0.7247474747474747</v>
      </c>
    </row>
    <row r="10" spans="1:7">
      <c r="A10" t="s">
        <v>4</v>
      </c>
      <c r="B10">
        <v>2</v>
      </c>
      <c r="C10" t="s">
        <v>6</v>
      </c>
      <c r="D10">
        <v>5</v>
      </c>
      <c r="E10">
        <v>792</v>
      </c>
      <c r="F10">
        <v>629</v>
      </c>
      <c r="G10" s="1">
        <f t="shared" si="0"/>
        <v>0.79419191919191923</v>
      </c>
    </row>
    <row r="11" spans="1:7">
      <c r="A11" t="s">
        <v>4</v>
      </c>
      <c r="B11">
        <v>2</v>
      </c>
      <c r="C11" t="s">
        <v>11</v>
      </c>
      <c r="D11">
        <v>6</v>
      </c>
      <c r="E11">
        <v>792</v>
      </c>
      <c r="F11">
        <v>633</v>
      </c>
      <c r="G11" s="1">
        <f t="shared" si="0"/>
        <v>0.7992424242424242</v>
      </c>
    </row>
    <row r="12" spans="1:7">
      <c r="A12" t="s">
        <v>4</v>
      </c>
      <c r="B12">
        <v>2</v>
      </c>
      <c r="C12" t="s">
        <v>15</v>
      </c>
      <c r="D12">
        <v>7</v>
      </c>
      <c r="E12">
        <v>792</v>
      </c>
      <c r="F12">
        <v>652</v>
      </c>
      <c r="G12" s="1">
        <f t="shared" si="0"/>
        <v>0.8232323232323232</v>
      </c>
    </row>
    <row r="13" spans="1:7">
      <c r="A13" t="s">
        <v>4</v>
      </c>
      <c r="B13">
        <v>2</v>
      </c>
      <c r="C13" t="s">
        <v>16</v>
      </c>
      <c r="D13">
        <v>8</v>
      </c>
      <c r="E13">
        <v>792</v>
      </c>
      <c r="F13">
        <v>692</v>
      </c>
      <c r="G13" s="1">
        <f t="shared" si="0"/>
        <v>0.8737373737373737</v>
      </c>
    </row>
    <row r="14" spans="1:7">
      <c r="A14" t="s">
        <v>4</v>
      </c>
      <c r="B14">
        <v>2</v>
      </c>
      <c r="C14" t="s">
        <v>9</v>
      </c>
      <c r="D14">
        <v>9</v>
      </c>
      <c r="E14">
        <v>792</v>
      </c>
      <c r="F14">
        <v>699</v>
      </c>
      <c r="G14" s="1">
        <f t="shared" si="0"/>
        <v>0.88257575757575757</v>
      </c>
    </row>
    <row r="15" spans="1:7">
      <c r="A15" t="s">
        <v>4</v>
      </c>
      <c r="B15">
        <v>2</v>
      </c>
      <c r="C15" t="s">
        <v>7</v>
      </c>
      <c r="D15">
        <v>10</v>
      </c>
      <c r="E15">
        <v>792</v>
      </c>
      <c r="F15">
        <v>707</v>
      </c>
      <c r="G15" s="1">
        <f t="shared" si="0"/>
        <v>0.89267676767676762</v>
      </c>
    </row>
    <row r="16" spans="1:7">
      <c r="A16" t="s">
        <v>4</v>
      </c>
      <c r="B16">
        <v>2</v>
      </c>
      <c r="C16" t="s">
        <v>17</v>
      </c>
      <c r="D16">
        <v>11</v>
      </c>
      <c r="E16">
        <v>792</v>
      </c>
      <c r="F16">
        <v>715</v>
      </c>
      <c r="G16" s="1">
        <f t="shared" si="0"/>
        <v>0.90277777777777779</v>
      </c>
    </row>
    <row r="17" spans="1:7">
      <c r="A17" t="s">
        <v>4</v>
      </c>
      <c r="B17">
        <v>2</v>
      </c>
      <c r="C17" t="s">
        <v>13</v>
      </c>
      <c r="D17">
        <v>12</v>
      </c>
      <c r="E17">
        <v>792</v>
      </c>
      <c r="F17">
        <v>749</v>
      </c>
      <c r="G17" s="1">
        <f t="shared" si="0"/>
        <v>0.94570707070707072</v>
      </c>
    </row>
    <row r="18" spans="1:7">
      <c r="A18" t="s">
        <v>4</v>
      </c>
      <c r="B18">
        <v>2</v>
      </c>
      <c r="C18" t="s">
        <v>10</v>
      </c>
      <c r="D18">
        <v>13</v>
      </c>
      <c r="E18">
        <v>792</v>
      </c>
      <c r="F18">
        <v>759</v>
      </c>
      <c r="G18" s="1">
        <f t="shared" si="0"/>
        <v>0.95833333333333337</v>
      </c>
    </row>
    <row r="19" spans="1:7">
      <c r="A19" t="s">
        <v>4</v>
      </c>
      <c r="B19">
        <v>2</v>
      </c>
      <c r="C19" t="s">
        <v>8</v>
      </c>
      <c r="D19">
        <v>14</v>
      </c>
      <c r="E19">
        <v>792</v>
      </c>
      <c r="F19">
        <v>786</v>
      </c>
      <c r="G19" s="1">
        <f t="shared" si="0"/>
        <v>0.99242424242424243</v>
      </c>
    </row>
    <row r="20" spans="1:7">
      <c r="A20" t="s">
        <v>4</v>
      </c>
      <c r="B20">
        <v>2</v>
      </c>
      <c r="C20" t="s">
        <v>14</v>
      </c>
      <c r="D20">
        <v>15</v>
      </c>
      <c r="E20">
        <v>792</v>
      </c>
      <c r="F20">
        <v>826</v>
      </c>
      <c r="G20" s="1">
        <f t="shared" si="0"/>
        <v>1.042929292929293</v>
      </c>
    </row>
    <row r="21" spans="1:7">
      <c r="A21" t="s">
        <v>4</v>
      </c>
      <c r="B21">
        <v>6</v>
      </c>
      <c r="C21" t="s">
        <v>1</v>
      </c>
      <c r="D21">
        <v>1</v>
      </c>
      <c r="E21">
        <v>471</v>
      </c>
      <c r="F21">
        <v>145</v>
      </c>
      <c r="G21" s="1">
        <f t="shared" si="0"/>
        <v>0.30785562632696389</v>
      </c>
    </row>
    <row r="22" spans="1:7">
      <c r="A22" t="s">
        <v>4</v>
      </c>
      <c r="B22">
        <v>6</v>
      </c>
      <c r="C22" t="s">
        <v>22</v>
      </c>
      <c r="D22">
        <v>2</v>
      </c>
      <c r="E22">
        <v>471</v>
      </c>
      <c r="F22">
        <v>326</v>
      </c>
      <c r="G22" s="1">
        <f t="shared" si="0"/>
        <v>0.69214437367303605</v>
      </c>
    </row>
    <row r="23" spans="1:7">
      <c r="A23" t="s">
        <v>4</v>
      </c>
      <c r="B23">
        <v>6</v>
      </c>
      <c r="C23" t="s">
        <v>20</v>
      </c>
      <c r="D23">
        <v>3</v>
      </c>
      <c r="E23">
        <v>471</v>
      </c>
      <c r="F23">
        <v>487</v>
      </c>
      <c r="G23" s="1">
        <f t="shared" si="0"/>
        <v>1.0339702760084926</v>
      </c>
    </row>
    <row r="24" spans="1:7">
      <c r="A24" t="s">
        <v>4</v>
      </c>
      <c r="B24">
        <v>6</v>
      </c>
      <c r="C24" t="s">
        <v>21</v>
      </c>
      <c r="D24">
        <v>4</v>
      </c>
      <c r="E24">
        <v>471</v>
      </c>
      <c r="F24">
        <v>488</v>
      </c>
      <c r="G24" s="1">
        <f t="shared" si="0"/>
        <v>1.0360934182590233</v>
      </c>
    </row>
    <row r="25" spans="1:7">
      <c r="A25" t="s">
        <v>4</v>
      </c>
      <c r="B25">
        <v>6</v>
      </c>
      <c r="C25" t="s">
        <v>19</v>
      </c>
      <c r="D25">
        <v>5</v>
      </c>
      <c r="E25">
        <v>471</v>
      </c>
      <c r="F25">
        <v>742</v>
      </c>
      <c r="G25" s="1">
        <f t="shared" si="0"/>
        <v>1.575371549893843</v>
      </c>
    </row>
    <row r="26" spans="1:7">
      <c r="A26" t="s">
        <v>4</v>
      </c>
      <c r="B26">
        <v>9</v>
      </c>
      <c r="C26" t="s">
        <v>23</v>
      </c>
      <c r="D26">
        <v>1</v>
      </c>
      <c r="E26">
        <v>1471</v>
      </c>
      <c r="F26">
        <v>129</v>
      </c>
      <c r="G26" s="1">
        <f t="shared" si="0"/>
        <v>8.7695445275322914E-2</v>
      </c>
    </row>
    <row r="27" spans="1:7">
      <c r="A27" t="s">
        <v>4</v>
      </c>
      <c r="B27">
        <v>9</v>
      </c>
      <c r="C27" t="s">
        <v>24</v>
      </c>
      <c r="D27">
        <v>2</v>
      </c>
      <c r="E27">
        <v>1471</v>
      </c>
      <c r="F27">
        <v>130</v>
      </c>
      <c r="G27" s="1">
        <f t="shared" si="0"/>
        <v>8.8375254928619987E-2</v>
      </c>
    </row>
    <row r="28" spans="1:7">
      <c r="A28" t="s">
        <v>4</v>
      </c>
      <c r="B28">
        <v>9</v>
      </c>
      <c r="C28" t="s">
        <v>26</v>
      </c>
      <c r="D28">
        <v>3</v>
      </c>
      <c r="E28">
        <v>1471</v>
      </c>
      <c r="F28">
        <v>134</v>
      </c>
      <c r="G28" s="1">
        <f t="shared" si="0"/>
        <v>9.1094493541808291E-2</v>
      </c>
    </row>
    <row r="29" spans="1:7">
      <c r="A29" t="s">
        <v>4</v>
      </c>
      <c r="B29">
        <v>9</v>
      </c>
      <c r="C29" t="s">
        <v>3</v>
      </c>
      <c r="D29">
        <v>4</v>
      </c>
      <c r="E29">
        <v>1471</v>
      </c>
      <c r="F29">
        <v>261</v>
      </c>
      <c r="G29" s="1">
        <f t="shared" si="0"/>
        <v>0.17743031951053706</v>
      </c>
    </row>
    <row r="30" spans="1:7">
      <c r="A30" t="s">
        <v>4</v>
      </c>
      <c r="B30">
        <v>9</v>
      </c>
      <c r="C30" t="s">
        <v>25</v>
      </c>
      <c r="D30">
        <v>5</v>
      </c>
      <c r="E30">
        <v>1471</v>
      </c>
      <c r="F30">
        <v>264</v>
      </c>
      <c r="G30" s="1">
        <f t="shared" si="0"/>
        <v>0.17946974847042829</v>
      </c>
    </row>
    <row r="31" spans="1:7">
      <c r="A31" t="s">
        <v>4</v>
      </c>
      <c r="B31">
        <v>9</v>
      </c>
      <c r="C31" t="s">
        <v>31</v>
      </c>
      <c r="D31">
        <v>6</v>
      </c>
      <c r="E31">
        <v>1471</v>
      </c>
      <c r="F31">
        <v>504</v>
      </c>
      <c r="G31" s="1">
        <f t="shared" si="0"/>
        <v>0.34262406526172673</v>
      </c>
    </row>
    <row r="32" spans="1:7">
      <c r="A32" t="s">
        <v>4</v>
      </c>
      <c r="B32">
        <v>9</v>
      </c>
      <c r="C32" t="s">
        <v>27</v>
      </c>
      <c r="D32">
        <v>7</v>
      </c>
      <c r="E32">
        <v>1471</v>
      </c>
      <c r="F32">
        <v>519</v>
      </c>
      <c r="G32" s="1">
        <f t="shared" si="0"/>
        <v>0.35282121006118289</v>
      </c>
    </row>
    <row r="33" spans="1:7">
      <c r="A33" t="s">
        <v>4</v>
      </c>
      <c r="B33">
        <v>9</v>
      </c>
      <c r="C33" t="s">
        <v>30</v>
      </c>
      <c r="D33">
        <v>8</v>
      </c>
      <c r="E33">
        <v>1471</v>
      </c>
      <c r="F33">
        <v>521</v>
      </c>
      <c r="G33" s="1">
        <f t="shared" si="0"/>
        <v>0.35418082936777701</v>
      </c>
    </row>
    <row r="34" spans="1:7">
      <c r="A34" t="s">
        <v>4</v>
      </c>
      <c r="B34">
        <v>9</v>
      </c>
      <c r="C34" t="s">
        <v>28</v>
      </c>
      <c r="D34">
        <v>9</v>
      </c>
      <c r="E34">
        <v>1471</v>
      </c>
      <c r="F34">
        <v>603</v>
      </c>
      <c r="G34" s="1">
        <f t="shared" si="0"/>
        <v>0.40992522093813732</v>
      </c>
    </row>
    <row r="35" spans="1:7">
      <c r="A35" t="s">
        <v>4</v>
      </c>
      <c r="B35">
        <v>9</v>
      </c>
      <c r="C35" t="s">
        <v>29</v>
      </c>
      <c r="D35">
        <v>10</v>
      </c>
      <c r="E35">
        <v>1471</v>
      </c>
      <c r="F35">
        <v>612</v>
      </c>
      <c r="G35" s="1">
        <f t="shared" si="0"/>
        <v>0.41604350781781102</v>
      </c>
    </row>
    <row r="36" spans="1:7">
      <c r="A36" t="s">
        <v>32</v>
      </c>
      <c r="B36">
        <v>2</v>
      </c>
      <c r="C36" t="s">
        <v>33</v>
      </c>
      <c r="D36">
        <v>1</v>
      </c>
      <c r="E36">
        <v>791</v>
      </c>
      <c r="F36">
        <v>244</v>
      </c>
      <c r="G36" s="1">
        <f t="shared" si="0"/>
        <v>0.30847029077117571</v>
      </c>
    </row>
    <row r="37" spans="1:7">
      <c r="A37" t="s">
        <v>32</v>
      </c>
      <c r="B37">
        <v>2</v>
      </c>
      <c r="C37" t="s">
        <v>34</v>
      </c>
      <c r="D37">
        <v>2</v>
      </c>
      <c r="E37">
        <v>791</v>
      </c>
      <c r="F37">
        <v>546</v>
      </c>
      <c r="G37" s="1">
        <f t="shared" si="0"/>
        <v>0.69026548672566368</v>
      </c>
    </row>
    <row r="38" spans="1:7">
      <c r="A38" t="s">
        <v>32</v>
      </c>
      <c r="B38">
        <v>2</v>
      </c>
      <c r="C38" t="s">
        <v>0</v>
      </c>
      <c r="D38">
        <v>3</v>
      </c>
      <c r="E38">
        <v>791</v>
      </c>
      <c r="F38">
        <v>551</v>
      </c>
      <c r="G38" s="1">
        <f t="shared" si="0"/>
        <v>0.69658659924146649</v>
      </c>
    </row>
    <row r="39" spans="1:7">
      <c r="A39" t="s">
        <v>32</v>
      </c>
      <c r="B39">
        <v>2</v>
      </c>
      <c r="C39" t="s">
        <v>35</v>
      </c>
      <c r="D39">
        <v>4</v>
      </c>
      <c r="E39">
        <v>791</v>
      </c>
      <c r="F39">
        <v>803</v>
      </c>
      <c r="G39" s="1">
        <f t="shared" si="0"/>
        <v>1.0151706700379266</v>
      </c>
    </row>
    <row r="40" spans="1:7">
      <c r="A40" t="s">
        <v>32</v>
      </c>
      <c r="B40">
        <v>4</v>
      </c>
      <c r="C40" t="s">
        <v>33</v>
      </c>
      <c r="D40">
        <v>1</v>
      </c>
      <c r="E40">
        <v>785</v>
      </c>
      <c r="F40">
        <v>248</v>
      </c>
      <c r="G40" s="1">
        <f t="shared" si="0"/>
        <v>0.31592356687898088</v>
      </c>
    </row>
    <row r="41" spans="1:7">
      <c r="A41" t="s">
        <v>32</v>
      </c>
      <c r="B41">
        <v>4</v>
      </c>
      <c r="C41" t="s">
        <v>34</v>
      </c>
      <c r="D41">
        <v>2</v>
      </c>
      <c r="E41">
        <v>785</v>
      </c>
      <c r="F41">
        <v>552</v>
      </c>
      <c r="G41" s="1">
        <f t="shared" si="0"/>
        <v>0.70318471337579613</v>
      </c>
    </row>
    <row r="42" spans="1:7">
      <c r="A42" t="s">
        <v>32</v>
      </c>
      <c r="B42">
        <v>4</v>
      </c>
      <c r="C42" t="s">
        <v>0</v>
      </c>
      <c r="D42">
        <v>3</v>
      </c>
      <c r="E42">
        <v>785</v>
      </c>
      <c r="F42">
        <v>559</v>
      </c>
      <c r="G42" s="1">
        <f t="shared" si="0"/>
        <v>0.71210191082802543</v>
      </c>
    </row>
    <row r="43" spans="1:7">
      <c r="A43" t="s">
        <v>32</v>
      </c>
      <c r="B43">
        <v>4</v>
      </c>
      <c r="C43" t="s">
        <v>35</v>
      </c>
      <c r="D43">
        <v>4</v>
      </c>
      <c r="E43">
        <v>785</v>
      </c>
      <c r="F43">
        <v>787</v>
      </c>
      <c r="G43" s="1">
        <f t="shared" si="0"/>
        <v>1.0025477707006369</v>
      </c>
    </row>
    <row r="44" spans="1:7">
      <c r="A44" t="s">
        <v>32</v>
      </c>
      <c r="B44">
        <v>13</v>
      </c>
      <c r="C44" t="s">
        <v>19</v>
      </c>
      <c r="D44">
        <v>1</v>
      </c>
      <c r="E44">
        <v>254</v>
      </c>
      <c r="F44">
        <v>75</v>
      </c>
      <c r="G44" s="1">
        <f t="shared" si="0"/>
        <v>0.29527559055118108</v>
      </c>
    </row>
    <row r="45" spans="1:7">
      <c r="A45" t="s">
        <v>32</v>
      </c>
      <c r="B45">
        <v>13</v>
      </c>
      <c r="C45" t="s">
        <v>1</v>
      </c>
      <c r="D45">
        <v>2</v>
      </c>
      <c r="E45">
        <v>254</v>
      </c>
      <c r="F45">
        <v>139</v>
      </c>
      <c r="G45" s="1">
        <f t="shared" si="0"/>
        <v>0.547244094488189</v>
      </c>
    </row>
    <row r="46" spans="1:7">
      <c r="A46" t="s">
        <v>32</v>
      </c>
      <c r="B46">
        <v>13</v>
      </c>
      <c r="C46" t="s">
        <v>22</v>
      </c>
      <c r="D46">
        <v>3</v>
      </c>
      <c r="E46">
        <v>254</v>
      </c>
      <c r="F46">
        <v>205</v>
      </c>
      <c r="G46" s="1">
        <f t="shared" si="0"/>
        <v>0.80708661417322836</v>
      </c>
    </row>
    <row r="47" spans="1:7">
      <c r="A47" t="s">
        <v>32</v>
      </c>
      <c r="B47">
        <v>13</v>
      </c>
      <c r="C47" t="s">
        <v>21</v>
      </c>
      <c r="D47">
        <v>4</v>
      </c>
      <c r="E47">
        <v>254</v>
      </c>
      <c r="F47">
        <v>259</v>
      </c>
      <c r="G47" s="1">
        <f t="shared" si="0"/>
        <v>1.0196850393700787</v>
      </c>
    </row>
    <row r="48" spans="1:7">
      <c r="A48" t="s">
        <v>32</v>
      </c>
      <c r="B48">
        <v>13</v>
      </c>
      <c r="C48" t="s">
        <v>20</v>
      </c>
      <c r="D48">
        <v>5</v>
      </c>
      <c r="E48">
        <v>254</v>
      </c>
      <c r="F48">
        <v>263</v>
      </c>
      <c r="G48" s="1">
        <f t="shared" si="0"/>
        <v>1.0354330708661417</v>
      </c>
    </row>
    <row r="49" spans="1:7">
      <c r="A49" t="s">
        <v>32</v>
      </c>
      <c r="B49">
        <v>16</v>
      </c>
      <c r="C49" t="s">
        <v>36</v>
      </c>
      <c r="D49">
        <v>1</v>
      </c>
      <c r="E49">
        <v>17048</v>
      </c>
      <c r="F49">
        <v>194</v>
      </c>
      <c r="G49" s="1">
        <f t="shared" si="0"/>
        <v>1.1379633974659784E-2</v>
      </c>
    </row>
    <row r="50" spans="1:7">
      <c r="A50" t="s">
        <v>32</v>
      </c>
      <c r="B50">
        <v>16</v>
      </c>
      <c r="C50" t="s">
        <v>37</v>
      </c>
      <c r="D50">
        <v>2</v>
      </c>
      <c r="E50">
        <v>17048</v>
      </c>
      <c r="F50">
        <v>262</v>
      </c>
      <c r="G50" s="1">
        <f t="shared" si="0"/>
        <v>1.5368371656499296E-2</v>
      </c>
    </row>
    <row r="51" spans="1:7">
      <c r="A51" t="s">
        <v>32</v>
      </c>
      <c r="B51">
        <v>16</v>
      </c>
      <c r="C51" t="s">
        <v>38</v>
      </c>
      <c r="D51">
        <v>3</v>
      </c>
      <c r="E51">
        <v>17048</v>
      </c>
      <c r="F51">
        <v>14385</v>
      </c>
      <c r="G51" s="1">
        <f t="shared" si="0"/>
        <v>0.84379399343031436</v>
      </c>
    </row>
    <row r="52" spans="1:7">
      <c r="A52" t="s">
        <v>32</v>
      </c>
      <c r="B52">
        <v>16</v>
      </c>
      <c r="C52" t="s">
        <v>39</v>
      </c>
      <c r="D52">
        <v>4</v>
      </c>
      <c r="E52">
        <v>17048</v>
      </c>
      <c r="F52">
        <v>14808</v>
      </c>
      <c r="G52" s="1">
        <f t="shared" si="0"/>
        <v>0.86860628812763963</v>
      </c>
    </row>
    <row r="53" spans="1:7">
      <c r="A53" t="s">
        <v>32</v>
      </c>
      <c r="B53">
        <v>18</v>
      </c>
      <c r="C53" t="s">
        <v>33</v>
      </c>
      <c r="D53">
        <v>1</v>
      </c>
      <c r="E53">
        <v>7906</v>
      </c>
      <c r="F53">
        <v>144</v>
      </c>
      <c r="G53" s="1">
        <f t="shared" si="0"/>
        <v>1.8214014672400709E-2</v>
      </c>
    </row>
    <row r="54" spans="1:7">
      <c r="A54" t="s">
        <v>32</v>
      </c>
      <c r="B54">
        <v>18</v>
      </c>
      <c r="C54" t="s">
        <v>2</v>
      </c>
      <c r="D54">
        <v>2</v>
      </c>
      <c r="E54">
        <v>7906</v>
      </c>
      <c r="F54">
        <v>232</v>
      </c>
      <c r="G54" s="1">
        <f t="shared" si="0"/>
        <v>2.9344801416645586E-2</v>
      </c>
    </row>
    <row r="55" spans="1:7">
      <c r="A55" t="s">
        <v>32</v>
      </c>
      <c r="B55">
        <v>18</v>
      </c>
      <c r="C55" t="s">
        <v>40</v>
      </c>
      <c r="D55">
        <v>3</v>
      </c>
      <c r="E55">
        <v>7906</v>
      </c>
      <c r="F55">
        <v>507</v>
      </c>
      <c r="G55" s="1">
        <f t="shared" si="0"/>
        <v>6.412850999241082E-2</v>
      </c>
    </row>
    <row r="56" spans="1:7">
      <c r="A56" t="s">
        <v>32</v>
      </c>
      <c r="B56">
        <v>18</v>
      </c>
      <c r="C56" t="s">
        <v>41</v>
      </c>
      <c r="D56">
        <v>4</v>
      </c>
      <c r="E56">
        <v>7906</v>
      </c>
      <c r="F56">
        <v>627</v>
      </c>
      <c r="G56" s="1">
        <f t="shared" si="0"/>
        <v>7.9306855552744748E-2</v>
      </c>
    </row>
    <row r="57" spans="1:7">
      <c r="A57" t="s">
        <v>32</v>
      </c>
      <c r="B57">
        <v>18</v>
      </c>
      <c r="C57" t="s">
        <v>68</v>
      </c>
      <c r="D57">
        <v>5</v>
      </c>
      <c r="E57">
        <v>7906</v>
      </c>
      <c r="F57">
        <v>845</v>
      </c>
      <c r="G57" s="1">
        <f t="shared" si="0"/>
        <v>0.10688084998735138</v>
      </c>
    </row>
    <row r="58" spans="1:7">
      <c r="A58" t="s">
        <v>32</v>
      </c>
      <c r="B58">
        <v>18</v>
      </c>
      <c r="C58" t="s">
        <v>47</v>
      </c>
      <c r="D58">
        <v>6</v>
      </c>
      <c r="E58">
        <v>7906</v>
      </c>
      <c r="F58">
        <v>881</v>
      </c>
      <c r="G58" s="1">
        <f t="shared" si="0"/>
        <v>0.11143435365545155</v>
      </c>
    </row>
    <row r="59" spans="1:7">
      <c r="A59" t="s">
        <v>32</v>
      </c>
      <c r="B59">
        <v>18</v>
      </c>
      <c r="C59" t="s">
        <v>45</v>
      </c>
      <c r="D59">
        <v>7</v>
      </c>
      <c r="E59">
        <v>7906</v>
      </c>
      <c r="F59">
        <v>888</v>
      </c>
      <c r="G59" s="1">
        <f t="shared" si="0"/>
        <v>0.11231975714647104</v>
      </c>
    </row>
    <row r="60" spans="1:7">
      <c r="A60" t="s">
        <v>32</v>
      </c>
      <c r="B60">
        <v>18</v>
      </c>
      <c r="C60" t="s">
        <v>42</v>
      </c>
      <c r="D60">
        <v>8</v>
      </c>
      <c r="E60">
        <v>7906</v>
      </c>
      <c r="F60">
        <v>897</v>
      </c>
      <c r="G60" s="1">
        <f t="shared" si="0"/>
        <v>0.11345813306349607</v>
      </c>
    </row>
    <row r="61" spans="1:7">
      <c r="A61" t="s">
        <v>32</v>
      </c>
      <c r="B61">
        <v>18</v>
      </c>
      <c r="C61" t="s">
        <v>44</v>
      </c>
      <c r="D61">
        <v>9</v>
      </c>
      <c r="E61">
        <v>7906</v>
      </c>
      <c r="F61">
        <v>903</v>
      </c>
      <c r="G61" s="1">
        <f t="shared" si="0"/>
        <v>0.11421705034151278</v>
      </c>
    </row>
    <row r="62" spans="1:7">
      <c r="A62" t="s">
        <v>32</v>
      </c>
      <c r="B62">
        <v>18</v>
      </c>
      <c r="C62" t="s">
        <v>48</v>
      </c>
      <c r="D62">
        <v>10</v>
      </c>
      <c r="E62">
        <v>7906</v>
      </c>
      <c r="F62">
        <v>937</v>
      </c>
      <c r="G62" s="1">
        <f t="shared" si="0"/>
        <v>0.11851758158360738</v>
      </c>
    </row>
    <row r="63" spans="1:7">
      <c r="A63" t="s">
        <v>32</v>
      </c>
      <c r="B63">
        <v>18</v>
      </c>
      <c r="C63" t="s">
        <v>69</v>
      </c>
      <c r="D63">
        <v>11</v>
      </c>
      <c r="E63">
        <v>7906</v>
      </c>
      <c r="F63">
        <v>944</v>
      </c>
      <c r="G63" s="1">
        <f t="shared" si="0"/>
        <v>0.11940298507462686</v>
      </c>
    </row>
    <row r="64" spans="1:7">
      <c r="A64" t="s">
        <v>32</v>
      </c>
      <c r="B64">
        <v>18</v>
      </c>
      <c r="C64" t="s">
        <v>67</v>
      </c>
      <c r="D64">
        <v>12</v>
      </c>
      <c r="E64">
        <v>7906</v>
      </c>
      <c r="F64">
        <v>963</v>
      </c>
      <c r="G64" s="1">
        <f t="shared" si="0"/>
        <v>0.12180622312167974</v>
      </c>
    </row>
    <row r="65" spans="1:7">
      <c r="A65" t="s">
        <v>32</v>
      </c>
      <c r="B65">
        <v>18</v>
      </c>
      <c r="C65" t="s">
        <v>75</v>
      </c>
      <c r="D65">
        <v>13</v>
      </c>
      <c r="E65">
        <v>7906</v>
      </c>
      <c r="F65">
        <v>975</v>
      </c>
      <c r="G65" s="1">
        <f t="shared" si="0"/>
        <v>0.12332405767771312</v>
      </c>
    </row>
    <row r="66" spans="1:7">
      <c r="A66" t="s">
        <v>32</v>
      </c>
      <c r="B66">
        <v>18</v>
      </c>
      <c r="C66" t="s">
        <v>66</v>
      </c>
      <c r="D66">
        <v>14</v>
      </c>
      <c r="E66">
        <v>7906</v>
      </c>
      <c r="F66">
        <v>995</v>
      </c>
      <c r="G66" s="1">
        <f t="shared" ref="G66:G129" si="1">F66/E66</f>
        <v>0.12585378193776878</v>
      </c>
    </row>
    <row r="67" spans="1:7">
      <c r="A67" t="s">
        <v>32</v>
      </c>
      <c r="B67">
        <v>18</v>
      </c>
      <c r="C67" t="s">
        <v>52</v>
      </c>
      <c r="D67">
        <v>15</v>
      </c>
      <c r="E67">
        <v>7906</v>
      </c>
      <c r="F67">
        <v>996</v>
      </c>
      <c r="G67" s="1">
        <f t="shared" si="1"/>
        <v>0.12598026815077157</v>
      </c>
    </row>
    <row r="68" spans="1:7">
      <c r="A68" t="s">
        <v>32</v>
      </c>
      <c r="B68">
        <v>18</v>
      </c>
      <c r="C68" t="s">
        <v>46</v>
      </c>
      <c r="D68">
        <v>16</v>
      </c>
      <c r="E68">
        <v>7906</v>
      </c>
      <c r="F68">
        <v>1007</v>
      </c>
      <c r="G68" s="1">
        <f t="shared" si="1"/>
        <v>0.12737161649380219</v>
      </c>
    </row>
    <row r="69" spans="1:7">
      <c r="A69" t="s">
        <v>32</v>
      </c>
      <c r="B69">
        <v>18</v>
      </c>
      <c r="C69" t="s">
        <v>43</v>
      </c>
      <c r="D69">
        <v>17</v>
      </c>
      <c r="E69">
        <v>7906</v>
      </c>
      <c r="F69">
        <v>1009</v>
      </c>
      <c r="G69" s="1">
        <f t="shared" si="1"/>
        <v>0.12762458891980774</v>
      </c>
    </row>
    <row r="70" spans="1:7">
      <c r="A70" t="s">
        <v>32</v>
      </c>
      <c r="B70">
        <v>18</v>
      </c>
      <c r="C70" t="s">
        <v>49</v>
      </c>
      <c r="D70">
        <v>18</v>
      </c>
      <c r="E70">
        <v>7906</v>
      </c>
      <c r="F70">
        <v>1075</v>
      </c>
      <c r="G70" s="1">
        <f t="shared" si="1"/>
        <v>0.1359726789779914</v>
      </c>
    </row>
    <row r="71" spans="1:7">
      <c r="A71" t="s">
        <v>32</v>
      </c>
      <c r="B71">
        <v>18</v>
      </c>
      <c r="C71" t="s">
        <v>76</v>
      </c>
      <c r="D71">
        <v>19</v>
      </c>
      <c r="E71">
        <v>7906</v>
      </c>
      <c r="F71">
        <v>1307</v>
      </c>
      <c r="G71" s="1">
        <f t="shared" si="1"/>
        <v>0.16531748039463698</v>
      </c>
    </row>
    <row r="72" spans="1:7">
      <c r="A72" t="s">
        <v>32</v>
      </c>
      <c r="B72">
        <v>18</v>
      </c>
      <c r="C72" t="s">
        <v>74</v>
      </c>
      <c r="D72">
        <v>20</v>
      </c>
      <c r="E72">
        <v>7906</v>
      </c>
      <c r="F72">
        <v>1376</v>
      </c>
      <c r="G72" s="1">
        <f t="shared" si="1"/>
        <v>0.17404502909182898</v>
      </c>
    </row>
    <row r="73" spans="1:7">
      <c r="A73" t="s">
        <v>32</v>
      </c>
      <c r="B73">
        <v>18</v>
      </c>
      <c r="C73" t="s">
        <v>61</v>
      </c>
      <c r="D73">
        <v>21</v>
      </c>
      <c r="E73">
        <v>7906</v>
      </c>
      <c r="F73">
        <v>1386</v>
      </c>
      <c r="G73" s="1">
        <f t="shared" si="1"/>
        <v>0.17530989122185681</v>
      </c>
    </row>
    <row r="74" spans="1:7">
      <c r="A74" t="s">
        <v>32</v>
      </c>
      <c r="B74">
        <v>18</v>
      </c>
      <c r="C74" t="s">
        <v>63</v>
      </c>
      <c r="D74">
        <v>22</v>
      </c>
      <c r="E74">
        <v>7906</v>
      </c>
      <c r="F74">
        <v>1418</v>
      </c>
      <c r="G74" s="1">
        <f t="shared" si="1"/>
        <v>0.17935745003794587</v>
      </c>
    </row>
    <row r="75" spans="1:7">
      <c r="A75" t="s">
        <v>32</v>
      </c>
      <c r="B75">
        <v>18</v>
      </c>
      <c r="C75" t="s">
        <v>73</v>
      </c>
      <c r="D75">
        <v>23</v>
      </c>
      <c r="E75">
        <v>7906</v>
      </c>
      <c r="F75">
        <v>1450</v>
      </c>
      <c r="G75" s="1">
        <f t="shared" si="1"/>
        <v>0.18340500885403491</v>
      </c>
    </row>
    <row r="76" spans="1:7">
      <c r="A76" t="s">
        <v>32</v>
      </c>
      <c r="B76">
        <v>18</v>
      </c>
      <c r="C76" t="s">
        <v>50</v>
      </c>
      <c r="D76">
        <v>24</v>
      </c>
      <c r="E76">
        <v>7906</v>
      </c>
      <c r="F76">
        <v>1483</v>
      </c>
      <c r="G76" s="1">
        <f t="shared" si="1"/>
        <v>0.18757905388312673</v>
      </c>
    </row>
    <row r="77" spans="1:7">
      <c r="A77" t="s">
        <v>32</v>
      </c>
      <c r="B77">
        <v>18</v>
      </c>
      <c r="C77" t="s">
        <v>51</v>
      </c>
      <c r="D77">
        <v>25</v>
      </c>
      <c r="E77">
        <v>7906</v>
      </c>
      <c r="F77">
        <v>1503</v>
      </c>
      <c r="G77" s="1">
        <f t="shared" si="1"/>
        <v>0.19010877814318239</v>
      </c>
    </row>
    <row r="78" spans="1:7">
      <c r="A78" t="s">
        <v>32</v>
      </c>
      <c r="B78">
        <v>18</v>
      </c>
      <c r="C78" t="s">
        <v>71</v>
      </c>
      <c r="D78">
        <v>26</v>
      </c>
      <c r="E78">
        <v>7906</v>
      </c>
      <c r="F78">
        <v>1504</v>
      </c>
      <c r="G78" s="1">
        <f t="shared" si="1"/>
        <v>0.19023526435618518</v>
      </c>
    </row>
    <row r="79" spans="1:7">
      <c r="A79" t="s">
        <v>32</v>
      </c>
      <c r="B79">
        <v>18</v>
      </c>
      <c r="C79" t="s">
        <v>53</v>
      </c>
      <c r="D79">
        <v>27</v>
      </c>
      <c r="E79">
        <v>7906</v>
      </c>
      <c r="F79">
        <v>1507</v>
      </c>
      <c r="G79" s="1">
        <f t="shared" si="1"/>
        <v>0.19061472299519353</v>
      </c>
    </row>
    <row r="80" spans="1:7">
      <c r="A80" t="s">
        <v>32</v>
      </c>
      <c r="B80">
        <v>18</v>
      </c>
      <c r="C80" t="s">
        <v>56</v>
      </c>
      <c r="D80">
        <v>28</v>
      </c>
      <c r="E80">
        <v>7906</v>
      </c>
      <c r="F80">
        <v>1530</v>
      </c>
      <c r="G80" s="1">
        <f t="shared" si="1"/>
        <v>0.19352390589425753</v>
      </c>
    </row>
    <row r="81" spans="1:7">
      <c r="A81" t="s">
        <v>32</v>
      </c>
      <c r="B81">
        <v>18</v>
      </c>
      <c r="C81" t="s">
        <v>64</v>
      </c>
      <c r="D81">
        <v>29</v>
      </c>
      <c r="E81">
        <v>7906</v>
      </c>
      <c r="F81">
        <v>1578</v>
      </c>
      <c r="G81" s="1">
        <f t="shared" si="1"/>
        <v>0.19959524411839111</v>
      </c>
    </row>
    <row r="82" spans="1:7">
      <c r="A82" t="s">
        <v>32</v>
      </c>
      <c r="B82">
        <v>18</v>
      </c>
      <c r="C82" t="s">
        <v>55</v>
      </c>
      <c r="D82">
        <v>30</v>
      </c>
      <c r="E82">
        <v>7906</v>
      </c>
      <c r="F82">
        <v>1582</v>
      </c>
      <c r="G82" s="1">
        <f t="shared" si="1"/>
        <v>0.20010118897040222</v>
      </c>
    </row>
    <row r="83" spans="1:7">
      <c r="A83" t="s">
        <v>32</v>
      </c>
      <c r="B83">
        <v>18</v>
      </c>
      <c r="C83" t="s">
        <v>65</v>
      </c>
      <c r="D83">
        <v>31</v>
      </c>
      <c r="E83">
        <v>7906</v>
      </c>
      <c r="F83">
        <v>1584</v>
      </c>
      <c r="G83" s="1">
        <f t="shared" si="1"/>
        <v>0.2003541613964078</v>
      </c>
    </row>
    <row r="84" spans="1:7">
      <c r="A84" t="s">
        <v>32</v>
      </c>
      <c r="B84">
        <v>18</v>
      </c>
      <c r="C84" t="s">
        <v>60</v>
      </c>
      <c r="D84">
        <v>32</v>
      </c>
      <c r="E84">
        <v>7906</v>
      </c>
      <c r="F84">
        <v>1598</v>
      </c>
      <c r="G84" s="1">
        <f t="shared" si="1"/>
        <v>0.20212496837844676</v>
      </c>
    </row>
    <row r="85" spans="1:7">
      <c r="A85" t="s">
        <v>32</v>
      </c>
      <c r="B85">
        <v>18</v>
      </c>
      <c r="C85" t="s">
        <v>59</v>
      </c>
      <c r="D85">
        <v>33</v>
      </c>
      <c r="E85">
        <v>7906</v>
      </c>
      <c r="F85">
        <v>1609</v>
      </c>
      <c r="G85" s="1">
        <f t="shared" si="1"/>
        <v>0.20351631672147735</v>
      </c>
    </row>
    <row r="86" spans="1:7">
      <c r="A86" t="s">
        <v>32</v>
      </c>
      <c r="B86">
        <v>18</v>
      </c>
      <c r="C86" t="s">
        <v>70</v>
      </c>
      <c r="D86">
        <v>34</v>
      </c>
      <c r="E86">
        <v>7906</v>
      </c>
      <c r="F86">
        <v>1622</v>
      </c>
      <c r="G86" s="1">
        <f t="shared" si="1"/>
        <v>0.20516063749051353</v>
      </c>
    </row>
    <row r="87" spans="1:7">
      <c r="A87" t="s">
        <v>32</v>
      </c>
      <c r="B87">
        <v>18</v>
      </c>
      <c r="C87" t="s">
        <v>57</v>
      </c>
      <c r="D87">
        <v>35</v>
      </c>
      <c r="E87">
        <v>7906</v>
      </c>
      <c r="F87">
        <v>1681</v>
      </c>
      <c r="G87" s="1">
        <f t="shared" si="1"/>
        <v>0.21262332405767773</v>
      </c>
    </row>
    <row r="88" spans="1:7">
      <c r="A88" t="s">
        <v>32</v>
      </c>
      <c r="B88">
        <v>18</v>
      </c>
      <c r="C88" t="s">
        <v>54</v>
      </c>
      <c r="D88">
        <v>36</v>
      </c>
      <c r="E88">
        <v>7906</v>
      </c>
      <c r="F88">
        <v>1688</v>
      </c>
      <c r="G88" s="1">
        <f t="shared" si="1"/>
        <v>0.21350872754869718</v>
      </c>
    </row>
    <row r="89" spans="1:7">
      <c r="A89" t="s">
        <v>32</v>
      </c>
      <c r="B89">
        <v>18</v>
      </c>
      <c r="C89" t="s">
        <v>72</v>
      </c>
      <c r="D89">
        <v>37</v>
      </c>
      <c r="E89">
        <v>7906</v>
      </c>
      <c r="F89">
        <v>1767</v>
      </c>
      <c r="G89" s="1">
        <f t="shared" si="1"/>
        <v>0.22350113837591704</v>
      </c>
    </row>
    <row r="90" spans="1:7">
      <c r="A90" t="s">
        <v>32</v>
      </c>
      <c r="B90">
        <v>18</v>
      </c>
      <c r="C90" t="s">
        <v>58</v>
      </c>
      <c r="D90">
        <v>38</v>
      </c>
      <c r="E90">
        <v>7906</v>
      </c>
      <c r="F90">
        <v>1778</v>
      </c>
      <c r="G90" s="1">
        <f t="shared" si="1"/>
        <v>0.22489248671894763</v>
      </c>
    </row>
    <row r="91" spans="1:7">
      <c r="A91" t="s">
        <v>32</v>
      </c>
      <c r="B91">
        <v>18</v>
      </c>
      <c r="C91" t="s">
        <v>62</v>
      </c>
      <c r="D91">
        <v>39</v>
      </c>
      <c r="E91">
        <v>7906</v>
      </c>
      <c r="F91">
        <v>1788</v>
      </c>
      <c r="G91" s="1">
        <f t="shared" si="1"/>
        <v>0.22615734884897545</v>
      </c>
    </row>
    <row r="92" spans="1:7">
      <c r="A92" t="s">
        <v>32</v>
      </c>
      <c r="B92">
        <v>18</v>
      </c>
      <c r="C92" t="s">
        <v>78</v>
      </c>
      <c r="D92">
        <v>40</v>
      </c>
      <c r="E92">
        <v>7906</v>
      </c>
      <c r="F92">
        <v>7139</v>
      </c>
      <c r="G92" s="1">
        <f t="shared" si="1"/>
        <v>0.90298507462686572</v>
      </c>
    </row>
    <row r="93" spans="1:7">
      <c r="A93" t="s">
        <v>32</v>
      </c>
      <c r="B93">
        <v>18</v>
      </c>
      <c r="C93" t="s">
        <v>77</v>
      </c>
      <c r="D93">
        <v>41</v>
      </c>
      <c r="E93">
        <v>7906</v>
      </c>
      <c r="F93">
        <v>7188</v>
      </c>
      <c r="G93" s="1">
        <f t="shared" si="1"/>
        <v>0.90918289906400207</v>
      </c>
    </row>
    <row r="94" spans="1:7">
      <c r="A94" t="s">
        <v>32</v>
      </c>
      <c r="B94">
        <v>18</v>
      </c>
      <c r="C94" t="s">
        <v>81</v>
      </c>
      <c r="D94">
        <v>42</v>
      </c>
      <c r="E94">
        <v>7906</v>
      </c>
      <c r="F94">
        <v>7211</v>
      </c>
      <c r="G94" s="1">
        <f t="shared" si="1"/>
        <v>0.91209208196306601</v>
      </c>
    </row>
    <row r="95" spans="1:7">
      <c r="A95" t="s">
        <v>32</v>
      </c>
      <c r="B95">
        <v>18</v>
      </c>
      <c r="C95" t="s">
        <v>83</v>
      </c>
      <c r="D95">
        <v>43</v>
      </c>
      <c r="E95">
        <v>7906</v>
      </c>
      <c r="F95">
        <v>7337</v>
      </c>
      <c r="G95" s="1">
        <f t="shared" si="1"/>
        <v>0.92802934480141663</v>
      </c>
    </row>
    <row r="96" spans="1:7">
      <c r="A96" t="s">
        <v>32</v>
      </c>
      <c r="B96">
        <v>18</v>
      </c>
      <c r="C96" t="s">
        <v>80</v>
      </c>
      <c r="D96">
        <v>44</v>
      </c>
      <c r="E96">
        <v>7906</v>
      </c>
      <c r="F96">
        <v>7351</v>
      </c>
      <c r="G96" s="1">
        <f t="shared" si="1"/>
        <v>0.92980015178345565</v>
      </c>
    </row>
    <row r="97" spans="1:7">
      <c r="A97" t="s">
        <v>32</v>
      </c>
      <c r="B97">
        <v>18</v>
      </c>
      <c r="C97" t="s">
        <v>82</v>
      </c>
      <c r="D97">
        <v>45</v>
      </c>
      <c r="E97">
        <v>7906</v>
      </c>
      <c r="F97">
        <v>7368</v>
      </c>
      <c r="G97" s="1">
        <f t="shared" si="1"/>
        <v>0.93195041740450291</v>
      </c>
    </row>
    <row r="98" spans="1:7">
      <c r="A98" t="s">
        <v>32</v>
      </c>
      <c r="B98">
        <v>18</v>
      </c>
      <c r="C98" t="s">
        <v>79</v>
      </c>
      <c r="D98">
        <v>46</v>
      </c>
      <c r="E98">
        <v>7906</v>
      </c>
      <c r="F98">
        <v>7377</v>
      </c>
      <c r="G98" s="1">
        <f t="shared" si="1"/>
        <v>0.93308879332152794</v>
      </c>
    </row>
    <row r="99" spans="1:7">
      <c r="A99" t="s">
        <v>32</v>
      </c>
      <c r="B99">
        <v>19</v>
      </c>
      <c r="C99" t="s">
        <v>33</v>
      </c>
      <c r="D99">
        <v>1</v>
      </c>
      <c r="E99">
        <v>6869</v>
      </c>
      <c r="F99">
        <v>124</v>
      </c>
      <c r="G99" s="1">
        <f t="shared" si="1"/>
        <v>1.8052118212257971E-2</v>
      </c>
    </row>
    <row r="100" spans="1:7">
      <c r="A100" t="s">
        <v>32</v>
      </c>
      <c r="B100">
        <v>19</v>
      </c>
      <c r="C100" t="s">
        <v>2</v>
      </c>
      <c r="D100">
        <v>2</v>
      </c>
      <c r="E100">
        <v>6869</v>
      </c>
      <c r="F100">
        <v>216</v>
      </c>
      <c r="G100" s="1">
        <f t="shared" si="1"/>
        <v>3.1445625272965495E-2</v>
      </c>
    </row>
    <row r="101" spans="1:7">
      <c r="A101" t="s">
        <v>32</v>
      </c>
      <c r="B101">
        <v>19</v>
      </c>
      <c r="C101" t="s">
        <v>84</v>
      </c>
      <c r="D101">
        <v>3</v>
      </c>
      <c r="E101">
        <v>6869</v>
      </c>
      <c r="F101">
        <v>1775</v>
      </c>
      <c r="G101" s="1">
        <f t="shared" si="1"/>
        <v>0.25840733731256371</v>
      </c>
    </row>
    <row r="102" spans="1:7">
      <c r="A102" t="s">
        <v>32</v>
      </c>
      <c r="B102">
        <v>19</v>
      </c>
      <c r="C102" t="s">
        <v>85</v>
      </c>
      <c r="D102">
        <v>4</v>
      </c>
      <c r="E102">
        <v>6869</v>
      </c>
      <c r="F102">
        <v>1857</v>
      </c>
      <c r="G102" s="1">
        <f t="shared" si="1"/>
        <v>0.27034502838841168</v>
      </c>
    </row>
    <row r="103" spans="1:7">
      <c r="A103" t="s">
        <v>32</v>
      </c>
      <c r="B103">
        <v>19</v>
      </c>
      <c r="C103" t="s">
        <v>40</v>
      </c>
      <c r="D103">
        <v>5</v>
      </c>
      <c r="E103">
        <v>6869</v>
      </c>
      <c r="F103">
        <v>5000</v>
      </c>
      <c r="G103" s="1">
        <f t="shared" si="1"/>
        <v>0.7279079924297569</v>
      </c>
    </row>
    <row r="104" spans="1:7">
      <c r="A104" t="s">
        <v>32</v>
      </c>
      <c r="B104">
        <v>19</v>
      </c>
      <c r="C104" t="s">
        <v>86</v>
      </c>
      <c r="D104">
        <v>6</v>
      </c>
      <c r="E104">
        <v>6869</v>
      </c>
      <c r="F104">
        <v>6018</v>
      </c>
      <c r="G104" s="1">
        <f t="shared" si="1"/>
        <v>0.87611005968845534</v>
      </c>
    </row>
    <row r="105" spans="1:7">
      <c r="A105" t="s">
        <v>32</v>
      </c>
      <c r="B105">
        <v>19</v>
      </c>
      <c r="C105" t="s">
        <v>87</v>
      </c>
      <c r="D105">
        <v>7</v>
      </c>
      <c r="E105">
        <v>6869</v>
      </c>
      <c r="F105">
        <v>6114</v>
      </c>
      <c r="G105" s="1">
        <f t="shared" si="1"/>
        <v>0.89008589314310671</v>
      </c>
    </row>
    <row r="106" spans="1:7">
      <c r="A106" t="s">
        <v>32</v>
      </c>
      <c r="B106">
        <v>19</v>
      </c>
      <c r="C106" t="s">
        <v>88</v>
      </c>
      <c r="D106">
        <v>8</v>
      </c>
      <c r="E106">
        <v>6869</v>
      </c>
      <c r="F106">
        <v>6341</v>
      </c>
      <c r="G106" s="1">
        <f t="shared" si="1"/>
        <v>0.92313291599941771</v>
      </c>
    </row>
    <row r="107" spans="1:7">
      <c r="A107" t="s">
        <v>32</v>
      </c>
      <c r="B107">
        <v>19</v>
      </c>
      <c r="C107" t="s">
        <v>107</v>
      </c>
      <c r="D107">
        <v>9</v>
      </c>
      <c r="E107">
        <v>6869</v>
      </c>
      <c r="F107">
        <v>6361</v>
      </c>
      <c r="G107" s="1">
        <f t="shared" si="1"/>
        <v>0.92604454796913671</v>
      </c>
    </row>
    <row r="108" spans="1:7">
      <c r="A108" t="s">
        <v>32</v>
      </c>
      <c r="B108">
        <v>19</v>
      </c>
      <c r="C108" t="s">
        <v>101</v>
      </c>
      <c r="D108">
        <v>10</v>
      </c>
      <c r="E108">
        <v>6869</v>
      </c>
      <c r="F108">
        <v>6400</v>
      </c>
      <c r="G108" s="1">
        <f t="shared" si="1"/>
        <v>0.93172223031008883</v>
      </c>
    </row>
    <row r="109" spans="1:7">
      <c r="A109" t="s">
        <v>32</v>
      </c>
      <c r="B109">
        <v>19</v>
      </c>
      <c r="C109" t="s">
        <v>91</v>
      </c>
      <c r="D109">
        <v>11</v>
      </c>
      <c r="E109">
        <v>6869</v>
      </c>
      <c r="F109">
        <v>6402</v>
      </c>
      <c r="G109" s="1">
        <f t="shared" si="1"/>
        <v>0.93201339350706069</v>
      </c>
    </row>
    <row r="110" spans="1:7">
      <c r="A110" t="s">
        <v>32</v>
      </c>
      <c r="B110">
        <v>19</v>
      </c>
      <c r="C110" t="s">
        <v>94</v>
      </c>
      <c r="D110">
        <v>12</v>
      </c>
      <c r="E110">
        <v>6869</v>
      </c>
      <c r="F110">
        <v>6430</v>
      </c>
      <c r="G110" s="1">
        <f t="shared" si="1"/>
        <v>0.93608967826466738</v>
      </c>
    </row>
    <row r="111" spans="1:7">
      <c r="A111" t="s">
        <v>32</v>
      </c>
      <c r="B111">
        <v>19</v>
      </c>
      <c r="C111" t="s">
        <v>95</v>
      </c>
      <c r="D111">
        <v>13</v>
      </c>
      <c r="E111">
        <v>6869</v>
      </c>
      <c r="F111">
        <v>6434</v>
      </c>
      <c r="G111" s="1">
        <f t="shared" si="1"/>
        <v>0.93667200465861111</v>
      </c>
    </row>
    <row r="112" spans="1:7">
      <c r="A112" t="s">
        <v>32</v>
      </c>
      <c r="B112">
        <v>19</v>
      </c>
      <c r="C112" t="s">
        <v>97</v>
      </c>
      <c r="D112">
        <v>14</v>
      </c>
      <c r="E112">
        <v>6869</v>
      </c>
      <c r="F112">
        <v>6474</v>
      </c>
      <c r="G112" s="1">
        <f t="shared" si="1"/>
        <v>0.94249526859804922</v>
      </c>
    </row>
    <row r="113" spans="1:7">
      <c r="A113" t="s">
        <v>32</v>
      </c>
      <c r="B113">
        <v>19</v>
      </c>
      <c r="C113" t="s">
        <v>100</v>
      </c>
      <c r="D113">
        <v>15</v>
      </c>
      <c r="E113">
        <v>6869</v>
      </c>
      <c r="F113">
        <v>6477</v>
      </c>
      <c r="G113" s="1">
        <f t="shared" si="1"/>
        <v>0.94293201339350707</v>
      </c>
    </row>
    <row r="114" spans="1:7">
      <c r="A114" t="s">
        <v>32</v>
      </c>
      <c r="B114">
        <v>19</v>
      </c>
      <c r="C114" t="s">
        <v>106</v>
      </c>
      <c r="D114">
        <v>16</v>
      </c>
      <c r="E114">
        <v>6869</v>
      </c>
      <c r="F114">
        <v>6486</v>
      </c>
      <c r="G114" s="1">
        <f t="shared" si="1"/>
        <v>0.94424224777988064</v>
      </c>
    </row>
    <row r="115" spans="1:7">
      <c r="A115" t="s">
        <v>32</v>
      </c>
      <c r="B115">
        <v>19</v>
      </c>
      <c r="C115" t="s">
        <v>105</v>
      </c>
      <c r="D115">
        <v>17</v>
      </c>
      <c r="E115">
        <v>6869</v>
      </c>
      <c r="F115">
        <v>6492</v>
      </c>
      <c r="G115" s="1">
        <f t="shared" si="1"/>
        <v>0.94511573737079635</v>
      </c>
    </row>
    <row r="116" spans="1:7">
      <c r="A116" t="s">
        <v>32</v>
      </c>
      <c r="B116">
        <v>19</v>
      </c>
      <c r="C116" t="s">
        <v>99</v>
      </c>
      <c r="D116">
        <v>18</v>
      </c>
      <c r="E116">
        <v>6869</v>
      </c>
      <c r="F116">
        <v>6580</v>
      </c>
      <c r="G116" s="1">
        <f t="shared" si="1"/>
        <v>0.95792691803756003</v>
      </c>
    </row>
    <row r="117" spans="1:7">
      <c r="A117" t="s">
        <v>32</v>
      </c>
      <c r="B117">
        <v>19</v>
      </c>
      <c r="C117" t="s">
        <v>96</v>
      </c>
      <c r="D117">
        <v>19</v>
      </c>
      <c r="E117">
        <v>6869</v>
      </c>
      <c r="F117">
        <v>6604</v>
      </c>
      <c r="G117" s="1">
        <f t="shared" si="1"/>
        <v>0.96142087640122287</v>
      </c>
    </row>
    <row r="118" spans="1:7">
      <c r="A118" t="s">
        <v>32</v>
      </c>
      <c r="B118">
        <v>19</v>
      </c>
      <c r="C118" t="s">
        <v>108</v>
      </c>
      <c r="D118">
        <v>20</v>
      </c>
      <c r="E118">
        <v>6869</v>
      </c>
      <c r="F118">
        <v>6611</v>
      </c>
      <c r="G118" s="1">
        <f t="shared" si="1"/>
        <v>0.96243994759062457</v>
      </c>
    </row>
    <row r="119" spans="1:7">
      <c r="A119" t="s">
        <v>32</v>
      </c>
      <c r="B119">
        <v>19</v>
      </c>
      <c r="C119" t="s">
        <v>103</v>
      </c>
      <c r="D119">
        <v>21</v>
      </c>
      <c r="E119">
        <v>6869</v>
      </c>
      <c r="F119">
        <v>6674</v>
      </c>
      <c r="G119" s="1">
        <f t="shared" si="1"/>
        <v>0.97161158829523953</v>
      </c>
    </row>
    <row r="120" spans="1:7">
      <c r="A120" t="s">
        <v>32</v>
      </c>
      <c r="B120">
        <v>19</v>
      </c>
      <c r="C120" t="s">
        <v>90</v>
      </c>
      <c r="D120">
        <v>22</v>
      </c>
      <c r="E120">
        <v>6869</v>
      </c>
      <c r="F120">
        <v>7932</v>
      </c>
      <c r="G120" s="1">
        <f t="shared" si="1"/>
        <v>1.1547532391905664</v>
      </c>
    </row>
    <row r="121" spans="1:7">
      <c r="A121" t="s">
        <v>32</v>
      </c>
      <c r="B121">
        <v>19</v>
      </c>
      <c r="C121" t="s">
        <v>98</v>
      </c>
      <c r="D121">
        <v>23</v>
      </c>
      <c r="E121">
        <v>6869</v>
      </c>
      <c r="F121">
        <v>8034</v>
      </c>
      <c r="G121" s="1">
        <f t="shared" si="1"/>
        <v>1.1696025622361335</v>
      </c>
    </row>
    <row r="122" spans="1:7">
      <c r="A122" t="s">
        <v>32</v>
      </c>
      <c r="B122">
        <v>19</v>
      </c>
      <c r="C122" t="s">
        <v>89</v>
      </c>
      <c r="D122">
        <v>24</v>
      </c>
      <c r="E122">
        <v>6869</v>
      </c>
      <c r="F122">
        <v>8035</v>
      </c>
      <c r="G122" s="1">
        <f t="shared" si="1"/>
        <v>1.1697481438346193</v>
      </c>
    </row>
    <row r="123" spans="1:7">
      <c r="A123" t="s">
        <v>32</v>
      </c>
      <c r="B123">
        <v>19</v>
      </c>
      <c r="C123" t="s">
        <v>102</v>
      </c>
      <c r="D123">
        <v>25</v>
      </c>
      <c r="E123">
        <v>6869</v>
      </c>
      <c r="F123">
        <v>8115</v>
      </c>
      <c r="G123" s="1">
        <f t="shared" si="1"/>
        <v>1.1813946717134953</v>
      </c>
    </row>
    <row r="124" spans="1:7">
      <c r="A124" t="s">
        <v>32</v>
      </c>
      <c r="B124">
        <v>19</v>
      </c>
      <c r="C124" t="s">
        <v>93</v>
      </c>
      <c r="D124">
        <v>26</v>
      </c>
      <c r="E124">
        <v>6869</v>
      </c>
      <c r="F124">
        <v>8196</v>
      </c>
      <c r="G124" s="1">
        <f t="shared" si="1"/>
        <v>1.1931867811908574</v>
      </c>
    </row>
    <row r="125" spans="1:7">
      <c r="A125" t="s">
        <v>32</v>
      </c>
      <c r="B125">
        <v>19</v>
      </c>
      <c r="C125" t="s">
        <v>104</v>
      </c>
      <c r="D125">
        <v>27</v>
      </c>
      <c r="E125">
        <v>6869</v>
      </c>
      <c r="F125">
        <v>8251</v>
      </c>
      <c r="G125" s="1">
        <f t="shared" si="1"/>
        <v>1.2011937691075849</v>
      </c>
    </row>
    <row r="126" spans="1:7">
      <c r="A126" t="s">
        <v>32</v>
      </c>
      <c r="B126">
        <v>19</v>
      </c>
      <c r="C126" t="s">
        <v>92</v>
      </c>
      <c r="D126">
        <v>28</v>
      </c>
      <c r="E126">
        <v>6869</v>
      </c>
      <c r="F126">
        <v>9838</v>
      </c>
      <c r="G126" s="1">
        <f t="shared" si="1"/>
        <v>1.4322317659047896</v>
      </c>
    </row>
    <row r="127" spans="1:7">
      <c r="A127" t="s">
        <v>32</v>
      </c>
      <c r="B127">
        <v>20</v>
      </c>
      <c r="C127" t="s">
        <v>109</v>
      </c>
      <c r="D127">
        <v>1</v>
      </c>
      <c r="E127">
        <v>4512</v>
      </c>
      <c r="F127">
        <v>411</v>
      </c>
      <c r="G127" s="1">
        <f t="shared" si="1"/>
        <v>9.109042553191489E-2</v>
      </c>
    </row>
    <row r="128" spans="1:7">
      <c r="A128" t="s">
        <v>32</v>
      </c>
      <c r="B128">
        <v>20</v>
      </c>
      <c r="C128" t="s">
        <v>122</v>
      </c>
      <c r="D128">
        <v>2</v>
      </c>
      <c r="E128">
        <v>4512</v>
      </c>
      <c r="F128">
        <v>469</v>
      </c>
      <c r="G128" s="1">
        <f t="shared" si="1"/>
        <v>0.1039450354609929</v>
      </c>
    </row>
    <row r="129" spans="1:7">
      <c r="A129" t="s">
        <v>32</v>
      </c>
      <c r="B129">
        <v>20</v>
      </c>
      <c r="C129" t="s">
        <v>118</v>
      </c>
      <c r="D129">
        <v>3</v>
      </c>
      <c r="E129">
        <v>4512</v>
      </c>
      <c r="F129">
        <v>480</v>
      </c>
      <c r="G129" s="1">
        <f t="shared" si="1"/>
        <v>0.10638297872340426</v>
      </c>
    </row>
    <row r="130" spans="1:7">
      <c r="A130" t="s">
        <v>32</v>
      </c>
      <c r="B130">
        <v>20</v>
      </c>
      <c r="C130" t="s">
        <v>129</v>
      </c>
      <c r="D130">
        <v>4</v>
      </c>
      <c r="E130">
        <v>4512</v>
      </c>
      <c r="F130">
        <v>523</v>
      </c>
      <c r="G130" s="1">
        <f t="shared" ref="G130:G193" si="2">F130/E130</f>
        <v>0.11591312056737589</v>
      </c>
    </row>
    <row r="131" spans="1:7">
      <c r="A131" t="s">
        <v>32</v>
      </c>
      <c r="B131">
        <v>20</v>
      </c>
      <c r="C131" t="s">
        <v>123</v>
      </c>
      <c r="D131">
        <v>5</v>
      </c>
      <c r="E131">
        <v>4512</v>
      </c>
      <c r="F131">
        <v>525</v>
      </c>
      <c r="G131" s="1">
        <f t="shared" si="2"/>
        <v>0.1163563829787234</v>
      </c>
    </row>
    <row r="132" spans="1:7">
      <c r="A132" t="s">
        <v>32</v>
      </c>
      <c r="B132">
        <v>20</v>
      </c>
      <c r="C132" t="s">
        <v>120</v>
      </c>
      <c r="D132">
        <v>6</v>
      </c>
      <c r="E132">
        <v>4512</v>
      </c>
      <c r="F132">
        <v>527</v>
      </c>
      <c r="G132" s="1">
        <f t="shared" si="2"/>
        <v>0.11679964539007093</v>
      </c>
    </row>
    <row r="133" spans="1:7">
      <c r="A133" t="s">
        <v>32</v>
      </c>
      <c r="B133">
        <v>20</v>
      </c>
      <c r="C133" t="s">
        <v>111</v>
      </c>
      <c r="D133">
        <v>7</v>
      </c>
      <c r="E133">
        <v>4512</v>
      </c>
      <c r="F133">
        <v>546</v>
      </c>
      <c r="G133" s="1">
        <f t="shared" si="2"/>
        <v>0.12101063829787234</v>
      </c>
    </row>
    <row r="134" spans="1:7">
      <c r="A134" t="s">
        <v>32</v>
      </c>
      <c r="B134">
        <v>20</v>
      </c>
      <c r="C134" t="s">
        <v>116</v>
      </c>
      <c r="D134">
        <v>8</v>
      </c>
      <c r="E134">
        <v>4512</v>
      </c>
      <c r="F134">
        <v>563</v>
      </c>
      <c r="G134" s="1">
        <f t="shared" si="2"/>
        <v>0.12477836879432624</v>
      </c>
    </row>
    <row r="135" spans="1:7">
      <c r="A135" t="s">
        <v>32</v>
      </c>
      <c r="B135">
        <v>20</v>
      </c>
      <c r="C135" t="s">
        <v>110</v>
      </c>
      <c r="D135">
        <v>9</v>
      </c>
      <c r="E135">
        <v>4512</v>
      </c>
      <c r="F135">
        <v>577</v>
      </c>
      <c r="G135" s="1">
        <f t="shared" si="2"/>
        <v>0.12788120567375885</v>
      </c>
    </row>
    <row r="136" spans="1:7">
      <c r="A136" t="s">
        <v>32</v>
      </c>
      <c r="B136">
        <v>20</v>
      </c>
      <c r="C136" t="s">
        <v>115</v>
      </c>
      <c r="D136">
        <v>10</v>
      </c>
      <c r="E136">
        <v>4512</v>
      </c>
      <c r="F136">
        <v>610</v>
      </c>
      <c r="G136" s="1">
        <f t="shared" si="2"/>
        <v>0.1351950354609929</v>
      </c>
    </row>
    <row r="137" spans="1:7">
      <c r="A137" t="s">
        <v>32</v>
      </c>
      <c r="B137">
        <v>20</v>
      </c>
      <c r="C137" t="s">
        <v>114</v>
      </c>
      <c r="D137">
        <v>11</v>
      </c>
      <c r="E137">
        <v>4512</v>
      </c>
      <c r="F137">
        <v>613</v>
      </c>
      <c r="G137" s="1">
        <f t="shared" si="2"/>
        <v>0.1358599290780142</v>
      </c>
    </row>
    <row r="138" spans="1:7">
      <c r="A138" t="s">
        <v>32</v>
      </c>
      <c r="B138">
        <v>20</v>
      </c>
      <c r="C138" t="s">
        <v>127</v>
      </c>
      <c r="D138">
        <v>12</v>
      </c>
      <c r="E138">
        <v>4512</v>
      </c>
      <c r="F138">
        <v>614</v>
      </c>
      <c r="G138" s="1">
        <f t="shared" si="2"/>
        <v>0.13608156028368795</v>
      </c>
    </row>
    <row r="139" spans="1:7">
      <c r="A139" t="s">
        <v>32</v>
      </c>
      <c r="B139">
        <v>20</v>
      </c>
      <c r="C139" t="s">
        <v>112</v>
      </c>
      <c r="D139">
        <v>13</v>
      </c>
      <c r="E139">
        <v>4512</v>
      </c>
      <c r="F139">
        <v>639</v>
      </c>
      <c r="G139" s="1">
        <f t="shared" si="2"/>
        <v>0.14162234042553193</v>
      </c>
    </row>
    <row r="140" spans="1:7">
      <c r="A140" t="s">
        <v>32</v>
      </c>
      <c r="B140">
        <v>20</v>
      </c>
      <c r="C140" t="s">
        <v>126</v>
      </c>
      <c r="D140">
        <v>14</v>
      </c>
      <c r="E140">
        <v>4512</v>
      </c>
      <c r="F140">
        <v>686</v>
      </c>
      <c r="G140" s="1">
        <f t="shared" si="2"/>
        <v>0.15203900709219859</v>
      </c>
    </row>
    <row r="141" spans="1:7">
      <c r="A141" t="s">
        <v>32</v>
      </c>
      <c r="B141">
        <v>20</v>
      </c>
      <c r="C141" t="s">
        <v>113</v>
      </c>
      <c r="D141">
        <v>15</v>
      </c>
      <c r="E141">
        <v>4512</v>
      </c>
      <c r="F141">
        <v>695</v>
      </c>
      <c r="G141" s="1">
        <f t="shared" si="2"/>
        <v>0.15403368794326242</v>
      </c>
    </row>
    <row r="142" spans="1:7">
      <c r="A142" t="s">
        <v>32</v>
      </c>
      <c r="B142">
        <v>20</v>
      </c>
      <c r="C142" t="s">
        <v>128</v>
      </c>
      <c r="D142">
        <v>16</v>
      </c>
      <c r="E142">
        <v>4512</v>
      </c>
      <c r="F142">
        <v>732</v>
      </c>
      <c r="G142" s="1">
        <f t="shared" si="2"/>
        <v>0.16223404255319149</v>
      </c>
    </row>
    <row r="143" spans="1:7">
      <c r="A143" t="s">
        <v>32</v>
      </c>
      <c r="B143">
        <v>20</v>
      </c>
      <c r="C143" t="s">
        <v>121</v>
      </c>
      <c r="D143">
        <v>17</v>
      </c>
      <c r="E143">
        <v>4512</v>
      </c>
      <c r="F143">
        <v>751</v>
      </c>
      <c r="G143" s="1">
        <f t="shared" si="2"/>
        <v>0.1664450354609929</v>
      </c>
    </row>
    <row r="144" spans="1:7">
      <c r="A144" t="s">
        <v>32</v>
      </c>
      <c r="B144">
        <v>20</v>
      </c>
      <c r="C144" t="s">
        <v>130</v>
      </c>
      <c r="D144">
        <v>18</v>
      </c>
      <c r="E144">
        <v>4512</v>
      </c>
      <c r="F144">
        <v>785</v>
      </c>
      <c r="G144" s="1">
        <f t="shared" si="2"/>
        <v>0.17398049645390071</v>
      </c>
    </row>
    <row r="145" spans="1:7">
      <c r="A145" t="s">
        <v>32</v>
      </c>
      <c r="B145">
        <v>20</v>
      </c>
      <c r="C145" t="s">
        <v>117</v>
      </c>
      <c r="D145">
        <v>19</v>
      </c>
      <c r="E145">
        <v>4512</v>
      </c>
      <c r="F145">
        <v>787</v>
      </c>
      <c r="G145" s="1">
        <f t="shared" si="2"/>
        <v>0.17442375886524822</v>
      </c>
    </row>
    <row r="146" spans="1:7">
      <c r="A146" t="s">
        <v>32</v>
      </c>
      <c r="B146">
        <v>20</v>
      </c>
      <c r="C146" t="s">
        <v>119</v>
      </c>
      <c r="D146">
        <v>20</v>
      </c>
      <c r="E146">
        <v>4512</v>
      </c>
      <c r="F146">
        <v>814</v>
      </c>
      <c r="G146" s="1">
        <f t="shared" si="2"/>
        <v>0.18040780141843971</v>
      </c>
    </row>
    <row r="147" spans="1:7">
      <c r="A147" t="s">
        <v>32</v>
      </c>
      <c r="B147">
        <v>20</v>
      </c>
      <c r="C147" t="s">
        <v>125</v>
      </c>
      <c r="D147">
        <v>21</v>
      </c>
      <c r="E147">
        <v>4512</v>
      </c>
      <c r="F147">
        <v>830</v>
      </c>
      <c r="G147" s="1">
        <f t="shared" si="2"/>
        <v>0.18395390070921985</v>
      </c>
    </row>
    <row r="148" spans="1:7">
      <c r="A148" t="s">
        <v>32</v>
      </c>
      <c r="B148">
        <v>20</v>
      </c>
      <c r="C148" t="s">
        <v>124</v>
      </c>
      <c r="D148">
        <v>22</v>
      </c>
      <c r="E148">
        <v>4512</v>
      </c>
      <c r="F148">
        <v>875</v>
      </c>
      <c r="G148" s="1">
        <f t="shared" si="2"/>
        <v>0.193927304964539</v>
      </c>
    </row>
    <row r="149" spans="1:7">
      <c r="A149" t="s">
        <v>32</v>
      </c>
      <c r="B149">
        <v>20</v>
      </c>
      <c r="C149" t="s">
        <v>133</v>
      </c>
      <c r="D149">
        <v>23</v>
      </c>
      <c r="E149">
        <v>4512</v>
      </c>
      <c r="F149">
        <v>3880</v>
      </c>
      <c r="G149" s="1">
        <f t="shared" si="2"/>
        <v>0.85992907801418439</v>
      </c>
    </row>
    <row r="150" spans="1:7">
      <c r="A150" t="s">
        <v>32</v>
      </c>
      <c r="B150">
        <v>20</v>
      </c>
      <c r="C150" t="s">
        <v>131</v>
      </c>
      <c r="D150">
        <v>24</v>
      </c>
      <c r="E150">
        <v>4512</v>
      </c>
      <c r="F150">
        <v>3941</v>
      </c>
      <c r="G150" s="1">
        <f t="shared" si="2"/>
        <v>0.87344858156028371</v>
      </c>
    </row>
    <row r="151" spans="1:7">
      <c r="A151" t="s">
        <v>32</v>
      </c>
      <c r="B151">
        <v>20</v>
      </c>
      <c r="C151" t="s">
        <v>132</v>
      </c>
      <c r="D151">
        <v>25</v>
      </c>
      <c r="E151">
        <v>4512</v>
      </c>
      <c r="F151">
        <v>3945</v>
      </c>
      <c r="G151" s="1">
        <f t="shared" si="2"/>
        <v>0.87433510638297873</v>
      </c>
    </row>
    <row r="152" spans="1:7">
      <c r="A152" t="s">
        <v>32</v>
      </c>
      <c r="B152">
        <v>20</v>
      </c>
      <c r="C152" t="s">
        <v>134</v>
      </c>
      <c r="D152">
        <v>26</v>
      </c>
      <c r="E152">
        <v>4512</v>
      </c>
      <c r="F152">
        <v>3946</v>
      </c>
      <c r="G152" s="1">
        <f t="shared" si="2"/>
        <v>0.87455673758865249</v>
      </c>
    </row>
    <row r="153" spans="1:7">
      <c r="A153" t="s">
        <v>32</v>
      </c>
      <c r="B153">
        <v>20</v>
      </c>
      <c r="C153" t="s">
        <v>136</v>
      </c>
      <c r="D153">
        <v>27</v>
      </c>
      <c r="E153">
        <v>4512</v>
      </c>
      <c r="F153">
        <v>3964</v>
      </c>
      <c r="G153" s="1">
        <f t="shared" si="2"/>
        <v>0.87854609929078009</v>
      </c>
    </row>
    <row r="154" spans="1:7">
      <c r="A154" t="s">
        <v>32</v>
      </c>
      <c r="B154">
        <v>20</v>
      </c>
      <c r="C154" t="s">
        <v>138</v>
      </c>
      <c r="D154">
        <v>28</v>
      </c>
      <c r="E154">
        <v>4512</v>
      </c>
      <c r="F154">
        <v>4048</v>
      </c>
      <c r="G154" s="1">
        <f t="shared" si="2"/>
        <v>0.8971631205673759</v>
      </c>
    </row>
    <row r="155" spans="1:7">
      <c r="A155" t="s">
        <v>32</v>
      </c>
      <c r="B155">
        <v>20</v>
      </c>
      <c r="C155" t="s">
        <v>139</v>
      </c>
      <c r="D155">
        <v>29</v>
      </c>
      <c r="E155">
        <v>4512</v>
      </c>
      <c r="F155">
        <v>4097</v>
      </c>
      <c r="G155" s="1">
        <f t="shared" si="2"/>
        <v>0.90802304964539005</v>
      </c>
    </row>
    <row r="156" spans="1:7">
      <c r="A156" t="s">
        <v>32</v>
      </c>
      <c r="B156">
        <v>20</v>
      </c>
      <c r="C156" t="s">
        <v>135</v>
      </c>
      <c r="D156">
        <v>30</v>
      </c>
      <c r="E156">
        <v>4512</v>
      </c>
      <c r="F156">
        <v>4128</v>
      </c>
      <c r="G156" s="1">
        <f t="shared" si="2"/>
        <v>0.91489361702127658</v>
      </c>
    </row>
    <row r="157" spans="1:7">
      <c r="A157" t="s">
        <v>32</v>
      </c>
      <c r="B157">
        <v>20</v>
      </c>
      <c r="C157" t="s">
        <v>137</v>
      </c>
      <c r="D157">
        <v>31</v>
      </c>
      <c r="E157">
        <v>4512</v>
      </c>
      <c r="F157">
        <v>4140</v>
      </c>
      <c r="G157" s="1">
        <f t="shared" si="2"/>
        <v>0.91755319148936165</v>
      </c>
    </row>
    <row r="158" spans="1:7">
      <c r="A158" t="s">
        <v>32</v>
      </c>
      <c r="B158">
        <v>20</v>
      </c>
      <c r="C158" t="s">
        <v>141</v>
      </c>
      <c r="D158">
        <v>32</v>
      </c>
      <c r="E158">
        <v>4512</v>
      </c>
      <c r="F158">
        <v>4186</v>
      </c>
      <c r="G158" s="1">
        <f t="shared" si="2"/>
        <v>0.92774822695035464</v>
      </c>
    </row>
    <row r="159" spans="1:7">
      <c r="A159" t="s">
        <v>32</v>
      </c>
      <c r="B159">
        <v>20</v>
      </c>
      <c r="C159" t="s">
        <v>140</v>
      </c>
      <c r="D159">
        <v>33</v>
      </c>
      <c r="E159">
        <v>4512</v>
      </c>
      <c r="F159">
        <v>4220</v>
      </c>
      <c r="G159" s="1">
        <f t="shared" si="2"/>
        <v>0.93528368794326244</v>
      </c>
    </row>
    <row r="160" spans="1:7">
      <c r="A160" t="s">
        <v>142</v>
      </c>
      <c r="B160">
        <v>2</v>
      </c>
      <c r="C160" t="s">
        <v>19</v>
      </c>
      <c r="D160">
        <v>1</v>
      </c>
      <c r="E160">
        <v>3303</v>
      </c>
      <c r="F160">
        <v>186</v>
      </c>
      <c r="G160" s="1">
        <f t="shared" si="2"/>
        <v>5.6312443233424159E-2</v>
      </c>
    </row>
    <row r="161" spans="1:7">
      <c r="A161" t="s">
        <v>142</v>
      </c>
      <c r="B161">
        <v>2</v>
      </c>
      <c r="C161" t="s">
        <v>144</v>
      </c>
      <c r="D161">
        <v>2</v>
      </c>
      <c r="E161">
        <v>3303</v>
      </c>
      <c r="F161">
        <v>1689</v>
      </c>
      <c r="G161" s="1">
        <f t="shared" si="2"/>
        <v>0.51135331516802907</v>
      </c>
    </row>
    <row r="162" spans="1:7">
      <c r="A162" t="s">
        <v>142</v>
      </c>
      <c r="B162">
        <v>2</v>
      </c>
      <c r="C162" t="s">
        <v>143</v>
      </c>
      <c r="D162">
        <v>3</v>
      </c>
      <c r="E162">
        <v>3303</v>
      </c>
      <c r="F162">
        <v>3346</v>
      </c>
      <c r="G162" s="1">
        <f t="shared" si="2"/>
        <v>1.0130184680593399</v>
      </c>
    </row>
    <row r="163" spans="1:7">
      <c r="A163" t="s">
        <v>142</v>
      </c>
      <c r="B163">
        <v>3</v>
      </c>
      <c r="C163" t="s">
        <v>145</v>
      </c>
      <c r="D163">
        <v>1</v>
      </c>
      <c r="E163">
        <v>1353</v>
      </c>
      <c r="F163">
        <v>1354</v>
      </c>
      <c r="G163" s="1">
        <f t="shared" si="2"/>
        <v>1.0007390983000739</v>
      </c>
    </row>
    <row r="164" spans="1:7">
      <c r="A164" t="s">
        <v>142</v>
      </c>
      <c r="B164">
        <v>3</v>
      </c>
      <c r="C164" t="s">
        <v>36</v>
      </c>
      <c r="D164">
        <v>2</v>
      </c>
      <c r="E164">
        <v>1353</v>
      </c>
      <c r="F164">
        <v>1382</v>
      </c>
      <c r="G164" s="1">
        <f t="shared" si="2"/>
        <v>1.0214338507021434</v>
      </c>
    </row>
    <row r="165" spans="1:7">
      <c r="A165" t="s">
        <v>142</v>
      </c>
      <c r="B165">
        <v>7</v>
      </c>
      <c r="C165" t="s">
        <v>36</v>
      </c>
      <c r="D165">
        <v>1</v>
      </c>
      <c r="E165">
        <v>1290</v>
      </c>
      <c r="F165">
        <v>1317</v>
      </c>
      <c r="G165" s="1">
        <f t="shared" si="2"/>
        <v>1.0209302325581395</v>
      </c>
    </row>
    <row r="166" spans="1:7">
      <c r="A166" t="s">
        <v>142</v>
      </c>
      <c r="B166">
        <v>7</v>
      </c>
      <c r="C166" t="s">
        <v>145</v>
      </c>
      <c r="D166">
        <v>2</v>
      </c>
      <c r="E166">
        <v>1290</v>
      </c>
      <c r="F166">
        <v>1344</v>
      </c>
      <c r="G166" s="1">
        <f t="shared" si="2"/>
        <v>1.0418604651162791</v>
      </c>
    </row>
    <row r="167" spans="1:7">
      <c r="A167" t="s">
        <v>142</v>
      </c>
      <c r="B167">
        <v>10</v>
      </c>
      <c r="C167" t="s">
        <v>171</v>
      </c>
      <c r="D167">
        <v>1</v>
      </c>
      <c r="E167">
        <v>11657</v>
      </c>
      <c r="F167">
        <v>1522</v>
      </c>
      <c r="G167" s="1">
        <f t="shared" si="2"/>
        <v>0.13056532555546024</v>
      </c>
    </row>
    <row r="168" spans="1:7">
      <c r="A168" t="s">
        <v>142</v>
      </c>
      <c r="B168">
        <v>10</v>
      </c>
      <c r="C168" t="s">
        <v>159</v>
      </c>
      <c r="D168">
        <v>2</v>
      </c>
      <c r="E168">
        <v>11657</v>
      </c>
      <c r="F168">
        <v>1532</v>
      </c>
      <c r="G168" s="1">
        <f t="shared" si="2"/>
        <v>0.13142317920562752</v>
      </c>
    </row>
    <row r="169" spans="1:7">
      <c r="A169" t="s">
        <v>142</v>
      </c>
      <c r="B169">
        <v>10</v>
      </c>
      <c r="C169" t="s">
        <v>161</v>
      </c>
      <c r="D169">
        <v>3</v>
      </c>
      <c r="E169">
        <v>11657</v>
      </c>
      <c r="F169">
        <v>1541</v>
      </c>
      <c r="G169" s="1">
        <f t="shared" si="2"/>
        <v>0.13219524749077807</v>
      </c>
    </row>
    <row r="170" spans="1:7">
      <c r="A170" t="s">
        <v>142</v>
      </c>
      <c r="B170">
        <v>10</v>
      </c>
      <c r="C170" t="s">
        <v>156</v>
      </c>
      <c r="D170">
        <v>4</v>
      </c>
      <c r="E170">
        <v>11657</v>
      </c>
      <c r="F170">
        <v>1542</v>
      </c>
      <c r="G170" s="1">
        <f t="shared" si="2"/>
        <v>0.13228103285579479</v>
      </c>
    </row>
    <row r="171" spans="1:7">
      <c r="A171" t="s">
        <v>142</v>
      </c>
      <c r="B171">
        <v>10</v>
      </c>
      <c r="C171" t="s">
        <v>172</v>
      </c>
      <c r="D171">
        <v>5</v>
      </c>
      <c r="E171">
        <v>11657</v>
      </c>
      <c r="F171">
        <v>1568</v>
      </c>
      <c r="G171" s="1">
        <f t="shared" si="2"/>
        <v>0.13451145234622974</v>
      </c>
    </row>
    <row r="172" spans="1:7">
      <c r="A172" t="s">
        <v>142</v>
      </c>
      <c r="B172">
        <v>10</v>
      </c>
      <c r="C172" t="s">
        <v>174</v>
      </c>
      <c r="D172">
        <v>6</v>
      </c>
      <c r="E172">
        <v>11657</v>
      </c>
      <c r="F172">
        <v>1575</v>
      </c>
      <c r="G172" s="1">
        <f t="shared" si="2"/>
        <v>0.13511194990134684</v>
      </c>
    </row>
    <row r="173" spans="1:7">
      <c r="A173" t="s">
        <v>142</v>
      </c>
      <c r="B173">
        <v>10</v>
      </c>
      <c r="C173" t="s">
        <v>170</v>
      </c>
      <c r="D173">
        <v>7</v>
      </c>
      <c r="E173">
        <v>11657</v>
      </c>
      <c r="F173">
        <v>1641</v>
      </c>
      <c r="G173" s="1">
        <f t="shared" si="2"/>
        <v>0.14077378399245088</v>
      </c>
    </row>
    <row r="174" spans="1:7">
      <c r="A174" t="s">
        <v>142</v>
      </c>
      <c r="B174">
        <v>10</v>
      </c>
      <c r="C174" t="s">
        <v>163</v>
      </c>
      <c r="D174">
        <v>8</v>
      </c>
      <c r="E174">
        <v>11657</v>
      </c>
      <c r="F174">
        <v>1642</v>
      </c>
      <c r="G174" s="1">
        <f t="shared" si="2"/>
        <v>0.14085956935746763</v>
      </c>
    </row>
    <row r="175" spans="1:7">
      <c r="A175" t="s">
        <v>142</v>
      </c>
      <c r="B175">
        <v>10</v>
      </c>
      <c r="C175" t="s">
        <v>150</v>
      </c>
      <c r="D175">
        <v>9</v>
      </c>
      <c r="E175">
        <v>11657</v>
      </c>
      <c r="F175">
        <v>1644</v>
      </c>
      <c r="G175" s="1">
        <f t="shared" si="2"/>
        <v>0.14103114008750106</v>
      </c>
    </row>
    <row r="176" spans="1:7">
      <c r="A176" t="s">
        <v>142</v>
      </c>
      <c r="B176">
        <v>10</v>
      </c>
      <c r="C176" t="s">
        <v>151</v>
      </c>
      <c r="D176">
        <v>10</v>
      </c>
      <c r="E176">
        <v>11657</v>
      </c>
      <c r="F176">
        <v>1645</v>
      </c>
      <c r="G176" s="1">
        <f t="shared" si="2"/>
        <v>0.14111692545251781</v>
      </c>
    </row>
    <row r="177" spans="1:7">
      <c r="A177" t="s">
        <v>142</v>
      </c>
      <c r="B177">
        <v>10</v>
      </c>
      <c r="C177" t="s">
        <v>173</v>
      </c>
      <c r="D177">
        <v>11</v>
      </c>
      <c r="E177">
        <v>11657</v>
      </c>
      <c r="F177">
        <v>1678</v>
      </c>
      <c r="G177" s="1">
        <f t="shared" si="2"/>
        <v>0.14394784249806983</v>
      </c>
    </row>
    <row r="178" spans="1:7">
      <c r="A178" t="s">
        <v>142</v>
      </c>
      <c r="B178">
        <v>10</v>
      </c>
      <c r="C178" t="s">
        <v>157</v>
      </c>
      <c r="D178">
        <v>12</v>
      </c>
      <c r="E178">
        <v>11657</v>
      </c>
      <c r="F178">
        <v>1699</v>
      </c>
      <c r="G178" s="1">
        <f t="shared" si="2"/>
        <v>0.14574933516342112</v>
      </c>
    </row>
    <row r="179" spans="1:7">
      <c r="A179" t="s">
        <v>142</v>
      </c>
      <c r="B179">
        <v>10</v>
      </c>
      <c r="C179" t="s">
        <v>149</v>
      </c>
      <c r="D179">
        <v>13</v>
      </c>
      <c r="E179">
        <v>11657</v>
      </c>
      <c r="F179">
        <v>1725</v>
      </c>
      <c r="G179" s="1">
        <f t="shared" si="2"/>
        <v>0.14797975465385604</v>
      </c>
    </row>
    <row r="180" spans="1:7">
      <c r="A180" t="s">
        <v>142</v>
      </c>
      <c r="B180">
        <v>10</v>
      </c>
      <c r="C180" t="s">
        <v>158</v>
      </c>
      <c r="D180">
        <v>14</v>
      </c>
      <c r="E180">
        <v>11657</v>
      </c>
      <c r="F180">
        <v>1731</v>
      </c>
      <c r="G180" s="1">
        <f t="shared" si="2"/>
        <v>0.14849446684395642</v>
      </c>
    </row>
    <row r="181" spans="1:7">
      <c r="A181" t="s">
        <v>142</v>
      </c>
      <c r="B181">
        <v>10</v>
      </c>
      <c r="C181" t="s">
        <v>167</v>
      </c>
      <c r="D181">
        <v>15</v>
      </c>
      <c r="E181">
        <v>11657</v>
      </c>
      <c r="F181">
        <v>1748</v>
      </c>
      <c r="G181" s="1">
        <f t="shared" si="2"/>
        <v>0.14995281804924079</v>
      </c>
    </row>
    <row r="182" spans="1:7">
      <c r="A182" t="s">
        <v>142</v>
      </c>
      <c r="B182">
        <v>10</v>
      </c>
      <c r="C182" t="s">
        <v>165</v>
      </c>
      <c r="D182">
        <v>16</v>
      </c>
      <c r="E182">
        <v>11657</v>
      </c>
      <c r="F182">
        <v>1754</v>
      </c>
      <c r="G182" s="1">
        <f t="shared" si="2"/>
        <v>0.15046753023934117</v>
      </c>
    </row>
    <row r="183" spans="1:7">
      <c r="A183" t="s">
        <v>142</v>
      </c>
      <c r="B183">
        <v>10</v>
      </c>
      <c r="C183" t="s">
        <v>154</v>
      </c>
      <c r="D183">
        <v>17</v>
      </c>
      <c r="E183">
        <v>11657</v>
      </c>
      <c r="F183">
        <v>1862</v>
      </c>
      <c r="G183" s="1">
        <f t="shared" si="2"/>
        <v>0.1597323496611478</v>
      </c>
    </row>
    <row r="184" spans="1:7">
      <c r="A184" t="s">
        <v>142</v>
      </c>
      <c r="B184">
        <v>10</v>
      </c>
      <c r="C184" t="s">
        <v>148</v>
      </c>
      <c r="D184">
        <v>18</v>
      </c>
      <c r="E184">
        <v>11657</v>
      </c>
      <c r="F184">
        <v>1902</v>
      </c>
      <c r="G184" s="1">
        <f t="shared" si="2"/>
        <v>0.16316376426181695</v>
      </c>
    </row>
    <row r="185" spans="1:7">
      <c r="A185" t="s">
        <v>142</v>
      </c>
      <c r="B185">
        <v>10</v>
      </c>
      <c r="C185" t="s">
        <v>147</v>
      </c>
      <c r="D185">
        <v>19</v>
      </c>
      <c r="E185">
        <v>11657</v>
      </c>
      <c r="F185">
        <v>1964</v>
      </c>
      <c r="G185" s="1">
        <f t="shared" si="2"/>
        <v>0.16848245689285407</v>
      </c>
    </row>
    <row r="186" spans="1:7">
      <c r="A186" t="s">
        <v>142</v>
      </c>
      <c r="B186">
        <v>10</v>
      </c>
      <c r="C186" t="s">
        <v>152</v>
      </c>
      <c r="D186">
        <v>20</v>
      </c>
      <c r="E186">
        <v>11657</v>
      </c>
      <c r="F186">
        <v>2100</v>
      </c>
      <c r="G186" s="1">
        <f t="shared" si="2"/>
        <v>0.18014926653512911</v>
      </c>
    </row>
    <row r="187" spans="1:7">
      <c r="A187" t="s">
        <v>142</v>
      </c>
      <c r="B187">
        <v>10</v>
      </c>
      <c r="C187" t="s">
        <v>153</v>
      </c>
      <c r="D187">
        <v>21</v>
      </c>
      <c r="E187">
        <v>11657</v>
      </c>
      <c r="F187">
        <v>2109</v>
      </c>
      <c r="G187" s="1">
        <f t="shared" si="2"/>
        <v>0.18092133482027967</v>
      </c>
    </row>
    <row r="188" spans="1:7">
      <c r="A188" t="s">
        <v>142</v>
      </c>
      <c r="B188">
        <v>10</v>
      </c>
      <c r="C188" t="s">
        <v>146</v>
      </c>
      <c r="D188">
        <v>22</v>
      </c>
      <c r="E188">
        <v>11657</v>
      </c>
      <c r="F188">
        <v>2166</v>
      </c>
      <c r="G188" s="1">
        <f t="shared" si="2"/>
        <v>0.18581110062623316</v>
      </c>
    </row>
    <row r="189" spans="1:7">
      <c r="A189" t="s">
        <v>142</v>
      </c>
      <c r="B189">
        <v>10</v>
      </c>
      <c r="C189" t="s">
        <v>164</v>
      </c>
      <c r="D189">
        <v>23</v>
      </c>
      <c r="E189">
        <v>11657</v>
      </c>
      <c r="F189">
        <v>2633</v>
      </c>
      <c r="G189" s="1">
        <f t="shared" si="2"/>
        <v>0.22587286608904522</v>
      </c>
    </row>
    <row r="190" spans="1:7">
      <c r="A190" t="s">
        <v>142</v>
      </c>
      <c r="B190">
        <v>10</v>
      </c>
      <c r="C190" t="s">
        <v>177</v>
      </c>
      <c r="D190">
        <v>24</v>
      </c>
      <c r="E190">
        <v>11657</v>
      </c>
      <c r="F190">
        <v>2639</v>
      </c>
      <c r="G190" s="1">
        <f t="shared" si="2"/>
        <v>0.22638757827914557</v>
      </c>
    </row>
    <row r="191" spans="1:7">
      <c r="A191" t="s">
        <v>142</v>
      </c>
      <c r="B191">
        <v>10</v>
      </c>
      <c r="C191" t="s">
        <v>169</v>
      </c>
      <c r="D191">
        <v>25</v>
      </c>
      <c r="E191">
        <v>11657</v>
      </c>
      <c r="F191">
        <v>2660</v>
      </c>
      <c r="G191" s="1">
        <f t="shared" si="2"/>
        <v>0.22818907094449686</v>
      </c>
    </row>
    <row r="192" spans="1:7">
      <c r="A192" t="s">
        <v>142</v>
      </c>
      <c r="B192">
        <v>10</v>
      </c>
      <c r="C192" t="s">
        <v>160</v>
      </c>
      <c r="D192">
        <v>26</v>
      </c>
      <c r="E192">
        <v>11657</v>
      </c>
      <c r="F192">
        <v>2723</v>
      </c>
      <c r="G192" s="1">
        <f t="shared" si="2"/>
        <v>0.23359354894055073</v>
      </c>
    </row>
    <row r="193" spans="1:7">
      <c r="A193" t="s">
        <v>142</v>
      </c>
      <c r="B193">
        <v>10</v>
      </c>
      <c r="C193" t="s">
        <v>175</v>
      </c>
      <c r="D193">
        <v>27</v>
      </c>
      <c r="E193">
        <v>11657</v>
      </c>
      <c r="F193">
        <v>2791</v>
      </c>
      <c r="G193" s="1">
        <f t="shared" si="2"/>
        <v>0.23942695376168827</v>
      </c>
    </row>
    <row r="194" spans="1:7">
      <c r="A194" t="s">
        <v>142</v>
      </c>
      <c r="B194">
        <v>10</v>
      </c>
      <c r="C194" t="s">
        <v>168</v>
      </c>
      <c r="D194">
        <v>28</v>
      </c>
      <c r="E194">
        <v>11657</v>
      </c>
      <c r="F194">
        <v>2836</v>
      </c>
      <c r="G194" s="1">
        <f t="shared" ref="G194:G257" si="3">F194/E194</f>
        <v>0.24328729518744102</v>
      </c>
    </row>
    <row r="195" spans="1:7">
      <c r="A195" t="s">
        <v>142</v>
      </c>
      <c r="B195">
        <v>10</v>
      </c>
      <c r="C195" t="s">
        <v>176</v>
      </c>
      <c r="D195">
        <v>29</v>
      </c>
      <c r="E195">
        <v>11657</v>
      </c>
      <c r="F195">
        <v>2842</v>
      </c>
      <c r="G195" s="1">
        <f t="shared" si="3"/>
        <v>0.2438020073775414</v>
      </c>
    </row>
    <row r="196" spans="1:7">
      <c r="A196" t="s">
        <v>142</v>
      </c>
      <c r="B196">
        <v>10</v>
      </c>
      <c r="C196" t="s">
        <v>166</v>
      </c>
      <c r="D196">
        <v>30</v>
      </c>
      <c r="E196">
        <v>11657</v>
      </c>
      <c r="F196">
        <v>2960</v>
      </c>
      <c r="G196" s="1">
        <f t="shared" si="3"/>
        <v>0.25392468044951533</v>
      </c>
    </row>
    <row r="197" spans="1:7">
      <c r="A197" t="s">
        <v>142</v>
      </c>
      <c r="B197">
        <v>10</v>
      </c>
      <c r="C197" t="s">
        <v>162</v>
      </c>
      <c r="D197">
        <v>31</v>
      </c>
      <c r="E197">
        <v>11657</v>
      </c>
      <c r="F197">
        <v>3350</v>
      </c>
      <c r="G197" s="1">
        <f t="shared" si="3"/>
        <v>0.2873809728060393</v>
      </c>
    </row>
    <row r="198" spans="1:7">
      <c r="A198" t="s">
        <v>142</v>
      </c>
      <c r="B198">
        <v>10</v>
      </c>
      <c r="C198" t="s">
        <v>155</v>
      </c>
      <c r="D198">
        <v>32</v>
      </c>
      <c r="E198">
        <v>11657</v>
      </c>
      <c r="F198">
        <v>3579</v>
      </c>
      <c r="G198" s="1">
        <f t="shared" si="3"/>
        <v>0.30702582139487006</v>
      </c>
    </row>
    <row r="199" spans="1:7">
      <c r="A199" t="s">
        <v>142</v>
      </c>
      <c r="B199">
        <v>11</v>
      </c>
      <c r="C199" t="s">
        <v>33</v>
      </c>
      <c r="D199">
        <v>1</v>
      </c>
      <c r="E199">
        <v>5192</v>
      </c>
      <c r="F199">
        <v>110</v>
      </c>
      <c r="G199" s="1">
        <f t="shared" si="3"/>
        <v>2.1186440677966101E-2</v>
      </c>
    </row>
    <row r="200" spans="1:7">
      <c r="A200" t="s">
        <v>142</v>
      </c>
      <c r="B200">
        <v>11</v>
      </c>
      <c r="C200" t="s">
        <v>178</v>
      </c>
      <c r="D200">
        <v>2</v>
      </c>
      <c r="E200">
        <v>5192</v>
      </c>
      <c r="F200">
        <v>2160</v>
      </c>
      <c r="G200" s="1">
        <f t="shared" si="3"/>
        <v>0.41602465331278893</v>
      </c>
    </row>
    <row r="201" spans="1:7">
      <c r="A201" t="s">
        <v>142</v>
      </c>
      <c r="B201">
        <v>11</v>
      </c>
      <c r="C201" t="s">
        <v>179</v>
      </c>
      <c r="D201">
        <v>3</v>
      </c>
      <c r="E201">
        <v>5192</v>
      </c>
      <c r="F201">
        <v>2235</v>
      </c>
      <c r="G201" s="1">
        <f t="shared" si="3"/>
        <v>0.43046995377503849</v>
      </c>
    </row>
    <row r="202" spans="1:7">
      <c r="A202" t="s">
        <v>142</v>
      </c>
      <c r="B202">
        <v>11</v>
      </c>
      <c r="C202" t="s">
        <v>185</v>
      </c>
      <c r="D202">
        <v>4</v>
      </c>
      <c r="E202">
        <v>5192</v>
      </c>
      <c r="F202">
        <v>2663</v>
      </c>
      <c r="G202" s="1">
        <f t="shared" si="3"/>
        <v>0.51290446841294302</v>
      </c>
    </row>
    <row r="203" spans="1:7">
      <c r="A203" t="s">
        <v>142</v>
      </c>
      <c r="B203">
        <v>11</v>
      </c>
      <c r="C203" t="s">
        <v>180</v>
      </c>
      <c r="D203">
        <v>5</v>
      </c>
      <c r="E203">
        <v>5192</v>
      </c>
      <c r="F203">
        <v>2772</v>
      </c>
      <c r="G203" s="1">
        <f t="shared" si="3"/>
        <v>0.53389830508474578</v>
      </c>
    </row>
    <row r="204" spans="1:7">
      <c r="A204" t="s">
        <v>142</v>
      </c>
      <c r="B204">
        <v>11</v>
      </c>
      <c r="C204" t="s">
        <v>182</v>
      </c>
      <c r="D204">
        <v>6</v>
      </c>
      <c r="E204">
        <v>5192</v>
      </c>
      <c r="F204">
        <v>2842</v>
      </c>
      <c r="G204" s="1">
        <f t="shared" si="3"/>
        <v>0.54738058551617874</v>
      </c>
    </row>
    <row r="205" spans="1:7">
      <c r="A205" t="s">
        <v>142</v>
      </c>
      <c r="B205">
        <v>11</v>
      </c>
      <c r="C205" t="s">
        <v>187</v>
      </c>
      <c r="D205">
        <v>7</v>
      </c>
      <c r="E205">
        <v>5192</v>
      </c>
      <c r="F205">
        <v>2876</v>
      </c>
      <c r="G205" s="1">
        <f t="shared" si="3"/>
        <v>0.55392912172573194</v>
      </c>
    </row>
    <row r="206" spans="1:7">
      <c r="A206" t="s">
        <v>142</v>
      </c>
      <c r="B206">
        <v>11</v>
      </c>
      <c r="C206" t="s">
        <v>181</v>
      </c>
      <c r="D206">
        <v>8</v>
      </c>
      <c r="E206">
        <v>5192</v>
      </c>
      <c r="F206">
        <v>2877</v>
      </c>
      <c r="G206" s="1">
        <f t="shared" si="3"/>
        <v>0.55412172573189522</v>
      </c>
    </row>
    <row r="207" spans="1:7">
      <c r="A207" t="s">
        <v>142</v>
      </c>
      <c r="B207">
        <v>11</v>
      </c>
      <c r="C207" t="s">
        <v>186</v>
      </c>
      <c r="D207">
        <v>9</v>
      </c>
      <c r="E207">
        <v>5192</v>
      </c>
      <c r="F207">
        <v>2878</v>
      </c>
      <c r="G207" s="1">
        <f t="shared" si="3"/>
        <v>0.5543143297380585</v>
      </c>
    </row>
    <row r="208" spans="1:7">
      <c r="A208" t="s">
        <v>142</v>
      </c>
      <c r="B208">
        <v>11</v>
      </c>
      <c r="C208" t="s">
        <v>184</v>
      </c>
      <c r="D208">
        <v>10</v>
      </c>
      <c r="E208">
        <v>5192</v>
      </c>
      <c r="F208">
        <v>2899</v>
      </c>
      <c r="G208" s="1">
        <f t="shared" si="3"/>
        <v>0.55835901386748843</v>
      </c>
    </row>
    <row r="209" spans="1:7">
      <c r="A209" t="s">
        <v>142</v>
      </c>
      <c r="B209">
        <v>11</v>
      </c>
      <c r="C209" t="s">
        <v>183</v>
      </c>
      <c r="D209">
        <v>11</v>
      </c>
      <c r="E209">
        <v>5192</v>
      </c>
      <c r="F209">
        <v>2975</v>
      </c>
      <c r="G209" s="1">
        <f t="shared" si="3"/>
        <v>0.57299691833590138</v>
      </c>
    </row>
    <row r="210" spans="1:7">
      <c r="A210" t="s">
        <v>142</v>
      </c>
      <c r="B210">
        <v>11</v>
      </c>
      <c r="C210" t="s">
        <v>189</v>
      </c>
      <c r="D210">
        <v>12</v>
      </c>
      <c r="E210">
        <v>5192</v>
      </c>
      <c r="F210">
        <v>5109</v>
      </c>
      <c r="G210" s="1">
        <f t="shared" si="3"/>
        <v>0.98401386748844377</v>
      </c>
    </row>
    <row r="211" spans="1:7">
      <c r="A211" t="s">
        <v>142</v>
      </c>
      <c r="B211">
        <v>11</v>
      </c>
      <c r="C211" t="s">
        <v>188</v>
      </c>
      <c r="D211">
        <v>13</v>
      </c>
      <c r="E211">
        <v>5192</v>
      </c>
      <c r="F211">
        <v>5283</v>
      </c>
      <c r="G211" s="1">
        <f t="shared" si="3"/>
        <v>1.0175269645608629</v>
      </c>
    </row>
    <row r="212" spans="1:7">
      <c r="A212" t="s">
        <v>142</v>
      </c>
      <c r="B212">
        <v>12</v>
      </c>
      <c r="C212" t="s">
        <v>33</v>
      </c>
      <c r="D212">
        <v>1</v>
      </c>
      <c r="E212">
        <v>3253</v>
      </c>
      <c r="F212">
        <v>95</v>
      </c>
      <c r="G212" s="1">
        <f t="shared" si="3"/>
        <v>2.9203811865969875E-2</v>
      </c>
    </row>
    <row r="213" spans="1:7">
      <c r="A213" t="s">
        <v>142</v>
      </c>
      <c r="B213">
        <v>12</v>
      </c>
      <c r="C213" t="s">
        <v>192</v>
      </c>
      <c r="D213">
        <v>2</v>
      </c>
      <c r="E213">
        <v>3253</v>
      </c>
      <c r="F213">
        <v>2014</v>
      </c>
      <c r="G213" s="1">
        <f t="shared" si="3"/>
        <v>0.61912081155856136</v>
      </c>
    </row>
    <row r="214" spans="1:7">
      <c r="A214" t="s">
        <v>142</v>
      </c>
      <c r="B214">
        <v>12</v>
      </c>
      <c r="C214" t="s">
        <v>205</v>
      </c>
      <c r="D214">
        <v>3</v>
      </c>
      <c r="E214">
        <v>3253</v>
      </c>
      <c r="F214">
        <v>2140</v>
      </c>
      <c r="G214" s="1">
        <f t="shared" si="3"/>
        <v>0.65785428834921611</v>
      </c>
    </row>
    <row r="215" spans="1:7">
      <c r="A215" t="s">
        <v>142</v>
      </c>
      <c r="B215">
        <v>12</v>
      </c>
      <c r="C215" t="s">
        <v>190</v>
      </c>
      <c r="D215">
        <v>4</v>
      </c>
      <c r="E215">
        <v>3253</v>
      </c>
      <c r="F215">
        <v>2256</v>
      </c>
      <c r="G215" s="1">
        <f t="shared" si="3"/>
        <v>0.69351367968029509</v>
      </c>
    </row>
    <row r="216" spans="1:7">
      <c r="A216" t="s">
        <v>142</v>
      </c>
      <c r="B216">
        <v>12</v>
      </c>
      <c r="C216" t="s">
        <v>193</v>
      </c>
      <c r="D216">
        <v>5</v>
      </c>
      <c r="E216">
        <v>3253</v>
      </c>
      <c r="F216">
        <v>2367</v>
      </c>
      <c r="G216" s="1">
        <f t="shared" si="3"/>
        <v>0.72763602828158624</v>
      </c>
    </row>
    <row r="217" spans="1:7">
      <c r="A217" t="s">
        <v>142</v>
      </c>
      <c r="B217">
        <v>12</v>
      </c>
      <c r="C217" t="s">
        <v>199</v>
      </c>
      <c r="D217">
        <v>6</v>
      </c>
      <c r="E217">
        <v>3253</v>
      </c>
      <c r="F217">
        <v>2430</v>
      </c>
      <c r="G217" s="1">
        <f t="shared" si="3"/>
        <v>0.74700276667691357</v>
      </c>
    </row>
    <row r="218" spans="1:7">
      <c r="A218" t="s">
        <v>142</v>
      </c>
      <c r="B218">
        <v>12</v>
      </c>
      <c r="C218" t="s">
        <v>204</v>
      </c>
      <c r="D218">
        <v>7</v>
      </c>
      <c r="E218">
        <v>3253</v>
      </c>
      <c r="F218">
        <v>2439</v>
      </c>
      <c r="G218" s="1">
        <f t="shared" si="3"/>
        <v>0.74976944359053177</v>
      </c>
    </row>
    <row r="219" spans="1:7">
      <c r="A219" t="s">
        <v>142</v>
      </c>
      <c r="B219">
        <v>12</v>
      </c>
      <c r="C219" t="s">
        <v>200</v>
      </c>
      <c r="D219">
        <v>8</v>
      </c>
      <c r="E219">
        <v>3253</v>
      </c>
      <c r="F219">
        <v>2550</v>
      </c>
      <c r="G219" s="1">
        <f t="shared" si="3"/>
        <v>0.78389179219182292</v>
      </c>
    </row>
    <row r="220" spans="1:7">
      <c r="A220" t="s">
        <v>142</v>
      </c>
      <c r="B220">
        <v>12</v>
      </c>
      <c r="C220" t="s">
        <v>203</v>
      </c>
      <c r="D220">
        <v>9</v>
      </c>
      <c r="E220">
        <v>3253</v>
      </c>
      <c r="F220">
        <v>2592</v>
      </c>
      <c r="G220" s="1">
        <f t="shared" si="3"/>
        <v>0.79680295112204125</v>
      </c>
    </row>
    <row r="221" spans="1:7">
      <c r="A221" t="s">
        <v>142</v>
      </c>
      <c r="B221">
        <v>12</v>
      </c>
      <c r="C221" t="s">
        <v>191</v>
      </c>
      <c r="D221">
        <v>10</v>
      </c>
      <c r="E221">
        <v>3253</v>
      </c>
      <c r="F221">
        <v>2634</v>
      </c>
      <c r="G221" s="1">
        <f t="shared" si="3"/>
        <v>0.80971411005225946</v>
      </c>
    </row>
    <row r="222" spans="1:7">
      <c r="A222" t="s">
        <v>142</v>
      </c>
      <c r="B222">
        <v>12</v>
      </c>
      <c r="C222" t="s">
        <v>201</v>
      </c>
      <c r="D222">
        <v>11</v>
      </c>
      <c r="E222">
        <v>3253</v>
      </c>
      <c r="F222">
        <v>2745</v>
      </c>
      <c r="G222" s="1">
        <f t="shared" si="3"/>
        <v>0.84383645865355061</v>
      </c>
    </row>
    <row r="223" spans="1:7">
      <c r="A223" t="s">
        <v>142</v>
      </c>
      <c r="B223">
        <v>12</v>
      </c>
      <c r="C223" t="s">
        <v>195</v>
      </c>
      <c r="D223">
        <v>12</v>
      </c>
      <c r="E223">
        <v>3253</v>
      </c>
      <c r="F223">
        <v>2829</v>
      </c>
      <c r="G223" s="1">
        <f t="shared" si="3"/>
        <v>0.86965877651398704</v>
      </c>
    </row>
    <row r="224" spans="1:7">
      <c r="A224" t="s">
        <v>142</v>
      </c>
      <c r="B224">
        <v>12</v>
      </c>
      <c r="C224" t="s">
        <v>194</v>
      </c>
      <c r="D224">
        <v>13</v>
      </c>
      <c r="E224">
        <v>3253</v>
      </c>
      <c r="F224">
        <v>2867</v>
      </c>
      <c r="G224" s="1">
        <f t="shared" si="3"/>
        <v>0.88134030126037499</v>
      </c>
    </row>
    <row r="225" spans="1:7">
      <c r="A225" t="s">
        <v>142</v>
      </c>
      <c r="B225">
        <v>12</v>
      </c>
      <c r="C225" t="s">
        <v>198</v>
      </c>
      <c r="D225">
        <v>14</v>
      </c>
      <c r="E225">
        <v>3253</v>
      </c>
      <c r="F225">
        <v>2964</v>
      </c>
      <c r="G225" s="1">
        <f t="shared" si="3"/>
        <v>0.91115893021826011</v>
      </c>
    </row>
    <row r="226" spans="1:7">
      <c r="A226" t="s">
        <v>142</v>
      </c>
      <c r="B226">
        <v>12</v>
      </c>
      <c r="C226" t="s">
        <v>197</v>
      </c>
      <c r="D226">
        <v>15</v>
      </c>
      <c r="E226">
        <v>3253</v>
      </c>
      <c r="F226">
        <v>3034</v>
      </c>
      <c r="G226" s="1">
        <f t="shared" si="3"/>
        <v>0.9326775284352905</v>
      </c>
    </row>
    <row r="227" spans="1:7">
      <c r="A227" t="s">
        <v>142</v>
      </c>
      <c r="B227">
        <v>12</v>
      </c>
      <c r="C227" t="s">
        <v>196</v>
      </c>
      <c r="D227">
        <v>16</v>
      </c>
      <c r="E227">
        <v>3253</v>
      </c>
      <c r="F227">
        <v>3139</v>
      </c>
      <c r="G227" s="1">
        <f t="shared" si="3"/>
        <v>0.96495542576083615</v>
      </c>
    </row>
    <row r="228" spans="1:7">
      <c r="A228" t="s">
        <v>142</v>
      </c>
      <c r="B228">
        <v>12</v>
      </c>
      <c r="C228" t="s">
        <v>202</v>
      </c>
      <c r="D228">
        <v>17</v>
      </c>
      <c r="E228">
        <v>3253</v>
      </c>
      <c r="F228">
        <v>3355</v>
      </c>
      <c r="G228" s="1">
        <f t="shared" si="3"/>
        <v>1.0313556716876728</v>
      </c>
    </row>
    <row r="229" spans="1:7">
      <c r="A229" t="s">
        <v>206</v>
      </c>
      <c r="B229">
        <v>1</v>
      </c>
      <c r="C229" t="s">
        <v>207</v>
      </c>
      <c r="D229">
        <v>1</v>
      </c>
      <c r="E229">
        <v>2367</v>
      </c>
      <c r="F229">
        <v>955</v>
      </c>
      <c r="G229" s="1">
        <f t="shared" si="3"/>
        <v>0.40346430080270385</v>
      </c>
    </row>
    <row r="230" spans="1:7">
      <c r="A230" t="s">
        <v>206</v>
      </c>
      <c r="B230">
        <v>1</v>
      </c>
      <c r="C230" t="s">
        <v>213</v>
      </c>
      <c r="D230">
        <v>2</v>
      </c>
      <c r="E230">
        <v>2367</v>
      </c>
      <c r="F230">
        <v>1182</v>
      </c>
      <c r="G230" s="1">
        <f t="shared" si="3"/>
        <v>0.49936628643852976</v>
      </c>
    </row>
    <row r="231" spans="1:7">
      <c r="A231" t="s">
        <v>206</v>
      </c>
      <c r="B231">
        <v>1</v>
      </c>
      <c r="C231" t="s">
        <v>208</v>
      </c>
      <c r="D231">
        <v>3</v>
      </c>
      <c r="E231">
        <v>2367</v>
      </c>
      <c r="F231">
        <v>1203</v>
      </c>
      <c r="G231" s="1">
        <f t="shared" si="3"/>
        <v>0.50823827629911278</v>
      </c>
    </row>
    <row r="232" spans="1:7">
      <c r="A232" t="s">
        <v>206</v>
      </c>
      <c r="B232">
        <v>1</v>
      </c>
      <c r="C232" t="s">
        <v>210</v>
      </c>
      <c r="D232">
        <v>4</v>
      </c>
      <c r="E232">
        <v>2367</v>
      </c>
      <c r="F232">
        <v>1232</v>
      </c>
      <c r="G232" s="1">
        <f t="shared" si="3"/>
        <v>0.52049007182087026</v>
      </c>
    </row>
    <row r="233" spans="1:7">
      <c r="A233" t="s">
        <v>206</v>
      </c>
      <c r="B233">
        <v>1</v>
      </c>
      <c r="C233" t="s">
        <v>212</v>
      </c>
      <c r="D233">
        <v>5</v>
      </c>
      <c r="E233">
        <v>2367</v>
      </c>
      <c r="F233">
        <v>2048</v>
      </c>
      <c r="G233" s="1">
        <f t="shared" si="3"/>
        <v>0.86523024926066749</v>
      </c>
    </row>
    <row r="234" spans="1:7">
      <c r="A234" t="s">
        <v>206</v>
      </c>
      <c r="B234">
        <v>1</v>
      </c>
      <c r="C234" t="s">
        <v>211</v>
      </c>
      <c r="D234">
        <v>6</v>
      </c>
      <c r="E234">
        <v>2367</v>
      </c>
      <c r="F234">
        <v>2074</v>
      </c>
      <c r="G234" s="1">
        <f t="shared" si="3"/>
        <v>0.87621461765948461</v>
      </c>
    </row>
    <row r="235" spans="1:7">
      <c r="A235" t="s">
        <v>206</v>
      </c>
      <c r="B235">
        <v>1</v>
      </c>
      <c r="C235" t="s">
        <v>209</v>
      </c>
      <c r="D235">
        <v>7</v>
      </c>
      <c r="E235">
        <v>2367</v>
      </c>
      <c r="F235">
        <v>2127</v>
      </c>
      <c r="G235" s="1">
        <f t="shared" si="3"/>
        <v>0.89860583016476547</v>
      </c>
    </row>
    <row r="236" spans="1:7">
      <c r="A236" t="s">
        <v>214</v>
      </c>
      <c r="B236">
        <v>1</v>
      </c>
      <c r="C236" t="s">
        <v>216</v>
      </c>
      <c r="D236">
        <v>1</v>
      </c>
      <c r="E236">
        <v>11230</v>
      </c>
      <c r="F236">
        <v>379</v>
      </c>
      <c r="G236" s="1">
        <f t="shared" si="3"/>
        <v>3.374888691006233E-2</v>
      </c>
    </row>
    <row r="237" spans="1:7">
      <c r="A237" t="s">
        <v>214</v>
      </c>
      <c r="B237">
        <v>1</v>
      </c>
      <c r="C237" t="s">
        <v>215</v>
      </c>
      <c r="D237">
        <v>2</v>
      </c>
      <c r="E237">
        <v>11230</v>
      </c>
      <c r="F237">
        <v>435</v>
      </c>
      <c r="G237" s="1">
        <f t="shared" si="3"/>
        <v>3.8735529830810328E-2</v>
      </c>
    </row>
    <row r="238" spans="1:7">
      <c r="A238" t="s">
        <v>214</v>
      </c>
      <c r="B238">
        <v>1</v>
      </c>
      <c r="C238" t="s">
        <v>217</v>
      </c>
      <c r="D238">
        <v>3</v>
      </c>
      <c r="E238">
        <v>11230</v>
      </c>
      <c r="F238">
        <v>489</v>
      </c>
      <c r="G238" s="1">
        <f t="shared" si="3"/>
        <v>4.354407836153161E-2</v>
      </c>
    </row>
    <row r="239" spans="1:7">
      <c r="A239" t="s">
        <v>214</v>
      </c>
      <c r="B239">
        <v>1</v>
      </c>
      <c r="C239" t="s">
        <v>225</v>
      </c>
      <c r="D239">
        <v>4</v>
      </c>
      <c r="E239">
        <v>11230</v>
      </c>
      <c r="F239">
        <v>502</v>
      </c>
      <c r="G239" s="1">
        <f t="shared" si="3"/>
        <v>4.4701691896705253E-2</v>
      </c>
    </row>
    <row r="240" spans="1:7">
      <c r="A240" t="s">
        <v>214</v>
      </c>
      <c r="B240">
        <v>1</v>
      </c>
      <c r="C240" t="s">
        <v>218</v>
      </c>
      <c r="D240">
        <v>5</v>
      </c>
      <c r="E240">
        <v>11230</v>
      </c>
      <c r="F240">
        <v>517</v>
      </c>
      <c r="G240" s="1">
        <f t="shared" si="3"/>
        <v>4.6037399821905613E-2</v>
      </c>
    </row>
    <row r="241" spans="1:7">
      <c r="A241" t="s">
        <v>214</v>
      </c>
      <c r="B241">
        <v>1</v>
      </c>
      <c r="C241" t="s">
        <v>227</v>
      </c>
      <c r="D241">
        <v>6</v>
      </c>
      <c r="E241">
        <v>11230</v>
      </c>
      <c r="F241">
        <v>562</v>
      </c>
      <c r="G241" s="1">
        <f t="shared" si="3"/>
        <v>5.0044523597506677E-2</v>
      </c>
    </row>
    <row r="242" spans="1:7">
      <c r="A242" t="s">
        <v>214</v>
      </c>
      <c r="B242">
        <v>1</v>
      </c>
      <c r="C242" t="s">
        <v>219</v>
      </c>
      <c r="D242">
        <v>7</v>
      </c>
      <c r="E242">
        <v>11230</v>
      </c>
      <c r="F242">
        <v>564</v>
      </c>
      <c r="G242" s="1">
        <f t="shared" si="3"/>
        <v>5.0222617987533393E-2</v>
      </c>
    </row>
    <row r="243" spans="1:7">
      <c r="A243" t="s">
        <v>214</v>
      </c>
      <c r="B243">
        <v>1</v>
      </c>
      <c r="C243" t="s">
        <v>228</v>
      </c>
      <c r="D243">
        <v>8</v>
      </c>
      <c r="E243">
        <v>11230</v>
      </c>
      <c r="F243">
        <v>583</v>
      </c>
      <c r="G243" s="1">
        <f t="shared" si="3"/>
        <v>5.1914514692787177E-2</v>
      </c>
    </row>
    <row r="244" spans="1:7">
      <c r="A244" t="s">
        <v>214</v>
      </c>
      <c r="B244">
        <v>1</v>
      </c>
      <c r="C244" t="s">
        <v>223</v>
      </c>
      <c r="D244">
        <v>9</v>
      </c>
      <c r="E244">
        <v>11230</v>
      </c>
      <c r="F244">
        <v>599</v>
      </c>
      <c r="G244" s="1">
        <f t="shared" si="3"/>
        <v>5.333926981300089E-2</v>
      </c>
    </row>
    <row r="245" spans="1:7">
      <c r="A245" t="s">
        <v>214</v>
      </c>
      <c r="B245">
        <v>1</v>
      </c>
      <c r="C245" t="s">
        <v>226</v>
      </c>
      <c r="D245">
        <v>10</v>
      </c>
      <c r="E245">
        <v>11230</v>
      </c>
      <c r="F245">
        <v>600</v>
      </c>
      <c r="G245" s="1">
        <f t="shared" si="3"/>
        <v>5.3428317008014245E-2</v>
      </c>
    </row>
    <row r="246" spans="1:7">
      <c r="A246" t="s">
        <v>214</v>
      </c>
      <c r="B246">
        <v>1</v>
      </c>
      <c r="C246" t="s">
        <v>222</v>
      </c>
      <c r="D246">
        <v>11</v>
      </c>
      <c r="E246">
        <v>11230</v>
      </c>
      <c r="F246">
        <v>638</v>
      </c>
      <c r="G246" s="1">
        <f t="shared" si="3"/>
        <v>5.6812110418521813E-2</v>
      </c>
    </row>
    <row r="247" spans="1:7">
      <c r="A247" t="s">
        <v>214</v>
      </c>
      <c r="B247">
        <v>1</v>
      </c>
      <c r="C247" t="s">
        <v>224</v>
      </c>
      <c r="D247">
        <v>12</v>
      </c>
      <c r="E247">
        <v>11230</v>
      </c>
      <c r="F247">
        <v>640</v>
      </c>
      <c r="G247" s="1">
        <f t="shared" si="3"/>
        <v>5.6990204808548529E-2</v>
      </c>
    </row>
    <row r="248" spans="1:7">
      <c r="A248" t="s">
        <v>214</v>
      </c>
      <c r="B248">
        <v>1</v>
      </c>
      <c r="C248" t="s">
        <v>422</v>
      </c>
      <c r="D248">
        <v>13</v>
      </c>
      <c r="E248">
        <v>11230</v>
      </c>
      <c r="F248">
        <v>674</v>
      </c>
      <c r="G248" s="1">
        <f t="shared" si="3"/>
        <v>6.0017809439002673E-2</v>
      </c>
    </row>
    <row r="249" spans="1:7">
      <c r="A249" t="s">
        <v>214</v>
      </c>
      <c r="B249">
        <v>1</v>
      </c>
      <c r="C249" t="s">
        <v>221</v>
      </c>
      <c r="D249">
        <v>14</v>
      </c>
      <c r="E249">
        <v>11230</v>
      </c>
      <c r="F249">
        <v>675</v>
      </c>
      <c r="G249" s="1">
        <f t="shared" si="3"/>
        <v>6.0106856634016027E-2</v>
      </c>
    </row>
    <row r="250" spans="1:7">
      <c r="A250" t="s">
        <v>214</v>
      </c>
      <c r="B250">
        <v>1</v>
      </c>
      <c r="C250" t="s">
        <v>220</v>
      </c>
      <c r="D250">
        <v>15</v>
      </c>
      <c r="E250">
        <v>11230</v>
      </c>
      <c r="F250">
        <v>678</v>
      </c>
      <c r="G250" s="1">
        <f t="shared" si="3"/>
        <v>6.0373998219056098E-2</v>
      </c>
    </row>
    <row r="251" spans="1:7">
      <c r="A251" t="s">
        <v>214</v>
      </c>
      <c r="B251">
        <v>1</v>
      </c>
      <c r="C251" t="s">
        <v>229</v>
      </c>
      <c r="D251">
        <v>16</v>
      </c>
      <c r="E251">
        <v>11230</v>
      </c>
      <c r="F251">
        <v>10968</v>
      </c>
      <c r="G251" s="1">
        <f t="shared" si="3"/>
        <v>0.97666963490650049</v>
      </c>
    </row>
    <row r="252" spans="1:7">
      <c r="A252" t="s">
        <v>214</v>
      </c>
      <c r="B252">
        <v>3</v>
      </c>
      <c r="C252" t="s">
        <v>231</v>
      </c>
      <c r="D252">
        <v>1</v>
      </c>
      <c r="E252">
        <v>18821</v>
      </c>
      <c r="F252">
        <v>13566</v>
      </c>
      <c r="G252" s="1">
        <f t="shared" si="3"/>
        <v>0.72079060623771318</v>
      </c>
    </row>
    <row r="253" spans="1:7">
      <c r="A253" t="s">
        <v>214</v>
      </c>
      <c r="B253">
        <v>3</v>
      </c>
      <c r="C253" t="s">
        <v>230</v>
      </c>
      <c r="D253">
        <v>2</v>
      </c>
      <c r="E253">
        <v>18821</v>
      </c>
      <c r="F253">
        <v>17095</v>
      </c>
      <c r="G253" s="1">
        <f t="shared" si="3"/>
        <v>0.90829392699644018</v>
      </c>
    </row>
    <row r="254" spans="1:7">
      <c r="A254" t="s">
        <v>214</v>
      </c>
      <c r="B254">
        <v>3</v>
      </c>
      <c r="C254" t="s">
        <v>232</v>
      </c>
      <c r="D254">
        <v>3</v>
      </c>
      <c r="E254">
        <v>18821</v>
      </c>
      <c r="F254">
        <v>18486</v>
      </c>
      <c r="G254" s="1">
        <f t="shared" si="3"/>
        <v>0.98220073322352686</v>
      </c>
    </row>
    <row r="255" spans="1:7">
      <c r="A255" t="s">
        <v>214</v>
      </c>
      <c r="B255">
        <v>4</v>
      </c>
      <c r="C255" t="s">
        <v>234</v>
      </c>
      <c r="D255">
        <v>1</v>
      </c>
      <c r="E255">
        <v>3918</v>
      </c>
      <c r="F255">
        <v>3476</v>
      </c>
      <c r="G255" s="1">
        <f t="shared" si="3"/>
        <v>0.88718734047983661</v>
      </c>
    </row>
    <row r="256" spans="1:7">
      <c r="A256" t="s">
        <v>214</v>
      </c>
      <c r="B256">
        <v>4</v>
      </c>
      <c r="C256" t="s">
        <v>240</v>
      </c>
      <c r="D256">
        <v>2</v>
      </c>
      <c r="E256">
        <v>3918</v>
      </c>
      <c r="F256">
        <v>3483</v>
      </c>
      <c r="G256" s="1">
        <f t="shared" si="3"/>
        <v>0.88897396630934145</v>
      </c>
    </row>
    <row r="257" spans="1:7">
      <c r="A257" t="s">
        <v>214</v>
      </c>
      <c r="B257">
        <v>4</v>
      </c>
      <c r="C257" t="s">
        <v>233</v>
      </c>
      <c r="D257">
        <v>3</v>
      </c>
      <c r="E257">
        <v>3918</v>
      </c>
      <c r="F257">
        <v>3552</v>
      </c>
      <c r="G257" s="1">
        <f t="shared" si="3"/>
        <v>0.90658499234303214</v>
      </c>
    </row>
    <row r="258" spans="1:7">
      <c r="A258" t="s">
        <v>214</v>
      </c>
      <c r="B258">
        <v>4</v>
      </c>
      <c r="C258" t="s">
        <v>237</v>
      </c>
      <c r="D258">
        <v>4</v>
      </c>
      <c r="E258">
        <v>3918</v>
      </c>
      <c r="F258">
        <v>3583</v>
      </c>
      <c r="G258" s="1">
        <f t="shared" ref="G258:G321" si="4">F258/E258</f>
        <v>0.91449719244512506</v>
      </c>
    </row>
    <row r="259" spans="1:7">
      <c r="A259" t="s">
        <v>214</v>
      </c>
      <c r="B259">
        <v>4</v>
      </c>
      <c r="C259" t="s">
        <v>235</v>
      </c>
      <c r="D259">
        <v>5</v>
      </c>
      <c r="E259">
        <v>3918</v>
      </c>
      <c r="F259">
        <v>3665</v>
      </c>
      <c r="G259" s="1">
        <f t="shared" si="4"/>
        <v>0.93542623787646761</v>
      </c>
    </row>
    <row r="260" spans="1:7">
      <c r="A260" t="s">
        <v>214</v>
      </c>
      <c r="B260">
        <v>4</v>
      </c>
      <c r="C260" t="s">
        <v>239</v>
      </c>
      <c r="D260">
        <v>6</v>
      </c>
      <c r="E260">
        <v>3918</v>
      </c>
      <c r="F260">
        <v>3730</v>
      </c>
      <c r="G260" s="1">
        <f t="shared" si="4"/>
        <v>0.95201633486472692</v>
      </c>
    </row>
    <row r="261" spans="1:7">
      <c r="A261" t="s">
        <v>214</v>
      </c>
      <c r="B261">
        <v>4</v>
      </c>
      <c r="C261" t="s">
        <v>241</v>
      </c>
      <c r="D261">
        <v>7</v>
      </c>
      <c r="E261">
        <v>3918</v>
      </c>
      <c r="F261">
        <v>3806</v>
      </c>
      <c r="G261" s="1">
        <f t="shared" si="4"/>
        <v>0.97141398672792245</v>
      </c>
    </row>
    <row r="262" spans="1:7">
      <c r="A262" t="s">
        <v>214</v>
      </c>
      <c r="B262">
        <v>4</v>
      </c>
      <c r="C262" t="s">
        <v>238</v>
      </c>
      <c r="D262">
        <v>8</v>
      </c>
      <c r="E262">
        <v>3918</v>
      </c>
      <c r="F262">
        <v>3873</v>
      </c>
      <c r="G262" s="1">
        <f t="shared" si="4"/>
        <v>0.98851454823889739</v>
      </c>
    </row>
    <row r="263" spans="1:7">
      <c r="A263" t="s">
        <v>214</v>
      </c>
      <c r="B263">
        <v>4</v>
      </c>
      <c r="C263" t="s">
        <v>236</v>
      </c>
      <c r="D263">
        <v>9</v>
      </c>
      <c r="E263">
        <v>3918</v>
      </c>
      <c r="F263">
        <v>4828</v>
      </c>
      <c r="G263" s="1">
        <f t="shared" si="4"/>
        <v>1.2322613578356305</v>
      </c>
    </row>
    <row r="264" spans="1:7">
      <c r="A264" t="s">
        <v>214</v>
      </c>
      <c r="B264">
        <v>6</v>
      </c>
      <c r="C264" t="s">
        <v>243</v>
      </c>
      <c r="D264">
        <v>1</v>
      </c>
      <c r="E264">
        <v>5311</v>
      </c>
      <c r="F264">
        <v>3385</v>
      </c>
      <c r="G264" s="1">
        <f t="shared" si="4"/>
        <v>0.63735643005083786</v>
      </c>
    </row>
    <row r="265" spans="1:7">
      <c r="A265" t="s">
        <v>214</v>
      </c>
      <c r="B265">
        <v>6</v>
      </c>
      <c r="C265" t="s">
        <v>242</v>
      </c>
      <c r="D265">
        <v>2</v>
      </c>
      <c r="E265">
        <v>5311</v>
      </c>
      <c r="F265">
        <v>3400</v>
      </c>
      <c r="G265" s="1">
        <f t="shared" si="4"/>
        <v>0.64018075691960086</v>
      </c>
    </row>
    <row r="266" spans="1:7">
      <c r="A266" t="s">
        <v>214</v>
      </c>
      <c r="B266">
        <v>7</v>
      </c>
      <c r="C266" t="s">
        <v>19</v>
      </c>
      <c r="D266">
        <v>1</v>
      </c>
      <c r="E266">
        <v>1016</v>
      </c>
      <c r="F266">
        <v>82</v>
      </c>
      <c r="G266" s="1">
        <f t="shared" si="4"/>
        <v>8.070866141732283E-2</v>
      </c>
    </row>
    <row r="267" spans="1:7">
      <c r="A267" t="s">
        <v>214</v>
      </c>
      <c r="B267">
        <v>7</v>
      </c>
      <c r="C267" t="s">
        <v>1</v>
      </c>
      <c r="D267">
        <v>2</v>
      </c>
      <c r="E267">
        <v>1016</v>
      </c>
      <c r="F267">
        <v>145</v>
      </c>
      <c r="G267" s="1">
        <f t="shared" si="4"/>
        <v>0.14271653543307086</v>
      </c>
    </row>
    <row r="268" spans="1:7">
      <c r="A268" t="s">
        <v>214</v>
      </c>
      <c r="B268">
        <v>7</v>
      </c>
      <c r="C268" t="s">
        <v>20</v>
      </c>
      <c r="D268">
        <v>3</v>
      </c>
      <c r="E268">
        <v>1016</v>
      </c>
      <c r="F268">
        <v>216</v>
      </c>
      <c r="G268" s="1">
        <f t="shared" si="4"/>
        <v>0.2125984251968504</v>
      </c>
    </row>
    <row r="269" spans="1:7">
      <c r="A269" t="s">
        <v>214</v>
      </c>
      <c r="B269">
        <v>7</v>
      </c>
      <c r="C269" t="s">
        <v>244</v>
      </c>
      <c r="D269">
        <v>4</v>
      </c>
      <c r="E269">
        <v>1016</v>
      </c>
      <c r="F269">
        <v>412</v>
      </c>
      <c r="G269" s="1">
        <f t="shared" si="4"/>
        <v>0.40551181102362205</v>
      </c>
    </row>
    <row r="270" spans="1:7">
      <c r="A270" t="s">
        <v>214</v>
      </c>
      <c r="B270">
        <v>7</v>
      </c>
      <c r="C270" t="s">
        <v>22</v>
      </c>
      <c r="D270">
        <v>5</v>
      </c>
      <c r="E270">
        <v>1016</v>
      </c>
      <c r="F270">
        <v>851</v>
      </c>
      <c r="G270" s="1">
        <f t="shared" si="4"/>
        <v>0.83759842519685035</v>
      </c>
    </row>
    <row r="271" spans="1:7">
      <c r="A271" t="s">
        <v>214</v>
      </c>
      <c r="B271">
        <v>7</v>
      </c>
      <c r="C271" t="s">
        <v>245</v>
      </c>
      <c r="D271">
        <v>6</v>
      </c>
      <c r="E271">
        <v>1016</v>
      </c>
      <c r="F271">
        <v>888</v>
      </c>
      <c r="G271" s="1">
        <f t="shared" si="4"/>
        <v>0.87401574803149606</v>
      </c>
    </row>
    <row r="272" spans="1:7">
      <c r="A272" t="s">
        <v>214</v>
      </c>
      <c r="B272">
        <v>7</v>
      </c>
      <c r="C272" t="s">
        <v>246</v>
      </c>
      <c r="D272">
        <v>7</v>
      </c>
      <c r="E272">
        <v>1016</v>
      </c>
      <c r="F272">
        <v>1016</v>
      </c>
      <c r="G272" s="1">
        <f t="shared" si="4"/>
        <v>1</v>
      </c>
    </row>
    <row r="273" spans="1:7">
      <c r="A273" t="s">
        <v>247</v>
      </c>
      <c r="B273">
        <v>3</v>
      </c>
      <c r="C273" t="s">
        <v>33</v>
      </c>
      <c r="D273">
        <v>1</v>
      </c>
      <c r="E273">
        <v>4575</v>
      </c>
      <c r="F273">
        <v>318</v>
      </c>
      <c r="G273" s="1">
        <f t="shared" si="4"/>
        <v>6.9508196721311477E-2</v>
      </c>
    </row>
    <row r="274" spans="1:7">
      <c r="A274" t="s">
        <v>247</v>
      </c>
      <c r="B274">
        <v>3</v>
      </c>
      <c r="C274" t="s">
        <v>249</v>
      </c>
      <c r="D274">
        <v>2</v>
      </c>
      <c r="E274">
        <v>4575</v>
      </c>
      <c r="F274">
        <v>2861</v>
      </c>
      <c r="G274" s="1">
        <f t="shared" si="4"/>
        <v>0.62535519125683059</v>
      </c>
    </row>
    <row r="275" spans="1:7">
      <c r="A275" t="s">
        <v>247</v>
      </c>
      <c r="B275">
        <v>3</v>
      </c>
      <c r="C275" t="s">
        <v>248</v>
      </c>
      <c r="D275">
        <v>3</v>
      </c>
      <c r="E275">
        <v>4575</v>
      </c>
      <c r="F275">
        <v>2925</v>
      </c>
      <c r="G275" s="1">
        <f t="shared" si="4"/>
        <v>0.63934426229508201</v>
      </c>
    </row>
    <row r="276" spans="1:7">
      <c r="A276" t="s">
        <v>247</v>
      </c>
      <c r="B276">
        <v>7</v>
      </c>
      <c r="C276" t="s">
        <v>36</v>
      </c>
      <c r="D276">
        <v>1</v>
      </c>
      <c r="E276">
        <v>4268</v>
      </c>
      <c r="F276">
        <v>53</v>
      </c>
      <c r="G276" s="1">
        <f t="shared" si="4"/>
        <v>1.2417994376757264E-2</v>
      </c>
    </row>
    <row r="277" spans="1:7">
      <c r="A277" t="s">
        <v>247</v>
      </c>
      <c r="B277">
        <v>7</v>
      </c>
      <c r="C277" t="s">
        <v>37</v>
      </c>
      <c r="D277">
        <v>2</v>
      </c>
      <c r="E277">
        <v>4268</v>
      </c>
      <c r="F277">
        <v>117</v>
      </c>
      <c r="G277" s="1">
        <f t="shared" si="4"/>
        <v>2.7413308341143392E-2</v>
      </c>
    </row>
    <row r="278" spans="1:7">
      <c r="A278" t="s">
        <v>247</v>
      </c>
      <c r="B278">
        <v>7</v>
      </c>
      <c r="C278" t="s">
        <v>250</v>
      </c>
      <c r="D278">
        <v>3</v>
      </c>
      <c r="E278">
        <v>4268</v>
      </c>
      <c r="F278">
        <v>310</v>
      </c>
      <c r="G278" s="1">
        <f t="shared" si="4"/>
        <v>7.2633552014995315E-2</v>
      </c>
    </row>
    <row r="279" spans="1:7">
      <c r="A279" t="s">
        <v>247</v>
      </c>
      <c r="B279">
        <v>7</v>
      </c>
      <c r="C279" t="s">
        <v>252</v>
      </c>
      <c r="D279">
        <v>4</v>
      </c>
      <c r="E279">
        <v>4268</v>
      </c>
      <c r="F279">
        <v>462</v>
      </c>
      <c r="G279" s="1">
        <f t="shared" si="4"/>
        <v>0.10824742268041238</v>
      </c>
    </row>
    <row r="280" spans="1:7">
      <c r="A280" t="s">
        <v>247</v>
      </c>
      <c r="B280">
        <v>7</v>
      </c>
      <c r="C280" t="s">
        <v>251</v>
      </c>
      <c r="D280">
        <v>5</v>
      </c>
      <c r="E280">
        <v>4268</v>
      </c>
      <c r="F280">
        <v>463</v>
      </c>
      <c r="G280" s="1">
        <f t="shared" si="4"/>
        <v>0.10848172446110591</v>
      </c>
    </row>
    <row r="281" spans="1:7">
      <c r="A281" t="s">
        <v>247</v>
      </c>
      <c r="B281">
        <v>7</v>
      </c>
      <c r="C281" t="s">
        <v>253</v>
      </c>
      <c r="D281">
        <v>6</v>
      </c>
      <c r="E281">
        <v>4268</v>
      </c>
      <c r="F281">
        <v>4292</v>
      </c>
      <c r="G281" s="1">
        <f t="shared" si="4"/>
        <v>1.0056232427366447</v>
      </c>
    </row>
    <row r="282" spans="1:7">
      <c r="A282" t="s">
        <v>247</v>
      </c>
      <c r="B282">
        <v>8</v>
      </c>
      <c r="C282" t="s">
        <v>33</v>
      </c>
      <c r="D282">
        <v>1</v>
      </c>
      <c r="E282">
        <v>2939</v>
      </c>
      <c r="F282">
        <v>163</v>
      </c>
      <c r="G282" s="1">
        <f t="shared" si="4"/>
        <v>5.5461041170466144E-2</v>
      </c>
    </row>
    <row r="283" spans="1:7">
      <c r="A283" t="s">
        <v>247</v>
      </c>
      <c r="B283">
        <v>8</v>
      </c>
      <c r="C283" t="s">
        <v>34</v>
      </c>
      <c r="D283">
        <v>2</v>
      </c>
      <c r="E283">
        <v>2939</v>
      </c>
      <c r="F283">
        <v>385</v>
      </c>
      <c r="G283" s="1">
        <f t="shared" si="4"/>
        <v>0.1309969377339231</v>
      </c>
    </row>
    <row r="284" spans="1:7">
      <c r="A284" t="s">
        <v>247</v>
      </c>
      <c r="B284">
        <v>8</v>
      </c>
      <c r="C284" t="s">
        <v>35</v>
      </c>
      <c r="D284">
        <v>3</v>
      </c>
      <c r="E284">
        <v>2939</v>
      </c>
      <c r="F284">
        <v>460</v>
      </c>
      <c r="G284" s="1">
        <f t="shared" si="4"/>
        <v>0.15651582170806397</v>
      </c>
    </row>
    <row r="285" spans="1:7">
      <c r="A285" t="s">
        <v>247</v>
      </c>
      <c r="B285">
        <v>8</v>
      </c>
      <c r="C285" t="s">
        <v>255</v>
      </c>
      <c r="D285">
        <v>4</v>
      </c>
      <c r="E285">
        <v>2939</v>
      </c>
      <c r="F285">
        <v>546</v>
      </c>
      <c r="G285" s="1">
        <f t="shared" si="4"/>
        <v>0.18577747533174549</v>
      </c>
    </row>
    <row r="286" spans="1:7">
      <c r="A286" t="s">
        <v>247</v>
      </c>
      <c r="B286">
        <v>8</v>
      </c>
      <c r="C286" t="s">
        <v>254</v>
      </c>
      <c r="D286">
        <v>5</v>
      </c>
      <c r="E286">
        <v>2939</v>
      </c>
      <c r="F286">
        <v>575</v>
      </c>
      <c r="G286" s="1">
        <f t="shared" si="4"/>
        <v>0.19564477713507997</v>
      </c>
    </row>
    <row r="287" spans="1:7">
      <c r="A287" t="s">
        <v>247</v>
      </c>
      <c r="B287">
        <v>8</v>
      </c>
      <c r="C287" t="s">
        <v>258</v>
      </c>
      <c r="D287">
        <v>6</v>
      </c>
      <c r="E287">
        <v>2939</v>
      </c>
      <c r="F287">
        <v>2177</v>
      </c>
      <c r="G287" s="1">
        <f t="shared" si="4"/>
        <v>0.74072813882272881</v>
      </c>
    </row>
    <row r="288" spans="1:7">
      <c r="A288" t="s">
        <v>247</v>
      </c>
      <c r="B288">
        <v>8</v>
      </c>
      <c r="C288" t="s">
        <v>256</v>
      </c>
      <c r="D288">
        <v>7</v>
      </c>
      <c r="E288">
        <v>2939</v>
      </c>
      <c r="F288">
        <v>2247</v>
      </c>
      <c r="G288" s="1">
        <f t="shared" si="4"/>
        <v>0.7645457638652603</v>
      </c>
    </row>
    <row r="289" spans="1:7">
      <c r="A289" t="s">
        <v>247</v>
      </c>
      <c r="B289">
        <v>8</v>
      </c>
      <c r="C289" t="s">
        <v>257</v>
      </c>
      <c r="D289">
        <v>8</v>
      </c>
      <c r="E289">
        <v>2939</v>
      </c>
      <c r="F289">
        <v>2265</v>
      </c>
      <c r="G289" s="1">
        <f t="shared" si="4"/>
        <v>0.77067029601905412</v>
      </c>
    </row>
    <row r="290" spans="1:7">
      <c r="A290" t="s">
        <v>247</v>
      </c>
      <c r="B290">
        <v>8</v>
      </c>
      <c r="C290" t="s">
        <v>259</v>
      </c>
      <c r="D290">
        <v>9</v>
      </c>
      <c r="E290">
        <v>2939</v>
      </c>
      <c r="F290">
        <v>2382</v>
      </c>
      <c r="G290" s="1">
        <f t="shared" si="4"/>
        <v>0.81047975501871383</v>
      </c>
    </row>
    <row r="291" spans="1:7">
      <c r="A291" t="s">
        <v>247</v>
      </c>
      <c r="B291">
        <v>8</v>
      </c>
      <c r="C291" t="s">
        <v>261</v>
      </c>
      <c r="D291">
        <v>10</v>
      </c>
      <c r="E291">
        <v>2939</v>
      </c>
      <c r="F291">
        <v>2553</v>
      </c>
      <c r="G291" s="1">
        <f t="shared" si="4"/>
        <v>0.86866281047975502</v>
      </c>
    </row>
    <row r="292" spans="1:7">
      <c r="A292" t="s">
        <v>247</v>
      </c>
      <c r="B292">
        <v>8</v>
      </c>
      <c r="C292" t="s">
        <v>260</v>
      </c>
      <c r="D292">
        <v>11</v>
      </c>
      <c r="E292">
        <v>2939</v>
      </c>
      <c r="F292">
        <v>2724</v>
      </c>
      <c r="G292" s="1">
        <f t="shared" si="4"/>
        <v>0.92684586594079621</v>
      </c>
    </row>
    <row r="293" spans="1:7">
      <c r="A293" t="s">
        <v>247</v>
      </c>
      <c r="B293">
        <v>9</v>
      </c>
      <c r="C293" t="s">
        <v>33</v>
      </c>
      <c r="D293">
        <v>1</v>
      </c>
      <c r="E293">
        <v>1846</v>
      </c>
      <c r="F293">
        <v>163</v>
      </c>
      <c r="G293" s="1">
        <f t="shared" si="4"/>
        <v>8.8299024918743224E-2</v>
      </c>
    </row>
    <row r="294" spans="1:7">
      <c r="A294" t="s">
        <v>247</v>
      </c>
      <c r="B294">
        <v>9</v>
      </c>
      <c r="C294" t="s">
        <v>2</v>
      </c>
      <c r="D294">
        <v>2</v>
      </c>
      <c r="E294">
        <v>1846</v>
      </c>
      <c r="F294">
        <v>248</v>
      </c>
      <c r="G294" s="1">
        <f t="shared" si="4"/>
        <v>0.13434452871072589</v>
      </c>
    </row>
    <row r="295" spans="1:7">
      <c r="A295" t="s">
        <v>247</v>
      </c>
      <c r="B295">
        <v>9</v>
      </c>
      <c r="C295" t="s">
        <v>263</v>
      </c>
      <c r="D295">
        <v>3</v>
      </c>
      <c r="E295">
        <v>1846</v>
      </c>
      <c r="F295">
        <v>531</v>
      </c>
      <c r="G295" s="1">
        <f t="shared" si="4"/>
        <v>0.28764897074756229</v>
      </c>
    </row>
    <row r="296" spans="1:7">
      <c r="A296" t="s">
        <v>247</v>
      </c>
      <c r="B296">
        <v>9</v>
      </c>
      <c r="C296" t="s">
        <v>262</v>
      </c>
      <c r="D296">
        <v>4</v>
      </c>
      <c r="E296">
        <v>1846</v>
      </c>
      <c r="F296">
        <v>574</v>
      </c>
      <c r="G296" s="1">
        <f t="shared" si="4"/>
        <v>0.31094257854821233</v>
      </c>
    </row>
    <row r="297" spans="1:7">
      <c r="A297" t="s">
        <v>247</v>
      </c>
      <c r="B297">
        <v>9</v>
      </c>
      <c r="C297" t="s">
        <v>264</v>
      </c>
      <c r="D297">
        <v>5</v>
      </c>
      <c r="E297">
        <v>1846</v>
      </c>
      <c r="F297">
        <v>1841</v>
      </c>
      <c r="G297" s="1">
        <f t="shared" si="4"/>
        <v>0.99729144095341282</v>
      </c>
    </row>
    <row r="298" spans="1:7">
      <c r="A298" t="s">
        <v>247</v>
      </c>
      <c r="B298">
        <v>10</v>
      </c>
      <c r="C298" t="s">
        <v>33</v>
      </c>
      <c r="D298">
        <v>1</v>
      </c>
      <c r="E298">
        <v>876</v>
      </c>
      <c r="F298">
        <v>73</v>
      </c>
      <c r="G298" s="1">
        <f t="shared" si="4"/>
        <v>8.3333333333333329E-2</v>
      </c>
    </row>
    <row r="299" spans="1:7">
      <c r="A299" t="s">
        <v>247</v>
      </c>
      <c r="B299">
        <v>10</v>
      </c>
      <c r="C299" t="s">
        <v>34</v>
      </c>
      <c r="D299">
        <v>2</v>
      </c>
      <c r="E299">
        <v>876</v>
      </c>
      <c r="F299">
        <v>310</v>
      </c>
      <c r="G299" s="1">
        <f t="shared" si="4"/>
        <v>0.35388127853881279</v>
      </c>
    </row>
    <row r="300" spans="1:7">
      <c r="A300" t="s">
        <v>247</v>
      </c>
      <c r="B300">
        <v>10</v>
      </c>
      <c r="C300" t="s">
        <v>262</v>
      </c>
      <c r="D300">
        <v>3</v>
      </c>
      <c r="E300">
        <v>876</v>
      </c>
      <c r="F300">
        <v>431</v>
      </c>
      <c r="G300" s="1">
        <f t="shared" si="4"/>
        <v>0.49200913242009131</v>
      </c>
    </row>
    <row r="301" spans="1:7">
      <c r="A301" t="s">
        <v>247</v>
      </c>
      <c r="B301">
        <v>10</v>
      </c>
      <c r="C301" t="s">
        <v>285</v>
      </c>
      <c r="D301">
        <v>4</v>
      </c>
      <c r="E301">
        <v>876</v>
      </c>
      <c r="F301">
        <v>494</v>
      </c>
      <c r="G301" s="1">
        <f t="shared" si="4"/>
        <v>0.5639269406392694</v>
      </c>
    </row>
    <row r="302" spans="1:7">
      <c r="A302" t="s">
        <v>247</v>
      </c>
      <c r="B302">
        <v>10</v>
      </c>
      <c r="C302" t="s">
        <v>289</v>
      </c>
      <c r="D302">
        <v>5</v>
      </c>
      <c r="E302">
        <v>876</v>
      </c>
      <c r="F302">
        <v>594</v>
      </c>
      <c r="G302" s="1">
        <f t="shared" si="4"/>
        <v>0.67808219178082196</v>
      </c>
    </row>
    <row r="303" spans="1:7">
      <c r="A303" t="s">
        <v>247</v>
      </c>
      <c r="B303">
        <v>10</v>
      </c>
      <c r="C303" t="s">
        <v>277</v>
      </c>
      <c r="D303">
        <v>6</v>
      </c>
      <c r="E303">
        <v>876</v>
      </c>
      <c r="F303">
        <v>624</v>
      </c>
      <c r="G303" s="1">
        <f t="shared" si="4"/>
        <v>0.71232876712328763</v>
      </c>
    </row>
    <row r="304" spans="1:7">
      <c r="A304" t="s">
        <v>247</v>
      </c>
      <c r="B304">
        <v>10</v>
      </c>
      <c r="C304" t="s">
        <v>276</v>
      </c>
      <c r="D304">
        <v>7</v>
      </c>
      <c r="E304">
        <v>876</v>
      </c>
      <c r="F304">
        <v>627</v>
      </c>
      <c r="G304" s="1">
        <f t="shared" si="4"/>
        <v>0.71575342465753422</v>
      </c>
    </row>
    <row r="305" spans="1:7">
      <c r="A305" t="s">
        <v>247</v>
      </c>
      <c r="B305">
        <v>10</v>
      </c>
      <c r="C305" t="s">
        <v>270</v>
      </c>
      <c r="D305">
        <v>8</v>
      </c>
      <c r="E305">
        <v>876</v>
      </c>
      <c r="F305">
        <v>667</v>
      </c>
      <c r="G305" s="1">
        <f t="shared" si="4"/>
        <v>0.76141552511415522</v>
      </c>
    </row>
    <row r="306" spans="1:7">
      <c r="A306" t="s">
        <v>247</v>
      </c>
      <c r="B306">
        <v>10</v>
      </c>
      <c r="C306" t="s">
        <v>286</v>
      </c>
      <c r="D306">
        <v>9</v>
      </c>
      <c r="E306">
        <v>876</v>
      </c>
      <c r="F306">
        <v>690</v>
      </c>
      <c r="G306" s="1">
        <f t="shared" si="4"/>
        <v>0.78767123287671237</v>
      </c>
    </row>
    <row r="307" spans="1:7">
      <c r="A307" t="s">
        <v>247</v>
      </c>
      <c r="B307">
        <v>10</v>
      </c>
      <c r="C307" t="s">
        <v>279</v>
      </c>
      <c r="D307">
        <v>10</v>
      </c>
      <c r="E307">
        <v>876</v>
      </c>
      <c r="F307">
        <v>705</v>
      </c>
      <c r="G307" s="1">
        <f t="shared" si="4"/>
        <v>0.8047945205479452</v>
      </c>
    </row>
    <row r="308" spans="1:7">
      <c r="A308" t="s">
        <v>247</v>
      </c>
      <c r="B308">
        <v>10</v>
      </c>
      <c r="C308" t="s">
        <v>278</v>
      </c>
      <c r="D308">
        <v>11</v>
      </c>
      <c r="E308">
        <v>876</v>
      </c>
      <c r="F308">
        <v>706</v>
      </c>
      <c r="G308" s="1">
        <f t="shared" si="4"/>
        <v>0.80593607305936077</v>
      </c>
    </row>
    <row r="309" spans="1:7">
      <c r="A309" t="s">
        <v>247</v>
      </c>
      <c r="B309">
        <v>10</v>
      </c>
      <c r="C309" t="s">
        <v>266</v>
      </c>
      <c r="D309">
        <v>12</v>
      </c>
      <c r="E309">
        <v>876</v>
      </c>
      <c r="F309">
        <v>708</v>
      </c>
      <c r="G309" s="1">
        <f t="shared" si="4"/>
        <v>0.80821917808219179</v>
      </c>
    </row>
    <row r="310" spans="1:7">
      <c r="A310" t="s">
        <v>247</v>
      </c>
      <c r="B310">
        <v>10</v>
      </c>
      <c r="C310" t="s">
        <v>269</v>
      </c>
      <c r="D310">
        <v>13</v>
      </c>
      <c r="E310">
        <v>876</v>
      </c>
      <c r="F310">
        <v>714</v>
      </c>
      <c r="G310" s="1">
        <f t="shared" si="4"/>
        <v>0.81506849315068497</v>
      </c>
    </row>
    <row r="311" spans="1:7">
      <c r="A311" t="s">
        <v>247</v>
      </c>
      <c r="B311">
        <v>10</v>
      </c>
      <c r="C311" t="s">
        <v>287</v>
      </c>
      <c r="D311">
        <v>14</v>
      </c>
      <c r="E311">
        <v>876</v>
      </c>
      <c r="F311">
        <v>717</v>
      </c>
      <c r="G311" s="1">
        <f t="shared" si="4"/>
        <v>0.81849315068493156</v>
      </c>
    </row>
    <row r="312" spans="1:7">
      <c r="A312" t="s">
        <v>247</v>
      </c>
      <c r="B312">
        <v>10</v>
      </c>
      <c r="C312" t="s">
        <v>271</v>
      </c>
      <c r="D312">
        <v>15</v>
      </c>
      <c r="E312">
        <v>876</v>
      </c>
      <c r="F312">
        <v>753</v>
      </c>
      <c r="G312" s="1">
        <f t="shared" si="4"/>
        <v>0.8595890410958904</v>
      </c>
    </row>
    <row r="313" spans="1:7">
      <c r="A313" t="s">
        <v>247</v>
      </c>
      <c r="B313">
        <v>10</v>
      </c>
      <c r="C313" t="s">
        <v>280</v>
      </c>
      <c r="D313">
        <v>16</v>
      </c>
      <c r="E313">
        <v>876</v>
      </c>
      <c r="F313">
        <v>760</v>
      </c>
      <c r="G313" s="1">
        <f t="shared" si="4"/>
        <v>0.86757990867579904</v>
      </c>
    </row>
    <row r="314" spans="1:7">
      <c r="A314" t="s">
        <v>247</v>
      </c>
      <c r="B314">
        <v>10</v>
      </c>
      <c r="C314" t="s">
        <v>283</v>
      </c>
      <c r="D314">
        <v>17</v>
      </c>
      <c r="E314">
        <v>876</v>
      </c>
      <c r="F314">
        <v>764</v>
      </c>
      <c r="G314" s="1">
        <f t="shared" si="4"/>
        <v>0.87214611872146119</v>
      </c>
    </row>
    <row r="315" spans="1:7">
      <c r="A315" t="s">
        <v>247</v>
      </c>
      <c r="B315">
        <v>10</v>
      </c>
      <c r="C315" t="s">
        <v>275</v>
      </c>
      <c r="D315">
        <v>18</v>
      </c>
      <c r="E315">
        <v>876</v>
      </c>
      <c r="F315">
        <v>773</v>
      </c>
      <c r="G315" s="1">
        <f t="shared" si="4"/>
        <v>0.88242009132420096</v>
      </c>
    </row>
    <row r="316" spans="1:7">
      <c r="A316" t="s">
        <v>247</v>
      </c>
      <c r="B316">
        <v>10</v>
      </c>
      <c r="C316" t="s">
        <v>268</v>
      </c>
      <c r="D316">
        <v>19</v>
      </c>
      <c r="E316">
        <v>876</v>
      </c>
      <c r="F316">
        <v>775</v>
      </c>
      <c r="G316" s="1">
        <f t="shared" si="4"/>
        <v>0.88470319634703198</v>
      </c>
    </row>
    <row r="317" spans="1:7">
      <c r="A317" t="s">
        <v>247</v>
      </c>
      <c r="B317">
        <v>10</v>
      </c>
      <c r="C317" t="s">
        <v>281</v>
      </c>
      <c r="D317">
        <v>20</v>
      </c>
      <c r="E317">
        <v>876</v>
      </c>
      <c r="F317">
        <v>776</v>
      </c>
      <c r="G317" s="1">
        <f t="shared" si="4"/>
        <v>0.88584474885844744</v>
      </c>
    </row>
    <row r="318" spans="1:7">
      <c r="A318" t="s">
        <v>247</v>
      </c>
      <c r="B318">
        <v>10</v>
      </c>
      <c r="C318" t="s">
        <v>265</v>
      </c>
      <c r="D318">
        <v>21</v>
      </c>
      <c r="E318">
        <v>876</v>
      </c>
      <c r="F318">
        <v>777</v>
      </c>
      <c r="G318" s="1">
        <f t="shared" si="4"/>
        <v>0.88698630136986301</v>
      </c>
    </row>
    <row r="319" spans="1:7">
      <c r="A319" t="s">
        <v>247</v>
      </c>
      <c r="B319">
        <v>10</v>
      </c>
      <c r="C319" t="s">
        <v>291</v>
      </c>
      <c r="D319">
        <v>22</v>
      </c>
      <c r="E319">
        <v>876</v>
      </c>
      <c r="F319">
        <v>778</v>
      </c>
      <c r="G319" s="1">
        <f t="shared" si="4"/>
        <v>0.88812785388127857</v>
      </c>
    </row>
    <row r="320" spans="1:7">
      <c r="A320" t="s">
        <v>247</v>
      </c>
      <c r="B320">
        <v>10</v>
      </c>
      <c r="C320" t="s">
        <v>274</v>
      </c>
      <c r="D320">
        <v>23</v>
      </c>
      <c r="E320">
        <v>876</v>
      </c>
      <c r="F320">
        <v>780</v>
      </c>
      <c r="G320" s="1">
        <f t="shared" si="4"/>
        <v>0.8904109589041096</v>
      </c>
    </row>
    <row r="321" spans="1:7">
      <c r="A321" t="s">
        <v>247</v>
      </c>
      <c r="B321">
        <v>10</v>
      </c>
      <c r="C321" t="s">
        <v>282</v>
      </c>
      <c r="D321">
        <v>24</v>
      </c>
      <c r="E321">
        <v>876</v>
      </c>
      <c r="F321">
        <v>813</v>
      </c>
      <c r="G321" s="1">
        <f t="shared" si="4"/>
        <v>0.92808219178082196</v>
      </c>
    </row>
    <row r="322" spans="1:7">
      <c r="A322" t="s">
        <v>247</v>
      </c>
      <c r="B322">
        <v>10</v>
      </c>
      <c r="C322" t="s">
        <v>290</v>
      </c>
      <c r="D322">
        <v>25</v>
      </c>
      <c r="E322">
        <v>876</v>
      </c>
      <c r="F322">
        <v>815</v>
      </c>
      <c r="G322" s="1">
        <f t="shared" ref="G322:G385" si="5">F322/E322</f>
        <v>0.93036529680365299</v>
      </c>
    </row>
    <row r="323" spans="1:7">
      <c r="A323" t="s">
        <v>247</v>
      </c>
      <c r="B323">
        <v>10</v>
      </c>
      <c r="C323" t="s">
        <v>288</v>
      </c>
      <c r="D323">
        <v>26</v>
      </c>
      <c r="E323">
        <v>876</v>
      </c>
      <c r="F323">
        <v>819</v>
      </c>
      <c r="G323" s="1">
        <f t="shared" si="5"/>
        <v>0.93493150684931503</v>
      </c>
    </row>
    <row r="324" spans="1:7">
      <c r="A324" t="s">
        <v>247</v>
      </c>
      <c r="B324">
        <v>10</v>
      </c>
      <c r="C324" t="s">
        <v>273</v>
      </c>
      <c r="D324">
        <v>27</v>
      </c>
      <c r="E324">
        <v>876</v>
      </c>
      <c r="F324">
        <v>823</v>
      </c>
      <c r="G324" s="1">
        <f t="shared" si="5"/>
        <v>0.93949771689497719</v>
      </c>
    </row>
    <row r="325" spans="1:7">
      <c r="A325" t="s">
        <v>247</v>
      </c>
      <c r="B325">
        <v>10</v>
      </c>
      <c r="C325" t="s">
        <v>293</v>
      </c>
      <c r="D325">
        <v>28</v>
      </c>
      <c r="E325">
        <v>876</v>
      </c>
      <c r="F325">
        <v>824</v>
      </c>
      <c r="G325" s="1">
        <f t="shared" si="5"/>
        <v>0.94063926940639264</v>
      </c>
    </row>
    <row r="326" spans="1:7">
      <c r="A326" t="s">
        <v>247</v>
      </c>
      <c r="B326">
        <v>10</v>
      </c>
      <c r="C326" t="s">
        <v>284</v>
      </c>
      <c r="D326">
        <v>29</v>
      </c>
      <c r="E326">
        <v>876</v>
      </c>
      <c r="F326">
        <v>827</v>
      </c>
      <c r="G326" s="1">
        <f t="shared" si="5"/>
        <v>0.94406392694063923</v>
      </c>
    </row>
    <row r="327" spans="1:7">
      <c r="A327" t="s">
        <v>247</v>
      </c>
      <c r="B327">
        <v>10</v>
      </c>
      <c r="C327" t="s">
        <v>292</v>
      </c>
      <c r="D327">
        <v>30</v>
      </c>
      <c r="E327">
        <v>876</v>
      </c>
      <c r="F327">
        <v>834</v>
      </c>
      <c r="G327" s="1">
        <f t="shared" si="5"/>
        <v>0.95205479452054798</v>
      </c>
    </row>
    <row r="328" spans="1:7">
      <c r="A328" t="s">
        <v>247</v>
      </c>
      <c r="B328">
        <v>10</v>
      </c>
      <c r="C328" t="s">
        <v>267</v>
      </c>
      <c r="D328">
        <v>31</v>
      </c>
      <c r="E328">
        <v>876</v>
      </c>
      <c r="F328">
        <v>873</v>
      </c>
      <c r="G328" s="1">
        <f t="shared" si="5"/>
        <v>0.99657534246575341</v>
      </c>
    </row>
    <row r="329" spans="1:7">
      <c r="A329" t="s">
        <v>247</v>
      </c>
      <c r="B329">
        <v>10</v>
      </c>
      <c r="C329" t="s">
        <v>272</v>
      </c>
      <c r="D329">
        <v>32</v>
      </c>
      <c r="E329">
        <v>876</v>
      </c>
      <c r="F329">
        <v>887</v>
      </c>
      <c r="G329" s="1">
        <f t="shared" si="5"/>
        <v>1.0125570776255708</v>
      </c>
    </row>
    <row r="330" spans="1:7">
      <c r="A330" t="s">
        <v>294</v>
      </c>
      <c r="B330">
        <v>3</v>
      </c>
      <c r="C330" t="s">
        <v>36</v>
      </c>
      <c r="D330">
        <v>1</v>
      </c>
      <c r="E330">
        <v>30092</v>
      </c>
      <c r="F330">
        <v>29424</v>
      </c>
      <c r="G330" s="1">
        <f t="shared" si="5"/>
        <v>0.97780140901236212</v>
      </c>
    </row>
    <row r="331" spans="1:7">
      <c r="A331" t="s">
        <v>294</v>
      </c>
      <c r="B331">
        <v>3</v>
      </c>
      <c r="C331" t="s">
        <v>145</v>
      </c>
      <c r="D331">
        <v>2</v>
      </c>
      <c r="E331">
        <v>30092</v>
      </c>
      <c r="F331">
        <v>30213</v>
      </c>
      <c r="G331" s="1">
        <f t="shared" si="5"/>
        <v>1.0040210022597369</v>
      </c>
    </row>
    <row r="332" spans="1:7">
      <c r="A332" t="s">
        <v>295</v>
      </c>
      <c r="B332">
        <v>2</v>
      </c>
      <c r="C332" t="s">
        <v>207</v>
      </c>
      <c r="D332">
        <v>1</v>
      </c>
      <c r="E332">
        <v>2644</v>
      </c>
      <c r="F332">
        <v>764</v>
      </c>
      <c r="G332" s="1">
        <f t="shared" si="5"/>
        <v>0.28895612708018154</v>
      </c>
    </row>
    <row r="333" spans="1:7">
      <c r="A333" t="s">
        <v>295</v>
      </c>
      <c r="B333">
        <v>2</v>
      </c>
      <c r="C333" t="s">
        <v>296</v>
      </c>
      <c r="D333">
        <v>2</v>
      </c>
      <c r="E333">
        <v>2644</v>
      </c>
      <c r="F333">
        <v>797</v>
      </c>
      <c r="G333" s="1">
        <f t="shared" si="5"/>
        <v>0.30143721633888049</v>
      </c>
    </row>
    <row r="334" spans="1:7">
      <c r="A334" t="s">
        <v>295</v>
      </c>
      <c r="B334">
        <v>2</v>
      </c>
      <c r="C334" t="s">
        <v>322</v>
      </c>
      <c r="D334">
        <v>3</v>
      </c>
      <c r="E334">
        <v>2644</v>
      </c>
      <c r="F334">
        <v>826</v>
      </c>
      <c r="G334" s="1">
        <f t="shared" si="5"/>
        <v>0.3124054462934947</v>
      </c>
    </row>
    <row r="335" spans="1:7">
      <c r="A335" t="s">
        <v>295</v>
      </c>
      <c r="B335">
        <v>2</v>
      </c>
      <c r="C335" t="s">
        <v>300</v>
      </c>
      <c r="D335">
        <v>4</v>
      </c>
      <c r="E335">
        <v>2644</v>
      </c>
      <c r="F335">
        <v>831</v>
      </c>
      <c r="G335" s="1">
        <f t="shared" si="5"/>
        <v>0.31429652042360062</v>
      </c>
    </row>
    <row r="336" spans="1:7">
      <c r="A336" t="s">
        <v>295</v>
      </c>
      <c r="B336">
        <v>2</v>
      </c>
      <c r="C336" t="s">
        <v>298</v>
      </c>
      <c r="D336">
        <v>5</v>
      </c>
      <c r="E336">
        <v>2644</v>
      </c>
      <c r="F336">
        <v>895</v>
      </c>
      <c r="G336" s="1">
        <f t="shared" si="5"/>
        <v>0.3385022692889561</v>
      </c>
    </row>
    <row r="337" spans="1:7">
      <c r="A337" t="s">
        <v>295</v>
      </c>
      <c r="B337">
        <v>2</v>
      </c>
      <c r="C337" t="s">
        <v>297</v>
      </c>
      <c r="D337">
        <v>6</v>
      </c>
      <c r="E337">
        <v>2644</v>
      </c>
      <c r="F337">
        <v>963</v>
      </c>
      <c r="G337" s="1">
        <f t="shared" si="5"/>
        <v>0.36422087745839637</v>
      </c>
    </row>
    <row r="338" spans="1:7">
      <c r="A338" t="s">
        <v>295</v>
      </c>
      <c r="B338">
        <v>2</v>
      </c>
      <c r="C338" t="s">
        <v>299</v>
      </c>
      <c r="D338">
        <v>7</v>
      </c>
      <c r="E338">
        <v>2644</v>
      </c>
      <c r="F338">
        <v>1109</v>
      </c>
      <c r="G338" s="1">
        <f t="shared" si="5"/>
        <v>0.41944024205748864</v>
      </c>
    </row>
    <row r="339" spans="1:7">
      <c r="A339" t="s">
        <v>295</v>
      </c>
      <c r="B339">
        <v>2</v>
      </c>
      <c r="C339" t="s">
        <v>301</v>
      </c>
      <c r="D339">
        <v>8</v>
      </c>
      <c r="E339">
        <v>2644</v>
      </c>
      <c r="F339">
        <v>1267</v>
      </c>
      <c r="G339" s="1">
        <f t="shared" si="5"/>
        <v>0.47919818456883512</v>
      </c>
    </row>
    <row r="340" spans="1:7">
      <c r="A340" t="s">
        <v>295</v>
      </c>
      <c r="B340">
        <v>3</v>
      </c>
      <c r="C340" t="s">
        <v>243</v>
      </c>
      <c r="D340">
        <v>1</v>
      </c>
      <c r="E340">
        <v>7990</v>
      </c>
      <c r="F340">
        <v>605</v>
      </c>
      <c r="G340" s="1">
        <f t="shared" si="5"/>
        <v>7.5719649561952443E-2</v>
      </c>
    </row>
    <row r="341" spans="1:7">
      <c r="A341" t="s">
        <v>295</v>
      </c>
      <c r="B341">
        <v>3</v>
      </c>
      <c r="C341" t="s">
        <v>302</v>
      </c>
      <c r="D341">
        <v>2</v>
      </c>
      <c r="E341">
        <v>7990</v>
      </c>
      <c r="F341">
        <v>914</v>
      </c>
      <c r="G341" s="1">
        <f t="shared" si="5"/>
        <v>0.11439299123904881</v>
      </c>
    </row>
    <row r="342" spans="1:7">
      <c r="A342" t="s">
        <v>295</v>
      </c>
      <c r="B342">
        <v>3</v>
      </c>
      <c r="C342" t="s">
        <v>305</v>
      </c>
      <c r="D342">
        <v>3</v>
      </c>
      <c r="E342">
        <v>7990</v>
      </c>
      <c r="F342">
        <v>1825</v>
      </c>
      <c r="G342" s="1">
        <f t="shared" si="5"/>
        <v>0.2284105131414268</v>
      </c>
    </row>
    <row r="343" spans="1:7">
      <c r="A343" t="s">
        <v>295</v>
      </c>
      <c r="B343">
        <v>3</v>
      </c>
      <c r="C343" t="s">
        <v>304</v>
      </c>
      <c r="D343">
        <v>4</v>
      </c>
      <c r="E343">
        <v>7990</v>
      </c>
      <c r="F343">
        <v>2489</v>
      </c>
      <c r="G343" s="1">
        <f t="shared" si="5"/>
        <v>0.31151439299123906</v>
      </c>
    </row>
    <row r="344" spans="1:7">
      <c r="A344" t="s">
        <v>295</v>
      </c>
      <c r="B344">
        <v>3</v>
      </c>
      <c r="C344" t="s">
        <v>306</v>
      </c>
      <c r="D344">
        <v>5</v>
      </c>
      <c r="E344">
        <v>7990</v>
      </c>
      <c r="F344">
        <v>3213</v>
      </c>
      <c r="G344" s="1">
        <f t="shared" si="5"/>
        <v>0.40212765957446811</v>
      </c>
    </row>
    <row r="345" spans="1:7">
      <c r="A345" t="s">
        <v>295</v>
      </c>
      <c r="B345">
        <v>3</v>
      </c>
      <c r="C345" t="s">
        <v>303</v>
      </c>
      <c r="D345">
        <v>6</v>
      </c>
      <c r="E345">
        <v>7990</v>
      </c>
      <c r="F345">
        <v>4394</v>
      </c>
      <c r="G345" s="1">
        <f t="shared" si="5"/>
        <v>0.54993742177722149</v>
      </c>
    </row>
    <row r="346" spans="1:7">
      <c r="A346" t="s">
        <v>295</v>
      </c>
      <c r="B346">
        <v>4</v>
      </c>
      <c r="C346" t="s">
        <v>243</v>
      </c>
      <c r="D346">
        <v>1</v>
      </c>
      <c r="E346">
        <v>21536</v>
      </c>
      <c r="F346">
        <v>614</v>
      </c>
      <c r="G346" s="1">
        <f t="shared" si="5"/>
        <v>2.851040118870728E-2</v>
      </c>
    </row>
    <row r="347" spans="1:7">
      <c r="A347" t="s">
        <v>295</v>
      </c>
      <c r="B347">
        <v>4</v>
      </c>
      <c r="C347" t="s">
        <v>307</v>
      </c>
      <c r="D347">
        <v>2</v>
      </c>
      <c r="E347">
        <v>21536</v>
      </c>
      <c r="F347">
        <v>1105</v>
      </c>
      <c r="G347" s="1">
        <f t="shared" si="5"/>
        <v>5.1309435364041603E-2</v>
      </c>
    </row>
    <row r="348" spans="1:7">
      <c r="A348" t="s">
        <v>295</v>
      </c>
      <c r="B348">
        <v>4</v>
      </c>
      <c r="C348" t="s">
        <v>304</v>
      </c>
      <c r="D348">
        <v>3</v>
      </c>
      <c r="E348">
        <v>21536</v>
      </c>
      <c r="F348">
        <v>1832</v>
      </c>
      <c r="G348" s="1">
        <f t="shared" si="5"/>
        <v>8.5066864784546808E-2</v>
      </c>
    </row>
    <row r="349" spans="1:7">
      <c r="A349" t="s">
        <v>295</v>
      </c>
      <c r="B349">
        <v>4</v>
      </c>
      <c r="C349" t="s">
        <v>305</v>
      </c>
      <c r="D349">
        <v>4</v>
      </c>
      <c r="E349">
        <v>21536</v>
      </c>
      <c r="F349">
        <v>1879</v>
      </c>
      <c r="G349" s="1">
        <f t="shared" si="5"/>
        <v>8.7249257057949475E-2</v>
      </c>
    </row>
    <row r="350" spans="1:7">
      <c r="A350" t="s">
        <v>295</v>
      </c>
      <c r="B350">
        <v>4</v>
      </c>
      <c r="C350" t="s">
        <v>306</v>
      </c>
      <c r="D350">
        <v>5</v>
      </c>
      <c r="E350">
        <v>21536</v>
      </c>
      <c r="F350">
        <v>2582</v>
      </c>
      <c r="G350" s="1">
        <f t="shared" si="5"/>
        <v>0.1198922734026746</v>
      </c>
    </row>
    <row r="351" spans="1:7">
      <c r="A351" t="s">
        <v>295</v>
      </c>
      <c r="B351">
        <v>4</v>
      </c>
      <c r="C351" t="s">
        <v>303</v>
      </c>
      <c r="D351">
        <v>6</v>
      </c>
      <c r="E351">
        <v>21536</v>
      </c>
      <c r="F351">
        <v>4754</v>
      </c>
      <c r="G351" s="1">
        <f t="shared" si="5"/>
        <v>0.22074665676077265</v>
      </c>
    </row>
    <row r="352" spans="1:7">
      <c r="A352" t="s">
        <v>295</v>
      </c>
      <c r="B352">
        <v>4</v>
      </c>
      <c r="C352" t="s">
        <v>308</v>
      </c>
      <c r="D352">
        <v>7</v>
      </c>
      <c r="E352">
        <v>21536</v>
      </c>
      <c r="F352">
        <v>5394</v>
      </c>
      <c r="G352" s="1">
        <f t="shared" si="5"/>
        <v>0.25046433878157504</v>
      </c>
    </row>
    <row r="353" spans="1:7">
      <c r="A353" t="s">
        <v>295</v>
      </c>
      <c r="B353">
        <v>4</v>
      </c>
      <c r="C353" t="s">
        <v>310</v>
      </c>
      <c r="D353">
        <v>8</v>
      </c>
      <c r="E353">
        <v>21536</v>
      </c>
      <c r="F353">
        <v>5863</v>
      </c>
      <c r="G353" s="1">
        <f t="shared" si="5"/>
        <v>0.27224182763744426</v>
      </c>
    </row>
    <row r="354" spans="1:7">
      <c r="A354" t="s">
        <v>295</v>
      </c>
      <c r="B354">
        <v>4</v>
      </c>
      <c r="C354" t="s">
        <v>309</v>
      </c>
      <c r="D354">
        <v>9</v>
      </c>
      <c r="E354">
        <v>21536</v>
      </c>
      <c r="F354">
        <v>6257</v>
      </c>
      <c r="G354" s="1">
        <f t="shared" si="5"/>
        <v>0.29053677563150077</v>
      </c>
    </row>
    <row r="355" spans="1:7">
      <c r="A355" t="s">
        <v>295</v>
      </c>
      <c r="B355">
        <v>5</v>
      </c>
      <c r="C355" t="s">
        <v>19</v>
      </c>
      <c r="D355">
        <v>1</v>
      </c>
      <c r="E355">
        <v>704</v>
      </c>
      <c r="F355">
        <v>358</v>
      </c>
      <c r="G355" s="1">
        <f t="shared" si="5"/>
        <v>0.50852272727272729</v>
      </c>
    </row>
    <row r="356" spans="1:7">
      <c r="A356" t="s">
        <v>295</v>
      </c>
      <c r="B356">
        <v>5</v>
      </c>
      <c r="C356" t="s">
        <v>1</v>
      </c>
      <c r="D356">
        <v>2</v>
      </c>
      <c r="E356">
        <v>704</v>
      </c>
      <c r="F356">
        <v>492</v>
      </c>
      <c r="G356" s="1">
        <f t="shared" si="5"/>
        <v>0.69886363636363635</v>
      </c>
    </row>
    <row r="357" spans="1:7">
      <c r="A357" t="s">
        <v>295</v>
      </c>
      <c r="B357">
        <v>5</v>
      </c>
      <c r="C357" t="s">
        <v>22</v>
      </c>
      <c r="D357">
        <v>3</v>
      </c>
      <c r="E357">
        <v>704</v>
      </c>
      <c r="F357">
        <v>555</v>
      </c>
      <c r="G357" s="1">
        <f t="shared" si="5"/>
        <v>0.78835227272727271</v>
      </c>
    </row>
    <row r="358" spans="1:7">
      <c r="A358" t="s">
        <v>295</v>
      </c>
      <c r="B358">
        <v>5</v>
      </c>
      <c r="C358" t="s">
        <v>20</v>
      </c>
      <c r="D358">
        <v>4</v>
      </c>
      <c r="E358">
        <v>704</v>
      </c>
      <c r="F358">
        <v>652</v>
      </c>
      <c r="G358" s="1">
        <f t="shared" si="5"/>
        <v>0.92613636363636365</v>
      </c>
    </row>
    <row r="359" spans="1:7">
      <c r="A359" t="s">
        <v>295</v>
      </c>
      <c r="B359">
        <v>5</v>
      </c>
      <c r="C359" t="s">
        <v>245</v>
      </c>
      <c r="D359">
        <v>5</v>
      </c>
      <c r="E359">
        <v>704</v>
      </c>
      <c r="F359">
        <v>709</v>
      </c>
      <c r="G359" s="1">
        <f t="shared" si="5"/>
        <v>1.0071022727272727</v>
      </c>
    </row>
    <row r="360" spans="1:7">
      <c r="A360" t="s">
        <v>295</v>
      </c>
      <c r="B360">
        <v>5</v>
      </c>
      <c r="C360" t="s">
        <v>311</v>
      </c>
      <c r="D360">
        <v>6</v>
      </c>
      <c r="E360">
        <v>704</v>
      </c>
      <c r="F360">
        <v>717</v>
      </c>
      <c r="G360" s="1">
        <f t="shared" si="5"/>
        <v>1.0184659090909092</v>
      </c>
    </row>
    <row r="361" spans="1:7">
      <c r="A361" t="s">
        <v>295</v>
      </c>
      <c r="B361">
        <v>6</v>
      </c>
      <c r="C361" t="s">
        <v>319</v>
      </c>
      <c r="D361">
        <v>1</v>
      </c>
      <c r="E361">
        <v>732</v>
      </c>
      <c r="F361">
        <v>97</v>
      </c>
      <c r="G361" s="1">
        <f t="shared" si="5"/>
        <v>0.1325136612021858</v>
      </c>
    </row>
    <row r="362" spans="1:7">
      <c r="A362" t="s">
        <v>295</v>
      </c>
      <c r="B362">
        <v>6</v>
      </c>
      <c r="C362" t="s">
        <v>313</v>
      </c>
      <c r="D362">
        <v>2</v>
      </c>
      <c r="E362">
        <v>732</v>
      </c>
      <c r="F362">
        <v>278</v>
      </c>
      <c r="G362" s="1">
        <f t="shared" si="5"/>
        <v>0.3797814207650273</v>
      </c>
    </row>
    <row r="363" spans="1:7">
      <c r="A363" t="s">
        <v>295</v>
      </c>
      <c r="B363">
        <v>6</v>
      </c>
      <c r="C363" t="s">
        <v>318</v>
      </c>
      <c r="D363">
        <v>3</v>
      </c>
      <c r="E363">
        <v>732</v>
      </c>
      <c r="F363">
        <v>294</v>
      </c>
      <c r="G363" s="1">
        <f t="shared" si="5"/>
        <v>0.40163934426229508</v>
      </c>
    </row>
    <row r="364" spans="1:7">
      <c r="A364" t="s">
        <v>295</v>
      </c>
      <c r="B364">
        <v>6</v>
      </c>
      <c r="C364" t="s">
        <v>314</v>
      </c>
      <c r="D364">
        <v>4</v>
      </c>
      <c r="E364">
        <v>732</v>
      </c>
      <c r="F364">
        <v>456</v>
      </c>
      <c r="G364" s="1">
        <f t="shared" si="5"/>
        <v>0.62295081967213117</v>
      </c>
    </row>
    <row r="365" spans="1:7">
      <c r="A365" t="s">
        <v>295</v>
      </c>
      <c r="B365">
        <v>6</v>
      </c>
      <c r="C365" t="s">
        <v>320</v>
      </c>
      <c r="D365">
        <v>5</v>
      </c>
      <c r="E365">
        <v>732</v>
      </c>
      <c r="F365">
        <v>457</v>
      </c>
      <c r="G365" s="1">
        <f t="shared" si="5"/>
        <v>0.62431693989071035</v>
      </c>
    </row>
    <row r="366" spans="1:7">
      <c r="A366" t="s">
        <v>295</v>
      </c>
      <c r="B366">
        <v>6</v>
      </c>
      <c r="C366" t="s">
        <v>312</v>
      </c>
      <c r="D366">
        <v>6</v>
      </c>
      <c r="E366">
        <v>732</v>
      </c>
      <c r="F366">
        <v>474</v>
      </c>
      <c r="G366" s="1">
        <f t="shared" si="5"/>
        <v>0.64754098360655743</v>
      </c>
    </row>
    <row r="367" spans="1:7">
      <c r="A367" t="s">
        <v>295</v>
      </c>
      <c r="B367">
        <v>6</v>
      </c>
      <c r="C367" t="s">
        <v>321</v>
      </c>
      <c r="D367">
        <v>7</v>
      </c>
      <c r="E367">
        <v>732</v>
      </c>
      <c r="F367">
        <v>541</v>
      </c>
      <c r="G367" s="1">
        <f t="shared" si="5"/>
        <v>0.73907103825136611</v>
      </c>
    </row>
    <row r="368" spans="1:7">
      <c r="A368" t="s">
        <v>295</v>
      </c>
      <c r="B368">
        <v>6</v>
      </c>
      <c r="C368" t="s">
        <v>315</v>
      </c>
      <c r="D368">
        <v>8</v>
      </c>
      <c r="E368">
        <v>732</v>
      </c>
      <c r="F368">
        <v>583</v>
      </c>
      <c r="G368" s="1">
        <f t="shared" si="5"/>
        <v>0.79644808743169404</v>
      </c>
    </row>
    <row r="369" spans="1:7">
      <c r="A369" t="s">
        <v>295</v>
      </c>
      <c r="B369">
        <v>6</v>
      </c>
      <c r="C369" t="s">
        <v>316</v>
      </c>
      <c r="D369">
        <v>9</v>
      </c>
      <c r="E369">
        <v>732</v>
      </c>
      <c r="F369">
        <v>734</v>
      </c>
      <c r="G369" s="1">
        <f t="shared" si="5"/>
        <v>1.0027322404371584</v>
      </c>
    </row>
    <row r="370" spans="1:7">
      <c r="A370" t="s">
        <v>295</v>
      </c>
      <c r="B370">
        <v>6</v>
      </c>
      <c r="C370" t="s">
        <v>317</v>
      </c>
      <c r="D370">
        <v>10</v>
      </c>
      <c r="E370">
        <v>732</v>
      </c>
      <c r="F370">
        <v>1307</v>
      </c>
      <c r="G370" s="1">
        <f t="shared" si="5"/>
        <v>1.78551912568306</v>
      </c>
    </row>
    <row r="371" spans="1:7">
      <c r="A371" t="s">
        <v>295</v>
      </c>
      <c r="B371">
        <v>7</v>
      </c>
      <c r="C371" t="s">
        <v>323</v>
      </c>
      <c r="D371">
        <v>1</v>
      </c>
      <c r="E371">
        <v>2505</v>
      </c>
      <c r="F371">
        <v>752</v>
      </c>
      <c r="G371" s="1">
        <f t="shared" si="5"/>
        <v>0.30019960079840319</v>
      </c>
    </row>
    <row r="372" spans="1:7">
      <c r="A372" t="s">
        <v>295</v>
      </c>
      <c r="B372">
        <v>7</v>
      </c>
      <c r="C372" t="s">
        <v>324</v>
      </c>
      <c r="D372">
        <v>2</v>
      </c>
      <c r="E372">
        <v>2505</v>
      </c>
      <c r="F372">
        <v>761</v>
      </c>
      <c r="G372" s="1">
        <f t="shared" si="5"/>
        <v>0.30379241516966066</v>
      </c>
    </row>
    <row r="373" spans="1:7">
      <c r="A373" t="s">
        <v>295</v>
      </c>
      <c r="B373">
        <v>7</v>
      </c>
      <c r="C373" t="s">
        <v>296</v>
      </c>
      <c r="D373">
        <v>3</v>
      </c>
      <c r="E373">
        <v>2505</v>
      </c>
      <c r="F373">
        <v>786</v>
      </c>
      <c r="G373" s="1">
        <f t="shared" si="5"/>
        <v>0.31377245508982038</v>
      </c>
    </row>
    <row r="374" spans="1:7">
      <c r="A374" t="s">
        <v>295</v>
      </c>
      <c r="B374">
        <v>7</v>
      </c>
      <c r="C374" t="s">
        <v>325</v>
      </c>
      <c r="D374">
        <v>4</v>
      </c>
      <c r="E374">
        <v>2505</v>
      </c>
      <c r="F374">
        <v>822</v>
      </c>
      <c r="G374" s="1">
        <f t="shared" si="5"/>
        <v>0.32814371257485031</v>
      </c>
    </row>
    <row r="375" spans="1:7">
      <c r="A375" t="s">
        <v>295</v>
      </c>
      <c r="B375">
        <v>7</v>
      </c>
      <c r="C375" t="s">
        <v>322</v>
      </c>
      <c r="D375">
        <v>5</v>
      </c>
      <c r="E375">
        <v>2505</v>
      </c>
      <c r="F375">
        <v>825</v>
      </c>
      <c r="G375" s="1">
        <f t="shared" si="5"/>
        <v>0.32934131736526945</v>
      </c>
    </row>
    <row r="376" spans="1:7">
      <c r="A376" t="s">
        <v>295</v>
      </c>
      <c r="B376">
        <v>7</v>
      </c>
      <c r="C376" t="s">
        <v>300</v>
      </c>
      <c r="D376">
        <v>6</v>
      </c>
      <c r="E376">
        <v>2505</v>
      </c>
      <c r="F376">
        <v>848</v>
      </c>
      <c r="G376" s="1">
        <f t="shared" si="5"/>
        <v>0.33852295409181637</v>
      </c>
    </row>
    <row r="377" spans="1:7">
      <c r="A377" t="s">
        <v>295</v>
      </c>
      <c r="B377">
        <v>7</v>
      </c>
      <c r="C377" t="s">
        <v>326</v>
      </c>
      <c r="D377">
        <v>7</v>
      </c>
      <c r="E377">
        <v>2505</v>
      </c>
      <c r="F377">
        <v>864</v>
      </c>
      <c r="G377" s="1">
        <f t="shared" si="5"/>
        <v>0.34491017964071857</v>
      </c>
    </row>
    <row r="378" spans="1:7">
      <c r="A378" t="s">
        <v>295</v>
      </c>
      <c r="B378">
        <v>7</v>
      </c>
      <c r="C378" t="s">
        <v>297</v>
      </c>
      <c r="D378">
        <v>8</v>
      </c>
      <c r="E378">
        <v>2505</v>
      </c>
      <c r="F378">
        <v>938</v>
      </c>
      <c r="G378" s="1">
        <f t="shared" si="5"/>
        <v>0.37445109780439123</v>
      </c>
    </row>
    <row r="379" spans="1:7">
      <c r="A379" t="s">
        <v>295</v>
      </c>
      <c r="B379">
        <v>7</v>
      </c>
      <c r="C379" t="s">
        <v>299</v>
      </c>
      <c r="D379">
        <v>9</v>
      </c>
      <c r="E379">
        <v>2505</v>
      </c>
      <c r="F379">
        <v>1055</v>
      </c>
      <c r="G379" s="1">
        <f t="shared" si="5"/>
        <v>0.42115768463073855</v>
      </c>
    </row>
    <row r="380" spans="1:7">
      <c r="A380" t="s">
        <v>295</v>
      </c>
      <c r="B380">
        <v>7</v>
      </c>
      <c r="C380" t="s">
        <v>301</v>
      </c>
      <c r="D380">
        <v>10</v>
      </c>
      <c r="E380">
        <v>2505</v>
      </c>
      <c r="F380">
        <v>1188</v>
      </c>
      <c r="G380" s="1">
        <f t="shared" si="5"/>
        <v>0.47425149700598801</v>
      </c>
    </row>
    <row r="381" spans="1:7">
      <c r="A381" t="s">
        <v>295</v>
      </c>
      <c r="B381">
        <v>8</v>
      </c>
      <c r="C381" t="s">
        <v>243</v>
      </c>
      <c r="D381">
        <v>1</v>
      </c>
      <c r="E381">
        <v>7903</v>
      </c>
      <c r="F381">
        <v>575</v>
      </c>
      <c r="G381" s="1">
        <f t="shared" si="5"/>
        <v>7.2757180817411116E-2</v>
      </c>
    </row>
    <row r="382" spans="1:7">
      <c r="A382" t="s">
        <v>295</v>
      </c>
      <c r="B382">
        <v>8</v>
      </c>
      <c r="C382" t="s">
        <v>327</v>
      </c>
      <c r="D382">
        <v>2</v>
      </c>
      <c r="E382">
        <v>7903</v>
      </c>
      <c r="F382">
        <v>910</v>
      </c>
      <c r="G382" s="1">
        <f t="shared" si="5"/>
        <v>0.11514614703277236</v>
      </c>
    </row>
    <row r="383" spans="1:7">
      <c r="A383" t="s">
        <v>295</v>
      </c>
      <c r="B383">
        <v>8</v>
      </c>
      <c r="C383" t="s">
        <v>305</v>
      </c>
      <c r="D383">
        <v>3</v>
      </c>
      <c r="E383">
        <v>7903</v>
      </c>
      <c r="F383">
        <v>1656</v>
      </c>
      <c r="G383" s="1">
        <f t="shared" si="5"/>
        <v>0.209540680754144</v>
      </c>
    </row>
    <row r="384" spans="1:7">
      <c r="A384" t="s">
        <v>295</v>
      </c>
      <c r="B384">
        <v>8</v>
      </c>
      <c r="C384" t="s">
        <v>329</v>
      </c>
      <c r="D384">
        <v>4</v>
      </c>
      <c r="E384">
        <v>7903</v>
      </c>
      <c r="F384">
        <v>1862</v>
      </c>
      <c r="G384" s="1">
        <f t="shared" si="5"/>
        <v>0.23560673162090345</v>
      </c>
    </row>
    <row r="385" spans="1:7">
      <c r="A385" t="s">
        <v>295</v>
      </c>
      <c r="B385">
        <v>8</v>
      </c>
      <c r="C385" t="s">
        <v>330</v>
      </c>
      <c r="D385">
        <v>5</v>
      </c>
      <c r="E385">
        <v>7903</v>
      </c>
      <c r="F385">
        <v>2446</v>
      </c>
      <c r="G385" s="1">
        <f t="shared" si="5"/>
        <v>0.30950272048589145</v>
      </c>
    </row>
    <row r="386" spans="1:7">
      <c r="A386" t="s">
        <v>295</v>
      </c>
      <c r="B386">
        <v>8</v>
      </c>
      <c r="C386" t="s">
        <v>328</v>
      </c>
      <c r="D386">
        <v>6</v>
      </c>
      <c r="E386">
        <v>7903</v>
      </c>
      <c r="F386">
        <v>4309</v>
      </c>
      <c r="G386" s="1">
        <f t="shared" ref="G386:G449" si="6">F386/E386</f>
        <v>0.54523598633430348</v>
      </c>
    </row>
    <row r="387" spans="1:7">
      <c r="A387" t="s">
        <v>295</v>
      </c>
      <c r="B387">
        <v>9</v>
      </c>
      <c r="C387" t="s">
        <v>243</v>
      </c>
      <c r="D387">
        <v>1</v>
      </c>
      <c r="E387">
        <v>23124</v>
      </c>
      <c r="F387">
        <v>624</v>
      </c>
      <c r="G387" s="1">
        <f t="shared" si="6"/>
        <v>2.6984950700570835E-2</v>
      </c>
    </row>
    <row r="388" spans="1:7">
      <c r="A388" t="s">
        <v>295</v>
      </c>
      <c r="B388">
        <v>9</v>
      </c>
      <c r="C388" t="s">
        <v>331</v>
      </c>
      <c r="D388">
        <v>2</v>
      </c>
      <c r="E388">
        <v>23124</v>
      </c>
      <c r="F388">
        <v>1105</v>
      </c>
      <c r="G388" s="1">
        <f t="shared" si="6"/>
        <v>4.7785850198927518E-2</v>
      </c>
    </row>
    <row r="389" spans="1:7">
      <c r="A389" t="s">
        <v>295</v>
      </c>
      <c r="B389">
        <v>9</v>
      </c>
      <c r="C389" t="s">
        <v>305</v>
      </c>
      <c r="D389">
        <v>3</v>
      </c>
      <c r="E389">
        <v>23124</v>
      </c>
      <c r="F389">
        <v>1719</v>
      </c>
      <c r="G389" s="1">
        <f t="shared" si="6"/>
        <v>7.4338349766476394E-2</v>
      </c>
    </row>
    <row r="390" spans="1:7">
      <c r="A390" t="s">
        <v>295</v>
      </c>
      <c r="B390">
        <v>9</v>
      </c>
      <c r="C390" t="s">
        <v>329</v>
      </c>
      <c r="D390">
        <v>4</v>
      </c>
      <c r="E390">
        <v>23124</v>
      </c>
      <c r="F390">
        <v>1922</v>
      </c>
      <c r="G390" s="1">
        <f t="shared" si="6"/>
        <v>8.3117107766822351E-2</v>
      </c>
    </row>
    <row r="391" spans="1:7">
      <c r="A391" t="s">
        <v>295</v>
      </c>
      <c r="B391">
        <v>9</v>
      </c>
      <c r="C391" t="s">
        <v>330</v>
      </c>
      <c r="D391">
        <v>5</v>
      </c>
      <c r="E391">
        <v>23124</v>
      </c>
      <c r="F391">
        <v>2526</v>
      </c>
      <c r="G391" s="1">
        <f t="shared" si="6"/>
        <v>0.10923715620134924</v>
      </c>
    </row>
    <row r="392" spans="1:7">
      <c r="A392" t="s">
        <v>295</v>
      </c>
      <c r="B392">
        <v>9</v>
      </c>
      <c r="C392" t="s">
        <v>332</v>
      </c>
      <c r="D392">
        <v>6</v>
      </c>
      <c r="E392">
        <v>23124</v>
      </c>
      <c r="F392">
        <v>4991</v>
      </c>
      <c r="G392" s="1">
        <f t="shared" si="6"/>
        <v>0.21583636049126448</v>
      </c>
    </row>
    <row r="393" spans="1:7">
      <c r="A393" t="s">
        <v>295</v>
      </c>
      <c r="B393">
        <v>9</v>
      </c>
      <c r="C393" t="s">
        <v>334</v>
      </c>
      <c r="D393">
        <v>7</v>
      </c>
      <c r="E393">
        <v>23124</v>
      </c>
      <c r="F393">
        <v>5456</v>
      </c>
      <c r="G393" s="1">
        <f t="shared" si="6"/>
        <v>0.23594533817678603</v>
      </c>
    </row>
    <row r="394" spans="1:7">
      <c r="A394" t="s">
        <v>295</v>
      </c>
      <c r="B394">
        <v>9</v>
      </c>
      <c r="C394" t="s">
        <v>328</v>
      </c>
      <c r="D394">
        <v>8</v>
      </c>
      <c r="E394">
        <v>23124</v>
      </c>
      <c r="F394">
        <v>5686</v>
      </c>
      <c r="G394" s="1">
        <f t="shared" si="6"/>
        <v>0.2458917142362913</v>
      </c>
    </row>
    <row r="395" spans="1:7">
      <c r="A395" t="s">
        <v>295</v>
      </c>
      <c r="B395">
        <v>9</v>
      </c>
      <c r="C395" t="s">
        <v>333</v>
      </c>
      <c r="D395">
        <v>9</v>
      </c>
      <c r="E395">
        <v>23124</v>
      </c>
      <c r="F395">
        <v>6629</v>
      </c>
      <c r="G395" s="1">
        <f t="shared" si="6"/>
        <v>0.28667185608026291</v>
      </c>
    </row>
    <row r="396" spans="1:7">
      <c r="A396" t="s">
        <v>295</v>
      </c>
      <c r="B396">
        <v>11</v>
      </c>
      <c r="C396" t="s">
        <v>33</v>
      </c>
      <c r="D396">
        <v>1</v>
      </c>
      <c r="E396">
        <v>5609</v>
      </c>
      <c r="F396">
        <v>299</v>
      </c>
      <c r="G396" s="1">
        <f t="shared" si="6"/>
        <v>5.3307184881440539E-2</v>
      </c>
    </row>
    <row r="397" spans="1:7">
      <c r="A397" t="s">
        <v>295</v>
      </c>
      <c r="B397">
        <v>11</v>
      </c>
      <c r="C397" t="s">
        <v>19</v>
      </c>
      <c r="D397">
        <v>2</v>
      </c>
      <c r="E397">
        <v>5609</v>
      </c>
      <c r="F397">
        <v>5401</v>
      </c>
      <c r="G397" s="1">
        <f t="shared" si="6"/>
        <v>0.96291674095204138</v>
      </c>
    </row>
    <row r="398" spans="1:7">
      <c r="A398" t="s">
        <v>295</v>
      </c>
      <c r="B398">
        <v>13</v>
      </c>
      <c r="C398" t="s">
        <v>19</v>
      </c>
      <c r="D398">
        <v>1</v>
      </c>
      <c r="E398">
        <v>19375</v>
      </c>
      <c r="F398">
        <v>1358</v>
      </c>
      <c r="G398" s="1">
        <f t="shared" si="6"/>
        <v>7.0090322580645167E-2</v>
      </c>
    </row>
    <row r="399" spans="1:7">
      <c r="A399" t="s">
        <v>295</v>
      </c>
      <c r="B399">
        <v>13</v>
      </c>
      <c r="C399" t="s">
        <v>335</v>
      </c>
      <c r="D399">
        <v>2</v>
      </c>
      <c r="E399">
        <v>19375</v>
      </c>
      <c r="F399">
        <v>1377</v>
      </c>
      <c r="G399" s="1">
        <f t="shared" si="6"/>
        <v>7.1070967741935484E-2</v>
      </c>
    </row>
    <row r="400" spans="1:7">
      <c r="A400" t="s">
        <v>295</v>
      </c>
      <c r="B400">
        <v>13</v>
      </c>
      <c r="C400" t="s">
        <v>1</v>
      </c>
      <c r="D400">
        <v>3</v>
      </c>
      <c r="E400">
        <v>19375</v>
      </c>
      <c r="F400">
        <v>1423</v>
      </c>
      <c r="G400" s="1">
        <f t="shared" si="6"/>
        <v>7.344516129032258E-2</v>
      </c>
    </row>
    <row r="401" spans="1:7">
      <c r="A401" t="s">
        <v>295</v>
      </c>
      <c r="B401">
        <v>13</v>
      </c>
      <c r="C401" t="s">
        <v>22</v>
      </c>
      <c r="D401">
        <v>4</v>
      </c>
      <c r="E401">
        <v>19375</v>
      </c>
      <c r="F401">
        <v>18987</v>
      </c>
      <c r="G401" s="1">
        <f t="shared" si="6"/>
        <v>0.97997419354838711</v>
      </c>
    </row>
    <row r="402" spans="1:7">
      <c r="A402" t="s">
        <v>295</v>
      </c>
      <c r="B402">
        <v>14</v>
      </c>
      <c r="C402" t="s">
        <v>335</v>
      </c>
      <c r="D402">
        <v>1</v>
      </c>
      <c r="E402">
        <v>52275</v>
      </c>
      <c r="F402">
        <v>2236</v>
      </c>
      <c r="G402" s="1">
        <f t="shared" si="6"/>
        <v>4.2773792443806788E-2</v>
      </c>
    </row>
    <row r="403" spans="1:7">
      <c r="A403" t="s">
        <v>295</v>
      </c>
      <c r="B403">
        <v>14</v>
      </c>
      <c r="C403" t="s">
        <v>19</v>
      </c>
      <c r="D403">
        <v>2</v>
      </c>
      <c r="E403">
        <v>52275</v>
      </c>
      <c r="F403">
        <v>2240</v>
      </c>
      <c r="G403" s="1">
        <f t="shared" si="6"/>
        <v>4.2850310856049734E-2</v>
      </c>
    </row>
    <row r="404" spans="1:7">
      <c r="A404" t="s">
        <v>295</v>
      </c>
      <c r="B404">
        <v>14</v>
      </c>
      <c r="C404" t="s">
        <v>1</v>
      </c>
      <c r="D404">
        <v>3</v>
      </c>
      <c r="E404">
        <v>52275</v>
      </c>
      <c r="F404">
        <v>2268</v>
      </c>
      <c r="G404" s="1">
        <f t="shared" si="6"/>
        <v>4.3385939741750361E-2</v>
      </c>
    </row>
    <row r="405" spans="1:7">
      <c r="A405" t="s">
        <v>295</v>
      </c>
      <c r="B405">
        <v>14</v>
      </c>
      <c r="C405" t="s">
        <v>336</v>
      </c>
      <c r="D405">
        <v>4</v>
      </c>
      <c r="E405">
        <v>52275</v>
      </c>
      <c r="F405">
        <v>23284</v>
      </c>
      <c r="G405" s="1">
        <f t="shared" si="6"/>
        <v>0.44541367766618845</v>
      </c>
    </row>
    <row r="406" spans="1:7">
      <c r="A406" t="s">
        <v>295</v>
      </c>
      <c r="B406">
        <v>14</v>
      </c>
      <c r="C406" t="s">
        <v>338</v>
      </c>
      <c r="D406">
        <v>5</v>
      </c>
      <c r="E406">
        <v>52275</v>
      </c>
      <c r="F406">
        <v>23549</v>
      </c>
      <c r="G406" s="1">
        <f t="shared" si="6"/>
        <v>0.45048302247728361</v>
      </c>
    </row>
    <row r="407" spans="1:7">
      <c r="A407" t="s">
        <v>295</v>
      </c>
      <c r="B407">
        <v>14</v>
      </c>
      <c r="C407" t="s">
        <v>340</v>
      </c>
      <c r="D407">
        <v>6</v>
      </c>
      <c r="E407">
        <v>52275</v>
      </c>
      <c r="F407">
        <v>23716</v>
      </c>
      <c r="G407" s="1">
        <f t="shared" si="6"/>
        <v>0.45367766618842659</v>
      </c>
    </row>
    <row r="408" spans="1:7">
      <c r="A408" t="s">
        <v>295</v>
      </c>
      <c r="B408">
        <v>14</v>
      </c>
      <c r="C408" t="s">
        <v>339</v>
      </c>
      <c r="D408">
        <v>7</v>
      </c>
      <c r="E408">
        <v>52275</v>
      </c>
      <c r="F408">
        <v>23767</v>
      </c>
      <c r="G408" s="1">
        <f t="shared" si="6"/>
        <v>0.45465327594452415</v>
      </c>
    </row>
    <row r="409" spans="1:7">
      <c r="A409" t="s">
        <v>295</v>
      </c>
      <c r="B409">
        <v>14</v>
      </c>
      <c r="C409" t="s">
        <v>337</v>
      </c>
      <c r="D409">
        <v>8</v>
      </c>
      <c r="E409">
        <v>52275</v>
      </c>
      <c r="F409">
        <v>24719</v>
      </c>
      <c r="G409" s="1">
        <f t="shared" si="6"/>
        <v>0.47286465805834527</v>
      </c>
    </row>
    <row r="410" spans="1:7">
      <c r="A410" t="s">
        <v>295</v>
      </c>
      <c r="B410">
        <v>14</v>
      </c>
      <c r="C410" t="s">
        <v>341</v>
      </c>
      <c r="D410">
        <v>9</v>
      </c>
      <c r="E410">
        <v>52275</v>
      </c>
      <c r="F410">
        <v>25443</v>
      </c>
      <c r="G410" s="1">
        <f t="shared" si="6"/>
        <v>0.48671449067431849</v>
      </c>
    </row>
    <row r="411" spans="1:7">
      <c r="A411" t="s">
        <v>295</v>
      </c>
      <c r="B411">
        <v>14</v>
      </c>
      <c r="C411" t="s">
        <v>343</v>
      </c>
      <c r="D411">
        <v>10</v>
      </c>
      <c r="E411">
        <v>52275</v>
      </c>
      <c r="F411">
        <v>39148</v>
      </c>
      <c r="G411" s="1">
        <f t="shared" si="6"/>
        <v>0.74888570062171211</v>
      </c>
    </row>
    <row r="412" spans="1:7">
      <c r="A412" t="s">
        <v>295</v>
      </c>
      <c r="B412">
        <v>14</v>
      </c>
      <c r="C412" t="s">
        <v>342</v>
      </c>
      <c r="D412">
        <v>11</v>
      </c>
      <c r="E412">
        <v>52275</v>
      </c>
      <c r="F412">
        <v>40005</v>
      </c>
      <c r="G412" s="1">
        <f t="shared" si="6"/>
        <v>0.76527977044476325</v>
      </c>
    </row>
    <row r="413" spans="1:7">
      <c r="A413" t="s">
        <v>295</v>
      </c>
      <c r="B413">
        <v>15</v>
      </c>
      <c r="C413" t="s">
        <v>19</v>
      </c>
      <c r="D413">
        <v>1</v>
      </c>
      <c r="E413">
        <v>13865</v>
      </c>
      <c r="F413">
        <v>806</v>
      </c>
      <c r="G413" s="1">
        <f t="shared" si="6"/>
        <v>5.8131987017670396E-2</v>
      </c>
    </row>
    <row r="414" spans="1:7">
      <c r="A414" t="s">
        <v>295</v>
      </c>
      <c r="B414">
        <v>15</v>
      </c>
      <c r="C414" t="s">
        <v>1</v>
      </c>
      <c r="D414">
        <v>2</v>
      </c>
      <c r="E414">
        <v>13865</v>
      </c>
      <c r="F414">
        <v>827</v>
      </c>
      <c r="G414" s="1">
        <f t="shared" si="6"/>
        <v>5.9646592138478186E-2</v>
      </c>
    </row>
    <row r="415" spans="1:7">
      <c r="A415" t="s">
        <v>295</v>
      </c>
      <c r="B415">
        <v>15</v>
      </c>
      <c r="C415" t="s">
        <v>335</v>
      </c>
      <c r="D415">
        <v>3</v>
      </c>
      <c r="E415">
        <v>13865</v>
      </c>
      <c r="F415">
        <v>1632</v>
      </c>
      <c r="G415" s="1">
        <f t="shared" si="6"/>
        <v>0.11770645510277677</v>
      </c>
    </row>
    <row r="416" spans="1:7">
      <c r="A416" t="s">
        <v>295</v>
      </c>
      <c r="B416">
        <v>15</v>
      </c>
      <c r="C416" t="s">
        <v>22</v>
      </c>
      <c r="D416">
        <v>4</v>
      </c>
      <c r="E416">
        <v>13865</v>
      </c>
      <c r="F416">
        <v>13592</v>
      </c>
      <c r="G416" s="1">
        <f t="shared" si="6"/>
        <v>0.98031013342949869</v>
      </c>
    </row>
    <row r="417" spans="1:7">
      <c r="A417" t="s">
        <v>295</v>
      </c>
      <c r="B417">
        <v>16</v>
      </c>
      <c r="C417" t="s">
        <v>19</v>
      </c>
      <c r="D417">
        <v>1</v>
      </c>
      <c r="E417">
        <v>26013</v>
      </c>
      <c r="F417">
        <v>1023</v>
      </c>
      <c r="G417" s="1">
        <f t="shared" si="6"/>
        <v>3.9326490600853421E-2</v>
      </c>
    </row>
    <row r="418" spans="1:7">
      <c r="A418" t="s">
        <v>295</v>
      </c>
      <c r="B418">
        <v>16</v>
      </c>
      <c r="C418" t="s">
        <v>1</v>
      </c>
      <c r="D418">
        <v>2</v>
      </c>
      <c r="E418">
        <v>26013</v>
      </c>
      <c r="F418">
        <v>1049</v>
      </c>
      <c r="G418" s="1">
        <f t="shared" si="6"/>
        <v>4.032599085072848E-2</v>
      </c>
    </row>
    <row r="419" spans="1:7">
      <c r="A419" t="s">
        <v>295</v>
      </c>
      <c r="B419">
        <v>16</v>
      </c>
      <c r="C419" t="s">
        <v>335</v>
      </c>
      <c r="D419">
        <v>3</v>
      </c>
      <c r="E419">
        <v>26013</v>
      </c>
      <c r="F419">
        <v>1153</v>
      </c>
      <c r="G419" s="1">
        <f t="shared" si="6"/>
        <v>4.4323991850228735E-2</v>
      </c>
    </row>
    <row r="420" spans="1:7">
      <c r="A420" t="s">
        <v>295</v>
      </c>
      <c r="B420">
        <v>16</v>
      </c>
      <c r="C420" t="s">
        <v>22</v>
      </c>
      <c r="D420">
        <v>4</v>
      </c>
      <c r="E420">
        <v>26013</v>
      </c>
      <c r="F420">
        <v>25412</v>
      </c>
      <c r="G420" s="1">
        <f t="shared" si="6"/>
        <v>0.97689616730096496</v>
      </c>
    </row>
    <row r="421" spans="1:7">
      <c r="A421" t="s">
        <v>295</v>
      </c>
      <c r="B421">
        <v>20</v>
      </c>
      <c r="C421" t="s">
        <v>19</v>
      </c>
      <c r="D421">
        <v>1</v>
      </c>
      <c r="E421">
        <v>2864</v>
      </c>
      <c r="F421">
        <v>1582</v>
      </c>
      <c r="G421" s="1">
        <f t="shared" si="6"/>
        <v>0.55237430167597767</v>
      </c>
    </row>
    <row r="422" spans="1:7">
      <c r="A422" t="s">
        <v>295</v>
      </c>
      <c r="B422">
        <v>20</v>
      </c>
      <c r="C422" t="s">
        <v>33</v>
      </c>
      <c r="D422">
        <v>2</v>
      </c>
      <c r="E422">
        <v>2864</v>
      </c>
      <c r="F422">
        <v>1583</v>
      </c>
      <c r="G422" s="1">
        <f t="shared" si="6"/>
        <v>0.55272346368715086</v>
      </c>
    </row>
    <row r="423" spans="1:7">
      <c r="A423" t="s">
        <v>295</v>
      </c>
      <c r="B423">
        <v>21</v>
      </c>
      <c r="C423" t="s">
        <v>19</v>
      </c>
      <c r="D423">
        <v>1</v>
      </c>
      <c r="E423">
        <v>11606</v>
      </c>
      <c r="F423">
        <v>5946</v>
      </c>
      <c r="G423" s="1">
        <f t="shared" si="6"/>
        <v>0.51232121316560397</v>
      </c>
    </row>
    <row r="424" spans="1:7">
      <c r="A424" t="s">
        <v>295</v>
      </c>
      <c r="B424">
        <v>21</v>
      </c>
      <c r="C424" t="s">
        <v>33</v>
      </c>
      <c r="D424">
        <v>2</v>
      </c>
      <c r="E424">
        <v>11606</v>
      </c>
      <c r="F424">
        <v>5975</v>
      </c>
      <c r="G424" s="1">
        <f t="shared" si="6"/>
        <v>0.51481992073065652</v>
      </c>
    </row>
    <row r="425" spans="1:7">
      <c r="A425" t="s">
        <v>344</v>
      </c>
      <c r="B425">
        <v>0</v>
      </c>
      <c r="C425" t="s">
        <v>33</v>
      </c>
      <c r="D425">
        <v>1</v>
      </c>
      <c r="E425">
        <v>176</v>
      </c>
      <c r="F425">
        <v>73</v>
      </c>
      <c r="G425" s="1">
        <f t="shared" si="6"/>
        <v>0.41477272727272729</v>
      </c>
    </row>
    <row r="426" spans="1:7">
      <c r="A426" t="s">
        <v>344</v>
      </c>
      <c r="B426">
        <v>0</v>
      </c>
      <c r="C426" t="s">
        <v>0</v>
      </c>
      <c r="D426">
        <v>2</v>
      </c>
      <c r="E426">
        <v>176</v>
      </c>
      <c r="F426">
        <v>111</v>
      </c>
      <c r="G426" s="1">
        <f t="shared" si="6"/>
        <v>0.63068181818181823</v>
      </c>
    </row>
    <row r="427" spans="1:7">
      <c r="A427" t="s">
        <v>344</v>
      </c>
      <c r="B427">
        <v>0</v>
      </c>
      <c r="C427" t="s">
        <v>34</v>
      </c>
      <c r="D427">
        <v>3</v>
      </c>
      <c r="E427">
        <v>176</v>
      </c>
      <c r="F427">
        <v>122</v>
      </c>
      <c r="G427" s="1">
        <f t="shared" si="6"/>
        <v>0.69318181818181823</v>
      </c>
    </row>
    <row r="428" spans="1:7">
      <c r="A428" t="s">
        <v>344</v>
      </c>
      <c r="B428">
        <v>0</v>
      </c>
      <c r="C428" t="s">
        <v>35</v>
      </c>
      <c r="D428">
        <v>4</v>
      </c>
      <c r="E428">
        <v>176</v>
      </c>
      <c r="F428">
        <v>174</v>
      </c>
      <c r="G428" s="1">
        <f t="shared" si="6"/>
        <v>0.98863636363636365</v>
      </c>
    </row>
    <row r="429" spans="1:7">
      <c r="A429" t="s">
        <v>344</v>
      </c>
      <c r="B429">
        <v>1</v>
      </c>
      <c r="C429" t="s">
        <v>345</v>
      </c>
      <c r="D429">
        <v>1</v>
      </c>
      <c r="E429">
        <v>7569</v>
      </c>
      <c r="F429">
        <v>639</v>
      </c>
      <c r="G429" s="1">
        <f t="shared" si="6"/>
        <v>8.4423305588585018E-2</v>
      </c>
    </row>
    <row r="430" spans="1:7">
      <c r="A430" t="s">
        <v>344</v>
      </c>
      <c r="B430">
        <v>1</v>
      </c>
      <c r="C430" t="s">
        <v>33</v>
      </c>
      <c r="D430">
        <v>2</v>
      </c>
      <c r="E430">
        <v>7569</v>
      </c>
      <c r="F430">
        <v>1528</v>
      </c>
      <c r="G430" s="1">
        <f t="shared" si="6"/>
        <v>0.20187607345752412</v>
      </c>
    </row>
    <row r="431" spans="1:7">
      <c r="A431" t="s">
        <v>344</v>
      </c>
      <c r="B431">
        <v>1</v>
      </c>
      <c r="C431" t="s">
        <v>346</v>
      </c>
      <c r="D431">
        <v>3</v>
      </c>
      <c r="E431">
        <v>7569</v>
      </c>
      <c r="F431">
        <v>2165</v>
      </c>
      <c r="G431" s="1">
        <f t="shared" si="6"/>
        <v>0.28603514334786628</v>
      </c>
    </row>
    <row r="432" spans="1:7">
      <c r="A432" t="s">
        <v>344</v>
      </c>
      <c r="B432">
        <v>1</v>
      </c>
      <c r="C432" t="s">
        <v>347</v>
      </c>
      <c r="D432">
        <v>4</v>
      </c>
      <c r="E432">
        <v>7569</v>
      </c>
      <c r="F432">
        <v>4543</v>
      </c>
      <c r="G432" s="1">
        <f t="shared" si="6"/>
        <v>0.60021138855859424</v>
      </c>
    </row>
    <row r="433" spans="1:7">
      <c r="A433" t="s">
        <v>348</v>
      </c>
      <c r="B433">
        <v>1</v>
      </c>
      <c r="C433" t="s">
        <v>23</v>
      </c>
      <c r="D433">
        <v>1</v>
      </c>
      <c r="E433">
        <v>3129</v>
      </c>
      <c r="F433">
        <v>421</v>
      </c>
      <c r="G433" s="1">
        <f t="shared" si="6"/>
        <v>0.13454777884308086</v>
      </c>
    </row>
    <row r="434" spans="1:7">
      <c r="A434" t="s">
        <v>348</v>
      </c>
      <c r="B434">
        <v>1</v>
      </c>
      <c r="C434" t="s">
        <v>349</v>
      </c>
      <c r="D434">
        <v>2</v>
      </c>
      <c r="E434">
        <v>3129</v>
      </c>
      <c r="F434">
        <v>441</v>
      </c>
      <c r="G434" s="1">
        <f t="shared" si="6"/>
        <v>0.14093959731543623</v>
      </c>
    </row>
    <row r="435" spans="1:7">
      <c r="A435" t="s">
        <v>348</v>
      </c>
      <c r="B435">
        <v>1</v>
      </c>
      <c r="C435" t="s">
        <v>350</v>
      </c>
      <c r="D435">
        <v>3</v>
      </c>
      <c r="E435">
        <v>3129</v>
      </c>
      <c r="F435">
        <v>772</v>
      </c>
      <c r="G435" s="1">
        <f t="shared" si="6"/>
        <v>0.24672419303291787</v>
      </c>
    </row>
    <row r="436" spans="1:7">
      <c r="A436" t="s">
        <v>348</v>
      </c>
      <c r="B436">
        <v>1</v>
      </c>
      <c r="C436" t="s">
        <v>353</v>
      </c>
      <c r="D436">
        <v>4</v>
      </c>
      <c r="E436">
        <v>3129</v>
      </c>
      <c r="F436">
        <v>784</v>
      </c>
      <c r="G436" s="1">
        <f t="shared" si="6"/>
        <v>0.2505592841163311</v>
      </c>
    </row>
    <row r="437" spans="1:7">
      <c r="A437" t="s">
        <v>348</v>
      </c>
      <c r="B437">
        <v>1</v>
      </c>
      <c r="C437" t="s">
        <v>352</v>
      </c>
      <c r="D437">
        <v>5</v>
      </c>
      <c r="E437">
        <v>3129</v>
      </c>
      <c r="F437">
        <v>816</v>
      </c>
      <c r="G437" s="1">
        <f t="shared" si="6"/>
        <v>0.26078619367209971</v>
      </c>
    </row>
    <row r="438" spans="1:7">
      <c r="A438" t="s">
        <v>348</v>
      </c>
      <c r="B438">
        <v>1</v>
      </c>
      <c r="C438" t="s">
        <v>351</v>
      </c>
      <c r="D438">
        <v>6</v>
      </c>
      <c r="E438">
        <v>3129</v>
      </c>
      <c r="F438">
        <v>817</v>
      </c>
      <c r="G438" s="1">
        <f t="shared" si="6"/>
        <v>0.26110578459571748</v>
      </c>
    </row>
    <row r="439" spans="1:7">
      <c r="A439" t="s">
        <v>348</v>
      </c>
      <c r="B439">
        <v>1</v>
      </c>
      <c r="C439" t="s">
        <v>22</v>
      </c>
      <c r="D439">
        <v>7</v>
      </c>
      <c r="E439">
        <v>3129</v>
      </c>
      <c r="F439">
        <v>857</v>
      </c>
      <c r="G439" s="1">
        <f t="shared" si="6"/>
        <v>0.27388942154042828</v>
      </c>
    </row>
    <row r="440" spans="1:7">
      <c r="A440" t="s">
        <v>348</v>
      </c>
      <c r="B440">
        <v>1</v>
      </c>
      <c r="C440" t="s">
        <v>335</v>
      </c>
      <c r="D440">
        <v>8</v>
      </c>
      <c r="E440">
        <v>3129</v>
      </c>
      <c r="F440">
        <v>975</v>
      </c>
      <c r="G440" s="1">
        <f t="shared" si="6"/>
        <v>0.31160115052732501</v>
      </c>
    </row>
    <row r="441" spans="1:7">
      <c r="A441" t="s">
        <v>354</v>
      </c>
      <c r="B441">
        <v>1</v>
      </c>
      <c r="C441" t="s">
        <v>33</v>
      </c>
      <c r="D441">
        <v>1</v>
      </c>
      <c r="E441">
        <v>25428</v>
      </c>
      <c r="F441">
        <v>5804</v>
      </c>
      <c r="G441" s="1">
        <f t="shared" si="6"/>
        <v>0.22825232027686015</v>
      </c>
    </row>
    <row r="442" spans="1:7">
      <c r="A442" t="s">
        <v>354</v>
      </c>
      <c r="B442">
        <v>1</v>
      </c>
      <c r="C442" t="s">
        <v>356</v>
      </c>
      <c r="D442">
        <v>2</v>
      </c>
      <c r="E442">
        <v>25428</v>
      </c>
      <c r="F442">
        <v>5833</v>
      </c>
      <c r="G442" s="1">
        <f t="shared" si="6"/>
        <v>0.22939279534371559</v>
      </c>
    </row>
    <row r="443" spans="1:7">
      <c r="A443" t="s">
        <v>354</v>
      </c>
      <c r="B443">
        <v>1</v>
      </c>
      <c r="C443" t="s">
        <v>355</v>
      </c>
      <c r="D443">
        <v>3</v>
      </c>
      <c r="E443">
        <v>25428</v>
      </c>
      <c r="F443">
        <v>6187</v>
      </c>
      <c r="G443" s="1">
        <f t="shared" si="6"/>
        <v>0.24331445650464056</v>
      </c>
    </row>
    <row r="444" spans="1:7">
      <c r="A444" t="s">
        <v>354</v>
      </c>
      <c r="B444">
        <v>1</v>
      </c>
      <c r="C444" t="s">
        <v>248</v>
      </c>
      <c r="D444">
        <v>4</v>
      </c>
      <c r="E444">
        <v>25428</v>
      </c>
      <c r="F444">
        <v>6203</v>
      </c>
      <c r="G444" s="1">
        <f t="shared" si="6"/>
        <v>0.24394368412773321</v>
      </c>
    </row>
    <row r="445" spans="1:7">
      <c r="A445" t="s">
        <v>354</v>
      </c>
      <c r="B445">
        <v>1</v>
      </c>
      <c r="C445" t="s">
        <v>357</v>
      </c>
      <c r="D445">
        <v>5</v>
      </c>
      <c r="E445">
        <v>25428</v>
      </c>
      <c r="F445">
        <v>6629</v>
      </c>
      <c r="G445" s="1">
        <f t="shared" si="6"/>
        <v>0.2606968695925751</v>
      </c>
    </row>
    <row r="446" spans="1:7">
      <c r="A446" t="s">
        <v>358</v>
      </c>
      <c r="B446">
        <v>5</v>
      </c>
      <c r="C446" t="s">
        <v>359</v>
      </c>
      <c r="D446">
        <v>1</v>
      </c>
      <c r="E446">
        <v>22769</v>
      </c>
      <c r="F446">
        <v>4473</v>
      </c>
      <c r="G446" s="1">
        <f t="shared" si="6"/>
        <v>0.19645131538495322</v>
      </c>
    </row>
    <row r="447" spans="1:7">
      <c r="A447" t="s">
        <v>358</v>
      </c>
      <c r="B447">
        <v>5</v>
      </c>
      <c r="C447" t="s">
        <v>33</v>
      </c>
      <c r="D447">
        <v>2</v>
      </c>
      <c r="E447">
        <v>22769</v>
      </c>
      <c r="F447">
        <v>4568</v>
      </c>
      <c r="G447" s="1">
        <f t="shared" si="6"/>
        <v>0.20062365496947604</v>
      </c>
    </row>
    <row r="448" spans="1:7">
      <c r="A448" t="s">
        <v>358</v>
      </c>
      <c r="B448">
        <v>5</v>
      </c>
      <c r="C448" t="s">
        <v>346</v>
      </c>
      <c r="D448">
        <v>3</v>
      </c>
      <c r="E448">
        <v>22769</v>
      </c>
      <c r="F448">
        <v>6734</v>
      </c>
      <c r="G448" s="1">
        <f t="shared" si="6"/>
        <v>0.29575299749659623</v>
      </c>
    </row>
    <row r="449" spans="1:7">
      <c r="A449" t="s">
        <v>358</v>
      </c>
      <c r="B449">
        <v>5</v>
      </c>
      <c r="C449" t="s">
        <v>360</v>
      </c>
      <c r="D449">
        <v>4</v>
      </c>
      <c r="E449">
        <v>22769</v>
      </c>
      <c r="F449">
        <v>10578</v>
      </c>
      <c r="G449" s="1">
        <f t="shared" si="6"/>
        <v>0.46457903289560365</v>
      </c>
    </row>
    <row r="450" spans="1:7">
      <c r="A450" t="s">
        <v>358</v>
      </c>
      <c r="B450">
        <v>5</v>
      </c>
      <c r="C450" t="s">
        <v>361</v>
      </c>
      <c r="D450">
        <v>5</v>
      </c>
      <c r="E450">
        <v>22769</v>
      </c>
      <c r="F450">
        <v>15391</v>
      </c>
      <c r="G450" s="1">
        <f t="shared" ref="G450:G513" si="7">F450/E450</f>
        <v>0.67596293205674385</v>
      </c>
    </row>
    <row r="451" spans="1:7">
      <c r="A451" t="s">
        <v>358</v>
      </c>
      <c r="B451">
        <v>7</v>
      </c>
      <c r="C451" t="s">
        <v>2</v>
      </c>
      <c r="D451">
        <v>1</v>
      </c>
      <c r="E451">
        <v>752</v>
      </c>
      <c r="F451">
        <v>220</v>
      </c>
      <c r="G451" s="1">
        <f t="shared" si="7"/>
        <v>0.29255319148936171</v>
      </c>
    </row>
    <row r="452" spans="1:7">
      <c r="A452" t="s">
        <v>358</v>
      </c>
      <c r="B452">
        <v>7</v>
      </c>
      <c r="C452" t="s">
        <v>33</v>
      </c>
      <c r="D452">
        <v>2</v>
      </c>
      <c r="E452">
        <v>752</v>
      </c>
      <c r="F452">
        <v>400</v>
      </c>
      <c r="G452" s="1">
        <f t="shared" si="7"/>
        <v>0.53191489361702127</v>
      </c>
    </row>
    <row r="453" spans="1:7">
      <c r="A453" t="s">
        <v>358</v>
      </c>
      <c r="B453">
        <v>7</v>
      </c>
      <c r="C453" t="s">
        <v>0</v>
      </c>
      <c r="D453">
        <v>3</v>
      </c>
      <c r="E453">
        <v>752</v>
      </c>
      <c r="F453">
        <v>624</v>
      </c>
      <c r="G453" s="1">
        <f t="shared" si="7"/>
        <v>0.82978723404255317</v>
      </c>
    </row>
    <row r="454" spans="1:7">
      <c r="A454" t="s">
        <v>358</v>
      </c>
      <c r="B454">
        <v>9</v>
      </c>
      <c r="C454" t="s">
        <v>375</v>
      </c>
      <c r="D454">
        <v>1</v>
      </c>
      <c r="E454">
        <v>778</v>
      </c>
      <c r="F454">
        <v>198</v>
      </c>
      <c r="G454" s="1">
        <f t="shared" si="7"/>
        <v>0.25449871465295631</v>
      </c>
    </row>
    <row r="455" spans="1:7">
      <c r="A455" t="s">
        <v>358</v>
      </c>
      <c r="B455">
        <v>9</v>
      </c>
      <c r="C455" t="s">
        <v>362</v>
      </c>
      <c r="D455">
        <v>2</v>
      </c>
      <c r="E455">
        <v>778</v>
      </c>
      <c r="F455">
        <v>199</v>
      </c>
      <c r="G455" s="1">
        <f t="shared" si="7"/>
        <v>0.25578406169665807</v>
      </c>
    </row>
    <row r="456" spans="1:7">
      <c r="A456" t="s">
        <v>358</v>
      </c>
      <c r="B456">
        <v>9</v>
      </c>
      <c r="C456" t="s">
        <v>377</v>
      </c>
      <c r="D456">
        <v>3</v>
      </c>
      <c r="E456">
        <v>778</v>
      </c>
      <c r="F456">
        <v>201</v>
      </c>
      <c r="G456" s="1">
        <f t="shared" si="7"/>
        <v>0.2583547557840617</v>
      </c>
    </row>
    <row r="457" spans="1:7">
      <c r="A457" t="s">
        <v>358</v>
      </c>
      <c r="B457">
        <v>9</v>
      </c>
      <c r="C457" t="s">
        <v>373</v>
      </c>
      <c r="D457">
        <v>4</v>
      </c>
      <c r="E457">
        <v>778</v>
      </c>
      <c r="F457">
        <v>226</v>
      </c>
      <c r="G457" s="1">
        <f t="shared" si="7"/>
        <v>0.29048843187660667</v>
      </c>
    </row>
    <row r="458" spans="1:7">
      <c r="A458" t="s">
        <v>358</v>
      </c>
      <c r="B458">
        <v>9</v>
      </c>
      <c r="C458" t="s">
        <v>371</v>
      </c>
      <c r="D458">
        <v>5</v>
      </c>
      <c r="E458">
        <v>778</v>
      </c>
      <c r="F458">
        <v>248</v>
      </c>
      <c r="G458" s="1">
        <f t="shared" si="7"/>
        <v>0.31876606683804626</v>
      </c>
    </row>
    <row r="459" spans="1:7">
      <c r="A459" t="s">
        <v>358</v>
      </c>
      <c r="B459">
        <v>9</v>
      </c>
      <c r="C459" t="s">
        <v>367</v>
      </c>
      <c r="D459">
        <v>6</v>
      </c>
      <c r="E459">
        <v>778</v>
      </c>
      <c r="F459">
        <v>249</v>
      </c>
      <c r="G459" s="1">
        <f t="shared" si="7"/>
        <v>0.32005141388174807</v>
      </c>
    </row>
    <row r="460" spans="1:7">
      <c r="A460" t="s">
        <v>358</v>
      </c>
      <c r="B460">
        <v>9</v>
      </c>
      <c r="C460" t="s">
        <v>368</v>
      </c>
      <c r="D460">
        <v>7</v>
      </c>
      <c r="E460">
        <v>778</v>
      </c>
      <c r="F460">
        <v>250</v>
      </c>
      <c r="G460" s="1">
        <f t="shared" si="7"/>
        <v>0.32133676092544988</v>
      </c>
    </row>
    <row r="461" spans="1:7">
      <c r="A461" t="s">
        <v>358</v>
      </c>
      <c r="B461">
        <v>9</v>
      </c>
      <c r="C461" t="s">
        <v>370</v>
      </c>
      <c r="D461">
        <v>8</v>
      </c>
      <c r="E461">
        <v>778</v>
      </c>
      <c r="F461">
        <v>251</v>
      </c>
      <c r="G461" s="1">
        <f t="shared" si="7"/>
        <v>0.32262210796915169</v>
      </c>
    </row>
    <row r="462" spans="1:7">
      <c r="A462" t="s">
        <v>358</v>
      </c>
      <c r="B462">
        <v>9</v>
      </c>
      <c r="C462" t="s">
        <v>21</v>
      </c>
      <c r="D462">
        <v>9</v>
      </c>
      <c r="E462">
        <v>778</v>
      </c>
      <c r="F462">
        <v>252</v>
      </c>
      <c r="G462" s="1">
        <f t="shared" si="7"/>
        <v>0.32390745501285345</v>
      </c>
    </row>
    <row r="463" spans="1:7">
      <c r="A463" t="s">
        <v>358</v>
      </c>
      <c r="B463">
        <v>9</v>
      </c>
      <c r="C463" t="s">
        <v>363</v>
      </c>
      <c r="D463">
        <v>10</v>
      </c>
      <c r="E463">
        <v>778</v>
      </c>
      <c r="F463">
        <v>261</v>
      </c>
      <c r="G463" s="1">
        <f t="shared" si="7"/>
        <v>0.33547557840616965</v>
      </c>
    </row>
    <row r="464" spans="1:7">
      <c r="A464" t="s">
        <v>358</v>
      </c>
      <c r="B464">
        <v>9</v>
      </c>
      <c r="C464" t="s">
        <v>374</v>
      </c>
      <c r="D464">
        <v>11</v>
      </c>
      <c r="E464">
        <v>778</v>
      </c>
      <c r="F464">
        <v>262</v>
      </c>
      <c r="G464" s="1">
        <f t="shared" si="7"/>
        <v>0.33676092544987146</v>
      </c>
    </row>
    <row r="465" spans="1:7">
      <c r="A465" t="s">
        <v>358</v>
      </c>
      <c r="B465">
        <v>9</v>
      </c>
      <c r="C465" t="s">
        <v>366</v>
      </c>
      <c r="D465">
        <v>12</v>
      </c>
      <c r="E465">
        <v>778</v>
      </c>
      <c r="F465">
        <v>301</v>
      </c>
      <c r="G465" s="1">
        <f t="shared" si="7"/>
        <v>0.38688946015424164</v>
      </c>
    </row>
    <row r="466" spans="1:7">
      <c r="A466" t="s">
        <v>358</v>
      </c>
      <c r="B466">
        <v>9</v>
      </c>
      <c r="C466" t="s">
        <v>365</v>
      </c>
      <c r="D466">
        <v>13</v>
      </c>
      <c r="E466">
        <v>778</v>
      </c>
      <c r="F466">
        <v>319</v>
      </c>
      <c r="G466" s="1">
        <f t="shared" si="7"/>
        <v>0.41002570694087404</v>
      </c>
    </row>
    <row r="467" spans="1:7">
      <c r="A467" t="s">
        <v>358</v>
      </c>
      <c r="B467">
        <v>9</v>
      </c>
      <c r="C467" t="s">
        <v>364</v>
      </c>
      <c r="D467">
        <v>14</v>
      </c>
      <c r="E467">
        <v>778</v>
      </c>
      <c r="F467">
        <v>346</v>
      </c>
      <c r="G467" s="1">
        <f t="shared" si="7"/>
        <v>0.44473007712082263</v>
      </c>
    </row>
    <row r="468" spans="1:7">
      <c r="A468" t="s">
        <v>358</v>
      </c>
      <c r="B468">
        <v>9</v>
      </c>
      <c r="C468" t="s">
        <v>376</v>
      </c>
      <c r="D468">
        <v>15</v>
      </c>
      <c r="E468">
        <v>778</v>
      </c>
      <c r="F468">
        <v>493</v>
      </c>
      <c r="G468" s="1">
        <f t="shared" si="7"/>
        <v>0.63367609254498714</v>
      </c>
    </row>
    <row r="469" spans="1:7">
      <c r="A469" t="s">
        <v>358</v>
      </c>
      <c r="B469">
        <v>9</v>
      </c>
      <c r="C469" t="s">
        <v>372</v>
      </c>
      <c r="D469">
        <v>16</v>
      </c>
      <c r="E469">
        <v>778</v>
      </c>
      <c r="F469">
        <v>500</v>
      </c>
      <c r="G469" s="1">
        <f t="shared" si="7"/>
        <v>0.64267352185089976</v>
      </c>
    </row>
    <row r="470" spans="1:7">
      <c r="A470" t="s">
        <v>358</v>
      </c>
      <c r="B470">
        <v>9</v>
      </c>
      <c r="C470" t="s">
        <v>378</v>
      </c>
      <c r="D470">
        <v>17</v>
      </c>
      <c r="E470">
        <v>778</v>
      </c>
      <c r="F470">
        <v>541</v>
      </c>
      <c r="G470" s="1">
        <f t="shared" si="7"/>
        <v>0.69537275064267356</v>
      </c>
    </row>
    <row r="471" spans="1:7">
      <c r="A471" t="s">
        <v>358</v>
      </c>
      <c r="B471">
        <v>9</v>
      </c>
      <c r="C471" t="s">
        <v>369</v>
      </c>
      <c r="D471">
        <v>18</v>
      </c>
      <c r="E471">
        <v>778</v>
      </c>
      <c r="F471">
        <v>548</v>
      </c>
      <c r="G471" s="1">
        <f t="shared" si="7"/>
        <v>0.70437017994858608</v>
      </c>
    </row>
    <row r="472" spans="1:7">
      <c r="A472" t="s">
        <v>358</v>
      </c>
      <c r="B472">
        <v>10</v>
      </c>
      <c r="C472" t="s">
        <v>2</v>
      </c>
      <c r="D472">
        <v>1</v>
      </c>
      <c r="E472">
        <v>900</v>
      </c>
      <c r="F472">
        <v>860</v>
      </c>
      <c r="G472" s="1">
        <f t="shared" si="7"/>
        <v>0.9555555555555556</v>
      </c>
    </row>
    <row r="473" spans="1:7">
      <c r="A473" t="s">
        <v>358</v>
      </c>
      <c r="B473">
        <v>10</v>
      </c>
      <c r="C473" t="s">
        <v>0</v>
      </c>
      <c r="D473">
        <v>2</v>
      </c>
      <c r="E473">
        <v>900</v>
      </c>
      <c r="F473">
        <v>869</v>
      </c>
      <c r="G473" s="1">
        <f t="shared" si="7"/>
        <v>0.9655555555555555</v>
      </c>
    </row>
    <row r="474" spans="1:7">
      <c r="A474" t="s">
        <v>358</v>
      </c>
      <c r="B474">
        <v>10</v>
      </c>
      <c r="C474" t="s">
        <v>3</v>
      </c>
      <c r="D474">
        <v>3</v>
      </c>
      <c r="E474">
        <v>900</v>
      </c>
      <c r="F474">
        <v>875</v>
      </c>
      <c r="G474" s="1">
        <f t="shared" si="7"/>
        <v>0.97222222222222221</v>
      </c>
    </row>
    <row r="475" spans="1:7">
      <c r="A475" t="s">
        <v>358</v>
      </c>
      <c r="B475">
        <v>10</v>
      </c>
      <c r="C475" t="s">
        <v>1</v>
      </c>
      <c r="D475">
        <v>4</v>
      </c>
      <c r="E475">
        <v>900</v>
      </c>
      <c r="F475">
        <v>889</v>
      </c>
      <c r="G475" s="1">
        <f t="shared" si="7"/>
        <v>0.98777777777777775</v>
      </c>
    </row>
    <row r="476" spans="1:7">
      <c r="A476" t="s">
        <v>358</v>
      </c>
      <c r="B476">
        <v>11</v>
      </c>
      <c r="C476" t="s">
        <v>379</v>
      </c>
      <c r="D476">
        <v>1</v>
      </c>
      <c r="E476">
        <v>1575</v>
      </c>
      <c r="F476">
        <v>183</v>
      </c>
      <c r="G476" s="1">
        <f t="shared" si="7"/>
        <v>0.11619047619047619</v>
      </c>
    </row>
    <row r="477" spans="1:7">
      <c r="A477" t="s">
        <v>358</v>
      </c>
      <c r="B477">
        <v>11</v>
      </c>
      <c r="C477" t="s">
        <v>382</v>
      </c>
      <c r="D477">
        <v>2</v>
      </c>
      <c r="E477">
        <v>1575</v>
      </c>
      <c r="F477">
        <v>722</v>
      </c>
      <c r="G477" s="1">
        <f t="shared" si="7"/>
        <v>0.45841269841269844</v>
      </c>
    </row>
    <row r="478" spans="1:7">
      <c r="A478" t="s">
        <v>358</v>
      </c>
      <c r="B478">
        <v>11</v>
      </c>
      <c r="C478" t="s">
        <v>386</v>
      </c>
      <c r="D478">
        <v>3</v>
      </c>
      <c r="E478">
        <v>1575</v>
      </c>
      <c r="F478">
        <v>723</v>
      </c>
      <c r="G478" s="1">
        <f t="shared" si="7"/>
        <v>0.45904761904761904</v>
      </c>
    </row>
    <row r="479" spans="1:7">
      <c r="A479" t="s">
        <v>358</v>
      </c>
      <c r="B479">
        <v>11</v>
      </c>
      <c r="C479" t="s">
        <v>380</v>
      </c>
      <c r="D479">
        <v>4</v>
      </c>
      <c r="E479">
        <v>1575</v>
      </c>
      <c r="F479">
        <v>750</v>
      </c>
      <c r="G479" s="1">
        <f t="shared" si="7"/>
        <v>0.47619047619047616</v>
      </c>
    </row>
    <row r="480" spans="1:7">
      <c r="A480" t="s">
        <v>358</v>
      </c>
      <c r="B480">
        <v>11</v>
      </c>
      <c r="C480" t="s">
        <v>394</v>
      </c>
      <c r="D480">
        <v>5</v>
      </c>
      <c r="E480">
        <v>1575</v>
      </c>
      <c r="F480">
        <v>760</v>
      </c>
      <c r="G480" s="1">
        <f t="shared" si="7"/>
        <v>0.48253968253968255</v>
      </c>
    </row>
    <row r="481" spans="1:7">
      <c r="A481" t="s">
        <v>358</v>
      </c>
      <c r="B481">
        <v>11</v>
      </c>
      <c r="C481" t="s">
        <v>389</v>
      </c>
      <c r="D481">
        <v>6</v>
      </c>
      <c r="E481">
        <v>1575</v>
      </c>
      <c r="F481">
        <v>788</v>
      </c>
      <c r="G481" s="1">
        <f t="shared" si="7"/>
        <v>0.50031746031746027</v>
      </c>
    </row>
    <row r="482" spans="1:7">
      <c r="A482" t="s">
        <v>358</v>
      </c>
      <c r="B482">
        <v>11</v>
      </c>
      <c r="C482" t="s">
        <v>391</v>
      </c>
      <c r="D482">
        <v>7</v>
      </c>
      <c r="E482">
        <v>1575</v>
      </c>
      <c r="F482">
        <v>789</v>
      </c>
      <c r="G482" s="1">
        <f t="shared" si="7"/>
        <v>0.50095238095238093</v>
      </c>
    </row>
    <row r="483" spans="1:7">
      <c r="A483" t="s">
        <v>358</v>
      </c>
      <c r="B483">
        <v>11</v>
      </c>
      <c r="C483" t="s">
        <v>390</v>
      </c>
      <c r="D483">
        <v>8</v>
      </c>
      <c r="E483">
        <v>1575</v>
      </c>
      <c r="F483">
        <v>878</v>
      </c>
      <c r="G483" s="1">
        <f t="shared" si="7"/>
        <v>0.55746031746031743</v>
      </c>
    </row>
    <row r="484" spans="1:7">
      <c r="A484" t="s">
        <v>358</v>
      </c>
      <c r="B484">
        <v>11</v>
      </c>
      <c r="C484" t="s">
        <v>383</v>
      </c>
      <c r="D484">
        <v>9</v>
      </c>
      <c r="E484">
        <v>1575</v>
      </c>
      <c r="F484">
        <v>885</v>
      </c>
      <c r="G484" s="1">
        <f t="shared" si="7"/>
        <v>0.56190476190476191</v>
      </c>
    </row>
    <row r="485" spans="1:7">
      <c r="A485" t="s">
        <v>358</v>
      </c>
      <c r="B485">
        <v>11</v>
      </c>
      <c r="C485" t="s">
        <v>387</v>
      </c>
      <c r="D485">
        <v>10</v>
      </c>
      <c r="E485">
        <v>1575</v>
      </c>
      <c r="F485">
        <v>892</v>
      </c>
      <c r="G485" s="1">
        <f t="shared" si="7"/>
        <v>0.56634920634920638</v>
      </c>
    </row>
    <row r="486" spans="1:7">
      <c r="A486" t="s">
        <v>358</v>
      </c>
      <c r="B486">
        <v>11</v>
      </c>
      <c r="C486" t="s">
        <v>381</v>
      </c>
      <c r="D486">
        <v>11</v>
      </c>
      <c r="E486">
        <v>1575</v>
      </c>
      <c r="F486">
        <v>900</v>
      </c>
      <c r="G486" s="1">
        <f t="shared" si="7"/>
        <v>0.5714285714285714</v>
      </c>
    </row>
    <row r="487" spans="1:7">
      <c r="A487" t="s">
        <v>358</v>
      </c>
      <c r="B487">
        <v>11</v>
      </c>
      <c r="C487" t="s">
        <v>388</v>
      </c>
      <c r="D487">
        <v>12</v>
      </c>
      <c r="E487">
        <v>1575</v>
      </c>
      <c r="F487">
        <v>902</v>
      </c>
      <c r="G487" s="1">
        <f t="shared" si="7"/>
        <v>0.57269841269841271</v>
      </c>
    </row>
    <row r="488" spans="1:7">
      <c r="A488" t="s">
        <v>358</v>
      </c>
      <c r="B488">
        <v>11</v>
      </c>
      <c r="C488" t="s">
        <v>384</v>
      </c>
      <c r="D488">
        <v>13</v>
      </c>
      <c r="E488">
        <v>1575</v>
      </c>
      <c r="F488">
        <v>903</v>
      </c>
      <c r="G488" s="1">
        <f t="shared" si="7"/>
        <v>0.57333333333333336</v>
      </c>
    </row>
    <row r="489" spans="1:7">
      <c r="A489" t="s">
        <v>358</v>
      </c>
      <c r="B489">
        <v>11</v>
      </c>
      <c r="C489" t="s">
        <v>396</v>
      </c>
      <c r="D489">
        <v>14</v>
      </c>
      <c r="E489">
        <v>1575</v>
      </c>
      <c r="F489">
        <v>932</v>
      </c>
      <c r="G489" s="1">
        <f t="shared" si="7"/>
        <v>0.5917460317460318</v>
      </c>
    </row>
    <row r="490" spans="1:7">
      <c r="A490" t="s">
        <v>358</v>
      </c>
      <c r="B490">
        <v>11</v>
      </c>
      <c r="C490" t="s">
        <v>392</v>
      </c>
      <c r="D490">
        <v>15</v>
      </c>
      <c r="E490">
        <v>1575</v>
      </c>
      <c r="F490">
        <v>937</v>
      </c>
      <c r="G490" s="1">
        <f t="shared" si="7"/>
        <v>0.59492063492063496</v>
      </c>
    </row>
    <row r="491" spans="1:7">
      <c r="A491" t="s">
        <v>358</v>
      </c>
      <c r="B491">
        <v>11</v>
      </c>
      <c r="C491" t="s">
        <v>393</v>
      </c>
      <c r="D491">
        <v>16</v>
      </c>
      <c r="E491">
        <v>1575</v>
      </c>
      <c r="F491">
        <v>953</v>
      </c>
      <c r="G491" s="1">
        <f t="shared" si="7"/>
        <v>0.60507936507936511</v>
      </c>
    </row>
    <row r="492" spans="1:7">
      <c r="A492" t="s">
        <v>358</v>
      </c>
      <c r="B492">
        <v>11</v>
      </c>
      <c r="C492" t="s">
        <v>385</v>
      </c>
      <c r="D492">
        <v>17</v>
      </c>
      <c r="E492">
        <v>1575</v>
      </c>
      <c r="F492">
        <v>959</v>
      </c>
      <c r="G492" s="1">
        <f t="shared" si="7"/>
        <v>0.60888888888888892</v>
      </c>
    </row>
    <row r="493" spans="1:7">
      <c r="A493" t="s">
        <v>358</v>
      </c>
      <c r="B493">
        <v>11</v>
      </c>
      <c r="C493" t="s">
        <v>397</v>
      </c>
      <c r="D493">
        <v>18</v>
      </c>
      <c r="E493">
        <v>1575</v>
      </c>
      <c r="F493">
        <v>970</v>
      </c>
      <c r="G493" s="1">
        <f t="shared" si="7"/>
        <v>0.61587301587301591</v>
      </c>
    </row>
    <row r="494" spans="1:7">
      <c r="A494" t="s">
        <v>358</v>
      </c>
      <c r="B494">
        <v>11</v>
      </c>
      <c r="C494" t="s">
        <v>395</v>
      </c>
      <c r="D494">
        <v>19</v>
      </c>
      <c r="E494">
        <v>1575</v>
      </c>
      <c r="F494">
        <v>976</v>
      </c>
      <c r="G494" s="1">
        <f t="shared" si="7"/>
        <v>0.61968253968253972</v>
      </c>
    </row>
    <row r="495" spans="1:7">
      <c r="A495" t="s">
        <v>358</v>
      </c>
      <c r="B495">
        <v>12</v>
      </c>
      <c r="C495" t="s">
        <v>398</v>
      </c>
      <c r="D495">
        <v>1</v>
      </c>
      <c r="E495">
        <v>927</v>
      </c>
      <c r="F495">
        <v>178</v>
      </c>
      <c r="G495" s="1">
        <f t="shared" si="7"/>
        <v>0.19201725997842503</v>
      </c>
    </row>
    <row r="496" spans="1:7">
      <c r="A496" t="s">
        <v>358</v>
      </c>
      <c r="B496">
        <v>12</v>
      </c>
      <c r="C496" t="s">
        <v>400</v>
      </c>
      <c r="D496">
        <v>2</v>
      </c>
      <c r="E496">
        <v>927</v>
      </c>
      <c r="F496">
        <v>539</v>
      </c>
      <c r="G496" s="1">
        <f t="shared" si="7"/>
        <v>0.58144552319309606</v>
      </c>
    </row>
    <row r="497" spans="1:7">
      <c r="A497" t="s">
        <v>358</v>
      </c>
      <c r="B497">
        <v>12</v>
      </c>
      <c r="C497" t="s">
        <v>403</v>
      </c>
      <c r="D497">
        <v>3</v>
      </c>
      <c r="E497">
        <v>927</v>
      </c>
      <c r="F497">
        <v>552</v>
      </c>
      <c r="G497" s="1">
        <f t="shared" si="7"/>
        <v>0.59546925566343045</v>
      </c>
    </row>
    <row r="498" spans="1:7">
      <c r="A498" t="s">
        <v>358</v>
      </c>
      <c r="B498">
        <v>12</v>
      </c>
      <c r="C498" t="s">
        <v>399</v>
      </c>
      <c r="D498">
        <v>4</v>
      </c>
      <c r="E498">
        <v>927</v>
      </c>
      <c r="F498">
        <v>576</v>
      </c>
      <c r="G498" s="1">
        <f t="shared" si="7"/>
        <v>0.62135922330097082</v>
      </c>
    </row>
    <row r="499" spans="1:7">
      <c r="A499" t="s">
        <v>358</v>
      </c>
      <c r="B499">
        <v>12</v>
      </c>
      <c r="C499" t="s">
        <v>375</v>
      </c>
      <c r="D499">
        <v>5</v>
      </c>
      <c r="E499">
        <v>927</v>
      </c>
      <c r="F499">
        <v>582</v>
      </c>
      <c r="G499" s="1">
        <f t="shared" si="7"/>
        <v>0.62783171521035597</v>
      </c>
    </row>
    <row r="500" spans="1:7">
      <c r="A500" t="s">
        <v>358</v>
      </c>
      <c r="B500">
        <v>12</v>
      </c>
      <c r="C500" t="s">
        <v>402</v>
      </c>
      <c r="D500">
        <v>6</v>
      </c>
      <c r="E500">
        <v>927</v>
      </c>
      <c r="F500">
        <v>596</v>
      </c>
      <c r="G500" s="1">
        <f t="shared" si="7"/>
        <v>0.64293419633225457</v>
      </c>
    </row>
    <row r="501" spans="1:7">
      <c r="A501" t="s">
        <v>358</v>
      </c>
      <c r="B501">
        <v>12</v>
      </c>
      <c r="C501" t="s">
        <v>17</v>
      </c>
      <c r="D501">
        <v>7</v>
      </c>
      <c r="E501">
        <v>927</v>
      </c>
      <c r="F501">
        <v>604</v>
      </c>
      <c r="G501" s="1">
        <f t="shared" si="7"/>
        <v>0.65156418554476803</v>
      </c>
    </row>
    <row r="502" spans="1:7">
      <c r="A502" t="s">
        <v>358</v>
      </c>
      <c r="B502">
        <v>12</v>
      </c>
      <c r="C502" t="s">
        <v>404</v>
      </c>
      <c r="D502">
        <v>8</v>
      </c>
      <c r="E502">
        <v>927</v>
      </c>
      <c r="F502">
        <v>630</v>
      </c>
      <c r="G502" s="1">
        <f t="shared" si="7"/>
        <v>0.67961165048543692</v>
      </c>
    </row>
    <row r="503" spans="1:7">
      <c r="A503" t="s">
        <v>358</v>
      </c>
      <c r="B503">
        <v>12</v>
      </c>
      <c r="C503" t="s">
        <v>401</v>
      </c>
      <c r="D503">
        <v>9</v>
      </c>
      <c r="E503">
        <v>927</v>
      </c>
      <c r="F503">
        <v>645</v>
      </c>
      <c r="G503" s="1">
        <f t="shared" si="7"/>
        <v>0.69579288025889963</v>
      </c>
    </row>
    <row r="504" spans="1:7">
      <c r="A504" t="s">
        <v>358</v>
      </c>
      <c r="B504">
        <v>13</v>
      </c>
      <c r="C504" t="s">
        <v>19</v>
      </c>
      <c r="D504">
        <v>1</v>
      </c>
      <c r="E504">
        <v>172</v>
      </c>
      <c r="F504">
        <v>116</v>
      </c>
      <c r="G504" s="1">
        <f t="shared" si="7"/>
        <v>0.67441860465116277</v>
      </c>
    </row>
    <row r="505" spans="1:7">
      <c r="A505" t="s">
        <v>358</v>
      </c>
      <c r="B505">
        <v>13</v>
      </c>
      <c r="C505" t="s">
        <v>33</v>
      </c>
      <c r="D505">
        <v>2</v>
      </c>
      <c r="E505">
        <v>172</v>
      </c>
      <c r="F505">
        <v>177</v>
      </c>
      <c r="G505" s="1">
        <f t="shared" si="7"/>
        <v>1.0290697674418605</v>
      </c>
    </row>
    <row r="506" spans="1:7">
      <c r="A506" t="s">
        <v>405</v>
      </c>
      <c r="B506">
        <v>2</v>
      </c>
      <c r="C506" t="s">
        <v>406</v>
      </c>
      <c r="D506">
        <v>1</v>
      </c>
      <c r="E506">
        <v>1982</v>
      </c>
      <c r="F506">
        <v>604</v>
      </c>
      <c r="G506" s="1">
        <f t="shared" si="7"/>
        <v>0.30474268415741673</v>
      </c>
    </row>
    <row r="507" spans="1:7">
      <c r="A507" t="s">
        <v>405</v>
      </c>
      <c r="B507">
        <v>2</v>
      </c>
      <c r="C507" t="s">
        <v>36</v>
      </c>
      <c r="D507">
        <v>2</v>
      </c>
      <c r="E507">
        <v>1982</v>
      </c>
      <c r="F507">
        <v>902</v>
      </c>
      <c r="G507" s="1">
        <f t="shared" si="7"/>
        <v>0.45509586276488395</v>
      </c>
    </row>
    <row r="508" spans="1:7">
      <c r="A508" t="s">
        <v>405</v>
      </c>
      <c r="B508">
        <v>2</v>
      </c>
      <c r="C508" t="s">
        <v>407</v>
      </c>
      <c r="D508">
        <v>3</v>
      </c>
      <c r="E508">
        <v>1982</v>
      </c>
      <c r="F508">
        <v>1299</v>
      </c>
      <c r="G508" s="1">
        <f t="shared" si="7"/>
        <v>0.6553985872855701</v>
      </c>
    </row>
    <row r="509" spans="1:7">
      <c r="A509" t="s">
        <v>405</v>
      </c>
      <c r="B509">
        <v>6</v>
      </c>
      <c r="C509" t="s">
        <v>408</v>
      </c>
      <c r="D509">
        <v>1</v>
      </c>
      <c r="E509">
        <v>809</v>
      </c>
      <c r="F509">
        <v>628</v>
      </c>
      <c r="G509" s="1">
        <f t="shared" si="7"/>
        <v>0.77626699629171814</v>
      </c>
    </row>
    <row r="510" spans="1:7">
      <c r="A510" t="s">
        <v>405</v>
      </c>
      <c r="B510">
        <v>6</v>
      </c>
      <c r="C510" t="s">
        <v>37</v>
      </c>
      <c r="D510">
        <v>2</v>
      </c>
      <c r="E510">
        <v>809</v>
      </c>
      <c r="F510">
        <v>636</v>
      </c>
      <c r="G510" s="1">
        <f t="shared" si="7"/>
        <v>0.78615574783683562</v>
      </c>
    </row>
    <row r="511" spans="1:7">
      <c r="A511" t="s">
        <v>405</v>
      </c>
      <c r="B511">
        <v>6</v>
      </c>
      <c r="C511" t="s">
        <v>409</v>
      </c>
      <c r="D511">
        <v>3</v>
      </c>
      <c r="E511">
        <v>809</v>
      </c>
      <c r="F511">
        <v>712</v>
      </c>
      <c r="G511" s="1">
        <f t="shared" si="7"/>
        <v>0.88009888751545118</v>
      </c>
    </row>
    <row r="512" spans="1:7">
      <c r="A512" t="s">
        <v>405</v>
      </c>
      <c r="B512">
        <v>6</v>
      </c>
      <c r="C512" t="s">
        <v>410</v>
      </c>
      <c r="D512">
        <v>4</v>
      </c>
      <c r="E512">
        <v>809</v>
      </c>
      <c r="F512">
        <v>713</v>
      </c>
      <c r="G512" s="1">
        <f t="shared" si="7"/>
        <v>0.8813349814585909</v>
      </c>
    </row>
    <row r="513" spans="1:7">
      <c r="A513" t="s">
        <v>405</v>
      </c>
      <c r="B513">
        <v>6</v>
      </c>
      <c r="C513" t="s">
        <v>250</v>
      </c>
      <c r="D513">
        <v>5</v>
      </c>
      <c r="E513">
        <v>809</v>
      </c>
      <c r="F513">
        <v>734</v>
      </c>
      <c r="G513" s="1">
        <f t="shared" si="7"/>
        <v>0.90729295426452405</v>
      </c>
    </row>
    <row r="514" spans="1:7">
      <c r="A514" t="s">
        <v>405</v>
      </c>
      <c r="B514">
        <v>6</v>
      </c>
      <c r="C514" t="s">
        <v>411</v>
      </c>
      <c r="D514">
        <v>6</v>
      </c>
      <c r="E514">
        <v>809</v>
      </c>
      <c r="F514">
        <v>736</v>
      </c>
      <c r="G514" s="1">
        <f t="shared" ref="G514:G516" si="8">F514/E514</f>
        <v>0.90976514215080351</v>
      </c>
    </row>
    <row r="515" spans="1:7">
      <c r="A515" t="s">
        <v>405</v>
      </c>
      <c r="B515">
        <v>8</v>
      </c>
      <c r="C515" t="s">
        <v>19</v>
      </c>
      <c r="D515">
        <v>1</v>
      </c>
      <c r="E515">
        <v>926</v>
      </c>
      <c r="F515">
        <v>878</v>
      </c>
      <c r="G515" s="1">
        <f t="shared" si="8"/>
        <v>0.94816414686825057</v>
      </c>
    </row>
    <row r="516" spans="1:7">
      <c r="A516" t="s">
        <v>405</v>
      </c>
      <c r="B516">
        <v>8</v>
      </c>
      <c r="C516" t="s">
        <v>33</v>
      </c>
      <c r="D516">
        <v>2</v>
      </c>
      <c r="E516">
        <v>926</v>
      </c>
      <c r="F516">
        <v>905</v>
      </c>
      <c r="G516" s="1">
        <f t="shared" si="8"/>
        <v>0.97732181425485964</v>
      </c>
    </row>
    <row r="517" spans="1:7">
      <c r="E517">
        <f>AVERAGE(E2:E516)</f>
        <v>6974.5611650485434</v>
      </c>
      <c r="F517">
        <f>AVERAGE(F2:F516)</f>
        <v>2627.5029126213594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16"/>
  <sheetViews>
    <sheetView topLeftCell="M1" workbookViewId="0">
      <selection activeCell="P1" sqref="P1:V8"/>
    </sheetView>
  </sheetViews>
  <sheetFormatPr baseColWidth="10" defaultRowHeight="15" x14ac:dyDescent="0"/>
  <cols>
    <col min="1" max="1" width="20" customWidth="1"/>
    <col min="3" max="3" width="17.5" customWidth="1"/>
    <col min="60" max="60" width="16.6640625" bestFit="1" customWidth="1"/>
    <col min="71" max="71" width="21.1640625" bestFit="1" customWidth="1"/>
  </cols>
  <sheetData>
    <row r="1" spans="1:81">
      <c r="A1" t="s">
        <v>412</v>
      </c>
      <c r="B1" t="s">
        <v>413</v>
      </c>
      <c r="C1" t="s">
        <v>423</v>
      </c>
      <c r="D1" t="s">
        <v>415</v>
      </c>
      <c r="E1" t="s">
        <v>508</v>
      </c>
      <c r="F1" s="1" t="s">
        <v>421</v>
      </c>
      <c r="G1" s="1" t="s">
        <v>424</v>
      </c>
      <c r="H1" t="s">
        <v>425</v>
      </c>
      <c r="I1" t="s">
        <v>426</v>
      </c>
      <c r="J1" t="s">
        <v>427</v>
      </c>
      <c r="K1" s="2" t="s">
        <v>428</v>
      </c>
      <c r="L1" s="2" t="s">
        <v>429</v>
      </c>
      <c r="M1" s="2"/>
      <c r="N1" s="2"/>
      <c r="O1" s="2"/>
      <c r="P1" s="2"/>
      <c r="Q1" s="2" t="s">
        <v>430</v>
      </c>
      <c r="R1" s="2"/>
      <c r="S1" s="2"/>
      <c r="T1" s="2"/>
      <c r="U1" s="2"/>
      <c r="W1" t="s">
        <v>431</v>
      </c>
      <c r="X1" t="s">
        <v>423</v>
      </c>
      <c r="Y1" t="s">
        <v>423</v>
      </c>
      <c r="Z1" t="s">
        <v>423</v>
      </c>
      <c r="AA1" t="s">
        <v>423</v>
      </c>
      <c r="AB1" t="s">
        <v>423</v>
      </c>
      <c r="AC1" t="s">
        <v>423</v>
      </c>
      <c r="AD1" t="s">
        <v>423</v>
      </c>
      <c r="AE1" t="s">
        <v>423</v>
      </c>
      <c r="AF1" t="s">
        <v>423</v>
      </c>
      <c r="AG1" t="s">
        <v>423</v>
      </c>
      <c r="AH1" t="s">
        <v>423</v>
      </c>
      <c r="AI1" t="s">
        <v>423</v>
      </c>
      <c r="AJ1" t="s">
        <v>423</v>
      </c>
      <c r="AK1" t="s">
        <v>423</v>
      </c>
      <c r="AL1" t="s">
        <v>423</v>
      </c>
      <c r="AM1" t="s">
        <v>423</v>
      </c>
      <c r="AN1" t="s">
        <v>423</v>
      </c>
      <c r="AO1" t="s">
        <v>423</v>
      </c>
      <c r="AP1" t="s">
        <v>423</v>
      </c>
      <c r="AQ1" t="s">
        <v>423</v>
      </c>
      <c r="AR1" t="s">
        <v>423</v>
      </c>
      <c r="AS1" t="s">
        <v>423</v>
      </c>
      <c r="AT1" t="s">
        <v>423</v>
      </c>
      <c r="AU1" t="s">
        <v>423</v>
      </c>
      <c r="AV1" t="s">
        <v>423</v>
      </c>
      <c r="AW1" t="s">
        <v>423</v>
      </c>
      <c r="AX1" t="s">
        <v>423</v>
      </c>
      <c r="AY1" t="s">
        <v>423</v>
      </c>
      <c r="AZ1" t="s">
        <v>423</v>
      </c>
      <c r="BA1" t="s">
        <v>423</v>
      </c>
      <c r="BB1" t="s">
        <v>423</v>
      </c>
      <c r="BC1" t="s">
        <v>423</v>
      </c>
      <c r="BD1" t="s">
        <v>423</v>
      </c>
      <c r="BE1" t="s">
        <v>423</v>
      </c>
      <c r="BF1" t="s">
        <v>423</v>
      </c>
      <c r="BG1" t="s">
        <v>423</v>
      </c>
      <c r="BH1" t="s">
        <v>423</v>
      </c>
      <c r="BI1" t="s">
        <v>423</v>
      </c>
      <c r="BJ1" t="s">
        <v>423</v>
      </c>
      <c r="BK1" t="s">
        <v>423</v>
      </c>
      <c r="BL1" t="s">
        <v>423</v>
      </c>
      <c r="BM1" t="s">
        <v>423</v>
      </c>
      <c r="BN1" t="s">
        <v>423</v>
      </c>
      <c r="BO1" t="s">
        <v>423</v>
      </c>
      <c r="BP1" t="s">
        <v>423</v>
      </c>
      <c r="BQ1" t="s">
        <v>423</v>
      </c>
      <c r="BR1" t="s">
        <v>423</v>
      </c>
      <c r="BS1" t="s">
        <v>423</v>
      </c>
      <c r="BT1" t="s">
        <v>423</v>
      </c>
      <c r="BU1" t="s">
        <v>423</v>
      </c>
      <c r="BV1" t="s">
        <v>423</v>
      </c>
      <c r="BW1" t="s">
        <v>423</v>
      </c>
      <c r="BX1" t="s">
        <v>423</v>
      </c>
      <c r="BY1" t="s">
        <v>423</v>
      </c>
      <c r="BZ1" t="s">
        <v>423</v>
      </c>
      <c r="CA1" t="s">
        <v>423</v>
      </c>
      <c r="CB1" t="s">
        <v>423</v>
      </c>
      <c r="CC1" t="s">
        <v>423</v>
      </c>
    </row>
    <row r="2" spans="1:81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0.90196078431372551</v>
      </c>
      <c r="F2">
        <v>0.98312156267779249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>
        <f>IF(AND($F2 &gt; 0.8, $F2 &lt;=1.1),$E2,"")</f>
        <v>0.90196078431372551</v>
      </c>
      <c r="L2" s="1" t="str">
        <f>IF(AND($F2 &gt; 1.1),$E2,"")</f>
        <v/>
      </c>
      <c r="M2" s="1"/>
      <c r="N2" s="1" t="s">
        <v>432</v>
      </c>
      <c r="O2" s="1" t="s">
        <v>433</v>
      </c>
      <c r="P2" s="1" t="s">
        <v>434</v>
      </c>
      <c r="Q2" s="1">
        <v>0</v>
      </c>
      <c r="R2" s="1" t="s">
        <v>435</v>
      </c>
      <c r="S2" s="1" t="s">
        <v>436</v>
      </c>
      <c r="T2" s="1" t="s">
        <v>437</v>
      </c>
      <c r="U2" s="1" t="s">
        <v>438</v>
      </c>
      <c r="V2" t="s">
        <v>439</v>
      </c>
      <c r="W2">
        <f>COUNTA(X2:CC2)</f>
        <v>58</v>
      </c>
      <c r="X2" t="s">
        <v>440</v>
      </c>
      <c r="Y2" t="s">
        <v>441</v>
      </c>
      <c r="Z2" t="s">
        <v>442</v>
      </c>
      <c r="AA2" t="s">
        <v>443</v>
      </c>
      <c r="AB2" t="s">
        <v>444</v>
      </c>
      <c r="AC2" t="s">
        <v>445</v>
      </c>
      <c r="AD2" t="s">
        <v>446</v>
      </c>
      <c r="AE2" t="s">
        <v>447</v>
      </c>
      <c r="AF2" t="s">
        <v>448</v>
      </c>
      <c r="AG2" t="s">
        <v>449</v>
      </c>
      <c r="AH2" t="s">
        <v>450</v>
      </c>
      <c r="AI2" t="s">
        <v>451</v>
      </c>
      <c r="AJ2" t="s">
        <v>452</v>
      </c>
      <c r="AK2" t="s">
        <v>453</v>
      </c>
      <c r="AL2" t="s">
        <v>454</v>
      </c>
      <c r="AM2" t="s">
        <v>455</v>
      </c>
      <c r="AN2" t="s">
        <v>456</v>
      </c>
      <c r="AO2" t="s">
        <v>457</v>
      </c>
      <c r="AP2" t="s">
        <v>458</v>
      </c>
      <c r="AQ2" t="s">
        <v>459</v>
      </c>
      <c r="AR2" t="s">
        <v>460</v>
      </c>
      <c r="AS2" t="s">
        <v>461</v>
      </c>
      <c r="AT2" t="s">
        <v>462</v>
      </c>
      <c r="AU2" t="s">
        <v>463</v>
      </c>
      <c r="AV2" t="s">
        <v>464</v>
      </c>
      <c r="AW2" t="s">
        <v>465</v>
      </c>
      <c r="AX2" t="s">
        <v>466</v>
      </c>
      <c r="AY2" t="s">
        <v>467</v>
      </c>
      <c r="AZ2" t="s">
        <v>468</v>
      </c>
      <c r="BA2" t="s">
        <v>469</v>
      </c>
      <c r="BB2" t="s">
        <v>470</v>
      </c>
      <c r="BC2" t="s">
        <v>471</v>
      </c>
      <c r="BD2" t="s">
        <v>472</v>
      </c>
      <c r="BE2" t="s">
        <v>473</v>
      </c>
      <c r="BF2" t="s">
        <v>474</v>
      </c>
      <c r="BG2" t="s">
        <v>475</v>
      </c>
      <c r="BH2" t="s">
        <v>476</v>
      </c>
      <c r="BI2" t="s">
        <v>477</v>
      </c>
      <c r="BJ2" t="s">
        <v>478</v>
      </c>
      <c r="BK2" t="s">
        <v>479</v>
      </c>
      <c r="BL2" t="s">
        <v>480</v>
      </c>
      <c r="BM2" t="s">
        <v>481</v>
      </c>
      <c r="BN2" t="s">
        <v>482</v>
      </c>
      <c r="BO2" t="s">
        <v>483</v>
      </c>
      <c r="BP2" t="s">
        <v>484</v>
      </c>
      <c r="BQ2" t="s">
        <v>485</v>
      </c>
      <c r="BR2" t="s">
        <v>486</v>
      </c>
      <c r="BS2" t="s">
        <v>487</v>
      </c>
      <c r="BT2" t="s">
        <v>488</v>
      </c>
      <c r="BU2" t="s">
        <v>489</v>
      </c>
      <c r="BV2" t="s">
        <v>490</v>
      </c>
      <c r="BW2" t="s">
        <v>491</v>
      </c>
      <c r="BX2" t="s">
        <v>492</v>
      </c>
      <c r="BY2" t="s">
        <v>493</v>
      </c>
      <c r="BZ2" t="s">
        <v>494</v>
      </c>
      <c r="CA2" t="s">
        <v>495</v>
      </c>
      <c r="CB2" t="s">
        <v>496</v>
      </c>
      <c r="CC2" t="s">
        <v>497</v>
      </c>
    </row>
    <row r="3" spans="1:81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0.94117647058823528</v>
      </c>
      <c r="F3">
        <v>0.98994879575194383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>
        <f t="shared" ref="K3:K66" si="5">IF(AND($F3 &gt; 0.8, $F3 &lt;=1.1),$E3,"")</f>
        <v>0.94117647058823528</v>
      </c>
      <c r="L3" s="1" t="str">
        <f t="shared" ref="L3:L66" si="6">IF(AND($F3 &gt; 1.1),$E3,"")</f>
        <v/>
      </c>
      <c r="M3" s="1"/>
      <c r="N3" s="1">
        <f>SUM(T3:V3)/64</f>
        <v>9.375E-2</v>
      </c>
      <c r="O3" s="1">
        <f>SUM(Q3:V3)</f>
        <v>58</v>
      </c>
      <c r="P3" t="s">
        <v>424</v>
      </c>
      <c r="Q3" s="3">
        <f t="shared" ref="Q3:Q8" si="7">COUNTIF($X3:$CC3,"=0")</f>
        <v>27</v>
      </c>
      <c r="R3" s="3">
        <f t="shared" ref="R3:R8" si="8">COUNTIFS($X3:$CC3,"&gt;0",$X3:$CC3,"&lt;0.25")</f>
        <v>21</v>
      </c>
      <c r="S3" s="3">
        <f t="shared" ref="S3:S8" si="9">COUNTIFS($X3:$CC3,"&gt;=0.25",$X3:$CC3,"&lt;0.5")</f>
        <v>4</v>
      </c>
      <c r="T3" s="3">
        <f t="shared" ref="T3:T8" si="10">COUNTIFS($X3:$CC3,"&gt;=0.5",$X3:$CC3,"&lt;0.75")</f>
        <v>5</v>
      </c>
      <c r="U3" s="3">
        <f t="shared" ref="U3:U8" si="11">COUNTIFS($X3:$CC3,"&gt;=0.75",$X3:$CC3,"&lt;1")</f>
        <v>1</v>
      </c>
      <c r="V3" s="3">
        <f t="shared" ref="V3:V8" si="12">COUNTIF($X3:$CC3,"=1")</f>
        <v>0</v>
      </c>
      <c r="W3" t="s">
        <v>424</v>
      </c>
      <c r="X3">
        <f>DMAX($A$1:$L$516,$W3,X$1:X$2)</f>
        <v>0</v>
      </c>
      <c r="Y3">
        <f>DMAX($A$1:$L$522,$W3,Y$1:Y$2)</f>
        <v>0</v>
      </c>
      <c r="Z3">
        <f t="shared" ref="Z3:CB3" si="13">DMAX($A$1:$L$522,$W3,Z$1:Z$2)</f>
        <v>0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0.75886524822695034</v>
      </c>
      <c r="AG3">
        <f t="shared" si="13"/>
        <v>4.7244094488188976E-2</v>
      </c>
      <c r="AH3">
        <f t="shared" si="13"/>
        <v>0.70297029702970293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0.58620689655172409</v>
      </c>
      <c r="AM3">
        <f t="shared" si="13"/>
        <v>5.208333333333333E-3</v>
      </c>
      <c r="AN3">
        <f t="shared" si="13"/>
        <v>8.4745762711864406E-3</v>
      </c>
      <c r="AO3">
        <f t="shared" si="13"/>
        <v>0</v>
      </c>
      <c r="AP3">
        <f t="shared" si="13"/>
        <v>0.26190476190476192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6.9767441860465115E-2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</v>
      </c>
      <c r="BB3">
        <f t="shared" si="13"/>
        <v>0.16</v>
      </c>
      <c r="BC3">
        <f t="shared" si="13"/>
        <v>0.56617647058823528</v>
      </c>
      <c r="BD3">
        <f t="shared" si="13"/>
        <v>0</v>
      </c>
      <c r="BE3">
        <f t="shared" si="13"/>
        <v>0.14285714285714285</v>
      </c>
      <c r="BF3">
        <f t="shared" si="13"/>
        <v>0</v>
      </c>
      <c r="BG3">
        <f t="shared" si="13"/>
        <v>0.1728395061728395</v>
      </c>
      <c r="BH3">
        <f t="shared" si="13"/>
        <v>0.55426356589147285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1.050420168067227E-2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9.7345132743362831E-2</v>
      </c>
      <c r="BR3">
        <f t="shared" si="13"/>
        <v>0.18085106382978725</v>
      </c>
      <c r="BS3">
        <f t="shared" si="13"/>
        <v>0</v>
      </c>
      <c r="BT3">
        <f t="shared" si="13"/>
        <v>0.31707317073170732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>DMAX($A$1:$L$522,$W3,BZ$1:BZ$2)</f>
        <v>0</v>
      </c>
      <c r="CA3">
        <f t="shared" si="13"/>
        <v>0</v>
      </c>
      <c r="CB3">
        <f t="shared" si="13"/>
        <v>0</v>
      </c>
      <c r="CC3">
        <f>DMAX($A$1:$L$516,$W3,CC$1:CC$2)</f>
        <v>0</v>
      </c>
    </row>
    <row r="4" spans="1:81">
      <c r="A4" t="s">
        <v>4</v>
      </c>
      <c r="B4">
        <v>1</v>
      </c>
      <c r="C4" t="str">
        <f t="shared" si="0"/>
        <v>test.BallonFactory_1_</v>
      </c>
      <c r="D4">
        <v>3</v>
      </c>
      <c r="E4">
        <v>1</v>
      </c>
      <c r="F4">
        <v>0.99051773184145653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>
        <f t="shared" si="5"/>
        <v>1</v>
      </c>
      <c r="L4" s="1" t="str">
        <f t="shared" si="6"/>
        <v/>
      </c>
      <c r="M4" s="1"/>
      <c r="N4" s="1">
        <f t="shared" ref="N4:N7" si="14">SUM(T4:V4)/64</f>
        <v>0.25</v>
      </c>
      <c r="O4" s="1">
        <f t="shared" ref="O4:O7" si="15">SUM(Q4:V4)</f>
        <v>58</v>
      </c>
      <c r="P4" t="s">
        <v>425</v>
      </c>
      <c r="Q4" s="3">
        <f t="shared" si="7"/>
        <v>17</v>
      </c>
      <c r="R4" s="3">
        <f t="shared" si="8"/>
        <v>17</v>
      </c>
      <c r="S4" s="3">
        <f t="shared" si="9"/>
        <v>8</v>
      </c>
      <c r="T4" s="3">
        <f t="shared" si="10"/>
        <v>8</v>
      </c>
      <c r="U4" s="3">
        <f t="shared" si="11"/>
        <v>3</v>
      </c>
      <c r="V4" s="3">
        <f t="shared" si="12"/>
        <v>5</v>
      </c>
      <c r="W4" t="s">
        <v>425</v>
      </c>
      <c r="X4">
        <f>IF(X3&lt;DMAX($A$1:$L$522,$W4,X$1:X$2),DMAX($A$1:$L$522,$W4,X$1:X$2),X3)</f>
        <v>0</v>
      </c>
      <c r="Y4">
        <f t="shared" ref="Y4:CB8" si="16">IF(Y3&lt;DMAX($A$1:$L$522,$W4,Y$1:Y$2),DMAX($A$1:$L$522,$W4,Y$1:Y$2),Y3)</f>
        <v>0</v>
      </c>
      <c r="Z4">
        <f t="shared" si="16"/>
        <v>0.22222222222222221</v>
      </c>
      <c r="AA4">
        <f t="shared" si="16"/>
        <v>0.91304347826086951</v>
      </c>
      <c r="AB4">
        <f t="shared" si="16"/>
        <v>0.19354838709677419</v>
      </c>
      <c r="AC4">
        <f t="shared" si="16"/>
        <v>0.19354838709677419</v>
      </c>
      <c r="AD4">
        <f t="shared" si="16"/>
        <v>0.125</v>
      </c>
      <c r="AE4">
        <f t="shared" si="16"/>
        <v>3.2786885245901641E-2</v>
      </c>
      <c r="AF4">
        <f t="shared" si="16"/>
        <v>0.75886524822695034</v>
      </c>
      <c r="AG4">
        <f t="shared" si="16"/>
        <v>0.72440944881889768</v>
      </c>
      <c r="AH4">
        <f t="shared" si="16"/>
        <v>0.70297029702970293</v>
      </c>
      <c r="AI4">
        <f t="shared" si="16"/>
        <v>4.4642857142857144E-2</v>
      </c>
      <c r="AJ4">
        <f t="shared" si="16"/>
        <v>0</v>
      </c>
      <c r="AK4">
        <f t="shared" si="16"/>
        <v>0</v>
      </c>
      <c r="AL4">
        <f t="shared" si="16"/>
        <v>1</v>
      </c>
      <c r="AM4">
        <f t="shared" si="16"/>
        <v>5.208333333333333E-3</v>
      </c>
      <c r="AN4">
        <f t="shared" si="16"/>
        <v>8.4745762711864406E-3</v>
      </c>
      <c r="AO4">
        <f t="shared" si="16"/>
        <v>0</v>
      </c>
      <c r="AP4">
        <f t="shared" si="16"/>
        <v>0.26190476190476192</v>
      </c>
      <c r="AQ4">
        <f t="shared" si="16"/>
        <v>0</v>
      </c>
      <c r="AR4">
        <f t="shared" si="16"/>
        <v>0</v>
      </c>
      <c r="AS4">
        <f t="shared" si="16"/>
        <v>0</v>
      </c>
      <c r="AT4">
        <f t="shared" si="16"/>
        <v>0.13953488372093023</v>
      </c>
      <c r="AU4">
        <f t="shared" si="16"/>
        <v>9.6774193548387094E-2</v>
      </c>
      <c r="AV4">
        <f t="shared" si="16"/>
        <v>0.5178571428571429</v>
      </c>
      <c r="AW4">
        <f t="shared" si="16"/>
        <v>0.36046511627906974</v>
      </c>
      <c r="AX4">
        <f t="shared" si="16"/>
        <v>0.45652173913043476</v>
      </c>
      <c r="AY4">
        <f t="shared" si="16"/>
        <v>0.2</v>
      </c>
      <c r="AZ4">
        <f t="shared" si="16"/>
        <v>0</v>
      </c>
      <c r="BA4">
        <f t="shared" si="16"/>
        <v>0.6696428571428571</v>
      </c>
      <c r="BB4">
        <f t="shared" si="16"/>
        <v>0.56000000000000005</v>
      </c>
      <c r="BC4">
        <f t="shared" si="16"/>
        <v>1</v>
      </c>
      <c r="BD4">
        <f t="shared" si="16"/>
        <v>0</v>
      </c>
      <c r="BE4">
        <f t="shared" si="16"/>
        <v>0.33333333333333331</v>
      </c>
      <c r="BF4">
        <f t="shared" si="16"/>
        <v>0.73333333333333328</v>
      </c>
      <c r="BG4">
        <f t="shared" si="16"/>
        <v>0.86419753086419748</v>
      </c>
      <c r="BH4">
        <f t="shared" si="16"/>
        <v>1</v>
      </c>
      <c r="BI4">
        <f t="shared" si="16"/>
        <v>0.33962264150943394</v>
      </c>
      <c r="BJ4">
        <f t="shared" si="16"/>
        <v>6.7842605156037995E-3</v>
      </c>
      <c r="BK4">
        <f t="shared" si="16"/>
        <v>5.2192066805845511E-3</v>
      </c>
      <c r="BL4">
        <f t="shared" si="16"/>
        <v>1.050420168067227E-2</v>
      </c>
      <c r="BM4">
        <f t="shared" si="16"/>
        <v>8.2372322899505763E-3</v>
      </c>
      <c r="BN4">
        <f t="shared" si="16"/>
        <v>0</v>
      </c>
      <c r="BO4">
        <f t="shared" si="16"/>
        <v>0</v>
      </c>
      <c r="BP4">
        <f t="shared" si="16"/>
        <v>0</v>
      </c>
      <c r="BQ4">
        <f t="shared" si="16"/>
        <v>0.51327433628318586</v>
      </c>
      <c r="BR4">
        <f t="shared" si="16"/>
        <v>1</v>
      </c>
      <c r="BS4">
        <f t="shared" si="16"/>
        <v>1</v>
      </c>
      <c r="BT4">
        <f t="shared" si="16"/>
        <v>0.44715447154471544</v>
      </c>
      <c r="BU4">
        <f t="shared" si="16"/>
        <v>0.30303030303030304</v>
      </c>
      <c r="BV4">
        <f t="shared" si="16"/>
        <v>0.66666666666666663</v>
      </c>
      <c r="BW4">
        <f t="shared" si="16"/>
        <v>0</v>
      </c>
      <c r="BX4">
        <f t="shared" si="16"/>
        <v>7.9545454545454544E-2</v>
      </c>
      <c r="BY4">
        <f t="shared" si="16"/>
        <v>0.125</v>
      </c>
      <c r="BZ4">
        <f>IF(BZ3&lt;DMAX($A$1:$L$522,$W4,BZ$1:BZ$2),DMAX($A$1:$L$522,$W4,BZ$1:BZ$2),BZ3)</f>
        <v>0</v>
      </c>
      <c r="CA4">
        <f t="shared" si="16"/>
        <v>0.352112676056338</v>
      </c>
      <c r="CB4">
        <f t="shared" si="16"/>
        <v>0</v>
      </c>
      <c r="CC4">
        <f>IF(CC3&lt;DMAX($A$1:$L$516,$W4,CC$1:CC$2),DMAX($A$1:$L$516,$W4,CC$1:CC$2),CC3)</f>
        <v>0</v>
      </c>
    </row>
    <row r="5" spans="1:81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0.99393134837853214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>
        <f t="shared" si="5"/>
        <v>1</v>
      </c>
      <c r="L5" s="1" t="str">
        <f t="shared" si="6"/>
        <v/>
      </c>
      <c r="M5" s="1">
        <f>SUM(R5:V5)/64</f>
        <v>0.734375</v>
      </c>
      <c r="N5" s="1">
        <f t="shared" si="14"/>
        <v>0.40625</v>
      </c>
      <c r="O5" s="1">
        <f t="shared" si="15"/>
        <v>58</v>
      </c>
      <c r="P5" t="s">
        <v>426</v>
      </c>
      <c r="Q5" s="3">
        <f t="shared" si="7"/>
        <v>11</v>
      </c>
      <c r="R5" s="3">
        <f>COUNTIFS($X5:$CC5,"&gt;0",$X5:$CC5,"&lt;0.25")</f>
        <v>11</v>
      </c>
      <c r="S5" s="3">
        <f t="shared" si="9"/>
        <v>10</v>
      </c>
      <c r="T5" s="3">
        <f t="shared" si="10"/>
        <v>10</v>
      </c>
      <c r="U5" s="3">
        <f t="shared" si="11"/>
        <v>3</v>
      </c>
      <c r="V5" s="3">
        <f t="shared" si="12"/>
        <v>13</v>
      </c>
      <c r="W5" t="s">
        <v>426</v>
      </c>
      <c r="X5">
        <f>IF(X4&lt;DMAX($A$1:$L$522,$W5,X$1:X$2),DMAX($A$1:$L$522,$W5,X$1:X$2),X4)</f>
        <v>0</v>
      </c>
      <c r="Y5">
        <f>IF(Y4&lt;DMAX($A$1:$L$522,$W5,Y$1:Y$2),DMAX($A$1:$L$522,$W5,Y$1:Y$2),Y4)</f>
        <v>0.33333333333333331</v>
      </c>
      <c r="Z5">
        <f t="shared" si="16"/>
        <v>0.22222222222222221</v>
      </c>
      <c r="AA5">
        <f t="shared" si="16"/>
        <v>1</v>
      </c>
      <c r="AB5">
        <f t="shared" si="16"/>
        <v>0.19354838709677419</v>
      </c>
      <c r="AC5">
        <f t="shared" si="16"/>
        <v>0.19354838709677419</v>
      </c>
      <c r="AD5">
        <f t="shared" si="16"/>
        <v>0.375</v>
      </c>
      <c r="AE5">
        <f t="shared" si="16"/>
        <v>3.2786885245901641E-2</v>
      </c>
      <c r="AF5">
        <f t="shared" si="16"/>
        <v>0.75886524822695034</v>
      </c>
      <c r="AG5">
        <f t="shared" si="16"/>
        <v>0.72440944881889768</v>
      </c>
      <c r="AH5">
        <f t="shared" si="16"/>
        <v>0.70297029702970293</v>
      </c>
      <c r="AI5">
        <f t="shared" si="16"/>
        <v>0.5</v>
      </c>
      <c r="AJ5">
        <f t="shared" si="16"/>
        <v>0</v>
      </c>
      <c r="AK5">
        <f t="shared" si="16"/>
        <v>0</v>
      </c>
      <c r="AL5">
        <f t="shared" si="16"/>
        <v>1</v>
      </c>
      <c r="AM5">
        <f t="shared" si="16"/>
        <v>0.97916666666666663</v>
      </c>
      <c r="AN5">
        <f t="shared" si="16"/>
        <v>8.4745762711864406E-3</v>
      </c>
      <c r="AO5">
        <f t="shared" si="16"/>
        <v>0.38636363636363635</v>
      </c>
      <c r="AP5">
        <f t="shared" si="16"/>
        <v>0.26190476190476192</v>
      </c>
      <c r="AQ5">
        <f t="shared" si="16"/>
        <v>0</v>
      </c>
      <c r="AR5">
        <f t="shared" si="16"/>
        <v>0</v>
      </c>
      <c r="AS5">
        <f t="shared" si="16"/>
        <v>0</v>
      </c>
      <c r="AT5">
        <f t="shared" si="16"/>
        <v>0.23255813953488372</v>
      </c>
      <c r="AU5">
        <f t="shared" si="16"/>
        <v>9.6774193548387094E-2</v>
      </c>
      <c r="AV5">
        <f t="shared" si="16"/>
        <v>0.5178571428571429</v>
      </c>
      <c r="AW5">
        <f t="shared" si="16"/>
        <v>0.36046511627906974</v>
      </c>
      <c r="AX5">
        <f t="shared" si="16"/>
        <v>0.45652173913043476</v>
      </c>
      <c r="AY5">
        <f t="shared" si="16"/>
        <v>0.43333333333333335</v>
      </c>
      <c r="AZ5">
        <f t="shared" si="16"/>
        <v>0</v>
      </c>
      <c r="BA5">
        <f t="shared" si="16"/>
        <v>1</v>
      </c>
      <c r="BB5">
        <f t="shared" si="16"/>
        <v>1</v>
      </c>
      <c r="BC5">
        <f t="shared" si="16"/>
        <v>1</v>
      </c>
      <c r="BD5">
        <f t="shared" si="16"/>
        <v>0.36363636363636365</v>
      </c>
      <c r="BE5">
        <f t="shared" si="16"/>
        <v>0.47619047619047616</v>
      </c>
      <c r="BF5">
        <f t="shared" si="16"/>
        <v>1</v>
      </c>
      <c r="BG5">
        <f t="shared" si="16"/>
        <v>1</v>
      </c>
      <c r="BH5">
        <f t="shared" si="16"/>
        <v>1</v>
      </c>
      <c r="BI5">
        <f t="shared" si="16"/>
        <v>0.33962264150943394</v>
      </c>
      <c r="BJ5">
        <f t="shared" si="16"/>
        <v>6.7842605156037995E-3</v>
      </c>
      <c r="BK5">
        <f t="shared" si="16"/>
        <v>0.58872651356993733</v>
      </c>
      <c r="BL5">
        <f t="shared" si="16"/>
        <v>1.050420168067227E-2</v>
      </c>
      <c r="BM5">
        <f t="shared" si="16"/>
        <v>8.2372322899505763E-3</v>
      </c>
      <c r="BN5">
        <f t="shared" si="16"/>
        <v>1</v>
      </c>
      <c r="BO5">
        <f t="shared" si="16"/>
        <v>1</v>
      </c>
      <c r="BP5">
        <f t="shared" si="16"/>
        <v>0.1</v>
      </c>
      <c r="BQ5">
        <f t="shared" si="16"/>
        <v>0.51327433628318586</v>
      </c>
      <c r="BR5">
        <f t="shared" si="16"/>
        <v>1</v>
      </c>
      <c r="BS5">
        <f t="shared" si="16"/>
        <v>1</v>
      </c>
      <c r="BT5">
        <f t="shared" si="16"/>
        <v>0.57723577235772361</v>
      </c>
      <c r="BU5">
        <f t="shared" si="16"/>
        <v>0.66666666666666663</v>
      </c>
      <c r="BV5">
        <f t="shared" si="16"/>
        <v>0.77777777777777779</v>
      </c>
      <c r="BW5">
        <f t="shared" si="16"/>
        <v>0</v>
      </c>
      <c r="BX5">
        <f t="shared" si="16"/>
        <v>1</v>
      </c>
      <c r="BY5">
        <f t="shared" si="16"/>
        <v>0.5714285714285714</v>
      </c>
      <c r="BZ5">
        <f t="shared" si="16"/>
        <v>0</v>
      </c>
      <c r="CA5">
        <f t="shared" si="16"/>
        <v>0.70422535211267601</v>
      </c>
      <c r="CB5">
        <f t="shared" si="16"/>
        <v>0</v>
      </c>
      <c r="CC5">
        <f>IF(CC4&lt;DMAX($A$1:$L$516,$W5,CC$1:CC$2),DMAX($A$1:$L$516,$W5,CC$1:CC$2),CC4)</f>
        <v>0</v>
      </c>
    </row>
    <row r="6" spans="1:81">
      <c r="A6" t="s">
        <v>4</v>
      </c>
      <c r="B6">
        <v>2</v>
      </c>
      <c r="C6" t="str">
        <f t="shared" si="0"/>
        <v>test.BallonFactory_2_</v>
      </c>
      <c r="D6">
        <v>1</v>
      </c>
      <c r="E6">
        <v>0.33333333333333331</v>
      </c>
      <c r="F6">
        <v>0.45454545454545453</v>
      </c>
      <c r="G6" s="1" t="str">
        <f t="shared" si="1"/>
        <v/>
      </c>
      <c r="H6" s="1" t="str">
        <f t="shared" si="2"/>
        <v/>
      </c>
      <c r="I6" s="1">
        <f t="shared" si="3"/>
        <v>0.33333333333333331</v>
      </c>
      <c r="J6" s="1" t="str">
        <f t="shared" si="4"/>
        <v/>
      </c>
      <c r="K6" s="1" t="str">
        <f t="shared" si="5"/>
        <v/>
      </c>
      <c r="L6" s="1" t="str">
        <f t="shared" si="6"/>
        <v/>
      </c>
      <c r="M6" s="1">
        <f>25/64</f>
        <v>0.390625</v>
      </c>
      <c r="N6" s="1">
        <f>SUM(T6:V6)/64</f>
        <v>0.625</v>
      </c>
      <c r="O6" s="1">
        <f t="shared" si="15"/>
        <v>58</v>
      </c>
      <c r="P6" t="s">
        <v>427</v>
      </c>
      <c r="Q6" s="3">
        <f t="shared" si="7"/>
        <v>7</v>
      </c>
      <c r="R6" s="3">
        <f t="shared" si="8"/>
        <v>5</v>
      </c>
      <c r="S6" s="3">
        <f t="shared" si="9"/>
        <v>6</v>
      </c>
      <c r="T6" s="3">
        <f t="shared" si="10"/>
        <v>9</v>
      </c>
      <c r="U6" s="3">
        <f t="shared" si="11"/>
        <v>8</v>
      </c>
      <c r="V6" s="3">
        <f t="shared" si="12"/>
        <v>23</v>
      </c>
      <c r="W6" t="s">
        <v>427</v>
      </c>
      <c r="X6">
        <f>IF(X5&lt;DMAX($A$1:$L$522,$W6,X$1:X$2),DMAX($A$1:$L$522,$W6,X$1:X$2),X5)</f>
        <v>0</v>
      </c>
      <c r="Y6">
        <f t="shared" si="16"/>
        <v>0.81818181818181823</v>
      </c>
      <c r="Z6">
        <f t="shared" si="16"/>
        <v>0.55555555555555558</v>
      </c>
      <c r="AA6">
        <f t="shared" si="16"/>
        <v>1</v>
      </c>
      <c r="AB6">
        <f t="shared" si="16"/>
        <v>0.93548387096774188</v>
      </c>
      <c r="AC6">
        <f t="shared" si="16"/>
        <v>0.93548387096774188</v>
      </c>
      <c r="AD6">
        <f t="shared" si="16"/>
        <v>0.375</v>
      </c>
      <c r="AE6">
        <f t="shared" si="16"/>
        <v>3.2786885245901641E-2</v>
      </c>
      <c r="AF6">
        <f t="shared" si="16"/>
        <v>0.75886524822695034</v>
      </c>
      <c r="AG6">
        <f t="shared" si="16"/>
        <v>0.73228346456692917</v>
      </c>
      <c r="AH6">
        <f t="shared" si="16"/>
        <v>0.70297029702970293</v>
      </c>
      <c r="AI6">
        <f t="shared" si="16"/>
        <v>0.5</v>
      </c>
      <c r="AJ6">
        <f t="shared" si="16"/>
        <v>0</v>
      </c>
      <c r="AK6">
        <f t="shared" si="16"/>
        <v>0</v>
      </c>
      <c r="AL6">
        <f t="shared" si="16"/>
        <v>1</v>
      </c>
      <c r="AM6">
        <f t="shared" si="16"/>
        <v>0.97916666666666663</v>
      </c>
      <c r="AN6">
        <f t="shared" si="16"/>
        <v>1</v>
      </c>
      <c r="AO6">
        <f t="shared" si="16"/>
        <v>0.38636363636363635</v>
      </c>
      <c r="AP6">
        <f t="shared" si="16"/>
        <v>0.26190476190476192</v>
      </c>
      <c r="AQ6">
        <f t="shared" si="16"/>
        <v>0.84036144578313254</v>
      </c>
      <c r="AR6">
        <f t="shared" si="16"/>
        <v>0</v>
      </c>
      <c r="AS6">
        <f t="shared" si="16"/>
        <v>1</v>
      </c>
      <c r="AT6">
        <f t="shared" si="16"/>
        <v>0.23255813953488372</v>
      </c>
      <c r="AU6">
        <f t="shared" si="16"/>
        <v>1</v>
      </c>
      <c r="AV6">
        <f t="shared" si="16"/>
        <v>0.5178571428571429</v>
      </c>
      <c r="AW6">
        <f t="shared" si="16"/>
        <v>0.81395348837209303</v>
      </c>
      <c r="AX6">
        <f t="shared" si="16"/>
        <v>0.45652173913043476</v>
      </c>
      <c r="AY6">
        <f t="shared" si="16"/>
        <v>0.8</v>
      </c>
      <c r="AZ6">
        <f t="shared" si="16"/>
        <v>0</v>
      </c>
      <c r="BA6">
        <f t="shared" si="16"/>
        <v>1</v>
      </c>
      <c r="BB6">
        <f t="shared" si="16"/>
        <v>1</v>
      </c>
      <c r="BC6">
        <f t="shared" si="16"/>
        <v>1</v>
      </c>
      <c r="BD6">
        <f t="shared" si="16"/>
        <v>0.68181818181818177</v>
      </c>
      <c r="BE6">
        <f t="shared" si="16"/>
        <v>1</v>
      </c>
      <c r="BF6">
        <f t="shared" si="16"/>
        <v>1</v>
      </c>
      <c r="BG6">
        <f t="shared" si="16"/>
        <v>1</v>
      </c>
      <c r="BH6">
        <f t="shared" si="16"/>
        <v>1</v>
      </c>
      <c r="BI6">
        <f t="shared" si="16"/>
        <v>0.33962264150943394</v>
      </c>
      <c r="BJ6">
        <f t="shared" si="16"/>
        <v>6.7842605156037995E-3</v>
      </c>
      <c r="BK6">
        <f t="shared" si="16"/>
        <v>1</v>
      </c>
      <c r="BL6">
        <f t="shared" si="16"/>
        <v>1.050420168067227E-2</v>
      </c>
      <c r="BM6">
        <f t="shared" si="16"/>
        <v>8.2372322899505763E-3</v>
      </c>
      <c r="BN6">
        <f t="shared" si="16"/>
        <v>1</v>
      </c>
      <c r="BO6">
        <f t="shared" si="16"/>
        <v>1</v>
      </c>
      <c r="BP6">
        <f t="shared" si="16"/>
        <v>0.6</v>
      </c>
      <c r="BQ6">
        <f t="shared" si="16"/>
        <v>1</v>
      </c>
      <c r="BR6">
        <f t="shared" si="16"/>
        <v>1</v>
      </c>
      <c r="BS6">
        <f t="shared" si="16"/>
        <v>1</v>
      </c>
      <c r="BT6">
        <f t="shared" si="16"/>
        <v>1</v>
      </c>
      <c r="BU6">
        <f t="shared" si="16"/>
        <v>0.66666666666666663</v>
      </c>
      <c r="BV6">
        <f t="shared" si="16"/>
        <v>1</v>
      </c>
      <c r="BW6">
        <f t="shared" si="16"/>
        <v>0</v>
      </c>
      <c r="BX6">
        <f t="shared" si="16"/>
        <v>1</v>
      </c>
      <c r="BY6">
        <f t="shared" si="16"/>
        <v>1</v>
      </c>
      <c r="BZ6">
        <f t="shared" si="16"/>
        <v>0.42857142857142855</v>
      </c>
      <c r="CA6">
        <f t="shared" si="16"/>
        <v>1</v>
      </c>
      <c r="CB6">
        <f t="shared" si="16"/>
        <v>0.74193548387096775</v>
      </c>
      <c r="CC6">
        <f>IF(CC5&lt;DMAX($A$1:$L$516,$W6,CC$1:CC$2),DMAX($A$1:$L$516,$W6,CC$1:CC$2),CC5)</f>
        <v>0</v>
      </c>
    </row>
    <row r="7" spans="1:81">
      <c r="A7" t="s">
        <v>4</v>
      </c>
      <c r="B7">
        <v>2</v>
      </c>
      <c r="C7" t="str">
        <f t="shared" si="0"/>
        <v>test.BallonFactory_2_</v>
      </c>
      <c r="D7">
        <v>2</v>
      </c>
      <c r="E7">
        <v>0.5757575757575758</v>
      </c>
      <c r="F7">
        <v>0.60984848484848486</v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">
        <f t="shared" si="4"/>
        <v>0.5757575757575758</v>
      </c>
      <c r="K7" s="1" t="str">
        <f t="shared" si="5"/>
        <v/>
      </c>
      <c r="L7" s="1" t="str">
        <f t="shared" si="6"/>
        <v/>
      </c>
      <c r="M7" s="1"/>
      <c r="N7" s="1">
        <f t="shared" si="14"/>
        <v>0.90625</v>
      </c>
      <c r="O7" s="1">
        <f t="shared" si="15"/>
        <v>58</v>
      </c>
      <c r="P7" s="2" t="s">
        <v>428</v>
      </c>
      <c r="Q7" s="3">
        <f t="shared" si="7"/>
        <v>0</v>
      </c>
      <c r="R7" s="3">
        <f t="shared" si="8"/>
        <v>0</v>
      </c>
      <c r="S7" s="3">
        <f t="shared" si="9"/>
        <v>0</v>
      </c>
      <c r="T7" s="3">
        <f t="shared" si="10"/>
        <v>0</v>
      </c>
      <c r="U7" s="3">
        <f t="shared" si="11"/>
        <v>1</v>
      </c>
      <c r="V7" s="3">
        <f t="shared" si="12"/>
        <v>57</v>
      </c>
      <c r="W7" s="2" t="s">
        <v>428</v>
      </c>
      <c r="X7">
        <f>IF(X6&lt;DMAX($A$1:$L$522,$W7,X$1:X$2),DMAX($A$1:$L$522,$W7,X$1:X$2),X6)</f>
        <v>1</v>
      </c>
      <c r="Y7">
        <f t="shared" si="16"/>
        <v>1</v>
      </c>
      <c r="Z7">
        <f t="shared" si="16"/>
        <v>0.94444444444444442</v>
      </c>
      <c r="AA7">
        <f t="shared" si="16"/>
        <v>1</v>
      </c>
      <c r="AB7">
        <f t="shared" si="16"/>
        <v>1</v>
      </c>
      <c r="AC7">
        <f t="shared" si="16"/>
        <v>1</v>
      </c>
      <c r="AD7">
        <f t="shared" si="16"/>
        <v>1</v>
      </c>
      <c r="AE7">
        <f t="shared" si="16"/>
        <v>1</v>
      </c>
      <c r="AF7">
        <f t="shared" si="16"/>
        <v>1</v>
      </c>
      <c r="AG7">
        <f t="shared" si="16"/>
        <v>1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1</v>
      </c>
      <c r="AM7">
        <f t="shared" si="16"/>
        <v>1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1</v>
      </c>
      <c r="AR7">
        <f t="shared" si="16"/>
        <v>1</v>
      </c>
      <c r="AS7">
        <f t="shared" si="16"/>
        <v>1</v>
      </c>
      <c r="AT7">
        <f t="shared" si="16"/>
        <v>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  <c r="AY7">
        <f t="shared" si="16"/>
        <v>1</v>
      </c>
      <c r="AZ7">
        <f t="shared" si="16"/>
        <v>1</v>
      </c>
      <c r="BA7">
        <f t="shared" si="16"/>
        <v>1</v>
      </c>
      <c r="BB7">
        <f t="shared" si="16"/>
        <v>1</v>
      </c>
      <c r="BC7">
        <f t="shared" si="16"/>
        <v>1</v>
      </c>
      <c r="BD7">
        <f t="shared" si="16"/>
        <v>1</v>
      </c>
      <c r="BE7">
        <f t="shared" si="16"/>
        <v>1</v>
      </c>
      <c r="BF7">
        <f t="shared" si="16"/>
        <v>1</v>
      </c>
      <c r="BG7">
        <f t="shared" si="16"/>
        <v>1</v>
      </c>
      <c r="BH7">
        <f t="shared" si="16"/>
        <v>1</v>
      </c>
      <c r="BI7">
        <f t="shared" si="16"/>
        <v>1</v>
      </c>
      <c r="BJ7">
        <f t="shared" si="16"/>
        <v>1</v>
      </c>
      <c r="BK7">
        <f t="shared" si="16"/>
        <v>1</v>
      </c>
      <c r="BL7">
        <f t="shared" si="16"/>
        <v>1</v>
      </c>
      <c r="BM7">
        <f t="shared" si="16"/>
        <v>1</v>
      </c>
      <c r="BN7">
        <f t="shared" si="16"/>
        <v>1</v>
      </c>
      <c r="BO7">
        <f t="shared" si="16"/>
        <v>1</v>
      </c>
      <c r="BP7">
        <f t="shared" si="16"/>
        <v>1</v>
      </c>
      <c r="BQ7">
        <f t="shared" si="16"/>
        <v>1</v>
      </c>
      <c r="BR7">
        <f t="shared" si="16"/>
        <v>1</v>
      </c>
      <c r="BS7">
        <f t="shared" si="16"/>
        <v>1</v>
      </c>
      <c r="BT7">
        <f t="shared" si="16"/>
        <v>1</v>
      </c>
      <c r="BU7">
        <f t="shared" si="16"/>
        <v>1</v>
      </c>
      <c r="BV7">
        <f t="shared" si="16"/>
        <v>1</v>
      </c>
      <c r="BW7">
        <f t="shared" si="16"/>
        <v>1</v>
      </c>
      <c r="BX7">
        <f t="shared" si="16"/>
        <v>1</v>
      </c>
      <c r="BY7">
        <f t="shared" si="16"/>
        <v>1</v>
      </c>
      <c r="BZ7">
        <f t="shared" si="16"/>
        <v>1</v>
      </c>
      <c r="CA7">
        <f t="shared" si="16"/>
        <v>1</v>
      </c>
      <c r="CB7">
        <f t="shared" si="16"/>
        <v>1</v>
      </c>
      <c r="CC7">
        <f>IF(CC6&lt;DMAX($A$1:$L$516,$W7,CC$1:CC$2),DMAX($A$1:$L$516,$W7,CC$1:CC$2),CC6)</f>
        <v>1</v>
      </c>
    </row>
    <row r="8" spans="1:81">
      <c r="A8" t="s">
        <v>4</v>
      </c>
      <c r="B8">
        <v>2</v>
      </c>
      <c r="C8" t="str">
        <f t="shared" si="0"/>
        <v>test.BallonFactory_2_</v>
      </c>
      <c r="D8">
        <v>3</v>
      </c>
      <c r="E8">
        <v>0.60606060606060608</v>
      </c>
      <c r="F8">
        <v>0.68686868686868685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>
        <f t="shared" si="4"/>
        <v>0.60606060606060608</v>
      </c>
      <c r="K8" s="1" t="str">
        <f t="shared" si="5"/>
        <v/>
      </c>
      <c r="L8" s="1" t="str">
        <f t="shared" si="6"/>
        <v/>
      </c>
      <c r="M8" s="1"/>
      <c r="N8" s="1">
        <f>SUM(T8:V8)/64</f>
        <v>0.90625</v>
      </c>
      <c r="O8" s="1"/>
      <c r="P8" s="1" t="s">
        <v>429</v>
      </c>
      <c r="Q8" s="3">
        <f t="shared" si="7"/>
        <v>0</v>
      </c>
      <c r="R8" s="3">
        <f t="shared" si="8"/>
        <v>0</v>
      </c>
      <c r="S8" s="3">
        <f t="shared" si="9"/>
        <v>0</v>
      </c>
      <c r="T8" s="3">
        <f t="shared" si="10"/>
        <v>0</v>
      </c>
      <c r="U8" s="3">
        <f t="shared" si="11"/>
        <v>0</v>
      </c>
      <c r="V8" s="3">
        <f t="shared" si="12"/>
        <v>58</v>
      </c>
      <c r="W8" s="2" t="s">
        <v>429</v>
      </c>
      <c r="X8">
        <f>IF(X7&lt;DMAX($A$1:$L$522,$W8,X$1:X$2),DMAX($A$1:$L$522,$W8,X$1:X$2),X7)</f>
        <v>1</v>
      </c>
      <c r="Y8">
        <f t="shared" si="16"/>
        <v>1</v>
      </c>
      <c r="Z8">
        <f t="shared" si="16"/>
        <v>1</v>
      </c>
      <c r="AA8">
        <f t="shared" si="16"/>
        <v>1</v>
      </c>
      <c r="AB8">
        <f t="shared" si="16"/>
        <v>1</v>
      </c>
      <c r="AC8">
        <f t="shared" si="16"/>
        <v>1</v>
      </c>
      <c r="AD8">
        <f t="shared" si="16"/>
        <v>1</v>
      </c>
      <c r="AE8">
        <f t="shared" si="16"/>
        <v>1</v>
      </c>
      <c r="AF8">
        <f t="shared" si="16"/>
        <v>1</v>
      </c>
      <c r="AG8">
        <f t="shared" si="16"/>
        <v>1</v>
      </c>
      <c r="AH8">
        <f t="shared" si="16"/>
        <v>1</v>
      </c>
      <c r="AI8">
        <f t="shared" si="16"/>
        <v>1</v>
      </c>
      <c r="AJ8">
        <f t="shared" si="16"/>
        <v>1</v>
      </c>
      <c r="AK8">
        <f t="shared" si="16"/>
        <v>1</v>
      </c>
      <c r="AL8">
        <f t="shared" si="16"/>
        <v>1</v>
      </c>
      <c r="AM8">
        <f t="shared" si="16"/>
        <v>1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1</v>
      </c>
      <c r="AR8">
        <f t="shared" si="16"/>
        <v>1</v>
      </c>
      <c r="AS8">
        <f t="shared" si="16"/>
        <v>1</v>
      </c>
      <c r="AT8">
        <f t="shared" si="16"/>
        <v>1</v>
      </c>
      <c r="AU8">
        <f t="shared" si="16"/>
        <v>1</v>
      </c>
      <c r="AV8">
        <f t="shared" si="16"/>
        <v>1</v>
      </c>
      <c r="AW8">
        <f t="shared" si="16"/>
        <v>1</v>
      </c>
      <c r="AX8">
        <f t="shared" si="16"/>
        <v>1</v>
      </c>
      <c r="AY8">
        <f t="shared" si="16"/>
        <v>1</v>
      </c>
      <c r="AZ8">
        <f t="shared" si="16"/>
        <v>1</v>
      </c>
      <c r="BA8">
        <f t="shared" si="16"/>
        <v>1</v>
      </c>
      <c r="BB8">
        <f t="shared" si="16"/>
        <v>1</v>
      </c>
      <c r="BC8">
        <f t="shared" si="16"/>
        <v>1</v>
      </c>
      <c r="BD8">
        <f t="shared" si="16"/>
        <v>1</v>
      </c>
      <c r="BE8">
        <f t="shared" si="16"/>
        <v>1</v>
      </c>
      <c r="BF8">
        <f t="shared" ref="BF8:CB8" si="17">IF(BF7&lt;DMAX($A$1:$L$522,$W8,BF$1:BF$2),DMAX($A$1:$L$522,$W8,BF$1:BF$2),BF7)</f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>IF(CC7&lt;DMAX($A$1:$L$516,$W8,CC$1:CC$2),DMAX($A$1:$L$516,$W8,CC$1:CC$2),CC7)</f>
        <v>1</v>
      </c>
    </row>
    <row r="9" spans="1:81">
      <c r="A9" t="s">
        <v>4</v>
      </c>
      <c r="B9">
        <v>2</v>
      </c>
      <c r="C9" t="str">
        <f t="shared" si="0"/>
        <v>test.BallonFactory_2_</v>
      </c>
      <c r="D9">
        <v>4</v>
      </c>
      <c r="E9">
        <v>0.78787878787878785</v>
      </c>
      <c r="F9">
        <v>0.7247474747474747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>
        <f t="shared" si="4"/>
        <v>0.78787878787878785</v>
      </c>
      <c r="K9" s="1" t="str">
        <f t="shared" si="5"/>
        <v/>
      </c>
      <c r="L9" s="1" t="str">
        <f t="shared" si="6"/>
        <v/>
      </c>
    </row>
    <row r="10" spans="1:81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0.78787878787878785</v>
      </c>
      <c r="F10">
        <v>0.79419191919191923</v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">
        <f t="shared" si="4"/>
        <v>0.78787878787878785</v>
      </c>
      <c r="K10" s="1" t="str">
        <f t="shared" si="5"/>
        <v/>
      </c>
      <c r="L10" s="1" t="str">
        <f t="shared" si="6"/>
        <v/>
      </c>
    </row>
    <row r="11" spans="1:81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0.81818181818181823</v>
      </c>
      <c r="F11">
        <v>0.7992424242424242</v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">
        <f t="shared" si="4"/>
        <v>0.81818181818181823</v>
      </c>
      <c r="K11" s="1" t="str">
        <f t="shared" si="5"/>
        <v/>
      </c>
      <c r="L11" s="1" t="str">
        <f t="shared" si="6"/>
        <v/>
      </c>
    </row>
    <row r="12" spans="1:81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0.96969696969696972</v>
      </c>
      <c r="F12">
        <v>0.8232323232323232</v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" t="str">
        <f t="shared" si="4"/>
        <v/>
      </c>
      <c r="K12" s="1">
        <f t="shared" si="5"/>
        <v>0.96969696969696972</v>
      </c>
      <c r="L12" s="1" t="str">
        <f t="shared" si="6"/>
        <v/>
      </c>
    </row>
    <row r="13" spans="1:81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1</v>
      </c>
      <c r="F13">
        <v>0.8737373737373737</v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" t="str">
        <f t="shared" si="4"/>
        <v/>
      </c>
      <c r="K13" s="1">
        <f t="shared" si="5"/>
        <v>1</v>
      </c>
      <c r="L13" s="1" t="str">
        <f t="shared" si="6"/>
        <v/>
      </c>
    </row>
    <row r="14" spans="1:81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1</v>
      </c>
      <c r="F14">
        <v>0.88257575757575757</v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" t="str">
        <f t="shared" si="4"/>
        <v/>
      </c>
      <c r="K14" s="1">
        <f t="shared" si="5"/>
        <v>1</v>
      </c>
      <c r="L14" s="1" t="str">
        <f t="shared" si="6"/>
        <v/>
      </c>
    </row>
    <row r="15" spans="1:81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1</v>
      </c>
      <c r="F15">
        <v>0.89267676767676762</v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" t="str">
        <f t="shared" si="4"/>
        <v/>
      </c>
      <c r="K15" s="1">
        <f t="shared" si="5"/>
        <v>1</v>
      </c>
      <c r="L15" s="1" t="str">
        <f t="shared" si="6"/>
        <v/>
      </c>
    </row>
    <row r="16" spans="1:81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1</v>
      </c>
      <c r="F16">
        <v>0.90277777777777779</v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" t="str">
        <f t="shared" si="4"/>
        <v/>
      </c>
      <c r="K16" s="1">
        <f t="shared" si="5"/>
        <v>1</v>
      </c>
      <c r="L16" s="1" t="str">
        <f t="shared" si="6"/>
        <v/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1</v>
      </c>
      <c r="F17">
        <v>0.94570707070707072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 t="str">
        <f t="shared" si="4"/>
        <v/>
      </c>
      <c r="K17" s="1">
        <f t="shared" si="5"/>
        <v>1</v>
      </c>
      <c r="L17" s="1" t="str">
        <f t="shared" si="6"/>
        <v/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1</v>
      </c>
      <c r="F18">
        <v>0.95833333333333337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>
        <f t="shared" si="5"/>
        <v>1</v>
      </c>
      <c r="L18" s="1" t="str">
        <f t="shared" si="6"/>
        <v/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1</v>
      </c>
      <c r="F19">
        <v>0.99242424242424243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 t="str">
        <f t="shared" si="4"/>
        <v/>
      </c>
      <c r="K19" s="1">
        <f t="shared" si="5"/>
        <v>1</v>
      </c>
      <c r="L19" s="1" t="str">
        <f t="shared" si="6"/>
        <v/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1</v>
      </c>
      <c r="F20">
        <v>1.042929292929293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>
        <f t="shared" si="5"/>
        <v>1</v>
      </c>
      <c r="L20" s="1" t="str">
        <f t="shared" si="6"/>
        <v/>
      </c>
    </row>
    <row r="21" spans="1:12">
      <c r="A21" t="s">
        <v>4</v>
      </c>
      <c r="B21">
        <v>6</v>
      </c>
      <c r="C21" t="str">
        <f t="shared" si="0"/>
        <v>test.BallonFactory_6_</v>
      </c>
      <c r="D21">
        <v>1</v>
      </c>
      <c r="E21">
        <v>0.22222222222222221</v>
      </c>
      <c r="F21">
        <v>0.30785562632696389</v>
      </c>
      <c r="G21" s="1" t="str">
        <f t="shared" si="1"/>
        <v/>
      </c>
      <c r="H21" s="1">
        <f t="shared" si="2"/>
        <v>0.22222222222222221</v>
      </c>
      <c r="I21" s="1" t="str">
        <f t="shared" si="3"/>
        <v/>
      </c>
      <c r="J21" s="1" t="str">
        <f t="shared" si="4"/>
        <v/>
      </c>
      <c r="K21" s="1" t="str">
        <f t="shared" si="5"/>
        <v/>
      </c>
      <c r="L21" s="1" t="str">
        <f t="shared" si="6"/>
        <v/>
      </c>
    </row>
    <row r="22" spans="1:12">
      <c r="A22" t="s">
        <v>4</v>
      </c>
      <c r="B22">
        <v>6</v>
      </c>
      <c r="C22" t="str">
        <f t="shared" si="0"/>
        <v>test.BallonFactory_6_</v>
      </c>
      <c r="D22">
        <v>2</v>
      </c>
      <c r="E22">
        <v>0.55555555555555558</v>
      </c>
      <c r="F22">
        <v>0.69214437367303605</v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">
        <f t="shared" si="4"/>
        <v>0.55555555555555558</v>
      </c>
      <c r="K22" s="1" t="str">
        <f t="shared" si="5"/>
        <v/>
      </c>
      <c r="L22" s="1" t="str">
        <f t="shared" si="6"/>
        <v/>
      </c>
    </row>
    <row r="23" spans="1:12">
      <c r="A23" t="s">
        <v>4</v>
      </c>
      <c r="B23">
        <v>6</v>
      </c>
      <c r="C23" t="str">
        <f t="shared" si="0"/>
        <v>test.BallonFactory_6_</v>
      </c>
      <c r="D23">
        <v>3</v>
      </c>
      <c r="E23">
        <v>0.83333333333333337</v>
      </c>
      <c r="F23">
        <v>1.0339702760084926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 t="str">
        <f t="shared" si="4"/>
        <v/>
      </c>
      <c r="K23" s="1">
        <f t="shared" si="5"/>
        <v>0.83333333333333337</v>
      </c>
      <c r="L23" s="1" t="str">
        <f t="shared" si="6"/>
        <v/>
      </c>
    </row>
    <row r="24" spans="1:12">
      <c r="A24" t="s">
        <v>4</v>
      </c>
      <c r="B24">
        <v>6</v>
      </c>
      <c r="C24" t="str">
        <f t="shared" si="0"/>
        <v>test.BallonFactory_6_</v>
      </c>
      <c r="D24">
        <v>4</v>
      </c>
      <c r="E24">
        <v>0.94444444444444442</v>
      </c>
      <c r="F24">
        <v>1.0360934182590233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>
        <f t="shared" si="5"/>
        <v>0.94444444444444442</v>
      </c>
      <c r="L24" s="1" t="str">
        <f t="shared" si="6"/>
        <v/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1</v>
      </c>
      <c r="F25">
        <v>1.575371549893843</v>
      </c>
      <c r="G25" s="1" t="str">
        <f t="shared" si="1"/>
        <v/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 t="str">
        <f t="shared" si="5"/>
        <v/>
      </c>
      <c r="L25" s="1">
        <f t="shared" si="6"/>
        <v>1</v>
      </c>
    </row>
    <row r="26" spans="1:12">
      <c r="A26" t="s">
        <v>4</v>
      </c>
      <c r="B26">
        <v>9</v>
      </c>
      <c r="C26" t="str">
        <f t="shared" si="0"/>
        <v>test.BallonFactory_9_</v>
      </c>
      <c r="D26">
        <v>1</v>
      </c>
      <c r="E26">
        <v>6.5217391304347824E-2</v>
      </c>
      <c r="F26">
        <v>8.7695445275322914E-2</v>
      </c>
      <c r="G26" s="1">
        <f t="shared" si="1"/>
        <v>6.5217391304347824E-2</v>
      </c>
      <c r="H26" s="1" t="str">
        <f t="shared" si="2"/>
        <v/>
      </c>
      <c r="I26" s="1" t="str">
        <f t="shared" si="3"/>
        <v/>
      </c>
      <c r="J26" s="1" t="str">
        <f t="shared" si="4"/>
        <v/>
      </c>
      <c r="K26" s="1" t="str">
        <f t="shared" si="5"/>
        <v/>
      </c>
      <c r="L26" s="1" t="str">
        <f t="shared" si="6"/>
        <v/>
      </c>
    </row>
    <row r="27" spans="1:12">
      <c r="A27" t="s">
        <v>4</v>
      </c>
      <c r="B27">
        <v>9</v>
      </c>
      <c r="C27" t="str">
        <f t="shared" si="0"/>
        <v>test.BallonFactory_9_</v>
      </c>
      <c r="D27">
        <v>2</v>
      </c>
      <c r="E27">
        <v>6.5217391304347824E-2</v>
      </c>
      <c r="F27">
        <v>8.8375254928619987E-2</v>
      </c>
      <c r="G27" s="1">
        <f t="shared" si="1"/>
        <v>6.5217391304347824E-2</v>
      </c>
      <c r="H27" s="1" t="str">
        <f t="shared" si="2"/>
        <v/>
      </c>
      <c r="I27" s="1" t="str">
        <f t="shared" si="3"/>
        <v/>
      </c>
      <c r="J27" s="1" t="str">
        <f t="shared" si="4"/>
        <v/>
      </c>
      <c r="K27" s="1" t="str">
        <f t="shared" si="5"/>
        <v/>
      </c>
      <c r="L27" s="1" t="str">
        <f t="shared" si="6"/>
        <v/>
      </c>
    </row>
    <row r="28" spans="1:12">
      <c r="A28" t="s">
        <v>4</v>
      </c>
      <c r="B28">
        <v>9</v>
      </c>
      <c r="C28" t="str">
        <f t="shared" si="0"/>
        <v>test.BallonFactory_9_</v>
      </c>
      <c r="D28">
        <v>3</v>
      </c>
      <c r="E28">
        <v>6.5217391304347824E-2</v>
      </c>
      <c r="F28">
        <v>9.1094493541808291E-2</v>
      </c>
      <c r="G28" s="1">
        <f t="shared" si="1"/>
        <v>6.5217391304347824E-2</v>
      </c>
      <c r="H28" s="1" t="str">
        <f t="shared" si="2"/>
        <v/>
      </c>
      <c r="I28" s="1" t="str">
        <f t="shared" si="3"/>
        <v/>
      </c>
      <c r="J28" s="1" t="str">
        <f t="shared" si="4"/>
        <v/>
      </c>
      <c r="K28" s="1" t="str">
        <f t="shared" si="5"/>
        <v/>
      </c>
      <c r="L28" s="1" t="str">
        <f t="shared" si="6"/>
        <v/>
      </c>
    </row>
    <row r="29" spans="1:12">
      <c r="A29" t="s">
        <v>4</v>
      </c>
      <c r="B29">
        <v>9</v>
      </c>
      <c r="C29" t="str">
        <f t="shared" si="0"/>
        <v>test.BallonFactory_9_</v>
      </c>
      <c r="D29">
        <v>4</v>
      </c>
      <c r="E29">
        <v>0.15217391304347827</v>
      </c>
      <c r="F29">
        <v>0.17743031951053706</v>
      </c>
      <c r="G29" s="1">
        <f t="shared" si="1"/>
        <v>0.15217391304347827</v>
      </c>
      <c r="H29" s="1" t="str">
        <f t="shared" si="2"/>
        <v/>
      </c>
      <c r="I29" s="1" t="str">
        <f t="shared" si="3"/>
        <v/>
      </c>
      <c r="J29" s="1" t="str">
        <f t="shared" si="4"/>
        <v/>
      </c>
      <c r="K29" s="1" t="str">
        <f t="shared" si="5"/>
        <v/>
      </c>
      <c r="L29" s="1" t="str">
        <f t="shared" si="6"/>
        <v/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0.2391304347826087</v>
      </c>
      <c r="F30">
        <v>0.17946974847042829</v>
      </c>
      <c r="G30" s="1">
        <f t="shared" si="1"/>
        <v>0.2391304347826087</v>
      </c>
      <c r="H30" s="1" t="str">
        <f t="shared" si="2"/>
        <v/>
      </c>
      <c r="I30" s="1" t="str">
        <f t="shared" si="3"/>
        <v/>
      </c>
      <c r="J30" s="1" t="str">
        <f t="shared" si="4"/>
        <v/>
      </c>
      <c r="K30" s="1" t="str">
        <f t="shared" si="5"/>
        <v/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0.5</v>
      </c>
      <c r="F31">
        <v>0.34262406526172673</v>
      </c>
      <c r="G31" s="1" t="str">
        <f t="shared" si="1"/>
        <v/>
      </c>
      <c r="H31" s="1">
        <f t="shared" si="2"/>
        <v>0.5</v>
      </c>
      <c r="I31" s="1" t="str">
        <f t="shared" si="3"/>
        <v/>
      </c>
      <c r="J31" s="1" t="str">
        <f t="shared" si="4"/>
        <v/>
      </c>
      <c r="K31" s="1" t="str">
        <f t="shared" si="5"/>
        <v/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0.65217391304347827</v>
      </c>
      <c r="F32">
        <v>0.35282121006118289</v>
      </c>
      <c r="G32" s="1" t="str">
        <f t="shared" si="1"/>
        <v/>
      </c>
      <c r="H32" s="1">
        <f t="shared" si="2"/>
        <v>0.65217391304347827</v>
      </c>
      <c r="I32" s="1" t="str">
        <f t="shared" si="3"/>
        <v/>
      </c>
      <c r="J32" s="1" t="str">
        <f t="shared" si="4"/>
        <v/>
      </c>
      <c r="K32" s="1" t="str">
        <f t="shared" si="5"/>
        <v/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0.91304347826086951</v>
      </c>
      <c r="F33">
        <v>0.35418082936777701</v>
      </c>
      <c r="G33" s="1" t="str">
        <f t="shared" si="1"/>
        <v/>
      </c>
      <c r="H33" s="1">
        <f t="shared" si="2"/>
        <v>0.91304347826086951</v>
      </c>
      <c r="I33" s="1" t="str">
        <f t="shared" si="3"/>
        <v/>
      </c>
      <c r="J33" s="1" t="str">
        <f t="shared" si="4"/>
        <v/>
      </c>
      <c r="K33" s="1" t="str">
        <f t="shared" si="5"/>
        <v/>
      </c>
      <c r="L33" s="1" t="str">
        <f t="shared" si="6"/>
        <v/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1</v>
      </c>
      <c r="F34">
        <v>0.40992522093813732</v>
      </c>
      <c r="G34" s="1" t="str">
        <f t="shared" si="1"/>
        <v/>
      </c>
      <c r="H34" s="1" t="str">
        <f t="shared" si="2"/>
        <v/>
      </c>
      <c r="I34" s="1">
        <f t="shared" si="3"/>
        <v>1</v>
      </c>
      <c r="J34" s="1" t="str">
        <f t="shared" si="4"/>
        <v/>
      </c>
      <c r="K34" s="1" t="str">
        <f t="shared" si="5"/>
        <v/>
      </c>
      <c r="L34" s="1" t="str">
        <f t="shared" si="6"/>
        <v/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1</v>
      </c>
      <c r="F35">
        <v>0.41604350781781102</v>
      </c>
      <c r="G35" s="1" t="str">
        <f t="shared" si="1"/>
        <v/>
      </c>
      <c r="H35" s="1" t="str">
        <f t="shared" si="2"/>
        <v/>
      </c>
      <c r="I35" s="1">
        <f t="shared" si="3"/>
        <v>1</v>
      </c>
      <c r="J35" s="1" t="str">
        <f t="shared" si="4"/>
        <v/>
      </c>
      <c r="K35" s="1" t="str">
        <f t="shared" si="5"/>
        <v/>
      </c>
      <c r="L35" s="1" t="str">
        <f t="shared" si="6"/>
        <v/>
      </c>
    </row>
    <row r="36" spans="1:12">
      <c r="A36" t="s">
        <v>32</v>
      </c>
      <c r="B36">
        <v>2</v>
      </c>
      <c r="C36" t="str">
        <f t="shared" si="0"/>
        <v>test.Base64_2_</v>
      </c>
      <c r="D36">
        <v>1</v>
      </c>
      <c r="E36">
        <v>0.19354838709677419</v>
      </c>
      <c r="F36">
        <v>0.30847029077117571</v>
      </c>
      <c r="G36" s="1" t="str">
        <f t="shared" si="1"/>
        <v/>
      </c>
      <c r="H36" s="1">
        <f t="shared" si="2"/>
        <v>0.19354838709677419</v>
      </c>
      <c r="I36" s="1" t="str">
        <f t="shared" si="3"/>
        <v/>
      </c>
      <c r="J36" s="1" t="str">
        <f t="shared" si="4"/>
        <v/>
      </c>
      <c r="K36" s="1" t="str">
        <f t="shared" si="5"/>
        <v/>
      </c>
      <c r="L36" s="1" t="str">
        <f t="shared" si="6"/>
        <v/>
      </c>
    </row>
    <row r="37" spans="1:12">
      <c r="A37" t="s">
        <v>32</v>
      </c>
      <c r="B37">
        <v>2</v>
      </c>
      <c r="C37" t="str">
        <f t="shared" si="0"/>
        <v>test.Base64_2_</v>
      </c>
      <c r="D37">
        <v>2</v>
      </c>
      <c r="E37">
        <v>0.54838709677419351</v>
      </c>
      <c r="F37">
        <v>0.69026548672566368</v>
      </c>
      <c r="G37" s="1" t="str">
        <f t="shared" si="1"/>
        <v/>
      </c>
      <c r="H37" s="1" t="str">
        <f t="shared" si="2"/>
        <v/>
      </c>
      <c r="I37" s="1" t="str">
        <f t="shared" si="3"/>
        <v/>
      </c>
      <c r="J37" s="1">
        <f t="shared" si="4"/>
        <v>0.54838709677419351</v>
      </c>
      <c r="K37" s="1" t="str">
        <f t="shared" si="5"/>
        <v/>
      </c>
      <c r="L37" s="1" t="str">
        <f t="shared" si="6"/>
        <v/>
      </c>
    </row>
    <row r="38" spans="1:12">
      <c r="A38" t="s">
        <v>32</v>
      </c>
      <c r="B38">
        <v>2</v>
      </c>
      <c r="C38" t="str">
        <f t="shared" si="0"/>
        <v>test.Base64_2_</v>
      </c>
      <c r="D38">
        <v>3</v>
      </c>
      <c r="E38">
        <v>0.93548387096774188</v>
      </c>
      <c r="F38">
        <v>0.69658659924146649</v>
      </c>
      <c r="G38" s="1" t="str">
        <f t="shared" si="1"/>
        <v/>
      </c>
      <c r="H38" s="1" t="str">
        <f t="shared" si="2"/>
        <v/>
      </c>
      <c r="I38" s="1" t="str">
        <f t="shared" si="3"/>
        <v/>
      </c>
      <c r="J38" s="1">
        <f t="shared" si="4"/>
        <v>0.93548387096774188</v>
      </c>
      <c r="K38" s="1" t="str">
        <f t="shared" si="5"/>
        <v/>
      </c>
      <c r="L38" s="1" t="str">
        <f t="shared" si="6"/>
        <v/>
      </c>
    </row>
    <row r="39" spans="1:12">
      <c r="A39" t="s">
        <v>32</v>
      </c>
      <c r="B39">
        <v>2</v>
      </c>
      <c r="C39" t="str">
        <f t="shared" si="0"/>
        <v>test.Base64_2_</v>
      </c>
      <c r="D39">
        <v>4</v>
      </c>
      <c r="E39">
        <v>1</v>
      </c>
      <c r="F39">
        <v>1.0151706700379266</v>
      </c>
      <c r="G39" s="1" t="str">
        <f t="shared" si="1"/>
        <v/>
      </c>
      <c r="H39" s="1" t="str">
        <f t="shared" si="2"/>
        <v/>
      </c>
      <c r="I39" s="1" t="str">
        <f t="shared" si="3"/>
        <v/>
      </c>
      <c r="J39" s="1" t="str">
        <f t="shared" si="4"/>
        <v/>
      </c>
      <c r="K39" s="1">
        <f t="shared" si="5"/>
        <v>1</v>
      </c>
      <c r="L39" s="1" t="str">
        <f t="shared" si="6"/>
        <v/>
      </c>
    </row>
    <row r="40" spans="1:12">
      <c r="A40" t="s">
        <v>32</v>
      </c>
      <c r="B40">
        <v>4</v>
      </c>
      <c r="C40" t="str">
        <f t="shared" si="0"/>
        <v>test.Base64_4_</v>
      </c>
      <c r="D40">
        <v>1</v>
      </c>
      <c r="E40">
        <v>0.19354838709677419</v>
      </c>
      <c r="F40">
        <v>0.31592356687898088</v>
      </c>
      <c r="G40" s="1" t="str">
        <f t="shared" si="1"/>
        <v/>
      </c>
      <c r="H40" s="1">
        <f t="shared" si="2"/>
        <v>0.19354838709677419</v>
      </c>
      <c r="I40" s="1" t="str">
        <f t="shared" si="3"/>
        <v/>
      </c>
      <c r="J40" s="1" t="str">
        <f t="shared" si="4"/>
        <v/>
      </c>
      <c r="K40" s="1" t="str">
        <f t="shared" si="5"/>
        <v/>
      </c>
      <c r="L40" s="1" t="str">
        <f t="shared" si="6"/>
        <v/>
      </c>
    </row>
    <row r="41" spans="1:12">
      <c r="A41" t="s">
        <v>32</v>
      </c>
      <c r="B41">
        <v>4</v>
      </c>
      <c r="C41" t="str">
        <f t="shared" si="0"/>
        <v>test.Base64_4_</v>
      </c>
      <c r="D41">
        <v>2</v>
      </c>
      <c r="E41">
        <v>0.54838709677419351</v>
      </c>
      <c r="F41">
        <v>0.70318471337579613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>
        <f t="shared" si="4"/>
        <v>0.54838709677419351</v>
      </c>
      <c r="K41" s="1" t="str">
        <f t="shared" si="5"/>
        <v/>
      </c>
      <c r="L41" s="1" t="str">
        <f t="shared" si="6"/>
        <v/>
      </c>
    </row>
    <row r="42" spans="1:12">
      <c r="A42" t="s">
        <v>32</v>
      </c>
      <c r="B42">
        <v>4</v>
      </c>
      <c r="C42" t="str">
        <f t="shared" si="0"/>
        <v>test.Base64_4_</v>
      </c>
      <c r="D42">
        <v>3</v>
      </c>
      <c r="E42">
        <v>0.93548387096774188</v>
      </c>
      <c r="F42">
        <v>0.71210191082802543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>
        <f t="shared" si="4"/>
        <v>0.93548387096774188</v>
      </c>
      <c r="K42" s="1" t="str">
        <f t="shared" si="5"/>
        <v/>
      </c>
      <c r="L42" s="1" t="str">
        <f t="shared" si="6"/>
        <v/>
      </c>
    </row>
    <row r="43" spans="1:12">
      <c r="A43" t="s">
        <v>32</v>
      </c>
      <c r="B43">
        <v>4</v>
      </c>
      <c r="C43" t="str">
        <f t="shared" si="0"/>
        <v>test.Base64_4_</v>
      </c>
      <c r="D43">
        <v>4</v>
      </c>
      <c r="E43">
        <v>1</v>
      </c>
      <c r="F43">
        <v>1.0025477707006369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 t="str">
        <f t="shared" si="4"/>
        <v/>
      </c>
      <c r="K43" s="1">
        <f t="shared" si="5"/>
        <v>1</v>
      </c>
      <c r="L43" s="1" t="str">
        <f t="shared" si="6"/>
        <v/>
      </c>
    </row>
    <row r="44" spans="1:12">
      <c r="A44" t="s">
        <v>32</v>
      </c>
      <c r="B44">
        <v>13</v>
      </c>
      <c r="C44" t="str">
        <f t="shared" si="0"/>
        <v>test.Base64_13_</v>
      </c>
      <c r="D44">
        <v>1</v>
      </c>
      <c r="E44">
        <v>0.125</v>
      </c>
      <c r="F44">
        <v>0.29527559055118108</v>
      </c>
      <c r="G44" s="1" t="str">
        <f t="shared" si="1"/>
        <v/>
      </c>
      <c r="H44" s="1">
        <f t="shared" si="2"/>
        <v>0.125</v>
      </c>
      <c r="I44" s="1" t="str">
        <f t="shared" si="3"/>
        <v/>
      </c>
      <c r="J44" s="1" t="str">
        <f t="shared" si="4"/>
        <v/>
      </c>
      <c r="K44" s="1" t="str">
        <f t="shared" si="5"/>
        <v/>
      </c>
      <c r="L44" s="1" t="str">
        <f t="shared" si="6"/>
        <v/>
      </c>
    </row>
    <row r="45" spans="1:12">
      <c r="A45" t="s">
        <v>32</v>
      </c>
      <c r="B45">
        <v>13</v>
      </c>
      <c r="C45" t="str">
        <f t="shared" si="0"/>
        <v>test.Base64_13_</v>
      </c>
      <c r="D45">
        <v>2</v>
      </c>
      <c r="E45">
        <v>0.375</v>
      </c>
      <c r="F45">
        <v>0.547244094488189</v>
      </c>
      <c r="G45" s="1" t="str">
        <f t="shared" si="1"/>
        <v/>
      </c>
      <c r="H45" s="1" t="str">
        <f t="shared" si="2"/>
        <v/>
      </c>
      <c r="I45" s="1">
        <f t="shared" si="3"/>
        <v>0.375</v>
      </c>
      <c r="J45" s="1" t="str">
        <f t="shared" si="4"/>
        <v/>
      </c>
      <c r="K45" s="1" t="str">
        <f t="shared" si="5"/>
        <v/>
      </c>
      <c r="L45" s="1" t="str">
        <f t="shared" si="6"/>
        <v/>
      </c>
    </row>
    <row r="46" spans="1:12">
      <c r="A46" t="s">
        <v>32</v>
      </c>
      <c r="B46">
        <v>13</v>
      </c>
      <c r="C46" t="str">
        <f t="shared" si="0"/>
        <v>test.Base64_13_</v>
      </c>
      <c r="D46">
        <v>3</v>
      </c>
      <c r="E46">
        <v>0.625</v>
      </c>
      <c r="F46">
        <v>0.80708661417322836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 t="str">
        <f t="shared" si="4"/>
        <v/>
      </c>
      <c r="K46" s="1">
        <f t="shared" si="5"/>
        <v>0.625</v>
      </c>
      <c r="L46" s="1" t="str">
        <f t="shared" si="6"/>
        <v/>
      </c>
    </row>
    <row r="47" spans="1:12">
      <c r="A47" t="s">
        <v>32</v>
      </c>
      <c r="B47">
        <v>13</v>
      </c>
      <c r="C47" t="str">
        <f t="shared" si="0"/>
        <v>test.Base64_13_</v>
      </c>
      <c r="D47">
        <v>4</v>
      </c>
      <c r="E47">
        <v>0.875</v>
      </c>
      <c r="F47">
        <v>1.0196850393700787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>
        <f t="shared" si="5"/>
        <v>0.875</v>
      </c>
      <c r="L47" s="1" t="str">
        <f t="shared" si="6"/>
        <v/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1</v>
      </c>
      <c r="F48">
        <v>1.0354330708661417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>
        <f t="shared" si="5"/>
        <v>1</v>
      </c>
      <c r="L48" s="1" t="str">
        <f t="shared" si="6"/>
        <v/>
      </c>
    </row>
    <row r="49" spans="1:12">
      <c r="A49" t="s">
        <v>32</v>
      </c>
      <c r="B49">
        <v>16</v>
      </c>
      <c r="C49" t="str">
        <f t="shared" si="0"/>
        <v>test.Base64_16_</v>
      </c>
      <c r="D49">
        <v>1</v>
      </c>
      <c r="E49">
        <v>1.6393442622950821E-2</v>
      </c>
      <c r="F49">
        <v>1.1379633974659784E-2</v>
      </c>
      <c r="G49" s="1">
        <f>IF($F49 &lt;= 0.2,$E49,"")</f>
        <v>1.6393442622950821E-2</v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 t="str">
        <f t="shared" si="5"/>
        <v/>
      </c>
      <c r="L49" s="1" t="str">
        <f t="shared" si="6"/>
        <v/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3.2786885245901641E-2</v>
      </c>
      <c r="F50">
        <v>1.5368371656499296E-2</v>
      </c>
      <c r="G50" s="1">
        <f t="shared" si="1"/>
        <v>3.2786885245901641E-2</v>
      </c>
      <c r="H50" s="1" t="str">
        <f t="shared" si="2"/>
        <v/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0.81420765027322406</v>
      </c>
      <c r="F51">
        <v>0.84379399343031436</v>
      </c>
      <c r="G51" s="1" t="str">
        <f t="shared" si="1"/>
        <v/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>
        <f t="shared" si="5"/>
        <v>0.81420765027322406</v>
      </c>
      <c r="L51" s="1" t="str">
        <f t="shared" si="6"/>
        <v/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1</v>
      </c>
      <c r="F52">
        <v>0.86860628812763963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>
        <f t="shared" si="5"/>
        <v>1</v>
      </c>
      <c r="L52" s="1" t="str">
        <f t="shared" si="6"/>
        <v/>
      </c>
    </row>
    <row r="53" spans="1:12">
      <c r="A53" t="s">
        <v>32</v>
      </c>
      <c r="B53">
        <v>18</v>
      </c>
      <c r="C53" t="str">
        <f t="shared" si="0"/>
        <v>test.Base64_18_</v>
      </c>
      <c r="D53">
        <v>1</v>
      </c>
      <c r="E53">
        <v>2.1276595744680851E-2</v>
      </c>
      <c r="F53">
        <v>1.8214014672400709E-2</v>
      </c>
      <c r="G53" s="1">
        <f t="shared" si="1"/>
        <v>2.1276595744680851E-2</v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 t="str">
        <f t="shared" si="5"/>
        <v/>
      </c>
      <c r="L53" s="1" t="str">
        <f t="shared" si="6"/>
        <v/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4.2553191489361701E-2</v>
      </c>
      <c r="F54">
        <v>2.9344801416645586E-2</v>
      </c>
      <c r="G54" s="1">
        <f t="shared" si="1"/>
        <v>4.2553191489361701E-2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0.12056737588652482</v>
      </c>
      <c r="F55">
        <v>6.412850999241082E-2</v>
      </c>
      <c r="G55" s="1">
        <f t="shared" si="1"/>
        <v>0.12056737588652482</v>
      </c>
      <c r="H55" s="1" t="str">
        <f t="shared" si="2"/>
        <v/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0.16312056737588654</v>
      </c>
      <c r="F56">
        <v>7.9306855552744748E-2</v>
      </c>
      <c r="G56" s="1">
        <f t="shared" si="1"/>
        <v>0.16312056737588654</v>
      </c>
      <c r="H56" s="1" t="str">
        <f t="shared" si="2"/>
        <v/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0.24822695035460993</v>
      </c>
      <c r="F57">
        <v>0.10688084998735138</v>
      </c>
      <c r="G57" s="1">
        <f t="shared" si="1"/>
        <v>0.24822695035460993</v>
      </c>
      <c r="H57" s="1" t="str">
        <f t="shared" si="2"/>
        <v/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0.26950354609929078</v>
      </c>
      <c r="F58">
        <v>0.11143435365545155</v>
      </c>
      <c r="G58" s="1">
        <f t="shared" si="1"/>
        <v>0.26950354609929078</v>
      </c>
      <c r="H58" s="1" t="str">
        <f t="shared" si="2"/>
        <v/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0.29078014184397161</v>
      </c>
      <c r="F59">
        <v>0.11231975714647104</v>
      </c>
      <c r="G59" s="1">
        <f t="shared" si="1"/>
        <v>0.29078014184397161</v>
      </c>
      <c r="H59" s="1" t="str">
        <f t="shared" si="2"/>
        <v/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0.31205673758865249</v>
      </c>
      <c r="F60">
        <v>0.11345813306349607</v>
      </c>
      <c r="G60" s="1">
        <f t="shared" si="1"/>
        <v>0.31205673758865249</v>
      </c>
      <c r="H60" s="1" t="str">
        <f t="shared" si="2"/>
        <v/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0.33333333333333331</v>
      </c>
      <c r="F61">
        <v>0.11421705034151278</v>
      </c>
      <c r="G61" s="1">
        <f t="shared" si="1"/>
        <v>0.33333333333333331</v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0.36170212765957449</v>
      </c>
      <c r="F62">
        <v>0.11851758158360738</v>
      </c>
      <c r="G62" s="1">
        <f t="shared" si="1"/>
        <v>0.36170212765957449</v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0.36170212765957449</v>
      </c>
      <c r="F63">
        <v>0.11940298507462686</v>
      </c>
      <c r="G63" s="1">
        <f t="shared" si="1"/>
        <v>0.36170212765957449</v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0.36170212765957449</v>
      </c>
      <c r="F64">
        <v>0.12180622312167974</v>
      </c>
      <c r="G64" s="1">
        <f t="shared" si="1"/>
        <v>0.36170212765957449</v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0.36170212765957449</v>
      </c>
      <c r="F65">
        <v>0.12332405767771312</v>
      </c>
      <c r="G65" s="1">
        <f t="shared" si="1"/>
        <v>0.36170212765957449</v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0.36170212765957449</v>
      </c>
      <c r="F66">
        <v>0.12585378193776878</v>
      </c>
      <c r="G66" s="1">
        <f t="shared" si="1"/>
        <v>0.36170212765957449</v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18">CONCATENATE(A67, "_",B67,"_")</f>
        <v>test.Base64_18_</v>
      </c>
      <c r="D67">
        <v>15</v>
      </c>
      <c r="E67">
        <v>0.36170212765957449</v>
      </c>
      <c r="F67">
        <v>0.12598026815077157</v>
      </c>
      <c r="G67" s="1">
        <f t="shared" ref="G67:G130" si="19">IF($F67 &lt;= 0.2,$E67,"")</f>
        <v>0.36170212765957449</v>
      </c>
      <c r="H67" s="1" t="str">
        <f t="shared" ref="H67:H130" si="20">IF(AND($F67 &gt; 0.2,$F67 &lt;= 0.4),$E67,"")</f>
        <v/>
      </c>
      <c r="I67" s="1" t="str">
        <f t="shared" ref="I67:I130" si="21">IF(AND($F67 &gt; 0.4,$F67 &lt;= 0.6),$E67,"")</f>
        <v/>
      </c>
      <c r="J67" s="1" t="str">
        <f t="shared" ref="J67:J130" si="22">IF(AND($F67 &gt; 0.6,$F67 &lt;= 0.8),$E67,"")</f>
        <v/>
      </c>
      <c r="K67" s="1" t="str">
        <f t="shared" ref="K67:K130" si="23">IF(AND($F67 &gt; 0.8, $F67 &lt;=1.1),$E67,"")</f>
        <v/>
      </c>
      <c r="L67" s="1" t="str">
        <f t="shared" ref="L67:L130" si="24">IF(AND($F67 &gt; 1.1),$E67,"")</f>
        <v/>
      </c>
    </row>
    <row r="68" spans="1:12">
      <c r="A68" t="s">
        <v>32</v>
      </c>
      <c r="B68">
        <v>18</v>
      </c>
      <c r="C68" t="str">
        <f t="shared" si="18"/>
        <v>test.Base64_18_</v>
      </c>
      <c r="D68">
        <v>16</v>
      </c>
      <c r="E68">
        <v>0.36170212765957449</v>
      </c>
      <c r="F68">
        <v>0.12737161649380219</v>
      </c>
      <c r="G68" s="1">
        <f t="shared" si="19"/>
        <v>0.36170212765957449</v>
      </c>
      <c r="H68" s="1" t="str">
        <f t="shared" si="20"/>
        <v/>
      </c>
      <c r="I68" s="1" t="str">
        <f t="shared" si="21"/>
        <v/>
      </c>
      <c r="J68" s="1" t="str">
        <f t="shared" si="22"/>
        <v/>
      </c>
      <c r="K68" s="1" t="str">
        <f t="shared" si="23"/>
        <v/>
      </c>
      <c r="L68" s="1" t="str">
        <f t="shared" si="24"/>
        <v/>
      </c>
    </row>
    <row r="69" spans="1:12">
      <c r="A69" t="s">
        <v>32</v>
      </c>
      <c r="B69">
        <v>18</v>
      </c>
      <c r="C69" t="str">
        <f t="shared" si="18"/>
        <v>test.Base64_18_</v>
      </c>
      <c r="D69">
        <v>17</v>
      </c>
      <c r="E69">
        <v>0.36170212765957449</v>
      </c>
      <c r="F69">
        <v>0.12762458891980774</v>
      </c>
      <c r="G69" s="1">
        <f t="shared" si="19"/>
        <v>0.36170212765957449</v>
      </c>
      <c r="H69" s="1" t="str">
        <f t="shared" si="20"/>
        <v/>
      </c>
      <c r="I69" s="1" t="str">
        <f t="shared" si="21"/>
        <v/>
      </c>
      <c r="J69" s="1" t="str">
        <f t="shared" si="22"/>
        <v/>
      </c>
      <c r="K69" s="1" t="str">
        <f t="shared" si="23"/>
        <v/>
      </c>
      <c r="L69" s="1" t="str">
        <f t="shared" si="24"/>
        <v/>
      </c>
    </row>
    <row r="70" spans="1:12">
      <c r="A70" t="s">
        <v>32</v>
      </c>
      <c r="B70">
        <v>18</v>
      </c>
      <c r="C70" t="str">
        <f t="shared" si="18"/>
        <v>test.Base64_18_</v>
      </c>
      <c r="D70">
        <v>18</v>
      </c>
      <c r="E70">
        <v>0.36170212765957449</v>
      </c>
      <c r="F70">
        <v>0.1359726789779914</v>
      </c>
      <c r="G70" s="1">
        <f t="shared" si="19"/>
        <v>0.36170212765957449</v>
      </c>
      <c r="H70" s="1" t="str">
        <f t="shared" si="20"/>
        <v/>
      </c>
      <c r="I70" s="1" t="str">
        <f t="shared" si="21"/>
        <v/>
      </c>
      <c r="J70" s="1" t="str">
        <f t="shared" si="22"/>
        <v/>
      </c>
      <c r="K70" s="1" t="str">
        <f t="shared" si="23"/>
        <v/>
      </c>
      <c r="L70" s="1" t="str">
        <f t="shared" si="24"/>
        <v/>
      </c>
    </row>
    <row r="71" spans="1:12">
      <c r="A71" t="s">
        <v>32</v>
      </c>
      <c r="B71">
        <v>18</v>
      </c>
      <c r="C71" t="str">
        <f t="shared" si="18"/>
        <v>test.Base64_18_</v>
      </c>
      <c r="D71">
        <v>19</v>
      </c>
      <c r="E71">
        <v>0.46099290780141844</v>
      </c>
      <c r="F71">
        <v>0.16531748039463698</v>
      </c>
      <c r="G71" s="1">
        <f t="shared" si="19"/>
        <v>0.46099290780141844</v>
      </c>
      <c r="H71" s="1" t="str">
        <f t="shared" si="20"/>
        <v/>
      </c>
      <c r="I71" s="1" t="str">
        <f t="shared" si="21"/>
        <v/>
      </c>
      <c r="J71" s="1" t="str">
        <f t="shared" si="22"/>
        <v/>
      </c>
      <c r="K71" s="1" t="str">
        <f t="shared" si="23"/>
        <v/>
      </c>
      <c r="L71" s="1" t="str">
        <f t="shared" si="24"/>
        <v/>
      </c>
    </row>
    <row r="72" spans="1:12">
      <c r="A72" t="s">
        <v>32</v>
      </c>
      <c r="B72">
        <v>18</v>
      </c>
      <c r="C72" t="str">
        <f t="shared" si="18"/>
        <v>test.Base64_18_</v>
      </c>
      <c r="D72">
        <v>20</v>
      </c>
      <c r="E72">
        <v>0.46099290780141844</v>
      </c>
      <c r="F72">
        <v>0.17404502909182898</v>
      </c>
      <c r="G72" s="1">
        <f t="shared" si="19"/>
        <v>0.46099290780141844</v>
      </c>
      <c r="H72" s="1" t="str">
        <f t="shared" si="20"/>
        <v/>
      </c>
      <c r="I72" s="1" t="str">
        <f t="shared" si="21"/>
        <v/>
      </c>
      <c r="J72" s="1" t="str">
        <f t="shared" si="22"/>
        <v/>
      </c>
      <c r="K72" s="1" t="str">
        <f t="shared" si="23"/>
        <v/>
      </c>
      <c r="L72" s="1" t="str">
        <f t="shared" si="24"/>
        <v/>
      </c>
    </row>
    <row r="73" spans="1:12">
      <c r="A73" t="s">
        <v>32</v>
      </c>
      <c r="B73">
        <v>18</v>
      </c>
      <c r="C73" t="str">
        <f t="shared" si="18"/>
        <v>test.Base64_18_</v>
      </c>
      <c r="D73">
        <v>21</v>
      </c>
      <c r="E73">
        <v>0.5957446808510638</v>
      </c>
      <c r="F73">
        <v>0.17530989122185681</v>
      </c>
      <c r="G73" s="1">
        <f t="shared" si="19"/>
        <v>0.5957446808510638</v>
      </c>
      <c r="H73" s="1" t="str">
        <f t="shared" si="20"/>
        <v/>
      </c>
      <c r="I73" s="1" t="str">
        <f t="shared" si="21"/>
        <v/>
      </c>
      <c r="J73" s="1" t="str">
        <f t="shared" si="22"/>
        <v/>
      </c>
      <c r="K73" s="1" t="str">
        <f t="shared" si="23"/>
        <v/>
      </c>
      <c r="L73" s="1" t="str">
        <f t="shared" si="24"/>
        <v/>
      </c>
    </row>
    <row r="74" spans="1:12">
      <c r="A74" t="s">
        <v>32</v>
      </c>
      <c r="B74">
        <v>18</v>
      </c>
      <c r="C74" t="str">
        <f t="shared" si="18"/>
        <v>test.Base64_18_</v>
      </c>
      <c r="D74">
        <v>22</v>
      </c>
      <c r="E74">
        <v>0.63120567375886527</v>
      </c>
      <c r="F74">
        <v>0.17935745003794587</v>
      </c>
      <c r="G74" s="1">
        <f t="shared" si="19"/>
        <v>0.63120567375886527</v>
      </c>
      <c r="H74" s="1" t="str">
        <f t="shared" si="20"/>
        <v/>
      </c>
      <c r="I74" s="1" t="str">
        <f t="shared" si="21"/>
        <v/>
      </c>
      <c r="J74" s="1" t="str">
        <f t="shared" si="22"/>
        <v/>
      </c>
      <c r="K74" s="1" t="str">
        <f t="shared" si="23"/>
        <v/>
      </c>
      <c r="L74" s="1" t="str">
        <f t="shared" si="24"/>
        <v/>
      </c>
    </row>
    <row r="75" spans="1:12">
      <c r="A75" t="s">
        <v>32</v>
      </c>
      <c r="B75">
        <v>18</v>
      </c>
      <c r="C75" t="str">
        <f t="shared" si="18"/>
        <v>test.Base64_18_</v>
      </c>
      <c r="D75">
        <v>23</v>
      </c>
      <c r="E75">
        <v>0.63120567375886527</v>
      </c>
      <c r="F75">
        <v>0.18340500885403491</v>
      </c>
      <c r="G75" s="1">
        <f t="shared" si="19"/>
        <v>0.63120567375886527</v>
      </c>
      <c r="H75" s="1" t="str">
        <f t="shared" si="20"/>
        <v/>
      </c>
      <c r="I75" s="1" t="str">
        <f t="shared" si="21"/>
        <v/>
      </c>
      <c r="J75" s="1" t="str">
        <f t="shared" si="22"/>
        <v/>
      </c>
      <c r="K75" s="1" t="str">
        <f t="shared" si="23"/>
        <v/>
      </c>
      <c r="L75" s="1" t="str">
        <f t="shared" si="24"/>
        <v/>
      </c>
    </row>
    <row r="76" spans="1:12">
      <c r="A76" t="s">
        <v>32</v>
      </c>
      <c r="B76">
        <v>18</v>
      </c>
      <c r="C76" t="str">
        <f t="shared" si="18"/>
        <v>test.Base64_18_</v>
      </c>
      <c r="D76">
        <v>24</v>
      </c>
      <c r="E76">
        <v>0.63120567375886527</v>
      </c>
      <c r="F76">
        <v>0.18757905388312673</v>
      </c>
      <c r="G76" s="1">
        <f t="shared" si="19"/>
        <v>0.63120567375886527</v>
      </c>
      <c r="H76" s="1" t="str">
        <f t="shared" si="20"/>
        <v/>
      </c>
      <c r="I76" s="1" t="str">
        <f t="shared" si="21"/>
        <v/>
      </c>
      <c r="J76" s="1" t="str">
        <f t="shared" si="22"/>
        <v/>
      </c>
      <c r="K76" s="1" t="str">
        <f t="shared" si="23"/>
        <v/>
      </c>
      <c r="L76" s="1" t="str">
        <f t="shared" si="24"/>
        <v/>
      </c>
    </row>
    <row r="77" spans="1:12">
      <c r="A77" t="s">
        <v>32</v>
      </c>
      <c r="B77">
        <v>18</v>
      </c>
      <c r="C77" t="str">
        <f t="shared" si="18"/>
        <v>test.Base64_18_</v>
      </c>
      <c r="D77">
        <v>25</v>
      </c>
      <c r="E77">
        <v>0.72340425531914898</v>
      </c>
      <c r="F77">
        <v>0.19010877814318239</v>
      </c>
      <c r="G77" s="1">
        <f t="shared" si="19"/>
        <v>0.72340425531914898</v>
      </c>
      <c r="H77" s="1" t="str">
        <f t="shared" si="20"/>
        <v/>
      </c>
      <c r="I77" s="1" t="str">
        <f t="shared" si="21"/>
        <v/>
      </c>
      <c r="J77" s="1" t="str">
        <f t="shared" si="22"/>
        <v/>
      </c>
      <c r="K77" s="1" t="str">
        <f t="shared" si="23"/>
        <v/>
      </c>
      <c r="L77" s="1" t="str">
        <f t="shared" si="24"/>
        <v/>
      </c>
    </row>
    <row r="78" spans="1:12">
      <c r="A78" t="s">
        <v>32</v>
      </c>
      <c r="B78">
        <v>18</v>
      </c>
      <c r="C78" t="str">
        <f t="shared" si="18"/>
        <v>test.Base64_18_</v>
      </c>
      <c r="D78">
        <v>26</v>
      </c>
      <c r="E78">
        <v>0.72340425531914898</v>
      </c>
      <c r="F78">
        <v>0.19023526435618518</v>
      </c>
      <c r="G78" s="1">
        <f t="shared" si="19"/>
        <v>0.72340425531914898</v>
      </c>
      <c r="H78" s="1" t="str">
        <f t="shared" si="20"/>
        <v/>
      </c>
      <c r="I78" s="1" t="str">
        <f t="shared" si="21"/>
        <v/>
      </c>
      <c r="J78" s="1" t="str">
        <f t="shared" si="22"/>
        <v/>
      </c>
      <c r="K78" s="1" t="str">
        <f t="shared" si="23"/>
        <v/>
      </c>
      <c r="L78" s="1" t="str">
        <f t="shared" si="24"/>
        <v/>
      </c>
    </row>
    <row r="79" spans="1:12">
      <c r="A79" t="s">
        <v>32</v>
      </c>
      <c r="B79">
        <v>18</v>
      </c>
      <c r="C79" t="str">
        <f t="shared" si="18"/>
        <v>test.Base64_18_</v>
      </c>
      <c r="D79">
        <v>27</v>
      </c>
      <c r="E79">
        <v>0.72340425531914898</v>
      </c>
      <c r="F79">
        <v>0.19061472299519353</v>
      </c>
      <c r="G79" s="1">
        <f t="shared" si="19"/>
        <v>0.72340425531914898</v>
      </c>
      <c r="H79" s="1" t="str">
        <f t="shared" si="20"/>
        <v/>
      </c>
      <c r="I79" s="1" t="str">
        <f t="shared" si="21"/>
        <v/>
      </c>
      <c r="J79" s="1" t="str">
        <f t="shared" si="22"/>
        <v/>
      </c>
      <c r="K79" s="1" t="str">
        <f t="shared" si="23"/>
        <v/>
      </c>
      <c r="L79" s="1" t="str">
        <f t="shared" si="24"/>
        <v/>
      </c>
    </row>
    <row r="80" spans="1:12">
      <c r="A80" t="s">
        <v>32</v>
      </c>
      <c r="B80">
        <v>18</v>
      </c>
      <c r="C80" t="str">
        <f t="shared" si="18"/>
        <v>test.Base64_18_</v>
      </c>
      <c r="D80">
        <v>28</v>
      </c>
      <c r="E80">
        <v>0.75886524822695034</v>
      </c>
      <c r="F80">
        <v>0.19352390589425753</v>
      </c>
      <c r="G80" s="1">
        <f t="shared" si="19"/>
        <v>0.75886524822695034</v>
      </c>
      <c r="H80" s="1" t="str">
        <f t="shared" si="20"/>
        <v/>
      </c>
      <c r="I80" s="1" t="str">
        <f t="shared" si="21"/>
        <v/>
      </c>
      <c r="J80" s="1" t="str">
        <f t="shared" si="22"/>
        <v/>
      </c>
      <c r="K80" s="1" t="str">
        <f t="shared" si="23"/>
        <v/>
      </c>
      <c r="L80" s="1" t="str">
        <f t="shared" si="24"/>
        <v/>
      </c>
    </row>
    <row r="81" spans="1:12">
      <c r="A81" t="s">
        <v>32</v>
      </c>
      <c r="B81">
        <v>18</v>
      </c>
      <c r="C81" t="str">
        <f t="shared" si="18"/>
        <v>test.Base64_18_</v>
      </c>
      <c r="D81">
        <v>29</v>
      </c>
      <c r="E81">
        <v>0.75886524822695034</v>
      </c>
      <c r="F81">
        <v>0.19959524411839111</v>
      </c>
      <c r="G81" s="1">
        <f t="shared" si="19"/>
        <v>0.75886524822695034</v>
      </c>
      <c r="H81" s="1" t="str">
        <f t="shared" si="20"/>
        <v/>
      </c>
      <c r="I81" s="1" t="str">
        <f t="shared" si="21"/>
        <v/>
      </c>
      <c r="J81" s="1" t="str">
        <f t="shared" si="22"/>
        <v/>
      </c>
      <c r="K81" s="1" t="str">
        <f t="shared" si="23"/>
        <v/>
      </c>
      <c r="L81" s="1" t="str">
        <f t="shared" si="24"/>
        <v/>
      </c>
    </row>
    <row r="82" spans="1:12">
      <c r="A82" t="s">
        <v>32</v>
      </c>
      <c r="B82">
        <v>18</v>
      </c>
      <c r="C82" t="str">
        <f t="shared" si="18"/>
        <v>test.Base64_18_</v>
      </c>
      <c r="D82">
        <v>30</v>
      </c>
      <c r="E82">
        <v>0.75886524822695034</v>
      </c>
      <c r="F82">
        <v>0.20010118897040222</v>
      </c>
      <c r="G82" s="1" t="str">
        <f t="shared" si="19"/>
        <v/>
      </c>
      <c r="H82" s="1">
        <f t="shared" si="20"/>
        <v>0.75886524822695034</v>
      </c>
      <c r="I82" s="1" t="str">
        <f t="shared" si="21"/>
        <v/>
      </c>
      <c r="J82" s="1" t="str">
        <f t="shared" si="22"/>
        <v/>
      </c>
      <c r="K82" s="1" t="str">
        <f t="shared" si="23"/>
        <v/>
      </c>
      <c r="L82" s="1" t="str">
        <f t="shared" si="24"/>
        <v/>
      </c>
    </row>
    <row r="83" spans="1:12">
      <c r="A83" t="s">
        <v>32</v>
      </c>
      <c r="B83">
        <v>18</v>
      </c>
      <c r="C83" t="str">
        <f t="shared" si="18"/>
        <v>test.Base64_18_</v>
      </c>
      <c r="D83">
        <v>31</v>
      </c>
      <c r="E83">
        <v>0.75886524822695034</v>
      </c>
      <c r="F83">
        <v>0.2003541613964078</v>
      </c>
      <c r="G83" s="1" t="str">
        <f t="shared" si="19"/>
        <v/>
      </c>
      <c r="H83" s="1">
        <f t="shared" si="20"/>
        <v>0.75886524822695034</v>
      </c>
      <c r="I83" s="1" t="str">
        <f t="shared" si="21"/>
        <v/>
      </c>
      <c r="J83" s="1" t="str">
        <f t="shared" si="22"/>
        <v/>
      </c>
      <c r="K83" s="1" t="str">
        <f t="shared" si="23"/>
        <v/>
      </c>
      <c r="L83" s="1" t="str">
        <f t="shared" si="24"/>
        <v/>
      </c>
    </row>
    <row r="84" spans="1:12">
      <c r="A84" t="s">
        <v>32</v>
      </c>
      <c r="B84">
        <v>18</v>
      </c>
      <c r="C84" t="str">
        <f t="shared" si="18"/>
        <v>test.Base64_18_</v>
      </c>
      <c r="D84">
        <v>32</v>
      </c>
      <c r="E84">
        <v>0.75886524822695034</v>
      </c>
      <c r="F84">
        <v>0.20212496837844676</v>
      </c>
      <c r="G84" s="1" t="str">
        <f t="shared" si="19"/>
        <v/>
      </c>
      <c r="H84" s="1">
        <f t="shared" si="20"/>
        <v>0.75886524822695034</v>
      </c>
      <c r="I84" s="1" t="str">
        <f t="shared" si="21"/>
        <v/>
      </c>
      <c r="J84" s="1" t="str">
        <f t="shared" si="22"/>
        <v/>
      </c>
      <c r="K84" s="1" t="str">
        <f t="shared" si="23"/>
        <v/>
      </c>
      <c r="L84" s="1" t="str">
        <f t="shared" si="24"/>
        <v/>
      </c>
    </row>
    <row r="85" spans="1:12">
      <c r="A85" t="s">
        <v>32</v>
      </c>
      <c r="B85">
        <v>18</v>
      </c>
      <c r="C85" t="str">
        <f t="shared" si="18"/>
        <v>test.Base64_18_</v>
      </c>
      <c r="D85">
        <v>33</v>
      </c>
      <c r="E85">
        <v>0.75886524822695034</v>
      </c>
      <c r="F85">
        <v>0.20351631672147735</v>
      </c>
      <c r="G85" s="1" t="str">
        <f t="shared" si="19"/>
        <v/>
      </c>
      <c r="H85" s="1">
        <f t="shared" si="20"/>
        <v>0.75886524822695034</v>
      </c>
      <c r="I85" s="1" t="str">
        <f t="shared" si="21"/>
        <v/>
      </c>
      <c r="J85" s="1" t="str">
        <f t="shared" si="22"/>
        <v/>
      </c>
      <c r="K85" s="1" t="str">
        <f t="shared" si="23"/>
        <v/>
      </c>
      <c r="L85" s="1" t="str">
        <f t="shared" si="24"/>
        <v/>
      </c>
    </row>
    <row r="86" spans="1:12">
      <c r="A86" t="s">
        <v>32</v>
      </c>
      <c r="B86">
        <v>18</v>
      </c>
      <c r="C86" t="str">
        <f t="shared" si="18"/>
        <v>test.Base64_18_</v>
      </c>
      <c r="D86">
        <v>34</v>
      </c>
      <c r="E86">
        <v>0.75886524822695034</v>
      </c>
      <c r="F86">
        <v>0.20516063749051353</v>
      </c>
      <c r="G86" s="1" t="str">
        <f t="shared" si="19"/>
        <v/>
      </c>
      <c r="H86" s="1">
        <f t="shared" si="20"/>
        <v>0.75886524822695034</v>
      </c>
      <c r="I86" s="1" t="str">
        <f t="shared" si="21"/>
        <v/>
      </c>
      <c r="J86" s="1" t="str">
        <f t="shared" si="22"/>
        <v/>
      </c>
      <c r="K86" s="1" t="str">
        <f t="shared" si="23"/>
        <v/>
      </c>
      <c r="L86" s="1" t="str">
        <f t="shared" si="24"/>
        <v/>
      </c>
    </row>
    <row r="87" spans="1:12">
      <c r="A87" t="s">
        <v>32</v>
      </c>
      <c r="B87">
        <v>18</v>
      </c>
      <c r="C87" t="str">
        <f t="shared" si="18"/>
        <v>test.Base64_18_</v>
      </c>
      <c r="D87">
        <v>35</v>
      </c>
      <c r="E87">
        <v>0.75886524822695034</v>
      </c>
      <c r="F87">
        <v>0.21262332405767773</v>
      </c>
      <c r="G87" s="1" t="str">
        <f t="shared" si="19"/>
        <v/>
      </c>
      <c r="H87" s="1">
        <f t="shared" si="20"/>
        <v>0.75886524822695034</v>
      </c>
      <c r="I87" s="1" t="str">
        <f t="shared" si="21"/>
        <v/>
      </c>
      <c r="J87" s="1" t="str">
        <f t="shared" si="22"/>
        <v/>
      </c>
      <c r="K87" s="1" t="str">
        <f t="shared" si="23"/>
        <v/>
      </c>
      <c r="L87" s="1" t="str">
        <f t="shared" si="24"/>
        <v/>
      </c>
    </row>
    <row r="88" spans="1:12">
      <c r="A88" t="s">
        <v>32</v>
      </c>
      <c r="B88">
        <v>18</v>
      </c>
      <c r="C88" t="str">
        <f t="shared" si="18"/>
        <v>test.Base64_18_</v>
      </c>
      <c r="D88">
        <v>36</v>
      </c>
      <c r="E88">
        <v>0.75886524822695034</v>
      </c>
      <c r="F88">
        <v>0.21350872754869718</v>
      </c>
      <c r="G88" s="1" t="str">
        <f t="shared" si="19"/>
        <v/>
      </c>
      <c r="H88" s="1">
        <f t="shared" si="20"/>
        <v>0.75886524822695034</v>
      </c>
      <c r="I88" s="1" t="str">
        <f t="shared" si="21"/>
        <v/>
      </c>
      <c r="J88" s="1" t="str">
        <f t="shared" si="22"/>
        <v/>
      </c>
      <c r="K88" s="1" t="str">
        <f t="shared" si="23"/>
        <v/>
      </c>
      <c r="L88" s="1" t="str">
        <f t="shared" si="24"/>
        <v/>
      </c>
    </row>
    <row r="89" spans="1:12">
      <c r="A89" t="s">
        <v>32</v>
      </c>
      <c r="B89">
        <v>18</v>
      </c>
      <c r="C89" t="str">
        <f t="shared" si="18"/>
        <v>test.Base64_18_</v>
      </c>
      <c r="D89">
        <v>37</v>
      </c>
      <c r="E89">
        <v>0.75886524822695034</v>
      </c>
      <c r="F89">
        <v>0.22350113837591704</v>
      </c>
      <c r="G89" s="1" t="str">
        <f t="shared" si="19"/>
        <v/>
      </c>
      <c r="H89" s="1">
        <f t="shared" si="20"/>
        <v>0.75886524822695034</v>
      </c>
      <c r="I89" s="1" t="str">
        <f t="shared" si="21"/>
        <v/>
      </c>
      <c r="J89" s="1" t="str">
        <f t="shared" si="22"/>
        <v/>
      </c>
      <c r="K89" s="1" t="str">
        <f t="shared" si="23"/>
        <v/>
      </c>
      <c r="L89" s="1" t="str">
        <f t="shared" si="24"/>
        <v/>
      </c>
    </row>
    <row r="90" spans="1:12">
      <c r="A90" t="s">
        <v>32</v>
      </c>
      <c r="B90">
        <v>18</v>
      </c>
      <c r="C90" t="str">
        <f t="shared" si="18"/>
        <v>test.Base64_18_</v>
      </c>
      <c r="D90">
        <v>38</v>
      </c>
      <c r="E90">
        <v>0.75886524822695034</v>
      </c>
      <c r="F90">
        <v>0.22489248671894763</v>
      </c>
      <c r="G90" s="1" t="str">
        <f t="shared" si="19"/>
        <v/>
      </c>
      <c r="H90" s="1">
        <f t="shared" si="20"/>
        <v>0.75886524822695034</v>
      </c>
      <c r="I90" s="1" t="str">
        <f t="shared" si="21"/>
        <v/>
      </c>
      <c r="J90" s="1" t="str">
        <f t="shared" si="22"/>
        <v/>
      </c>
      <c r="K90" s="1" t="str">
        <f t="shared" si="23"/>
        <v/>
      </c>
      <c r="L90" s="1" t="str">
        <f t="shared" si="24"/>
        <v/>
      </c>
    </row>
    <row r="91" spans="1:12">
      <c r="A91" t="s">
        <v>32</v>
      </c>
      <c r="B91">
        <v>18</v>
      </c>
      <c r="C91" t="str">
        <f t="shared" si="18"/>
        <v>test.Base64_18_</v>
      </c>
      <c r="D91">
        <v>39</v>
      </c>
      <c r="E91">
        <v>0.75886524822695034</v>
      </c>
      <c r="F91">
        <v>0.22615734884897545</v>
      </c>
      <c r="G91" s="1" t="str">
        <f t="shared" si="19"/>
        <v/>
      </c>
      <c r="H91" s="1">
        <f t="shared" si="20"/>
        <v>0.75886524822695034</v>
      </c>
      <c r="I91" s="1" t="str">
        <f t="shared" si="21"/>
        <v/>
      </c>
      <c r="J91" s="1" t="str">
        <f t="shared" si="22"/>
        <v/>
      </c>
      <c r="K91" s="1" t="str">
        <f t="shared" si="23"/>
        <v/>
      </c>
      <c r="L91" s="1" t="str">
        <f t="shared" si="24"/>
        <v/>
      </c>
    </row>
    <row r="92" spans="1:12">
      <c r="A92" t="s">
        <v>32</v>
      </c>
      <c r="B92">
        <v>18</v>
      </c>
      <c r="C92" t="str">
        <f t="shared" si="18"/>
        <v>test.Base64_18_</v>
      </c>
      <c r="D92">
        <v>40</v>
      </c>
      <c r="E92">
        <v>1</v>
      </c>
      <c r="F92">
        <v>0.90298507462686572</v>
      </c>
      <c r="G92" s="1" t="str">
        <f t="shared" si="19"/>
        <v/>
      </c>
      <c r="H92" s="1" t="str">
        <f t="shared" si="20"/>
        <v/>
      </c>
      <c r="I92" s="1" t="str">
        <f t="shared" si="21"/>
        <v/>
      </c>
      <c r="J92" s="1" t="str">
        <f t="shared" si="22"/>
        <v/>
      </c>
      <c r="K92" s="1">
        <f t="shared" si="23"/>
        <v>1</v>
      </c>
      <c r="L92" s="1" t="str">
        <f t="shared" si="24"/>
        <v/>
      </c>
    </row>
    <row r="93" spans="1:12">
      <c r="A93" t="s">
        <v>32</v>
      </c>
      <c r="B93">
        <v>18</v>
      </c>
      <c r="C93" t="str">
        <f t="shared" si="18"/>
        <v>test.Base64_18_</v>
      </c>
      <c r="D93">
        <v>41</v>
      </c>
      <c r="E93">
        <v>1</v>
      </c>
      <c r="F93">
        <v>0.90918289906400207</v>
      </c>
      <c r="G93" s="1" t="str">
        <f t="shared" si="19"/>
        <v/>
      </c>
      <c r="H93" s="1" t="str">
        <f t="shared" si="20"/>
        <v/>
      </c>
      <c r="I93" s="1" t="str">
        <f t="shared" si="21"/>
        <v/>
      </c>
      <c r="J93" s="1" t="str">
        <f t="shared" si="22"/>
        <v/>
      </c>
      <c r="K93" s="1">
        <f t="shared" si="23"/>
        <v>1</v>
      </c>
      <c r="L93" s="1" t="str">
        <f t="shared" si="24"/>
        <v/>
      </c>
    </row>
    <row r="94" spans="1:12">
      <c r="A94" t="s">
        <v>32</v>
      </c>
      <c r="B94">
        <v>18</v>
      </c>
      <c r="C94" t="str">
        <f t="shared" si="18"/>
        <v>test.Base64_18_</v>
      </c>
      <c r="D94">
        <v>42</v>
      </c>
      <c r="E94">
        <v>1</v>
      </c>
      <c r="F94">
        <v>0.91209208196306601</v>
      </c>
      <c r="G94" s="1" t="str">
        <f t="shared" si="19"/>
        <v/>
      </c>
      <c r="H94" s="1" t="str">
        <f t="shared" si="20"/>
        <v/>
      </c>
      <c r="I94" s="1" t="str">
        <f t="shared" si="21"/>
        <v/>
      </c>
      <c r="J94" s="1" t="str">
        <f t="shared" si="22"/>
        <v/>
      </c>
      <c r="K94" s="1">
        <f t="shared" si="23"/>
        <v>1</v>
      </c>
      <c r="L94" s="1" t="str">
        <f t="shared" si="24"/>
        <v/>
      </c>
    </row>
    <row r="95" spans="1:12">
      <c r="A95" t="s">
        <v>32</v>
      </c>
      <c r="B95">
        <v>18</v>
      </c>
      <c r="C95" t="str">
        <f t="shared" si="18"/>
        <v>test.Base64_18_</v>
      </c>
      <c r="D95">
        <v>43</v>
      </c>
      <c r="E95">
        <v>1</v>
      </c>
      <c r="F95">
        <v>0.92802934480141663</v>
      </c>
      <c r="G95" s="1" t="str">
        <f t="shared" si="19"/>
        <v/>
      </c>
      <c r="H95" s="1" t="str">
        <f t="shared" si="20"/>
        <v/>
      </c>
      <c r="I95" s="1" t="str">
        <f t="shared" si="21"/>
        <v/>
      </c>
      <c r="J95" s="1" t="str">
        <f t="shared" si="22"/>
        <v/>
      </c>
      <c r="K95" s="1">
        <f t="shared" si="23"/>
        <v>1</v>
      </c>
      <c r="L95" s="1" t="str">
        <f t="shared" si="24"/>
        <v/>
      </c>
    </row>
    <row r="96" spans="1:12">
      <c r="A96" t="s">
        <v>32</v>
      </c>
      <c r="B96">
        <v>18</v>
      </c>
      <c r="C96" t="str">
        <f t="shared" si="18"/>
        <v>test.Base64_18_</v>
      </c>
      <c r="D96">
        <v>44</v>
      </c>
      <c r="E96">
        <v>1</v>
      </c>
      <c r="F96">
        <v>0.92980015178345565</v>
      </c>
      <c r="G96" s="1" t="str">
        <f t="shared" si="19"/>
        <v/>
      </c>
      <c r="H96" s="1" t="str">
        <f t="shared" si="20"/>
        <v/>
      </c>
      <c r="I96" s="1" t="str">
        <f t="shared" si="21"/>
        <v/>
      </c>
      <c r="J96" s="1" t="str">
        <f t="shared" si="22"/>
        <v/>
      </c>
      <c r="K96" s="1">
        <f t="shared" si="23"/>
        <v>1</v>
      </c>
      <c r="L96" s="1" t="str">
        <f t="shared" si="24"/>
        <v/>
      </c>
    </row>
    <row r="97" spans="1:12">
      <c r="A97" t="s">
        <v>32</v>
      </c>
      <c r="B97">
        <v>18</v>
      </c>
      <c r="C97" t="str">
        <f t="shared" si="18"/>
        <v>test.Base64_18_</v>
      </c>
      <c r="D97">
        <v>45</v>
      </c>
      <c r="E97">
        <v>1</v>
      </c>
      <c r="F97">
        <v>0.93195041740450291</v>
      </c>
      <c r="G97" s="1" t="str">
        <f t="shared" si="19"/>
        <v/>
      </c>
      <c r="H97" s="1" t="str">
        <f t="shared" si="20"/>
        <v/>
      </c>
      <c r="I97" s="1" t="str">
        <f t="shared" si="21"/>
        <v/>
      </c>
      <c r="J97" s="1" t="str">
        <f t="shared" si="22"/>
        <v/>
      </c>
      <c r="K97" s="1">
        <f t="shared" si="23"/>
        <v>1</v>
      </c>
      <c r="L97" s="1" t="str">
        <f t="shared" si="24"/>
        <v/>
      </c>
    </row>
    <row r="98" spans="1:12">
      <c r="A98" t="s">
        <v>32</v>
      </c>
      <c r="B98">
        <v>18</v>
      </c>
      <c r="C98" t="str">
        <f t="shared" si="18"/>
        <v>test.Base64_18_</v>
      </c>
      <c r="D98">
        <v>46</v>
      </c>
      <c r="E98">
        <v>1</v>
      </c>
      <c r="F98">
        <v>0.93308879332152794</v>
      </c>
      <c r="G98" s="1" t="str">
        <f t="shared" si="19"/>
        <v/>
      </c>
      <c r="H98" s="1" t="str">
        <f t="shared" si="20"/>
        <v/>
      </c>
      <c r="I98" s="1" t="str">
        <f t="shared" si="21"/>
        <v/>
      </c>
      <c r="J98" s="1" t="str">
        <f t="shared" si="22"/>
        <v/>
      </c>
      <c r="K98" s="1">
        <f t="shared" si="23"/>
        <v>1</v>
      </c>
      <c r="L98" s="1" t="str">
        <f t="shared" si="24"/>
        <v/>
      </c>
    </row>
    <row r="99" spans="1:12">
      <c r="A99" t="s">
        <v>32</v>
      </c>
      <c r="B99">
        <v>19</v>
      </c>
      <c r="C99" t="str">
        <f t="shared" si="18"/>
        <v>test.Base64_19_</v>
      </c>
      <c r="D99">
        <v>1</v>
      </c>
      <c r="E99">
        <v>2.3622047244094488E-2</v>
      </c>
      <c r="F99">
        <v>1.8052118212257971E-2</v>
      </c>
      <c r="G99" s="1">
        <f t="shared" si="19"/>
        <v>2.3622047244094488E-2</v>
      </c>
      <c r="H99" s="1" t="str">
        <f t="shared" si="20"/>
        <v/>
      </c>
      <c r="I99" s="1" t="str">
        <f t="shared" si="21"/>
        <v/>
      </c>
      <c r="J99" s="1" t="str">
        <f t="shared" si="22"/>
        <v/>
      </c>
      <c r="K99" s="1" t="str">
        <f t="shared" si="23"/>
        <v/>
      </c>
      <c r="L99" s="1" t="str">
        <f t="shared" si="24"/>
        <v/>
      </c>
    </row>
    <row r="100" spans="1:12">
      <c r="A100" t="s">
        <v>32</v>
      </c>
      <c r="B100">
        <v>19</v>
      </c>
      <c r="C100" t="str">
        <f t="shared" si="18"/>
        <v>test.Base64_19_</v>
      </c>
      <c r="D100">
        <v>2</v>
      </c>
      <c r="E100">
        <v>4.7244094488188976E-2</v>
      </c>
      <c r="F100">
        <v>3.1445625272965495E-2</v>
      </c>
      <c r="G100" s="1">
        <f t="shared" si="19"/>
        <v>4.7244094488188976E-2</v>
      </c>
      <c r="H100" s="1" t="str">
        <f t="shared" si="20"/>
        <v/>
      </c>
      <c r="I100" s="1" t="str">
        <f t="shared" si="21"/>
        <v/>
      </c>
      <c r="J100" s="1" t="str">
        <f t="shared" si="22"/>
        <v/>
      </c>
      <c r="K100" s="1" t="str">
        <f t="shared" si="23"/>
        <v/>
      </c>
      <c r="L100" s="1" t="str">
        <f t="shared" si="24"/>
        <v/>
      </c>
    </row>
    <row r="101" spans="1:12">
      <c r="A101" t="s">
        <v>32</v>
      </c>
      <c r="B101">
        <v>19</v>
      </c>
      <c r="C101" t="str">
        <f t="shared" si="18"/>
        <v>test.Base64_19_</v>
      </c>
      <c r="D101">
        <v>3</v>
      </c>
      <c r="E101">
        <v>0.68503937007874016</v>
      </c>
      <c r="F101">
        <v>0.25840733731256371</v>
      </c>
      <c r="G101" s="1" t="str">
        <f t="shared" si="19"/>
        <v/>
      </c>
      <c r="H101" s="1">
        <f t="shared" si="20"/>
        <v>0.68503937007874016</v>
      </c>
      <c r="I101" s="1" t="str">
        <f t="shared" si="21"/>
        <v/>
      </c>
      <c r="J101" s="1" t="str">
        <f t="shared" si="22"/>
        <v/>
      </c>
      <c r="K101" s="1" t="str">
        <f t="shared" si="23"/>
        <v/>
      </c>
      <c r="L101" s="1" t="str">
        <f t="shared" si="24"/>
        <v/>
      </c>
    </row>
    <row r="102" spans="1:12">
      <c r="A102" t="s">
        <v>32</v>
      </c>
      <c r="B102">
        <v>19</v>
      </c>
      <c r="C102" t="str">
        <f t="shared" si="18"/>
        <v>test.Base64_19_</v>
      </c>
      <c r="D102">
        <v>4</v>
      </c>
      <c r="E102">
        <v>0.72440944881889768</v>
      </c>
      <c r="F102">
        <v>0.27034502838841168</v>
      </c>
      <c r="G102" s="1" t="str">
        <f t="shared" si="19"/>
        <v/>
      </c>
      <c r="H102" s="1">
        <f t="shared" si="20"/>
        <v>0.72440944881889768</v>
      </c>
      <c r="I102" s="1" t="str">
        <f t="shared" si="21"/>
        <v/>
      </c>
      <c r="J102" s="1" t="str">
        <f t="shared" si="22"/>
        <v/>
      </c>
      <c r="K102" s="1" t="str">
        <f t="shared" si="23"/>
        <v/>
      </c>
      <c r="L102" s="1" t="str">
        <f t="shared" si="24"/>
        <v/>
      </c>
    </row>
    <row r="103" spans="1:12">
      <c r="A103" t="s">
        <v>32</v>
      </c>
      <c r="B103">
        <v>19</v>
      </c>
      <c r="C103" t="str">
        <f t="shared" si="18"/>
        <v>test.Base64_19_</v>
      </c>
      <c r="D103">
        <v>5</v>
      </c>
      <c r="E103">
        <v>0.73228346456692917</v>
      </c>
      <c r="F103">
        <v>0.7279079924297569</v>
      </c>
      <c r="G103" s="1" t="str">
        <f t="shared" si="19"/>
        <v/>
      </c>
      <c r="H103" s="1" t="str">
        <f t="shared" si="20"/>
        <v/>
      </c>
      <c r="I103" s="1" t="str">
        <f t="shared" si="21"/>
        <v/>
      </c>
      <c r="J103" s="1">
        <f t="shared" si="22"/>
        <v>0.73228346456692917</v>
      </c>
      <c r="K103" s="1" t="str">
        <f t="shared" si="23"/>
        <v/>
      </c>
      <c r="L103" s="1" t="str">
        <f t="shared" si="24"/>
        <v/>
      </c>
    </row>
    <row r="104" spans="1:12">
      <c r="A104" t="s">
        <v>32</v>
      </c>
      <c r="B104">
        <v>19</v>
      </c>
      <c r="C104" t="str">
        <f t="shared" si="18"/>
        <v>test.Base64_19_</v>
      </c>
      <c r="D104">
        <v>6</v>
      </c>
      <c r="E104">
        <v>0.98425196850393704</v>
      </c>
      <c r="F104">
        <v>0.87611005968845534</v>
      </c>
      <c r="G104" s="1" t="str">
        <f t="shared" si="19"/>
        <v/>
      </c>
      <c r="H104" s="1" t="str">
        <f t="shared" si="20"/>
        <v/>
      </c>
      <c r="I104" s="1" t="str">
        <f t="shared" si="21"/>
        <v/>
      </c>
      <c r="J104" s="1" t="str">
        <f t="shared" si="22"/>
        <v/>
      </c>
      <c r="K104" s="1">
        <f t="shared" si="23"/>
        <v>0.98425196850393704</v>
      </c>
      <c r="L104" s="1" t="str">
        <f t="shared" si="24"/>
        <v/>
      </c>
    </row>
    <row r="105" spans="1:12">
      <c r="A105" t="s">
        <v>32</v>
      </c>
      <c r="B105">
        <v>19</v>
      </c>
      <c r="C105" t="str">
        <f t="shared" si="18"/>
        <v>test.Base64_19_</v>
      </c>
      <c r="D105">
        <v>7</v>
      </c>
      <c r="E105">
        <v>0.99212598425196852</v>
      </c>
      <c r="F105">
        <v>0.89008589314310671</v>
      </c>
      <c r="G105" s="1" t="str">
        <f t="shared" si="19"/>
        <v/>
      </c>
      <c r="H105" s="1" t="str">
        <f t="shared" si="20"/>
        <v/>
      </c>
      <c r="I105" s="1" t="str">
        <f t="shared" si="21"/>
        <v/>
      </c>
      <c r="J105" s="1" t="str">
        <f t="shared" si="22"/>
        <v/>
      </c>
      <c r="K105" s="1">
        <f t="shared" si="23"/>
        <v>0.99212598425196852</v>
      </c>
      <c r="L105" s="1" t="str">
        <f t="shared" si="24"/>
        <v/>
      </c>
    </row>
    <row r="106" spans="1:12">
      <c r="A106" t="s">
        <v>32</v>
      </c>
      <c r="B106">
        <v>19</v>
      </c>
      <c r="C106" t="str">
        <f t="shared" si="18"/>
        <v>test.Base64_19_</v>
      </c>
      <c r="D106">
        <v>8</v>
      </c>
      <c r="E106">
        <v>1</v>
      </c>
      <c r="F106">
        <v>0.92313291599941771</v>
      </c>
      <c r="G106" s="1" t="str">
        <f t="shared" si="19"/>
        <v/>
      </c>
      <c r="H106" s="1" t="str">
        <f t="shared" si="20"/>
        <v/>
      </c>
      <c r="I106" s="1" t="str">
        <f t="shared" si="21"/>
        <v/>
      </c>
      <c r="J106" s="1" t="str">
        <f t="shared" si="22"/>
        <v/>
      </c>
      <c r="K106" s="1">
        <f t="shared" si="23"/>
        <v>1</v>
      </c>
      <c r="L106" s="1" t="str">
        <f t="shared" si="24"/>
        <v/>
      </c>
    </row>
    <row r="107" spans="1:12">
      <c r="A107" t="s">
        <v>32</v>
      </c>
      <c r="B107">
        <v>19</v>
      </c>
      <c r="C107" t="str">
        <f t="shared" si="18"/>
        <v>test.Base64_19_</v>
      </c>
      <c r="D107">
        <v>9</v>
      </c>
      <c r="E107">
        <v>1</v>
      </c>
      <c r="F107">
        <v>0.92604454796913671</v>
      </c>
      <c r="G107" s="1" t="str">
        <f t="shared" si="19"/>
        <v/>
      </c>
      <c r="H107" s="1" t="str">
        <f t="shared" si="20"/>
        <v/>
      </c>
      <c r="I107" s="1" t="str">
        <f t="shared" si="21"/>
        <v/>
      </c>
      <c r="J107" s="1" t="str">
        <f t="shared" si="22"/>
        <v/>
      </c>
      <c r="K107" s="1">
        <f t="shared" si="23"/>
        <v>1</v>
      </c>
      <c r="L107" s="1" t="str">
        <f t="shared" si="24"/>
        <v/>
      </c>
    </row>
    <row r="108" spans="1:12">
      <c r="A108" t="s">
        <v>32</v>
      </c>
      <c r="B108">
        <v>19</v>
      </c>
      <c r="C108" t="str">
        <f t="shared" si="18"/>
        <v>test.Base64_19_</v>
      </c>
      <c r="D108">
        <v>10</v>
      </c>
      <c r="E108">
        <v>1</v>
      </c>
      <c r="F108">
        <v>0.93172223031008883</v>
      </c>
      <c r="G108" s="1" t="str">
        <f t="shared" si="19"/>
        <v/>
      </c>
      <c r="H108" s="1" t="str">
        <f t="shared" si="20"/>
        <v/>
      </c>
      <c r="I108" s="1" t="str">
        <f t="shared" si="21"/>
        <v/>
      </c>
      <c r="J108" s="1" t="str">
        <f t="shared" si="22"/>
        <v/>
      </c>
      <c r="K108" s="1">
        <f t="shared" si="23"/>
        <v>1</v>
      </c>
      <c r="L108" s="1" t="str">
        <f t="shared" si="24"/>
        <v/>
      </c>
    </row>
    <row r="109" spans="1:12">
      <c r="A109" t="s">
        <v>32</v>
      </c>
      <c r="B109">
        <v>19</v>
      </c>
      <c r="C109" t="str">
        <f t="shared" si="18"/>
        <v>test.Base64_19_</v>
      </c>
      <c r="D109">
        <v>11</v>
      </c>
      <c r="E109">
        <v>1</v>
      </c>
      <c r="F109">
        <v>0.93201339350706069</v>
      </c>
      <c r="G109" s="1" t="str">
        <f t="shared" si="19"/>
        <v/>
      </c>
      <c r="H109" s="1" t="str">
        <f t="shared" si="20"/>
        <v/>
      </c>
      <c r="I109" s="1" t="str">
        <f t="shared" si="21"/>
        <v/>
      </c>
      <c r="J109" s="1" t="str">
        <f t="shared" si="22"/>
        <v/>
      </c>
      <c r="K109" s="1">
        <f t="shared" si="23"/>
        <v>1</v>
      </c>
      <c r="L109" s="1" t="str">
        <f t="shared" si="24"/>
        <v/>
      </c>
    </row>
    <row r="110" spans="1:12">
      <c r="A110" t="s">
        <v>32</v>
      </c>
      <c r="B110">
        <v>19</v>
      </c>
      <c r="C110" t="str">
        <f t="shared" si="18"/>
        <v>test.Base64_19_</v>
      </c>
      <c r="D110">
        <v>12</v>
      </c>
      <c r="E110">
        <v>1</v>
      </c>
      <c r="F110">
        <v>0.93608967826466738</v>
      </c>
      <c r="G110" s="1" t="str">
        <f t="shared" si="19"/>
        <v/>
      </c>
      <c r="H110" s="1" t="str">
        <f t="shared" si="20"/>
        <v/>
      </c>
      <c r="I110" s="1" t="str">
        <f t="shared" si="21"/>
        <v/>
      </c>
      <c r="J110" s="1" t="str">
        <f t="shared" si="22"/>
        <v/>
      </c>
      <c r="K110" s="1">
        <f t="shared" si="23"/>
        <v>1</v>
      </c>
      <c r="L110" s="1" t="str">
        <f t="shared" si="24"/>
        <v/>
      </c>
    </row>
    <row r="111" spans="1:12">
      <c r="A111" t="s">
        <v>32</v>
      </c>
      <c r="B111">
        <v>19</v>
      </c>
      <c r="C111" t="str">
        <f t="shared" si="18"/>
        <v>test.Base64_19_</v>
      </c>
      <c r="D111">
        <v>13</v>
      </c>
      <c r="E111">
        <v>1</v>
      </c>
      <c r="F111">
        <v>0.93667200465861111</v>
      </c>
      <c r="G111" s="1" t="str">
        <f t="shared" si="19"/>
        <v/>
      </c>
      <c r="H111" s="1" t="str">
        <f t="shared" si="20"/>
        <v/>
      </c>
      <c r="I111" s="1" t="str">
        <f t="shared" si="21"/>
        <v/>
      </c>
      <c r="J111" s="1" t="str">
        <f t="shared" si="22"/>
        <v/>
      </c>
      <c r="K111" s="1">
        <f t="shared" si="23"/>
        <v>1</v>
      </c>
      <c r="L111" s="1" t="str">
        <f t="shared" si="24"/>
        <v/>
      </c>
    </row>
    <row r="112" spans="1:12">
      <c r="A112" t="s">
        <v>32</v>
      </c>
      <c r="B112">
        <v>19</v>
      </c>
      <c r="C112" t="str">
        <f t="shared" si="18"/>
        <v>test.Base64_19_</v>
      </c>
      <c r="D112">
        <v>14</v>
      </c>
      <c r="E112">
        <v>1</v>
      </c>
      <c r="F112">
        <v>0.94249526859804922</v>
      </c>
      <c r="G112" s="1" t="str">
        <f t="shared" si="19"/>
        <v/>
      </c>
      <c r="H112" s="1" t="str">
        <f t="shared" si="20"/>
        <v/>
      </c>
      <c r="I112" s="1" t="str">
        <f t="shared" si="21"/>
        <v/>
      </c>
      <c r="J112" s="1" t="str">
        <f t="shared" si="22"/>
        <v/>
      </c>
      <c r="K112" s="1">
        <f t="shared" si="23"/>
        <v>1</v>
      </c>
      <c r="L112" s="1" t="str">
        <f t="shared" si="24"/>
        <v/>
      </c>
    </row>
    <row r="113" spans="1:12">
      <c r="A113" t="s">
        <v>32</v>
      </c>
      <c r="B113">
        <v>19</v>
      </c>
      <c r="C113" t="str">
        <f t="shared" si="18"/>
        <v>test.Base64_19_</v>
      </c>
      <c r="D113">
        <v>15</v>
      </c>
      <c r="E113">
        <v>1</v>
      </c>
      <c r="F113">
        <v>0.94293201339350707</v>
      </c>
      <c r="G113" s="1" t="str">
        <f t="shared" si="19"/>
        <v/>
      </c>
      <c r="H113" s="1" t="str">
        <f t="shared" si="20"/>
        <v/>
      </c>
      <c r="I113" s="1" t="str">
        <f t="shared" si="21"/>
        <v/>
      </c>
      <c r="J113" s="1" t="str">
        <f t="shared" si="22"/>
        <v/>
      </c>
      <c r="K113" s="1">
        <f t="shared" si="23"/>
        <v>1</v>
      </c>
      <c r="L113" s="1" t="str">
        <f t="shared" si="24"/>
        <v/>
      </c>
    </row>
    <row r="114" spans="1:12">
      <c r="A114" t="s">
        <v>32</v>
      </c>
      <c r="B114">
        <v>19</v>
      </c>
      <c r="C114" t="str">
        <f t="shared" si="18"/>
        <v>test.Base64_19_</v>
      </c>
      <c r="D114">
        <v>16</v>
      </c>
      <c r="E114">
        <v>1</v>
      </c>
      <c r="F114">
        <v>0.94424224777988064</v>
      </c>
      <c r="G114" s="1" t="str">
        <f t="shared" si="19"/>
        <v/>
      </c>
      <c r="H114" s="1" t="str">
        <f t="shared" si="20"/>
        <v/>
      </c>
      <c r="I114" s="1" t="str">
        <f t="shared" si="21"/>
        <v/>
      </c>
      <c r="J114" s="1" t="str">
        <f t="shared" si="22"/>
        <v/>
      </c>
      <c r="K114" s="1">
        <f t="shared" si="23"/>
        <v>1</v>
      </c>
      <c r="L114" s="1" t="str">
        <f t="shared" si="24"/>
        <v/>
      </c>
    </row>
    <row r="115" spans="1:12">
      <c r="A115" t="s">
        <v>32</v>
      </c>
      <c r="B115">
        <v>19</v>
      </c>
      <c r="C115" t="str">
        <f t="shared" si="18"/>
        <v>test.Base64_19_</v>
      </c>
      <c r="D115">
        <v>17</v>
      </c>
      <c r="E115">
        <v>1</v>
      </c>
      <c r="F115">
        <v>0.94511573737079635</v>
      </c>
      <c r="G115" s="1" t="str">
        <f t="shared" si="19"/>
        <v/>
      </c>
      <c r="H115" s="1" t="str">
        <f t="shared" si="20"/>
        <v/>
      </c>
      <c r="I115" s="1" t="str">
        <f t="shared" si="21"/>
        <v/>
      </c>
      <c r="J115" s="1" t="str">
        <f t="shared" si="22"/>
        <v/>
      </c>
      <c r="K115" s="1">
        <f t="shared" si="23"/>
        <v>1</v>
      </c>
      <c r="L115" s="1" t="str">
        <f t="shared" si="24"/>
        <v/>
      </c>
    </row>
    <row r="116" spans="1:12">
      <c r="A116" t="s">
        <v>32</v>
      </c>
      <c r="B116">
        <v>19</v>
      </c>
      <c r="C116" t="str">
        <f t="shared" si="18"/>
        <v>test.Base64_19_</v>
      </c>
      <c r="D116">
        <v>18</v>
      </c>
      <c r="E116">
        <v>1</v>
      </c>
      <c r="F116">
        <v>0.95792691803756003</v>
      </c>
      <c r="G116" s="1" t="str">
        <f t="shared" si="19"/>
        <v/>
      </c>
      <c r="H116" s="1" t="str">
        <f t="shared" si="20"/>
        <v/>
      </c>
      <c r="I116" s="1" t="str">
        <f t="shared" si="21"/>
        <v/>
      </c>
      <c r="J116" s="1" t="str">
        <f t="shared" si="22"/>
        <v/>
      </c>
      <c r="K116" s="1">
        <f t="shared" si="23"/>
        <v>1</v>
      </c>
      <c r="L116" s="1" t="str">
        <f t="shared" si="24"/>
        <v/>
      </c>
    </row>
    <row r="117" spans="1:12">
      <c r="A117" t="s">
        <v>32</v>
      </c>
      <c r="B117">
        <v>19</v>
      </c>
      <c r="C117" t="str">
        <f t="shared" si="18"/>
        <v>test.Base64_19_</v>
      </c>
      <c r="D117">
        <v>19</v>
      </c>
      <c r="E117">
        <v>1</v>
      </c>
      <c r="F117">
        <v>0.96142087640122287</v>
      </c>
      <c r="G117" s="1" t="str">
        <f t="shared" si="19"/>
        <v/>
      </c>
      <c r="H117" s="1" t="str">
        <f t="shared" si="20"/>
        <v/>
      </c>
      <c r="I117" s="1" t="str">
        <f t="shared" si="21"/>
        <v/>
      </c>
      <c r="J117" s="1" t="str">
        <f t="shared" si="22"/>
        <v/>
      </c>
      <c r="K117" s="1">
        <f t="shared" si="23"/>
        <v>1</v>
      </c>
      <c r="L117" s="1" t="str">
        <f t="shared" si="24"/>
        <v/>
      </c>
    </row>
    <row r="118" spans="1:12">
      <c r="A118" t="s">
        <v>32</v>
      </c>
      <c r="B118">
        <v>19</v>
      </c>
      <c r="C118" t="str">
        <f t="shared" si="18"/>
        <v>test.Base64_19_</v>
      </c>
      <c r="D118">
        <v>20</v>
      </c>
      <c r="E118">
        <v>1</v>
      </c>
      <c r="F118">
        <v>0.96243994759062457</v>
      </c>
      <c r="G118" s="1" t="str">
        <f t="shared" si="19"/>
        <v/>
      </c>
      <c r="H118" s="1" t="str">
        <f t="shared" si="20"/>
        <v/>
      </c>
      <c r="I118" s="1" t="str">
        <f t="shared" si="21"/>
        <v/>
      </c>
      <c r="J118" s="1" t="str">
        <f t="shared" si="22"/>
        <v/>
      </c>
      <c r="K118" s="1">
        <f t="shared" si="23"/>
        <v>1</v>
      </c>
      <c r="L118" s="1" t="str">
        <f t="shared" si="24"/>
        <v/>
      </c>
    </row>
    <row r="119" spans="1:12">
      <c r="A119" t="s">
        <v>32</v>
      </c>
      <c r="B119">
        <v>19</v>
      </c>
      <c r="C119" t="str">
        <f t="shared" si="18"/>
        <v>test.Base64_19_</v>
      </c>
      <c r="D119">
        <v>21</v>
      </c>
      <c r="E119">
        <v>1</v>
      </c>
      <c r="F119">
        <v>0.97161158829523953</v>
      </c>
      <c r="G119" s="1" t="str">
        <f t="shared" si="19"/>
        <v/>
      </c>
      <c r="H119" s="1" t="str">
        <f t="shared" si="20"/>
        <v/>
      </c>
      <c r="I119" s="1" t="str">
        <f t="shared" si="21"/>
        <v/>
      </c>
      <c r="J119" s="1" t="str">
        <f t="shared" si="22"/>
        <v/>
      </c>
      <c r="K119" s="1">
        <f t="shared" si="23"/>
        <v>1</v>
      </c>
      <c r="L119" s="1" t="str">
        <f t="shared" si="24"/>
        <v/>
      </c>
    </row>
    <row r="120" spans="1:12">
      <c r="A120" t="s">
        <v>32</v>
      </c>
      <c r="B120">
        <v>19</v>
      </c>
      <c r="C120" t="str">
        <f t="shared" si="18"/>
        <v>test.Base64_19_</v>
      </c>
      <c r="D120">
        <v>22</v>
      </c>
      <c r="E120">
        <v>1</v>
      </c>
      <c r="F120">
        <v>1.1547532391905664</v>
      </c>
      <c r="G120" s="1" t="str">
        <f t="shared" si="19"/>
        <v/>
      </c>
      <c r="H120" s="1" t="str">
        <f t="shared" si="20"/>
        <v/>
      </c>
      <c r="I120" s="1" t="str">
        <f t="shared" si="21"/>
        <v/>
      </c>
      <c r="J120" s="1" t="str">
        <f t="shared" si="22"/>
        <v/>
      </c>
      <c r="K120" s="1" t="str">
        <f t="shared" si="23"/>
        <v/>
      </c>
      <c r="L120" s="1">
        <f t="shared" si="24"/>
        <v>1</v>
      </c>
    </row>
    <row r="121" spans="1:12">
      <c r="A121" t="s">
        <v>32</v>
      </c>
      <c r="B121">
        <v>19</v>
      </c>
      <c r="C121" t="str">
        <f t="shared" si="18"/>
        <v>test.Base64_19_</v>
      </c>
      <c r="D121">
        <v>23</v>
      </c>
      <c r="E121">
        <v>1</v>
      </c>
      <c r="F121">
        <v>1.1696025622361335</v>
      </c>
      <c r="G121" s="1" t="str">
        <f t="shared" si="19"/>
        <v/>
      </c>
      <c r="H121" s="1" t="str">
        <f t="shared" si="20"/>
        <v/>
      </c>
      <c r="I121" s="1" t="str">
        <f t="shared" si="21"/>
        <v/>
      </c>
      <c r="J121" s="1" t="str">
        <f t="shared" si="22"/>
        <v/>
      </c>
      <c r="K121" s="1" t="str">
        <f t="shared" si="23"/>
        <v/>
      </c>
      <c r="L121" s="1">
        <f t="shared" si="24"/>
        <v>1</v>
      </c>
    </row>
    <row r="122" spans="1:12">
      <c r="A122" t="s">
        <v>32</v>
      </c>
      <c r="B122">
        <v>19</v>
      </c>
      <c r="C122" t="str">
        <f t="shared" si="18"/>
        <v>test.Base64_19_</v>
      </c>
      <c r="D122">
        <v>24</v>
      </c>
      <c r="E122">
        <v>1</v>
      </c>
      <c r="F122">
        <v>1.1697481438346193</v>
      </c>
      <c r="G122" s="1" t="str">
        <f t="shared" si="19"/>
        <v/>
      </c>
      <c r="H122" s="1" t="str">
        <f t="shared" si="20"/>
        <v/>
      </c>
      <c r="I122" s="1" t="str">
        <f t="shared" si="21"/>
        <v/>
      </c>
      <c r="J122" s="1" t="str">
        <f t="shared" si="22"/>
        <v/>
      </c>
      <c r="K122" s="1" t="str">
        <f t="shared" si="23"/>
        <v/>
      </c>
      <c r="L122" s="1">
        <f t="shared" si="24"/>
        <v>1</v>
      </c>
    </row>
    <row r="123" spans="1:12">
      <c r="A123" t="s">
        <v>32</v>
      </c>
      <c r="B123">
        <v>19</v>
      </c>
      <c r="C123" t="str">
        <f t="shared" si="18"/>
        <v>test.Base64_19_</v>
      </c>
      <c r="D123">
        <v>25</v>
      </c>
      <c r="E123">
        <v>1</v>
      </c>
      <c r="F123">
        <v>1.1813946717134953</v>
      </c>
      <c r="G123" s="1" t="str">
        <f t="shared" si="19"/>
        <v/>
      </c>
      <c r="H123" s="1" t="str">
        <f t="shared" si="20"/>
        <v/>
      </c>
      <c r="I123" s="1" t="str">
        <f t="shared" si="21"/>
        <v/>
      </c>
      <c r="J123" s="1" t="str">
        <f t="shared" si="22"/>
        <v/>
      </c>
      <c r="K123" s="1" t="str">
        <f t="shared" si="23"/>
        <v/>
      </c>
      <c r="L123" s="1">
        <f t="shared" si="24"/>
        <v>1</v>
      </c>
    </row>
    <row r="124" spans="1:12">
      <c r="A124" t="s">
        <v>32</v>
      </c>
      <c r="B124">
        <v>19</v>
      </c>
      <c r="C124" t="str">
        <f t="shared" si="18"/>
        <v>test.Base64_19_</v>
      </c>
      <c r="D124">
        <v>26</v>
      </c>
      <c r="E124">
        <v>1</v>
      </c>
      <c r="F124">
        <v>1.1931867811908574</v>
      </c>
      <c r="G124" s="1" t="str">
        <f t="shared" si="19"/>
        <v/>
      </c>
      <c r="H124" s="1" t="str">
        <f t="shared" si="20"/>
        <v/>
      </c>
      <c r="I124" s="1" t="str">
        <f t="shared" si="21"/>
        <v/>
      </c>
      <c r="J124" s="1" t="str">
        <f t="shared" si="22"/>
        <v/>
      </c>
      <c r="K124" s="1" t="str">
        <f t="shared" si="23"/>
        <v/>
      </c>
      <c r="L124" s="1">
        <f t="shared" si="24"/>
        <v>1</v>
      </c>
    </row>
    <row r="125" spans="1:12">
      <c r="A125" t="s">
        <v>32</v>
      </c>
      <c r="B125">
        <v>19</v>
      </c>
      <c r="C125" t="str">
        <f t="shared" si="18"/>
        <v>test.Base64_19_</v>
      </c>
      <c r="D125">
        <v>27</v>
      </c>
      <c r="E125">
        <v>1</v>
      </c>
      <c r="F125">
        <v>1.2011937691075849</v>
      </c>
      <c r="G125" s="1" t="str">
        <f t="shared" si="19"/>
        <v/>
      </c>
      <c r="H125" s="1" t="str">
        <f t="shared" si="20"/>
        <v/>
      </c>
      <c r="I125" s="1" t="str">
        <f t="shared" si="21"/>
        <v/>
      </c>
      <c r="J125" s="1" t="str">
        <f t="shared" si="22"/>
        <v/>
      </c>
      <c r="K125" s="1" t="str">
        <f t="shared" si="23"/>
        <v/>
      </c>
      <c r="L125" s="1">
        <f t="shared" si="24"/>
        <v>1</v>
      </c>
    </row>
    <row r="126" spans="1:12">
      <c r="A126" t="s">
        <v>32</v>
      </c>
      <c r="B126">
        <v>19</v>
      </c>
      <c r="C126" t="str">
        <f t="shared" si="18"/>
        <v>test.Base64_19_</v>
      </c>
      <c r="D126">
        <v>28</v>
      </c>
      <c r="E126">
        <v>1</v>
      </c>
      <c r="F126">
        <v>1.4322317659047896</v>
      </c>
      <c r="G126" s="1" t="str">
        <f t="shared" si="19"/>
        <v/>
      </c>
      <c r="H126" s="1" t="str">
        <f t="shared" si="20"/>
        <v/>
      </c>
      <c r="I126" s="1" t="str">
        <f t="shared" si="21"/>
        <v/>
      </c>
      <c r="J126" s="1" t="str">
        <f t="shared" si="22"/>
        <v/>
      </c>
      <c r="K126" s="1" t="str">
        <f t="shared" si="23"/>
        <v/>
      </c>
      <c r="L126" s="1">
        <f t="shared" si="24"/>
        <v>1</v>
      </c>
    </row>
    <row r="127" spans="1:12">
      <c r="A127" t="s">
        <v>32</v>
      </c>
      <c r="B127">
        <v>20</v>
      </c>
      <c r="C127" t="str">
        <f t="shared" si="18"/>
        <v>test.Base64_20_</v>
      </c>
      <c r="D127">
        <v>1</v>
      </c>
      <c r="E127">
        <v>0.19801980198019803</v>
      </c>
      <c r="F127">
        <v>9.109042553191489E-2</v>
      </c>
      <c r="G127" s="1">
        <f t="shared" si="19"/>
        <v>0.19801980198019803</v>
      </c>
      <c r="H127" s="1" t="str">
        <f t="shared" si="20"/>
        <v/>
      </c>
      <c r="I127" s="1" t="str">
        <f t="shared" si="21"/>
        <v/>
      </c>
      <c r="J127" s="1" t="str">
        <f t="shared" si="22"/>
        <v/>
      </c>
      <c r="K127" s="1" t="str">
        <f t="shared" si="23"/>
        <v/>
      </c>
      <c r="L127" s="1" t="str">
        <f t="shared" si="24"/>
        <v/>
      </c>
    </row>
    <row r="128" spans="1:12">
      <c r="A128" t="s">
        <v>32</v>
      </c>
      <c r="B128">
        <v>20</v>
      </c>
      <c r="C128" t="str">
        <f t="shared" si="18"/>
        <v>test.Base64_20_</v>
      </c>
      <c r="D128">
        <v>2</v>
      </c>
      <c r="E128">
        <v>0.22772277227722773</v>
      </c>
      <c r="F128">
        <v>0.1039450354609929</v>
      </c>
      <c r="G128" s="1">
        <f t="shared" si="19"/>
        <v>0.22772277227722773</v>
      </c>
      <c r="H128" s="1" t="str">
        <f t="shared" si="20"/>
        <v/>
      </c>
      <c r="I128" s="1" t="str">
        <f t="shared" si="21"/>
        <v/>
      </c>
      <c r="J128" s="1" t="str">
        <f t="shared" si="22"/>
        <v/>
      </c>
      <c r="K128" s="1" t="str">
        <f t="shared" si="23"/>
        <v/>
      </c>
      <c r="L128" s="1" t="str">
        <f t="shared" si="24"/>
        <v/>
      </c>
    </row>
    <row r="129" spans="1:12">
      <c r="A129" t="s">
        <v>32</v>
      </c>
      <c r="B129">
        <v>20</v>
      </c>
      <c r="C129" t="str">
        <f t="shared" si="18"/>
        <v>test.Base64_20_</v>
      </c>
      <c r="D129">
        <v>3</v>
      </c>
      <c r="E129">
        <v>0.25742574257425743</v>
      </c>
      <c r="F129">
        <v>0.10638297872340426</v>
      </c>
      <c r="G129" s="1">
        <f t="shared" si="19"/>
        <v>0.25742574257425743</v>
      </c>
      <c r="H129" s="1" t="str">
        <f t="shared" si="20"/>
        <v/>
      </c>
      <c r="I129" s="1" t="str">
        <f t="shared" si="21"/>
        <v/>
      </c>
      <c r="J129" s="1" t="str">
        <f t="shared" si="22"/>
        <v/>
      </c>
      <c r="K129" s="1" t="str">
        <f t="shared" si="23"/>
        <v/>
      </c>
      <c r="L129" s="1" t="str">
        <f t="shared" si="24"/>
        <v/>
      </c>
    </row>
    <row r="130" spans="1:12">
      <c r="A130" t="s">
        <v>32</v>
      </c>
      <c r="B130">
        <v>20</v>
      </c>
      <c r="C130" t="str">
        <f t="shared" si="18"/>
        <v>test.Base64_20_</v>
      </c>
      <c r="D130">
        <v>4</v>
      </c>
      <c r="E130">
        <v>0.41584158415841582</v>
      </c>
      <c r="F130">
        <v>0.11591312056737589</v>
      </c>
      <c r="G130" s="1">
        <f t="shared" si="19"/>
        <v>0.41584158415841582</v>
      </c>
      <c r="H130" s="1" t="str">
        <f t="shared" si="20"/>
        <v/>
      </c>
      <c r="I130" s="1" t="str">
        <f t="shared" si="21"/>
        <v/>
      </c>
      <c r="J130" s="1" t="str">
        <f t="shared" si="22"/>
        <v/>
      </c>
      <c r="K130" s="1" t="str">
        <f t="shared" si="23"/>
        <v/>
      </c>
      <c r="L130" s="1" t="str">
        <f t="shared" si="24"/>
        <v/>
      </c>
    </row>
    <row r="131" spans="1:12">
      <c r="A131" t="s">
        <v>32</v>
      </c>
      <c r="B131">
        <v>20</v>
      </c>
      <c r="C131" t="str">
        <f t="shared" ref="C131:C194" si="25">CONCATENATE(A131, "_",B131,"_")</f>
        <v>test.Base64_20_</v>
      </c>
      <c r="D131">
        <v>5</v>
      </c>
      <c r="E131">
        <v>0.41584158415841582</v>
      </c>
      <c r="F131">
        <v>0.1163563829787234</v>
      </c>
      <c r="G131" s="1">
        <f t="shared" ref="G131:G194" si="26">IF($F131 &lt;= 0.2,$E131,"")</f>
        <v>0.41584158415841582</v>
      </c>
      <c r="H131" s="1" t="str">
        <f t="shared" ref="H131:H194" si="27">IF(AND($F131 &gt; 0.2,$F131 &lt;= 0.4),$E131,"")</f>
        <v/>
      </c>
      <c r="I131" s="1" t="str">
        <f t="shared" ref="I131:I194" si="28">IF(AND($F131 &gt; 0.4,$F131 &lt;= 0.6),$E131,"")</f>
        <v/>
      </c>
      <c r="J131" s="1" t="str">
        <f t="shared" ref="J131:J194" si="29">IF(AND($F131 &gt; 0.6,$F131 &lt;= 0.8),$E131,"")</f>
        <v/>
      </c>
      <c r="K131" s="1" t="str">
        <f t="shared" ref="K131:K194" si="30">IF(AND($F131 &gt; 0.8, $F131 &lt;=1.1),$E131,"")</f>
        <v/>
      </c>
      <c r="L131" s="1" t="str">
        <f t="shared" ref="L131:L194" si="31">IF(AND($F131 &gt; 1.1),$E131,"")</f>
        <v/>
      </c>
    </row>
    <row r="132" spans="1:12">
      <c r="A132" t="s">
        <v>32</v>
      </c>
      <c r="B132">
        <v>20</v>
      </c>
      <c r="C132" t="str">
        <f t="shared" si="25"/>
        <v>test.Base64_20_</v>
      </c>
      <c r="D132">
        <v>6</v>
      </c>
      <c r="E132">
        <v>0.44554455445544555</v>
      </c>
      <c r="F132">
        <v>0.11679964539007093</v>
      </c>
      <c r="G132" s="1">
        <f t="shared" si="26"/>
        <v>0.44554455445544555</v>
      </c>
      <c r="H132" s="1" t="str">
        <f t="shared" si="27"/>
        <v/>
      </c>
      <c r="I132" s="1" t="str">
        <f t="shared" si="28"/>
        <v/>
      </c>
      <c r="J132" s="1" t="str">
        <f t="shared" si="29"/>
        <v/>
      </c>
      <c r="K132" s="1" t="str">
        <f t="shared" si="30"/>
        <v/>
      </c>
      <c r="L132" s="1" t="str">
        <f t="shared" si="31"/>
        <v/>
      </c>
    </row>
    <row r="133" spans="1:12">
      <c r="A133" t="s">
        <v>32</v>
      </c>
      <c r="B133">
        <v>20</v>
      </c>
      <c r="C133" t="str">
        <f t="shared" si="25"/>
        <v>test.Base64_20_</v>
      </c>
      <c r="D133">
        <v>7</v>
      </c>
      <c r="E133">
        <v>0.52475247524752477</v>
      </c>
      <c r="F133">
        <v>0.12101063829787234</v>
      </c>
      <c r="G133" s="1">
        <f t="shared" si="26"/>
        <v>0.52475247524752477</v>
      </c>
      <c r="H133" s="1" t="str">
        <f t="shared" si="27"/>
        <v/>
      </c>
      <c r="I133" s="1" t="str">
        <f t="shared" si="28"/>
        <v/>
      </c>
      <c r="J133" s="1" t="str">
        <f t="shared" si="29"/>
        <v/>
      </c>
      <c r="K133" s="1" t="str">
        <f t="shared" si="30"/>
        <v/>
      </c>
      <c r="L133" s="1" t="str">
        <f t="shared" si="31"/>
        <v/>
      </c>
    </row>
    <row r="134" spans="1:12">
      <c r="A134" t="s">
        <v>32</v>
      </c>
      <c r="B134">
        <v>20</v>
      </c>
      <c r="C134" t="str">
        <f t="shared" si="25"/>
        <v>test.Base64_20_</v>
      </c>
      <c r="D134">
        <v>8</v>
      </c>
      <c r="E134">
        <v>0.52475247524752477</v>
      </c>
      <c r="F134">
        <v>0.12477836879432624</v>
      </c>
      <c r="G134" s="1">
        <f t="shared" si="26"/>
        <v>0.52475247524752477</v>
      </c>
      <c r="H134" s="1" t="str">
        <f t="shared" si="27"/>
        <v/>
      </c>
      <c r="I134" s="1" t="str">
        <f t="shared" si="28"/>
        <v/>
      </c>
      <c r="J134" s="1" t="str">
        <f t="shared" si="29"/>
        <v/>
      </c>
      <c r="K134" s="1" t="str">
        <f t="shared" si="30"/>
        <v/>
      </c>
      <c r="L134" s="1" t="str">
        <f t="shared" si="31"/>
        <v/>
      </c>
    </row>
    <row r="135" spans="1:12">
      <c r="A135" t="s">
        <v>32</v>
      </c>
      <c r="B135">
        <v>20</v>
      </c>
      <c r="C135" t="str">
        <f t="shared" si="25"/>
        <v>test.Base64_20_</v>
      </c>
      <c r="D135">
        <v>9</v>
      </c>
      <c r="E135">
        <v>0.52475247524752477</v>
      </c>
      <c r="F135">
        <v>0.12788120567375885</v>
      </c>
      <c r="G135" s="1">
        <f t="shared" si="26"/>
        <v>0.52475247524752477</v>
      </c>
      <c r="H135" s="1" t="str">
        <f t="shared" si="27"/>
        <v/>
      </c>
      <c r="I135" s="1" t="str">
        <f t="shared" si="28"/>
        <v/>
      </c>
      <c r="J135" s="1" t="str">
        <f t="shared" si="29"/>
        <v/>
      </c>
      <c r="K135" s="1" t="str">
        <f t="shared" si="30"/>
        <v/>
      </c>
      <c r="L135" s="1" t="str">
        <f t="shared" si="31"/>
        <v/>
      </c>
    </row>
    <row r="136" spans="1:12">
      <c r="A136" t="s">
        <v>32</v>
      </c>
      <c r="B136">
        <v>20</v>
      </c>
      <c r="C136" t="str">
        <f t="shared" si="25"/>
        <v>test.Base64_20_</v>
      </c>
      <c r="D136">
        <v>10</v>
      </c>
      <c r="E136">
        <v>0.52475247524752477</v>
      </c>
      <c r="F136">
        <v>0.1351950354609929</v>
      </c>
      <c r="G136" s="1">
        <f t="shared" si="26"/>
        <v>0.52475247524752477</v>
      </c>
      <c r="H136" s="1" t="str">
        <f t="shared" si="27"/>
        <v/>
      </c>
      <c r="I136" s="1" t="str">
        <f t="shared" si="28"/>
        <v/>
      </c>
      <c r="J136" s="1" t="str">
        <f t="shared" si="29"/>
        <v/>
      </c>
      <c r="K136" s="1" t="str">
        <f t="shared" si="30"/>
        <v/>
      </c>
      <c r="L136" s="1" t="str">
        <f t="shared" si="31"/>
        <v/>
      </c>
    </row>
    <row r="137" spans="1:12">
      <c r="A137" t="s">
        <v>32</v>
      </c>
      <c r="B137">
        <v>20</v>
      </c>
      <c r="C137" t="str">
        <f t="shared" si="25"/>
        <v>test.Base64_20_</v>
      </c>
      <c r="D137">
        <v>11</v>
      </c>
      <c r="E137">
        <v>0.52475247524752477</v>
      </c>
      <c r="F137">
        <v>0.1358599290780142</v>
      </c>
      <c r="G137" s="1">
        <f t="shared" si="26"/>
        <v>0.52475247524752477</v>
      </c>
      <c r="H137" s="1" t="str">
        <f t="shared" si="27"/>
        <v/>
      </c>
      <c r="I137" s="1" t="str">
        <f t="shared" si="28"/>
        <v/>
      </c>
      <c r="J137" s="1" t="str">
        <f t="shared" si="29"/>
        <v/>
      </c>
      <c r="K137" s="1" t="str">
        <f t="shared" si="30"/>
        <v/>
      </c>
      <c r="L137" s="1" t="str">
        <f t="shared" si="31"/>
        <v/>
      </c>
    </row>
    <row r="138" spans="1:12">
      <c r="A138" t="s">
        <v>32</v>
      </c>
      <c r="B138">
        <v>20</v>
      </c>
      <c r="C138" t="str">
        <f t="shared" si="25"/>
        <v>test.Base64_20_</v>
      </c>
      <c r="D138">
        <v>12</v>
      </c>
      <c r="E138">
        <v>0.52475247524752477</v>
      </c>
      <c r="F138">
        <v>0.13608156028368795</v>
      </c>
      <c r="G138" s="1">
        <f t="shared" si="26"/>
        <v>0.52475247524752477</v>
      </c>
      <c r="H138" s="1" t="str">
        <f t="shared" si="27"/>
        <v/>
      </c>
      <c r="I138" s="1" t="str">
        <f t="shared" si="28"/>
        <v/>
      </c>
      <c r="J138" s="1" t="str">
        <f t="shared" si="29"/>
        <v/>
      </c>
      <c r="K138" s="1" t="str">
        <f t="shared" si="30"/>
        <v/>
      </c>
      <c r="L138" s="1" t="str">
        <f t="shared" si="31"/>
        <v/>
      </c>
    </row>
    <row r="139" spans="1:12">
      <c r="A139" t="s">
        <v>32</v>
      </c>
      <c r="B139">
        <v>20</v>
      </c>
      <c r="C139" t="str">
        <f t="shared" si="25"/>
        <v>test.Base64_20_</v>
      </c>
      <c r="D139">
        <v>13</v>
      </c>
      <c r="E139">
        <v>0.52475247524752477</v>
      </c>
      <c r="F139">
        <v>0.14162234042553193</v>
      </c>
      <c r="G139" s="1">
        <f t="shared" si="26"/>
        <v>0.52475247524752477</v>
      </c>
      <c r="H139" s="1" t="str">
        <f t="shared" si="27"/>
        <v/>
      </c>
      <c r="I139" s="1" t="str">
        <f t="shared" si="28"/>
        <v/>
      </c>
      <c r="J139" s="1" t="str">
        <f t="shared" si="29"/>
        <v/>
      </c>
      <c r="K139" s="1" t="str">
        <f t="shared" si="30"/>
        <v/>
      </c>
      <c r="L139" s="1" t="str">
        <f t="shared" si="31"/>
        <v/>
      </c>
    </row>
    <row r="140" spans="1:12">
      <c r="A140" t="s">
        <v>32</v>
      </c>
      <c r="B140">
        <v>20</v>
      </c>
      <c r="C140" t="str">
        <f t="shared" si="25"/>
        <v>test.Base64_20_</v>
      </c>
      <c r="D140">
        <v>14</v>
      </c>
      <c r="E140">
        <v>0.70297029702970293</v>
      </c>
      <c r="F140">
        <v>0.15203900709219859</v>
      </c>
      <c r="G140" s="1">
        <f t="shared" si="26"/>
        <v>0.70297029702970293</v>
      </c>
      <c r="H140" s="1" t="str">
        <f t="shared" si="27"/>
        <v/>
      </c>
      <c r="I140" s="1" t="str">
        <f t="shared" si="28"/>
        <v/>
      </c>
      <c r="J140" s="1" t="str">
        <f t="shared" si="29"/>
        <v/>
      </c>
      <c r="K140" s="1" t="str">
        <f t="shared" si="30"/>
        <v/>
      </c>
      <c r="L140" s="1" t="str">
        <f t="shared" si="31"/>
        <v/>
      </c>
    </row>
    <row r="141" spans="1:12">
      <c r="A141" t="s">
        <v>32</v>
      </c>
      <c r="B141">
        <v>20</v>
      </c>
      <c r="C141" t="str">
        <f t="shared" si="25"/>
        <v>test.Base64_20_</v>
      </c>
      <c r="D141">
        <v>15</v>
      </c>
      <c r="E141">
        <v>0.70297029702970293</v>
      </c>
      <c r="F141">
        <v>0.15403368794326242</v>
      </c>
      <c r="G141" s="1">
        <f t="shared" si="26"/>
        <v>0.70297029702970293</v>
      </c>
      <c r="H141" s="1" t="str">
        <f t="shared" si="27"/>
        <v/>
      </c>
      <c r="I141" s="1" t="str">
        <f t="shared" si="28"/>
        <v/>
      </c>
      <c r="J141" s="1" t="str">
        <f t="shared" si="29"/>
        <v/>
      </c>
      <c r="K141" s="1" t="str">
        <f t="shared" si="30"/>
        <v/>
      </c>
      <c r="L141" s="1" t="str">
        <f t="shared" si="31"/>
        <v/>
      </c>
    </row>
    <row r="142" spans="1:12">
      <c r="A142" t="s">
        <v>32</v>
      </c>
      <c r="B142">
        <v>20</v>
      </c>
      <c r="C142" t="str">
        <f t="shared" si="25"/>
        <v>test.Base64_20_</v>
      </c>
      <c r="D142">
        <v>16</v>
      </c>
      <c r="E142">
        <v>0.70297029702970293</v>
      </c>
      <c r="F142">
        <v>0.16223404255319149</v>
      </c>
      <c r="G142" s="1">
        <f t="shared" si="26"/>
        <v>0.70297029702970293</v>
      </c>
      <c r="H142" s="1" t="str">
        <f t="shared" si="27"/>
        <v/>
      </c>
      <c r="I142" s="1" t="str">
        <f t="shared" si="28"/>
        <v/>
      </c>
      <c r="J142" s="1" t="str">
        <f t="shared" si="29"/>
        <v/>
      </c>
      <c r="K142" s="1" t="str">
        <f t="shared" si="30"/>
        <v/>
      </c>
      <c r="L142" s="1" t="str">
        <f t="shared" si="31"/>
        <v/>
      </c>
    </row>
    <row r="143" spans="1:12">
      <c r="A143" t="s">
        <v>32</v>
      </c>
      <c r="B143">
        <v>20</v>
      </c>
      <c r="C143" t="str">
        <f t="shared" si="25"/>
        <v>test.Base64_20_</v>
      </c>
      <c r="D143">
        <v>17</v>
      </c>
      <c r="E143">
        <v>0.70297029702970293</v>
      </c>
      <c r="F143">
        <v>0.1664450354609929</v>
      </c>
      <c r="G143" s="1">
        <f t="shared" si="26"/>
        <v>0.70297029702970293</v>
      </c>
      <c r="H143" s="1" t="str">
        <f t="shared" si="27"/>
        <v/>
      </c>
      <c r="I143" s="1" t="str">
        <f t="shared" si="28"/>
        <v/>
      </c>
      <c r="J143" s="1" t="str">
        <f t="shared" si="29"/>
        <v/>
      </c>
      <c r="K143" s="1" t="str">
        <f t="shared" si="30"/>
        <v/>
      </c>
      <c r="L143" s="1" t="str">
        <f t="shared" si="31"/>
        <v/>
      </c>
    </row>
    <row r="144" spans="1:12">
      <c r="A144" t="s">
        <v>32</v>
      </c>
      <c r="B144">
        <v>20</v>
      </c>
      <c r="C144" t="str">
        <f t="shared" si="25"/>
        <v>test.Base64_20_</v>
      </c>
      <c r="D144">
        <v>18</v>
      </c>
      <c r="E144">
        <v>0.70297029702970293</v>
      </c>
      <c r="F144">
        <v>0.17398049645390071</v>
      </c>
      <c r="G144" s="1">
        <f t="shared" si="26"/>
        <v>0.70297029702970293</v>
      </c>
      <c r="H144" s="1" t="str">
        <f t="shared" si="27"/>
        <v/>
      </c>
      <c r="I144" s="1" t="str">
        <f t="shared" si="28"/>
        <v/>
      </c>
      <c r="J144" s="1" t="str">
        <f t="shared" si="29"/>
        <v/>
      </c>
      <c r="K144" s="1" t="str">
        <f t="shared" si="30"/>
        <v/>
      </c>
      <c r="L144" s="1" t="str">
        <f t="shared" si="31"/>
        <v/>
      </c>
    </row>
    <row r="145" spans="1:12">
      <c r="A145" t="s">
        <v>32</v>
      </c>
      <c r="B145">
        <v>20</v>
      </c>
      <c r="C145" t="str">
        <f t="shared" si="25"/>
        <v>test.Base64_20_</v>
      </c>
      <c r="D145">
        <v>19</v>
      </c>
      <c r="E145">
        <v>0.70297029702970293</v>
      </c>
      <c r="F145">
        <v>0.17442375886524822</v>
      </c>
      <c r="G145" s="1">
        <f t="shared" si="26"/>
        <v>0.70297029702970293</v>
      </c>
      <c r="H145" s="1" t="str">
        <f t="shared" si="27"/>
        <v/>
      </c>
      <c r="I145" s="1" t="str">
        <f t="shared" si="28"/>
        <v/>
      </c>
      <c r="J145" s="1" t="str">
        <f t="shared" si="29"/>
        <v/>
      </c>
      <c r="K145" s="1" t="str">
        <f t="shared" si="30"/>
        <v/>
      </c>
      <c r="L145" s="1" t="str">
        <f t="shared" si="31"/>
        <v/>
      </c>
    </row>
    <row r="146" spans="1:12">
      <c r="A146" t="s">
        <v>32</v>
      </c>
      <c r="B146">
        <v>20</v>
      </c>
      <c r="C146" t="str">
        <f t="shared" si="25"/>
        <v>test.Base64_20_</v>
      </c>
      <c r="D146">
        <v>20</v>
      </c>
      <c r="E146">
        <v>0.70297029702970293</v>
      </c>
      <c r="F146">
        <v>0.18040780141843971</v>
      </c>
      <c r="G146" s="1">
        <f t="shared" si="26"/>
        <v>0.70297029702970293</v>
      </c>
      <c r="H146" s="1" t="str">
        <f t="shared" si="27"/>
        <v/>
      </c>
      <c r="I146" s="1" t="str">
        <f t="shared" si="28"/>
        <v/>
      </c>
      <c r="J146" s="1" t="str">
        <f t="shared" si="29"/>
        <v/>
      </c>
      <c r="K146" s="1" t="str">
        <f t="shared" si="30"/>
        <v/>
      </c>
      <c r="L146" s="1" t="str">
        <f t="shared" si="31"/>
        <v/>
      </c>
    </row>
    <row r="147" spans="1:12">
      <c r="A147" t="s">
        <v>32</v>
      </c>
      <c r="B147">
        <v>20</v>
      </c>
      <c r="C147" t="str">
        <f t="shared" si="25"/>
        <v>test.Base64_20_</v>
      </c>
      <c r="D147">
        <v>21</v>
      </c>
      <c r="E147">
        <v>0.70297029702970293</v>
      </c>
      <c r="F147">
        <v>0.18395390070921985</v>
      </c>
      <c r="G147" s="1">
        <f t="shared" si="26"/>
        <v>0.70297029702970293</v>
      </c>
      <c r="H147" s="1" t="str">
        <f t="shared" si="27"/>
        <v/>
      </c>
      <c r="I147" s="1" t="str">
        <f t="shared" si="28"/>
        <v/>
      </c>
      <c r="J147" s="1" t="str">
        <f t="shared" si="29"/>
        <v/>
      </c>
      <c r="K147" s="1" t="str">
        <f t="shared" si="30"/>
        <v/>
      </c>
      <c r="L147" s="1" t="str">
        <f t="shared" si="31"/>
        <v/>
      </c>
    </row>
    <row r="148" spans="1:12">
      <c r="A148" t="s">
        <v>32</v>
      </c>
      <c r="B148">
        <v>20</v>
      </c>
      <c r="C148" t="str">
        <f t="shared" si="25"/>
        <v>test.Base64_20_</v>
      </c>
      <c r="D148">
        <v>22</v>
      </c>
      <c r="E148">
        <v>0.70297029702970293</v>
      </c>
      <c r="F148">
        <v>0.193927304964539</v>
      </c>
      <c r="G148" s="1">
        <f t="shared" si="26"/>
        <v>0.70297029702970293</v>
      </c>
      <c r="H148" s="1" t="str">
        <f t="shared" si="27"/>
        <v/>
      </c>
      <c r="I148" s="1" t="str">
        <f t="shared" si="28"/>
        <v/>
      </c>
      <c r="J148" s="1" t="str">
        <f t="shared" si="29"/>
        <v/>
      </c>
      <c r="K148" s="1" t="str">
        <f t="shared" si="30"/>
        <v/>
      </c>
      <c r="L148" s="1" t="str">
        <f t="shared" si="31"/>
        <v/>
      </c>
    </row>
    <row r="149" spans="1:12">
      <c r="A149" t="s">
        <v>32</v>
      </c>
      <c r="B149">
        <v>20</v>
      </c>
      <c r="C149" t="str">
        <f t="shared" si="25"/>
        <v>test.Base64_20_</v>
      </c>
      <c r="D149">
        <v>23</v>
      </c>
      <c r="E149">
        <v>1</v>
      </c>
      <c r="F149">
        <v>0.85992907801418439</v>
      </c>
      <c r="G149" s="1" t="str">
        <f t="shared" si="26"/>
        <v/>
      </c>
      <c r="H149" s="1" t="str">
        <f t="shared" si="27"/>
        <v/>
      </c>
      <c r="I149" s="1" t="str">
        <f t="shared" si="28"/>
        <v/>
      </c>
      <c r="J149" s="1" t="str">
        <f t="shared" si="29"/>
        <v/>
      </c>
      <c r="K149" s="1">
        <f t="shared" si="30"/>
        <v>1</v>
      </c>
      <c r="L149" s="1" t="str">
        <f t="shared" si="31"/>
        <v/>
      </c>
    </row>
    <row r="150" spans="1:12">
      <c r="A150" t="s">
        <v>32</v>
      </c>
      <c r="B150">
        <v>20</v>
      </c>
      <c r="C150" t="str">
        <f t="shared" si="25"/>
        <v>test.Base64_20_</v>
      </c>
      <c r="D150">
        <v>24</v>
      </c>
      <c r="E150">
        <v>1</v>
      </c>
      <c r="F150">
        <v>0.87344858156028371</v>
      </c>
      <c r="G150" s="1" t="str">
        <f t="shared" si="26"/>
        <v/>
      </c>
      <c r="H150" s="1" t="str">
        <f t="shared" si="27"/>
        <v/>
      </c>
      <c r="I150" s="1" t="str">
        <f t="shared" si="28"/>
        <v/>
      </c>
      <c r="J150" s="1" t="str">
        <f t="shared" si="29"/>
        <v/>
      </c>
      <c r="K150" s="1">
        <f t="shared" si="30"/>
        <v>1</v>
      </c>
      <c r="L150" s="1" t="str">
        <f t="shared" si="31"/>
        <v/>
      </c>
    </row>
    <row r="151" spans="1:12">
      <c r="A151" t="s">
        <v>32</v>
      </c>
      <c r="B151">
        <v>20</v>
      </c>
      <c r="C151" t="str">
        <f t="shared" si="25"/>
        <v>test.Base64_20_</v>
      </c>
      <c r="D151">
        <v>25</v>
      </c>
      <c r="E151">
        <v>1</v>
      </c>
      <c r="F151">
        <v>0.87433510638297873</v>
      </c>
      <c r="G151" s="1" t="str">
        <f t="shared" si="26"/>
        <v/>
      </c>
      <c r="H151" s="1" t="str">
        <f t="shared" si="27"/>
        <v/>
      </c>
      <c r="I151" s="1" t="str">
        <f t="shared" si="28"/>
        <v/>
      </c>
      <c r="J151" s="1" t="str">
        <f t="shared" si="29"/>
        <v/>
      </c>
      <c r="K151" s="1">
        <f t="shared" si="30"/>
        <v>1</v>
      </c>
      <c r="L151" s="1" t="str">
        <f t="shared" si="31"/>
        <v/>
      </c>
    </row>
    <row r="152" spans="1:12">
      <c r="A152" t="s">
        <v>32</v>
      </c>
      <c r="B152">
        <v>20</v>
      </c>
      <c r="C152" t="str">
        <f t="shared" si="25"/>
        <v>test.Base64_20_</v>
      </c>
      <c r="D152">
        <v>26</v>
      </c>
      <c r="E152">
        <v>1</v>
      </c>
      <c r="F152">
        <v>0.87455673758865249</v>
      </c>
      <c r="G152" s="1" t="str">
        <f t="shared" si="26"/>
        <v/>
      </c>
      <c r="H152" s="1" t="str">
        <f t="shared" si="27"/>
        <v/>
      </c>
      <c r="I152" s="1" t="str">
        <f t="shared" si="28"/>
        <v/>
      </c>
      <c r="J152" s="1" t="str">
        <f t="shared" si="29"/>
        <v/>
      </c>
      <c r="K152" s="1">
        <f t="shared" si="30"/>
        <v>1</v>
      </c>
      <c r="L152" s="1" t="str">
        <f t="shared" si="31"/>
        <v/>
      </c>
    </row>
    <row r="153" spans="1:12">
      <c r="A153" t="s">
        <v>32</v>
      </c>
      <c r="B153">
        <v>20</v>
      </c>
      <c r="C153" t="str">
        <f t="shared" si="25"/>
        <v>test.Base64_20_</v>
      </c>
      <c r="D153">
        <v>27</v>
      </c>
      <c r="E153">
        <v>1</v>
      </c>
      <c r="F153">
        <v>0.87854609929078009</v>
      </c>
      <c r="G153" s="1" t="str">
        <f t="shared" si="26"/>
        <v/>
      </c>
      <c r="H153" s="1" t="str">
        <f t="shared" si="27"/>
        <v/>
      </c>
      <c r="I153" s="1" t="str">
        <f t="shared" si="28"/>
        <v/>
      </c>
      <c r="J153" s="1" t="str">
        <f t="shared" si="29"/>
        <v/>
      </c>
      <c r="K153" s="1">
        <f t="shared" si="30"/>
        <v>1</v>
      </c>
      <c r="L153" s="1" t="str">
        <f t="shared" si="31"/>
        <v/>
      </c>
    </row>
    <row r="154" spans="1:12">
      <c r="A154" t="s">
        <v>32</v>
      </c>
      <c r="B154">
        <v>20</v>
      </c>
      <c r="C154" t="str">
        <f t="shared" si="25"/>
        <v>test.Base64_20_</v>
      </c>
      <c r="D154">
        <v>28</v>
      </c>
      <c r="E154">
        <v>1</v>
      </c>
      <c r="F154">
        <v>0.8971631205673759</v>
      </c>
      <c r="G154" s="1" t="str">
        <f t="shared" si="26"/>
        <v/>
      </c>
      <c r="H154" s="1" t="str">
        <f t="shared" si="27"/>
        <v/>
      </c>
      <c r="I154" s="1" t="str">
        <f t="shared" si="28"/>
        <v/>
      </c>
      <c r="J154" s="1" t="str">
        <f t="shared" si="29"/>
        <v/>
      </c>
      <c r="K154" s="1">
        <f t="shared" si="30"/>
        <v>1</v>
      </c>
      <c r="L154" s="1" t="str">
        <f t="shared" si="31"/>
        <v/>
      </c>
    </row>
    <row r="155" spans="1:12">
      <c r="A155" t="s">
        <v>32</v>
      </c>
      <c r="B155">
        <v>20</v>
      </c>
      <c r="C155" t="str">
        <f t="shared" si="25"/>
        <v>test.Base64_20_</v>
      </c>
      <c r="D155">
        <v>29</v>
      </c>
      <c r="E155">
        <v>1</v>
      </c>
      <c r="F155">
        <v>0.90802304964539005</v>
      </c>
      <c r="G155" s="1" t="str">
        <f t="shared" si="26"/>
        <v/>
      </c>
      <c r="H155" s="1" t="str">
        <f t="shared" si="27"/>
        <v/>
      </c>
      <c r="I155" s="1" t="str">
        <f t="shared" si="28"/>
        <v/>
      </c>
      <c r="J155" s="1" t="str">
        <f t="shared" si="29"/>
        <v/>
      </c>
      <c r="K155" s="1">
        <f t="shared" si="30"/>
        <v>1</v>
      </c>
      <c r="L155" s="1" t="str">
        <f t="shared" si="31"/>
        <v/>
      </c>
    </row>
    <row r="156" spans="1:12">
      <c r="A156" t="s">
        <v>32</v>
      </c>
      <c r="B156">
        <v>20</v>
      </c>
      <c r="C156" t="str">
        <f t="shared" si="25"/>
        <v>test.Base64_20_</v>
      </c>
      <c r="D156">
        <v>30</v>
      </c>
      <c r="E156">
        <v>1</v>
      </c>
      <c r="F156">
        <v>0.91489361702127658</v>
      </c>
      <c r="G156" s="1" t="str">
        <f t="shared" si="26"/>
        <v/>
      </c>
      <c r="H156" s="1" t="str">
        <f t="shared" si="27"/>
        <v/>
      </c>
      <c r="I156" s="1" t="str">
        <f t="shared" si="28"/>
        <v/>
      </c>
      <c r="J156" s="1" t="str">
        <f t="shared" si="29"/>
        <v/>
      </c>
      <c r="K156" s="1">
        <f t="shared" si="30"/>
        <v>1</v>
      </c>
      <c r="L156" s="1" t="str">
        <f t="shared" si="31"/>
        <v/>
      </c>
    </row>
    <row r="157" spans="1:12">
      <c r="A157" t="s">
        <v>32</v>
      </c>
      <c r="B157">
        <v>20</v>
      </c>
      <c r="C157" t="str">
        <f t="shared" si="25"/>
        <v>test.Base64_20_</v>
      </c>
      <c r="D157">
        <v>31</v>
      </c>
      <c r="E157">
        <v>1</v>
      </c>
      <c r="F157">
        <v>0.91755319148936165</v>
      </c>
      <c r="G157" s="1" t="str">
        <f t="shared" si="26"/>
        <v/>
      </c>
      <c r="H157" s="1" t="str">
        <f t="shared" si="27"/>
        <v/>
      </c>
      <c r="I157" s="1" t="str">
        <f t="shared" si="28"/>
        <v/>
      </c>
      <c r="J157" s="1" t="str">
        <f t="shared" si="29"/>
        <v/>
      </c>
      <c r="K157" s="1">
        <f t="shared" si="30"/>
        <v>1</v>
      </c>
      <c r="L157" s="1" t="str">
        <f t="shared" si="31"/>
        <v/>
      </c>
    </row>
    <row r="158" spans="1:12">
      <c r="A158" t="s">
        <v>32</v>
      </c>
      <c r="B158">
        <v>20</v>
      </c>
      <c r="C158" t="str">
        <f t="shared" si="25"/>
        <v>test.Base64_20_</v>
      </c>
      <c r="D158">
        <v>32</v>
      </c>
      <c r="E158">
        <v>1</v>
      </c>
      <c r="F158">
        <v>0.92774822695035464</v>
      </c>
      <c r="G158" s="1" t="str">
        <f t="shared" si="26"/>
        <v/>
      </c>
      <c r="H158" s="1" t="str">
        <f t="shared" si="27"/>
        <v/>
      </c>
      <c r="I158" s="1" t="str">
        <f t="shared" si="28"/>
        <v/>
      </c>
      <c r="J158" s="1" t="str">
        <f t="shared" si="29"/>
        <v/>
      </c>
      <c r="K158" s="1">
        <f t="shared" si="30"/>
        <v>1</v>
      </c>
      <c r="L158" s="1" t="str">
        <f t="shared" si="31"/>
        <v/>
      </c>
    </row>
    <row r="159" spans="1:12">
      <c r="A159" t="s">
        <v>32</v>
      </c>
      <c r="B159">
        <v>20</v>
      </c>
      <c r="C159" t="str">
        <f t="shared" si="25"/>
        <v>test.Base64_20_</v>
      </c>
      <c r="D159">
        <v>33</v>
      </c>
      <c r="E159">
        <v>1</v>
      </c>
      <c r="F159">
        <v>0.93528368794326244</v>
      </c>
      <c r="G159" s="1" t="str">
        <f t="shared" si="26"/>
        <v/>
      </c>
      <c r="H159" s="1" t="str">
        <f t="shared" si="27"/>
        <v/>
      </c>
      <c r="I159" s="1" t="str">
        <f t="shared" si="28"/>
        <v/>
      </c>
      <c r="J159" s="1" t="str">
        <f t="shared" si="29"/>
        <v/>
      </c>
      <c r="K159" s="1">
        <f t="shared" si="30"/>
        <v>1</v>
      </c>
      <c r="L159" s="1" t="str">
        <f t="shared" si="31"/>
        <v/>
      </c>
    </row>
    <row r="160" spans="1:12">
      <c r="A160" t="s">
        <v>142</v>
      </c>
      <c r="B160">
        <v>2</v>
      </c>
      <c r="C160" t="str">
        <f t="shared" si="25"/>
        <v>test.Class11_2_</v>
      </c>
      <c r="D160">
        <v>1</v>
      </c>
      <c r="E160">
        <v>4.4642857142857144E-2</v>
      </c>
      <c r="F160">
        <v>5.6312443233424159E-2</v>
      </c>
      <c r="G160" s="1">
        <f t="shared" si="26"/>
        <v>4.4642857142857144E-2</v>
      </c>
      <c r="H160" s="1" t="str">
        <f t="shared" si="27"/>
        <v/>
      </c>
      <c r="I160" s="1" t="str">
        <f t="shared" si="28"/>
        <v/>
      </c>
      <c r="J160" s="1" t="str">
        <f t="shared" si="29"/>
        <v/>
      </c>
      <c r="K160" s="1" t="str">
        <f t="shared" si="30"/>
        <v/>
      </c>
      <c r="L160" s="1" t="str">
        <f t="shared" si="31"/>
        <v/>
      </c>
    </row>
    <row r="161" spans="1:12">
      <c r="A161" t="s">
        <v>142</v>
      </c>
      <c r="B161">
        <v>2</v>
      </c>
      <c r="C161" t="str">
        <f t="shared" si="25"/>
        <v>test.Class11_2_</v>
      </c>
      <c r="D161">
        <v>2</v>
      </c>
      <c r="E161">
        <v>0.5</v>
      </c>
      <c r="F161">
        <v>0.51135331516802907</v>
      </c>
      <c r="G161" s="1" t="str">
        <f t="shared" si="26"/>
        <v/>
      </c>
      <c r="H161" s="1" t="str">
        <f t="shared" si="27"/>
        <v/>
      </c>
      <c r="I161" s="1">
        <f t="shared" si="28"/>
        <v>0.5</v>
      </c>
      <c r="J161" s="1" t="str">
        <f t="shared" si="29"/>
        <v/>
      </c>
      <c r="K161" s="1" t="str">
        <f t="shared" si="30"/>
        <v/>
      </c>
      <c r="L161" s="1" t="str">
        <f t="shared" si="31"/>
        <v/>
      </c>
    </row>
    <row r="162" spans="1:12">
      <c r="A162" t="s">
        <v>142</v>
      </c>
      <c r="B162">
        <v>2</v>
      </c>
      <c r="C162" t="str">
        <f t="shared" si="25"/>
        <v>test.Class11_2_</v>
      </c>
      <c r="D162">
        <v>3</v>
      </c>
      <c r="E162">
        <v>1</v>
      </c>
      <c r="F162">
        <v>1.0130184680593399</v>
      </c>
      <c r="G162" s="1" t="str">
        <f t="shared" si="26"/>
        <v/>
      </c>
      <c r="H162" s="1" t="str">
        <f t="shared" si="27"/>
        <v/>
      </c>
      <c r="I162" s="1" t="str">
        <f t="shared" si="28"/>
        <v/>
      </c>
      <c r="J162" s="1" t="str">
        <f t="shared" si="29"/>
        <v/>
      </c>
      <c r="K162" s="1">
        <f t="shared" si="30"/>
        <v>1</v>
      </c>
      <c r="L162" s="1" t="str">
        <f t="shared" si="31"/>
        <v/>
      </c>
    </row>
    <row r="163" spans="1:12">
      <c r="A163" t="s">
        <v>142</v>
      </c>
      <c r="B163">
        <v>3</v>
      </c>
      <c r="C163" t="str">
        <f t="shared" si="25"/>
        <v>test.Class11_3_</v>
      </c>
      <c r="D163">
        <v>1</v>
      </c>
      <c r="E163">
        <v>0.93181818181818177</v>
      </c>
      <c r="F163">
        <v>1.0007390983000739</v>
      </c>
      <c r="G163" s="1" t="str">
        <f t="shared" si="26"/>
        <v/>
      </c>
      <c r="H163" s="1" t="str">
        <f t="shared" si="27"/>
        <v/>
      </c>
      <c r="I163" s="1" t="str">
        <f t="shared" si="28"/>
        <v/>
      </c>
      <c r="J163" s="1" t="str">
        <f t="shared" si="29"/>
        <v/>
      </c>
      <c r="K163" s="1">
        <f t="shared" si="30"/>
        <v>0.93181818181818177</v>
      </c>
      <c r="L163" s="1" t="str">
        <f t="shared" si="31"/>
        <v/>
      </c>
    </row>
    <row r="164" spans="1:12">
      <c r="A164" t="s">
        <v>142</v>
      </c>
      <c r="B164">
        <v>3</v>
      </c>
      <c r="C164" t="str">
        <f t="shared" si="25"/>
        <v>test.Class11_3_</v>
      </c>
      <c r="D164">
        <v>2</v>
      </c>
      <c r="E164">
        <v>1</v>
      </c>
      <c r="F164">
        <v>1.0214338507021434</v>
      </c>
      <c r="G164" s="1" t="str">
        <f t="shared" si="26"/>
        <v/>
      </c>
      <c r="H164" s="1" t="str">
        <f t="shared" si="27"/>
        <v/>
      </c>
      <c r="I164" s="1" t="str">
        <f t="shared" si="28"/>
        <v/>
      </c>
      <c r="J164" s="1" t="str">
        <f t="shared" si="29"/>
        <v/>
      </c>
      <c r="K164" s="1">
        <f t="shared" si="30"/>
        <v>1</v>
      </c>
      <c r="L164" s="1" t="str">
        <f t="shared" si="31"/>
        <v/>
      </c>
    </row>
    <row r="165" spans="1:12">
      <c r="A165" t="s">
        <v>142</v>
      </c>
      <c r="B165">
        <v>7</v>
      </c>
      <c r="C165" t="str">
        <f t="shared" si="25"/>
        <v>test.Class11_7_</v>
      </c>
      <c r="D165">
        <v>1</v>
      </c>
      <c r="E165">
        <v>0.97674418604651159</v>
      </c>
      <c r="F165">
        <v>1.0209302325581395</v>
      </c>
      <c r="G165" s="1" t="str">
        <f t="shared" si="26"/>
        <v/>
      </c>
      <c r="H165" s="1" t="str">
        <f t="shared" si="27"/>
        <v/>
      </c>
      <c r="I165" s="1" t="str">
        <f t="shared" si="28"/>
        <v/>
      </c>
      <c r="J165" s="1" t="str">
        <f t="shared" si="29"/>
        <v/>
      </c>
      <c r="K165" s="1">
        <f t="shared" si="30"/>
        <v>0.97674418604651159</v>
      </c>
      <c r="L165" s="1" t="str">
        <f t="shared" si="31"/>
        <v/>
      </c>
    </row>
    <row r="166" spans="1:12">
      <c r="A166" t="s">
        <v>142</v>
      </c>
      <c r="B166">
        <v>7</v>
      </c>
      <c r="C166" t="str">
        <f t="shared" si="25"/>
        <v>test.Class11_7_</v>
      </c>
      <c r="D166">
        <v>2</v>
      </c>
      <c r="E166">
        <v>1</v>
      </c>
      <c r="F166">
        <v>1.0418604651162791</v>
      </c>
      <c r="G166" s="1" t="str">
        <f t="shared" si="26"/>
        <v/>
      </c>
      <c r="H166" s="1" t="str">
        <f t="shared" si="27"/>
        <v/>
      </c>
      <c r="I166" s="1" t="str">
        <f t="shared" si="28"/>
        <v/>
      </c>
      <c r="J166" s="1" t="str">
        <f t="shared" si="29"/>
        <v/>
      </c>
      <c r="K166" s="1">
        <f t="shared" si="30"/>
        <v>1</v>
      </c>
      <c r="L166" s="1" t="str">
        <f t="shared" si="31"/>
        <v/>
      </c>
    </row>
    <row r="167" spans="1:12">
      <c r="A167" t="s">
        <v>142</v>
      </c>
      <c r="B167">
        <v>10</v>
      </c>
      <c r="C167" t="str">
        <f t="shared" si="25"/>
        <v>test.Class11_10_</v>
      </c>
      <c r="D167">
        <v>1</v>
      </c>
      <c r="E167">
        <v>0.11576354679802955</v>
      </c>
      <c r="F167">
        <v>0.13056532555546024</v>
      </c>
      <c r="G167" s="1">
        <f t="shared" si="26"/>
        <v>0.11576354679802955</v>
      </c>
      <c r="H167" s="1" t="str">
        <f t="shared" si="27"/>
        <v/>
      </c>
      <c r="I167" s="1" t="str">
        <f t="shared" si="28"/>
        <v/>
      </c>
      <c r="J167" s="1" t="str">
        <f t="shared" si="29"/>
        <v/>
      </c>
      <c r="K167" s="1" t="str">
        <f t="shared" si="30"/>
        <v/>
      </c>
      <c r="L167" s="1" t="str">
        <f t="shared" si="31"/>
        <v/>
      </c>
    </row>
    <row r="168" spans="1:12">
      <c r="A168" t="s">
        <v>142</v>
      </c>
      <c r="B168">
        <v>10</v>
      </c>
      <c r="C168" t="str">
        <f t="shared" si="25"/>
        <v>test.Class11_10_</v>
      </c>
      <c r="D168">
        <v>2</v>
      </c>
      <c r="E168">
        <v>0.11576354679802955</v>
      </c>
      <c r="F168">
        <v>0.13142317920562752</v>
      </c>
      <c r="G168" s="1">
        <f t="shared" si="26"/>
        <v>0.11576354679802955</v>
      </c>
      <c r="H168" s="1" t="str">
        <f t="shared" si="27"/>
        <v/>
      </c>
      <c r="I168" s="1" t="str">
        <f t="shared" si="28"/>
        <v/>
      </c>
      <c r="J168" s="1" t="str">
        <f t="shared" si="29"/>
        <v/>
      </c>
      <c r="K168" s="1" t="str">
        <f t="shared" si="30"/>
        <v/>
      </c>
      <c r="L168" s="1" t="str">
        <f t="shared" si="31"/>
        <v/>
      </c>
    </row>
    <row r="169" spans="1:12">
      <c r="A169" t="s">
        <v>142</v>
      </c>
      <c r="B169">
        <v>10</v>
      </c>
      <c r="C169" t="str">
        <f t="shared" si="25"/>
        <v>test.Class11_10_</v>
      </c>
      <c r="D169">
        <v>3</v>
      </c>
      <c r="E169">
        <v>0.20689655172413793</v>
      </c>
      <c r="F169">
        <v>0.13219524749077807</v>
      </c>
      <c r="G169" s="1">
        <f t="shared" si="26"/>
        <v>0.20689655172413793</v>
      </c>
      <c r="H169" s="1" t="str">
        <f t="shared" si="27"/>
        <v/>
      </c>
      <c r="I169" s="1" t="str">
        <f t="shared" si="28"/>
        <v/>
      </c>
      <c r="J169" s="1" t="str">
        <f t="shared" si="29"/>
        <v/>
      </c>
      <c r="K169" s="1" t="str">
        <f t="shared" si="30"/>
        <v/>
      </c>
      <c r="L169" s="1" t="str">
        <f t="shared" si="31"/>
        <v/>
      </c>
    </row>
    <row r="170" spans="1:12">
      <c r="A170" t="s">
        <v>142</v>
      </c>
      <c r="B170">
        <v>10</v>
      </c>
      <c r="C170" t="str">
        <f t="shared" si="25"/>
        <v>test.Class11_10_</v>
      </c>
      <c r="D170">
        <v>4</v>
      </c>
      <c r="E170">
        <v>0.20689655172413793</v>
      </c>
      <c r="F170">
        <v>0.13228103285579479</v>
      </c>
      <c r="G170" s="1">
        <f t="shared" si="26"/>
        <v>0.20689655172413793</v>
      </c>
      <c r="H170" s="1" t="str">
        <f t="shared" si="27"/>
        <v/>
      </c>
      <c r="I170" s="1" t="str">
        <f t="shared" si="28"/>
        <v/>
      </c>
      <c r="J170" s="1" t="str">
        <f t="shared" si="29"/>
        <v/>
      </c>
      <c r="K170" s="1" t="str">
        <f t="shared" si="30"/>
        <v/>
      </c>
      <c r="L170" s="1" t="str">
        <f t="shared" si="31"/>
        <v/>
      </c>
    </row>
    <row r="171" spans="1:12">
      <c r="A171" t="s">
        <v>142</v>
      </c>
      <c r="B171">
        <v>10</v>
      </c>
      <c r="C171" t="str">
        <f t="shared" si="25"/>
        <v>test.Class11_10_</v>
      </c>
      <c r="D171">
        <v>5</v>
      </c>
      <c r="E171">
        <v>0.20689655172413793</v>
      </c>
      <c r="F171">
        <v>0.13451145234622974</v>
      </c>
      <c r="G171" s="1">
        <f t="shared" si="26"/>
        <v>0.20689655172413793</v>
      </c>
      <c r="H171" s="1" t="str">
        <f t="shared" si="27"/>
        <v/>
      </c>
      <c r="I171" s="1" t="str">
        <f t="shared" si="28"/>
        <v/>
      </c>
      <c r="J171" s="1" t="str">
        <f t="shared" si="29"/>
        <v/>
      </c>
      <c r="K171" s="1" t="str">
        <f t="shared" si="30"/>
        <v/>
      </c>
      <c r="L171" s="1" t="str">
        <f t="shared" si="31"/>
        <v/>
      </c>
    </row>
    <row r="172" spans="1:12">
      <c r="A172" t="s">
        <v>142</v>
      </c>
      <c r="B172">
        <v>10</v>
      </c>
      <c r="C172" t="str">
        <f t="shared" si="25"/>
        <v>test.Class11_10_</v>
      </c>
      <c r="D172">
        <v>6</v>
      </c>
      <c r="E172">
        <v>0.20689655172413793</v>
      </c>
      <c r="F172">
        <v>0.13511194990134684</v>
      </c>
      <c r="G172" s="1">
        <f t="shared" si="26"/>
        <v>0.20689655172413793</v>
      </c>
      <c r="H172" s="1" t="str">
        <f t="shared" si="27"/>
        <v/>
      </c>
      <c r="I172" s="1" t="str">
        <f t="shared" si="28"/>
        <v/>
      </c>
      <c r="J172" s="1" t="str">
        <f t="shared" si="29"/>
        <v/>
      </c>
      <c r="K172" s="1" t="str">
        <f t="shared" si="30"/>
        <v/>
      </c>
      <c r="L172" s="1" t="str">
        <f t="shared" si="31"/>
        <v/>
      </c>
    </row>
    <row r="173" spans="1:12">
      <c r="A173" t="s">
        <v>142</v>
      </c>
      <c r="B173">
        <v>10</v>
      </c>
      <c r="C173" t="str">
        <f t="shared" si="25"/>
        <v>test.Class11_10_</v>
      </c>
      <c r="D173">
        <v>7</v>
      </c>
      <c r="E173">
        <v>0.22167487684729065</v>
      </c>
      <c r="F173">
        <v>0.14077378399245088</v>
      </c>
      <c r="G173" s="1">
        <f t="shared" si="26"/>
        <v>0.22167487684729065</v>
      </c>
      <c r="H173" s="1" t="str">
        <f t="shared" si="27"/>
        <v/>
      </c>
      <c r="I173" s="1" t="str">
        <f t="shared" si="28"/>
        <v/>
      </c>
      <c r="J173" s="1" t="str">
        <f t="shared" si="29"/>
        <v/>
      </c>
      <c r="K173" s="1" t="str">
        <f t="shared" si="30"/>
        <v/>
      </c>
      <c r="L173" s="1" t="str">
        <f t="shared" si="31"/>
        <v/>
      </c>
    </row>
    <row r="174" spans="1:12">
      <c r="A174" t="s">
        <v>142</v>
      </c>
      <c r="B174">
        <v>10</v>
      </c>
      <c r="C174" t="str">
        <f t="shared" si="25"/>
        <v>test.Class11_10_</v>
      </c>
      <c r="D174">
        <v>8</v>
      </c>
      <c r="E174">
        <v>0.22167487684729065</v>
      </c>
      <c r="F174">
        <v>0.14085956935746763</v>
      </c>
      <c r="G174" s="1">
        <f t="shared" si="26"/>
        <v>0.22167487684729065</v>
      </c>
      <c r="H174" s="1" t="str">
        <f t="shared" si="27"/>
        <v/>
      </c>
      <c r="I174" s="1" t="str">
        <f t="shared" si="28"/>
        <v/>
      </c>
      <c r="J174" s="1" t="str">
        <f t="shared" si="29"/>
        <v/>
      </c>
      <c r="K174" s="1" t="str">
        <f t="shared" si="30"/>
        <v/>
      </c>
      <c r="L174" s="1" t="str">
        <f t="shared" si="31"/>
        <v/>
      </c>
    </row>
    <row r="175" spans="1:12">
      <c r="A175" t="s">
        <v>142</v>
      </c>
      <c r="B175">
        <v>10</v>
      </c>
      <c r="C175" t="str">
        <f t="shared" si="25"/>
        <v>test.Class11_10_</v>
      </c>
      <c r="D175">
        <v>9</v>
      </c>
      <c r="E175">
        <v>0.22167487684729065</v>
      </c>
      <c r="F175">
        <v>0.14103114008750106</v>
      </c>
      <c r="G175" s="1">
        <f t="shared" si="26"/>
        <v>0.22167487684729065</v>
      </c>
      <c r="H175" s="1" t="str">
        <f t="shared" si="27"/>
        <v/>
      </c>
      <c r="I175" s="1" t="str">
        <f t="shared" si="28"/>
        <v/>
      </c>
      <c r="J175" s="1" t="str">
        <f t="shared" si="29"/>
        <v/>
      </c>
      <c r="K175" s="1" t="str">
        <f t="shared" si="30"/>
        <v/>
      </c>
      <c r="L175" s="1" t="str">
        <f t="shared" si="31"/>
        <v/>
      </c>
    </row>
    <row r="176" spans="1:12">
      <c r="A176" t="s">
        <v>142</v>
      </c>
      <c r="B176">
        <v>10</v>
      </c>
      <c r="C176" t="str">
        <f t="shared" si="25"/>
        <v>test.Class11_10_</v>
      </c>
      <c r="D176">
        <v>10</v>
      </c>
      <c r="E176">
        <v>0.22167487684729065</v>
      </c>
      <c r="F176">
        <v>0.14111692545251781</v>
      </c>
      <c r="G176" s="1">
        <f t="shared" si="26"/>
        <v>0.22167487684729065</v>
      </c>
      <c r="H176" s="1" t="str">
        <f t="shared" si="27"/>
        <v/>
      </c>
      <c r="I176" s="1" t="str">
        <f t="shared" si="28"/>
        <v/>
      </c>
      <c r="J176" s="1" t="str">
        <f t="shared" si="29"/>
        <v/>
      </c>
      <c r="K176" s="1" t="str">
        <f t="shared" si="30"/>
        <v/>
      </c>
      <c r="L176" s="1" t="str">
        <f t="shared" si="31"/>
        <v/>
      </c>
    </row>
    <row r="177" spans="1:12">
      <c r="A177" t="s">
        <v>142</v>
      </c>
      <c r="B177">
        <v>10</v>
      </c>
      <c r="C177" t="str">
        <f t="shared" si="25"/>
        <v>test.Class11_10_</v>
      </c>
      <c r="D177">
        <v>11</v>
      </c>
      <c r="E177">
        <v>0.22167487684729065</v>
      </c>
      <c r="F177">
        <v>0.14394784249806983</v>
      </c>
      <c r="G177" s="1">
        <f t="shared" si="26"/>
        <v>0.22167487684729065</v>
      </c>
      <c r="H177" s="1" t="str">
        <f t="shared" si="27"/>
        <v/>
      </c>
      <c r="I177" s="1" t="str">
        <f t="shared" si="28"/>
        <v/>
      </c>
      <c r="J177" s="1" t="str">
        <f t="shared" si="29"/>
        <v/>
      </c>
      <c r="K177" s="1" t="str">
        <f t="shared" si="30"/>
        <v/>
      </c>
      <c r="L177" s="1" t="str">
        <f t="shared" si="31"/>
        <v/>
      </c>
    </row>
    <row r="178" spans="1:12">
      <c r="A178" t="s">
        <v>142</v>
      </c>
      <c r="B178">
        <v>10</v>
      </c>
      <c r="C178" t="str">
        <f t="shared" si="25"/>
        <v>test.Class11_10_</v>
      </c>
      <c r="D178">
        <v>12</v>
      </c>
      <c r="E178">
        <v>0.22167487684729065</v>
      </c>
      <c r="F178">
        <v>0.14574933516342112</v>
      </c>
      <c r="G178" s="1">
        <f t="shared" si="26"/>
        <v>0.22167487684729065</v>
      </c>
      <c r="H178" s="1" t="str">
        <f t="shared" si="27"/>
        <v/>
      </c>
      <c r="I178" s="1" t="str">
        <f t="shared" si="28"/>
        <v/>
      </c>
      <c r="J178" s="1" t="str">
        <f t="shared" si="29"/>
        <v/>
      </c>
      <c r="K178" s="1" t="str">
        <f t="shared" si="30"/>
        <v/>
      </c>
      <c r="L178" s="1" t="str">
        <f t="shared" si="31"/>
        <v/>
      </c>
    </row>
    <row r="179" spans="1:12">
      <c r="A179" t="s">
        <v>142</v>
      </c>
      <c r="B179">
        <v>10</v>
      </c>
      <c r="C179" t="str">
        <f t="shared" si="25"/>
        <v>test.Class11_10_</v>
      </c>
      <c r="D179">
        <v>13</v>
      </c>
      <c r="E179">
        <v>0.22167487684729065</v>
      </c>
      <c r="F179">
        <v>0.14797975465385604</v>
      </c>
      <c r="G179" s="1">
        <f t="shared" si="26"/>
        <v>0.22167487684729065</v>
      </c>
      <c r="H179" s="1" t="str">
        <f t="shared" si="27"/>
        <v/>
      </c>
      <c r="I179" s="1" t="str">
        <f t="shared" si="28"/>
        <v/>
      </c>
      <c r="J179" s="1" t="str">
        <f t="shared" si="29"/>
        <v/>
      </c>
      <c r="K179" s="1" t="str">
        <f t="shared" si="30"/>
        <v/>
      </c>
      <c r="L179" s="1" t="str">
        <f t="shared" si="31"/>
        <v/>
      </c>
    </row>
    <row r="180" spans="1:12">
      <c r="A180" t="s">
        <v>142</v>
      </c>
      <c r="B180">
        <v>10</v>
      </c>
      <c r="C180" t="str">
        <f t="shared" si="25"/>
        <v>test.Class11_10_</v>
      </c>
      <c r="D180">
        <v>14</v>
      </c>
      <c r="E180">
        <v>0.22167487684729065</v>
      </c>
      <c r="F180">
        <v>0.14849446684395642</v>
      </c>
      <c r="G180" s="1">
        <f t="shared" si="26"/>
        <v>0.22167487684729065</v>
      </c>
      <c r="H180" s="1" t="str">
        <f t="shared" si="27"/>
        <v/>
      </c>
      <c r="I180" s="1" t="str">
        <f t="shared" si="28"/>
        <v/>
      </c>
      <c r="J180" s="1" t="str">
        <f t="shared" si="29"/>
        <v/>
      </c>
      <c r="K180" s="1" t="str">
        <f t="shared" si="30"/>
        <v/>
      </c>
      <c r="L180" s="1" t="str">
        <f t="shared" si="31"/>
        <v/>
      </c>
    </row>
    <row r="181" spans="1:12">
      <c r="A181" t="s">
        <v>142</v>
      </c>
      <c r="B181">
        <v>10</v>
      </c>
      <c r="C181" t="str">
        <f t="shared" si="25"/>
        <v>test.Class11_10_</v>
      </c>
      <c r="D181">
        <v>15</v>
      </c>
      <c r="E181">
        <v>0.22167487684729065</v>
      </c>
      <c r="F181">
        <v>0.14995281804924079</v>
      </c>
      <c r="G181" s="1">
        <f t="shared" si="26"/>
        <v>0.22167487684729065</v>
      </c>
      <c r="H181" s="1" t="str">
        <f t="shared" si="27"/>
        <v/>
      </c>
      <c r="I181" s="1" t="str">
        <f t="shared" si="28"/>
        <v/>
      </c>
      <c r="J181" s="1" t="str">
        <f t="shared" si="29"/>
        <v/>
      </c>
      <c r="K181" s="1" t="str">
        <f t="shared" si="30"/>
        <v/>
      </c>
      <c r="L181" s="1" t="str">
        <f t="shared" si="31"/>
        <v/>
      </c>
    </row>
    <row r="182" spans="1:12">
      <c r="A182" t="s">
        <v>142</v>
      </c>
      <c r="B182">
        <v>10</v>
      </c>
      <c r="C182" t="str">
        <f t="shared" si="25"/>
        <v>test.Class11_10_</v>
      </c>
      <c r="D182">
        <v>16</v>
      </c>
      <c r="E182">
        <v>0.22167487684729065</v>
      </c>
      <c r="F182">
        <v>0.15046753023934117</v>
      </c>
      <c r="G182" s="1">
        <f t="shared" si="26"/>
        <v>0.22167487684729065</v>
      </c>
      <c r="H182" s="1" t="str">
        <f t="shared" si="27"/>
        <v/>
      </c>
      <c r="I182" s="1" t="str">
        <f t="shared" si="28"/>
        <v/>
      </c>
      <c r="J182" s="1" t="str">
        <f t="shared" si="29"/>
        <v/>
      </c>
      <c r="K182" s="1" t="str">
        <f t="shared" si="30"/>
        <v/>
      </c>
      <c r="L182" s="1" t="str">
        <f t="shared" si="31"/>
        <v/>
      </c>
    </row>
    <row r="183" spans="1:12">
      <c r="A183" t="s">
        <v>142</v>
      </c>
      <c r="B183">
        <v>10</v>
      </c>
      <c r="C183" t="str">
        <f t="shared" si="25"/>
        <v>test.Class11_10_</v>
      </c>
      <c r="D183">
        <v>17</v>
      </c>
      <c r="E183">
        <v>0.33743842364532017</v>
      </c>
      <c r="F183">
        <v>0.1597323496611478</v>
      </c>
      <c r="G183" s="1">
        <f t="shared" si="26"/>
        <v>0.33743842364532017</v>
      </c>
      <c r="H183" s="1" t="str">
        <f t="shared" si="27"/>
        <v/>
      </c>
      <c r="I183" s="1" t="str">
        <f t="shared" si="28"/>
        <v/>
      </c>
      <c r="J183" s="1" t="str">
        <f t="shared" si="29"/>
        <v/>
      </c>
      <c r="K183" s="1" t="str">
        <f t="shared" si="30"/>
        <v/>
      </c>
      <c r="L183" s="1" t="str">
        <f t="shared" si="31"/>
        <v/>
      </c>
    </row>
    <row r="184" spans="1:12">
      <c r="A184" t="s">
        <v>142</v>
      </c>
      <c r="B184">
        <v>10</v>
      </c>
      <c r="C184" t="str">
        <f t="shared" si="25"/>
        <v>test.Class11_10_</v>
      </c>
      <c r="D184">
        <v>18</v>
      </c>
      <c r="E184">
        <v>0.45073891625615764</v>
      </c>
      <c r="F184">
        <v>0.16316376426181695</v>
      </c>
      <c r="G184" s="1">
        <f t="shared" si="26"/>
        <v>0.45073891625615764</v>
      </c>
      <c r="H184" s="1" t="str">
        <f t="shared" si="27"/>
        <v/>
      </c>
      <c r="I184" s="1" t="str">
        <f t="shared" si="28"/>
        <v/>
      </c>
      <c r="J184" s="1" t="str">
        <f t="shared" si="29"/>
        <v/>
      </c>
      <c r="K184" s="1" t="str">
        <f t="shared" si="30"/>
        <v/>
      </c>
      <c r="L184" s="1" t="str">
        <f t="shared" si="31"/>
        <v/>
      </c>
    </row>
    <row r="185" spans="1:12">
      <c r="A185" t="s">
        <v>142</v>
      </c>
      <c r="B185">
        <v>10</v>
      </c>
      <c r="C185" t="str">
        <f t="shared" si="25"/>
        <v>test.Class11_10_</v>
      </c>
      <c r="D185">
        <v>19</v>
      </c>
      <c r="E185">
        <v>0.58620689655172409</v>
      </c>
      <c r="F185">
        <v>0.16848245689285407</v>
      </c>
      <c r="G185" s="1">
        <f t="shared" si="26"/>
        <v>0.58620689655172409</v>
      </c>
      <c r="H185" s="1" t="str">
        <f t="shared" si="27"/>
        <v/>
      </c>
      <c r="I185" s="1" t="str">
        <f t="shared" si="28"/>
        <v/>
      </c>
      <c r="J185" s="1" t="str">
        <f t="shared" si="29"/>
        <v/>
      </c>
      <c r="K185" s="1" t="str">
        <f t="shared" si="30"/>
        <v/>
      </c>
      <c r="L185" s="1" t="str">
        <f t="shared" si="31"/>
        <v/>
      </c>
    </row>
    <row r="186" spans="1:12">
      <c r="A186" t="s">
        <v>142</v>
      </c>
      <c r="B186">
        <v>10</v>
      </c>
      <c r="C186" t="str">
        <f t="shared" si="25"/>
        <v>test.Class11_10_</v>
      </c>
      <c r="D186">
        <v>20</v>
      </c>
      <c r="E186">
        <v>0.58620689655172409</v>
      </c>
      <c r="F186">
        <v>0.18014926653512911</v>
      </c>
      <c r="G186" s="1">
        <f t="shared" si="26"/>
        <v>0.58620689655172409</v>
      </c>
      <c r="H186" s="1" t="str">
        <f t="shared" si="27"/>
        <v/>
      </c>
      <c r="I186" s="1" t="str">
        <f t="shared" si="28"/>
        <v/>
      </c>
      <c r="J186" s="1" t="str">
        <f t="shared" si="29"/>
        <v/>
      </c>
      <c r="K186" s="1" t="str">
        <f t="shared" si="30"/>
        <v/>
      </c>
      <c r="L186" s="1" t="str">
        <f t="shared" si="31"/>
        <v/>
      </c>
    </row>
    <row r="187" spans="1:12">
      <c r="A187" t="s">
        <v>142</v>
      </c>
      <c r="B187">
        <v>10</v>
      </c>
      <c r="C187" t="str">
        <f t="shared" si="25"/>
        <v>test.Class11_10_</v>
      </c>
      <c r="D187">
        <v>21</v>
      </c>
      <c r="E187">
        <v>0.58620689655172409</v>
      </c>
      <c r="F187">
        <v>0.18092133482027967</v>
      </c>
      <c r="G187" s="1">
        <f t="shared" si="26"/>
        <v>0.58620689655172409</v>
      </c>
      <c r="H187" s="1" t="str">
        <f t="shared" si="27"/>
        <v/>
      </c>
      <c r="I187" s="1" t="str">
        <f t="shared" si="28"/>
        <v/>
      </c>
      <c r="J187" s="1" t="str">
        <f t="shared" si="29"/>
        <v/>
      </c>
      <c r="K187" s="1" t="str">
        <f t="shared" si="30"/>
        <v/>
      </c>
      <c r="L187" s="1" t="str">
        <f t="shared" si="31"/>
        <v/>
      </c>
    </row>
    <row r="188" spans="1:12">
      <c r="A188" t="s">
        <v>142</v>
      </c>
      <c r="B188">
        <v>10</v>
      </c>
      <c r="C188" t="str">
        <f t="shared" si="25"/>
        <v>test.Class11_10_</v>
      </c>
      <c r="D188">
        <v>22</v>
      </c>
      <c r="E188">
        <v>0.58620689655172409</v>
      </c>
      <c r="F188">
        <v>0.18581110062623316</v>
      </c>
      <c r="G188" s="1">
        <f t="shared" si="26"/>
        <v>0.58620689655172409</v>
      </c>
      <c r="H188" s="1" t="str">
        <f t="shared" si="27"/>
        <v/>
      </c>
      <c r="I188" s="1" t="str">
        <f t="shared" si="28"/>
        <v/>
      </c>
      <c r="J188" s="1" t="str">
        <f t="shared" si="29"/>
        <v/>
      </c>
      <c r="K188" s="1" t="str">
        <f t="shared" si="30"/>
        <v/>
      </c>
      <c r="L188" s="1" t="str">
        <f t="shared" si="31"/>
        <v/>
      </c>
    </row>
    <row r="189" spans="1:12">
      <c r="A189" t="s">
        <v>142</v>
      </c>
      <c r="B189">
        <v>10</v>
      </c>
      <c r="C189" t="str">
        <f t="shared" si="25"/>
        <v>test.Class11_10_</v>
      </c>
      <c r="D189">
        <v>23</v>
      </c>
      <c r="E189">
        <v>0.77093596059113301</v>
      </c>
      <c r="F189">
        <v>0.22587286608904522</v>
      </c>
      <c r="G189" s="1" t="str">
        <f t="shared" si="26"/>
        <v/>
      </c>
      <c r="H189" s="1">
        <f t="shared" si="27"/>
        <v>0.77093596059113301</v>
      </c>
      <c r="I189" s="1" t="str">
        <f t="shared" si="28"/>
        <v/>
      </c>
      <c r="J189" s="1" t="str">
        <f t="shared" si="29"/>
        <v/>
      </c>
      <c r="K189" s="1" t="str">
        <f t="shared" si="30"/>
        <v/>
      </c>
      <c r="L189" s="1" t="str">
        <f t="shared" si="31"/>
        <v/>
      </c>
    </row>
    <row r="190" spans="1:12">
      <c r="A190" t="s">
        <v>142</v>
      </c>
      <c r="B190">
        <v>10</v>
      </c>
      <c r="C190" t="str">
        <f t="shared" si="25"/>
        <v>test.Class11_10_</v>
      </c>
      <c r="D190">
        <v>24</v>
      </c>
      <c r="E190">
        <v>0.77093596059113301</v>
      </c>
      <c r="F190">
        <v>0.22638757827914557</v>
      </c>
      <c r="G190" s="1" t="str">
        <f t="shared" si="26"/>
        <v/>
      </c>
      <c r="H190" s="1">
        <f t="shared" si="27"/>
        <v>0.77093596059113301</v>
      </c>
      <c r="I190" s="1" t="str">
        <f t="shared" si="28"/>
        <v/>
      </c>
      <c r="J190" s="1" t="str">
        <f t="shared" si="29"/>
        <v/>
      </c>
      <c r="K190" s="1" t="str">
        <f t="shared" si="30"/>
        <v/>
      </c>
      <c r="L190" s="1" t="str">
        <f t="shared" si="31"/>
        <v/>
      </c>
    </row>
    <row r="191" spans="1:12">
      <c r="A191" t="s">
        <v>142</v>
      </c>
      <c r="B191">
        <v>10</v>
      </c>
      <c r="C191" t="str">
        <f t="shared" si="25"/>
        <v>test.Class11_10_</v>
      </c>
      <c r="D191">
        <v>25</v>
      </c>
      <c r="E191">
        <v>0.77093596059113301</v>
      </c>
      <c r="F191">
        <v>0.22818907094449686</v>
      </c>
      <c r="G191" s="1" t="str">
        <f t="shared" si="26"/>
        <v/>
      </c>
      <c r="H191" s="1">
        <f t="shared" si="27"/>
        <v>0.77093596059113301</v>
      </c>
      <c r="I191" s="1" t="str">
        <f t="shared" si="28"/>
        <v/>
      </c>
      <c r="J191" s="1" t="str">
        <f t="shared" si="29"/>
        <v/>
      </c>
      <c r="K191" s="1" t="str">
        <f t="shared" si="30"/>
        <v/>
      </c>
      <c r="L191" s="1" t="str">
        <f t="shared" si="31"/>
        <v/>
      </c>
    </row>
    <row r="192" spans="1:12">
      <c r="A192" t="s">
        <v>142</v>
      </c>
      <c r="B192">
        <v>10</v>
      </c>
      <c r="C192" t="str">
        <f t="shared" si="25"/>
        <v>test.Class11_10_</v>
      </c>
      <c r="D192">
        <v>26</v>
      </c>
      <c r="E192">
        <v>0.77093596059113301</v>
      </c>
      <c r="F192">
        <v>0.23359354894055073</v>
      </c>
      <c r="G192" s="1" t="str">
        <f t="shared" si="26"/>
        <v/>
      </c>
      <c r="H192" s="1">
        <f t="shared" si="27"/>
        <v>0.77093596059113301</v>
      </c>
      <c r="I192" s="1" t="str">
        <f t="shared" si="28"/>
        <v/>
      </c>
      <c r="J192" s="1" t="str">
        <f t="shared" si="29"/>
        <v/>
      </c>
      <c r="K192" s="1" t="str">
        <f t="shared" si="30"/>
        <v/>
      </c>
      <c r="L192" s="1" t="str">
        <f t="shared" si="31"/>
        <v/>
      </c>
    </row>
    <row r="193" spans="1:12">
      <c r="A193" t="s">
        <v>142</v>
      </c>
      <c r="B193">
        <v>10</v>
      </c>
      <c r="C193" t="str">
        <f t="shared" si="25"/>
        <v>test.Class11_10_</v>
      </c>
      <c r="D193">
        <v>27</v>
      </c>
      <c r="E193">
        <v>0.77093596059113301</v>
      </c>
      <c r="F193">
        <v>0.23942695376168827</v>
      </c>
      <c r="G193" s="1" t="str">
        <f t="shared" si="26"/>
        <v/>
      </c>
      <c r="H193" s="1">
        <f t="shared" si="27"/>
        <v>0.77093596059113301</v>
      </c>
      <c r="I193" s="1" t="str">
        <f t="shared" si="28"/>
        <v/>
      </c>
      <c r="J193" s="1" t="str">
        <f t="shared" si="29"/>
        <v/>
      </c>
      <c r="K193" s="1" t="str">
        <f t="shared" si="30"/>
        <v/>
      </c>
      <c r="L193" s="1" t="str">
        <f t="shared" si="31"/>
        <v/>
      </c>
    </row>
    <row r="194" spans="1:12">
      <c r="A194" t="s">
        <v>142</v>
      </c>
      <c r="B194">
        <v>10</v>
      </c>
      <c r="C194" t="str">
        <f t="shared" si="25"/>
        <v>test.Class11_10_</v>
      </c>
      <c r="D194">
        <v>28</v>
      </c>
      <c r="E194">
        <v>0.77093596059113301</v>
      </c>
      <c r="F194">
        <v>0.24328729518744102</v>
      </c>
      <c r="G194" s="1" t="str">
        <f t="shared" si="26"/>
        <v/>
      </c>
      <c r="H194" s="1">
        <f t="shared" si="27"/>
        <v>0.77093596059113301</v>
      </c>
      <c r="I194" s="1" t="str">
        <f t="shared" si="28"/>
        <v/>
      </c>
      <c r="J194" s="1" t="str">
        <f t="shared" si="29"/>
        <v/>
      </c>
      <c r="K194" s="1" t="str">
        <f t="shared" si="30"/>
        <v/>
      </c>
      <c r="L194" s="1" t="str">
        <f t="shared" si="31"/>
        <v/>
      </c>
    </row>
    <row r="195" spans="1:12">
      <c r="A195" t="s">
        <v>142</v>
      </c>
      <c r="B195">
        <v>10</v>
      </c>
      <c r="C195" t="str">
        <f t="shared" ref="C195:C258" si="32">CONCATENATE(A195, "_",B195,"_")</f>
        <v>test.Class11_10_</v>
      </c>
      <c r="D195">
        <v>29</v>
      </c>
      <c r="E195">
        <v>0.77093596059113301</v>
      </c>
      <c r="F195">
        <v>0.2438020073775414</v>
      </c>
      <c r="G195" s="1" t="str">
        <f t="shared" ref="G195:G258" si="33">IF($F195 &lt;= 0.2,$E195,"")</f>
        <v/>
      </c>
      <c r="H195" s="1">
        <f t="shared" ref="H195:H258" si="34">IF(AND($F195 &gt; 0.2,$F195 &lt;= 0.4),$E195,"")</f>
        <v>0.77093596059113301</v>
      </c>
      <c r="I195" s="1" t="str">
        <f t="shared" ref="I195:I258" si="35">IF(AND($F195 &gt; 0.4,$F195 &lt;= 0.6),$E195,"")</f>
        <v/>
      </c>
      <c r="J195" s="1" t="str">
        <f t="shared" ref="J195:J258" si="36">IF(AND($F195 &gt; 0.6,$F195 &lt;= 0.8),$E195,"")</f>
        <v/>
      </c>
      <c r="K195" s="1" t="str">
        <f t="shared" ref="K195:K258" si="37">IF(AND($F195 &gt; 0.8, $F195 &lt;=1.1),$E195,"")</f>
        <v/>
      </c>
      <c r="L195" s="1" t="str">
        <f t="shared" ref="L195:L258" si="38">IF(AND($F195 &gt; 1.1),$E195,"")</f>
        <v/>
      </c>
    </row>
    <row r="196" spans="1:12">
      <c r="A196" t="s">
        <v>142</v>
      </c>
      <c r="B196">
        <v>10</v>
      </c>
      <c r="C196" t="str">
        <f t="shared" si="32"/>
        <v>test.Class11_10_</v>
      </c>
      <c r="D196">
        <v>30</v>
      </c>
      <c r="E196">
        <v>0.77093596059113301</v>
      </c>
      <c r="F196">
        <v>0.25392468044951533</v>
      </c>
      <c r="G196" s="1" t="str">
        <f t="shared" si="33"/>
        <v/>
      </c>
      <c r="H196" s="1">
        <f t="shared" si="34"/>
        <v>0.77093596059113301</v>
      </c>
      <c r="I196" s="1" t="str">
        <f t="shared" si="35"/>
        <v/>
      </c>
      <c r="J196" s="1" t="str">
        <f t="shared" si="36"/>
        <v/>
      </c>
      <c r="K196" s="1" t="str">
        <f t="shared" si="37"/>
        <v/>
      </c>
      <c r="L196" s="1" t="str">
        <f t="shared" si="38"/>
        <v/>
      </c>
    </row>
    <row r="197" spans="1:12">
      <c r="A197" t="s">
        <v>142</v>
      </c>
      <c r="B197">
        <v>10</v>
      </c>
      <c r="C197" t="str">
        <f t="shared" si="32"/>
        <v>test.Class11_10_</v>
      </c>
      <c r="D197">
        <v>31</v>
      </c>
      <c r="E197">
        <v>1</v>
      </c>
      <c r="F197">
        <v>0.2873809728060393</v>
      </c>
      <c r="G197" s="1" t="str">
        <f t="shared" si="33"/>
        <v/>
      </c>
      <c r="H197" s="1">
        <f t="shared" si="34"/>
        <v>1</v>
      </c>
      <c r="I197" s="1" t="str">
        <f t="shared" si="35"/>
        <v/>
      </c>
      <c r="J197" s="1" t="str">
        <f t="shared" si="36"/>
        <v/>
      </c>
      <c r="K197" s="1" t="str">
        <f t="shared" si="37"/>
        <v/>
      </c>
      <c r="L197" s="1" t="str">
        <f t="shared" si="38"/>
        <v/>
      </c>
    </row>
    <row r="198" spans="1:12">
      <c r="A198" t="s">
        <v>142</v>
      </c>
      <c r="B198">
        <v>10</v>
      </c>
      <c r="C198" t="str">
        <f t="shared" si="32"/>
        <v>test.Class11_10_</v>
      </c>
      <c r="D198">
        <v>32</v>
      </c>
      <c r="E198">
        <v>1</v>
      </c>
      <c r="F198">
        <v>0.30702582139487006</v>
      </c>
      <c r="G198" s="1" t="str">
        <f t="shared" si="33"/>
        <v/>
      </c>
      <c r="H198" s="1">
        <f t="shared" si="34"/>
        <v>1</v>
      </c>
      <c r="I198" s="1" t="str">
        <f t="shared" si="35"/>
        <v/>
      </c>
      <c r="J198" s="1" t="str">
        <f t="shared" si="36"/>
        <v/>
      </c>
      <c r="K198" s="1" t="str">
        <f t="shared" si="37"/>
        <v/>
      </c>
      <c r="L198" s="1" t="str">
        <f t="shared" si="38"/>
        <v/>
      </c>
    </row>
    <row r="199" spans="1:12">
      <c r="A199" t="s">
        <v>142</v>
      </c>
      <c r="B199">
        <v>11</v>
      </c>
      <c r="C199" t="str">
        <f t="shared" si="32"/>
        <v>test.Class11_11_</v>
      </c>
      <c r="D199">
        <v>1</v>
      </c>
      <c r="E199">
        <v>5.208333333333333E-3</v>
      </c>
      <c r="F199">
        <v>2.1186440677966101E-2</v>
      </c>
      <c r="G199" s="1">
        <f t="shared" si="33"/>
        <v>5.208333333333333E-3</v>
      </c>
      <c r="H199" s="1" t="str">
        <f t="shared" si="34"/>
        <v/>
      </c>
      <c r="I199" s="1" t="str">
        <f t="shared" si="35"/>
        <v/>
      </c>
      <c r="J199" s="1" t="str">
        <f t="shared" si="36"/>
        <v/>
      </c>
      <c r="K199" s="1" t="str">
        <f t="shared" si="37"/>
        <v/>
      </c>
      <c r="L199" s="1" t="str">
        <f t="shared" si="38"/>
        <v/>
      </c>
    </row>
    <row r="200" spans="1:12">
      <c r="A200" t="s">
        <v>142</v>
      </c>
      <c r="B200">
        <v>11</v>
      </c>
      <c r="C200" t="str">
        <f t="shared" si="32"/>
        <v>test.Class11_11_</v>
      </c>
      <c r="D200">
        <v>2</v>
      </c>
      <c r="E200">
        <v>0.38541666666666669</v>
      </c>
      <c r="F200">
        <v>0.41602465331278893</v>
      </c>
      <c r="G200" s="1" t="str">
        <f t="shared" si="33"/>
        <v/>
      </c>
      <c r="H200" s="1" t="str">
        <f t="shared" si="34"/>
        <v/>
      </c>
      <c r="I200" s="1">
        <f t="shared" si="35"/>
        <v>0.38541666666666669</v>
      </c>
      <c r="J200" s="1" t="str">
        <f t="shared" si="36"/>
        <v/>
      </c>
      <c r="K200" s="1" t="str">
        <f t="shared" si="37"/>
        <v/>
      </c>
      <c r="L200" s="1" t="str">
        <f t="shared" si="38"/>
        <v/>
      </c>
    </row>
    <row r="201" spans="1:12">
      <c r="A201" t="s">
        <v>142</v>
      </c>
      <c r="B201">
        <v>11</v>
      </c>
      <c r="C201" t="str">
        <f t="shared" si="32"/>
        <v>test.Class11_11_</v>
      </c>
      <c r="D201">
        <v>3</v>
      </c>
      <c r="E201">
        <v>0.41666666666666669</v>
      </c>
      <c r="F201">
        <v>0.43046995377503849</v>
      </c>
      <c r="G201" s="1" t="str">
        <f t="shared" si="33"/>
        <v/>
      </c>
      <c r="H201" s="1" t="str">
        <f t="shared" si="34"/>
        <v/>
      </c>
      <c r="I201" s="1">
        <f t="shared" si="35"/>
        <v>0.41666666666666669</v>
      </c>
      <c r="J201" s="1" t="str">
        <f t="shared" si="36"/>
        <v/>
      </c>
      <c r="K201" s="1" t="str">
        <f t="shared" si="37"/>
        <v/>
      </c>
      <c r="L201" s="1" t="str">
        <f t="shared" si="38"/>
        <v/>
      </c>
    </row>
    <row r="202" spans="1:12">
      <c r="A202" t="s">
        <v>142</v>
      </c>
      <c r="B202">
        <v>11</v>
      </c>
      <c r="C202" t="str">
        <f t="shared" si="32"/>
        <v>test.Class11_11_</v>
      </c>
      <c r="D202">
        <v>4</v>
      </c>
      <c r="E202">
        <v>0.55729166666666663</v>
      </c>
      <c r="F202">
        <v>0.51290446841294302</v>
      </c>
      <c r="G202" s="1" t="str">
        <f t="shared" si="33"/>
        <v/>
      </c>
      <c r="H202" s="1" t="str">
        <f t="shared" si="34"/>
        <v/>
      </c>
      <c r="I202" s="1">
        <f t="shared" si="35"/>
        <v>0.55729166666666663</v>
      </c>
      <c r="J202" s="1" t="str">
        <f t="shared" si="36"/>
        <v/>
      </c>
      <c r="K202" s="1" t="str">
        <f t="shared" si="37"/>
        <v/>
      </c>
      <c r="L202" s="1" t="str">
        <f t="shared" si="38"/>
        <v/>
      </c>
    </row>
    <row r="203" spans="1:12">
      <c r="A203" t="s">
        <v>142</v>
      </c>
      <c r="B203">
        <v>11</v>
      </c>
      <c r="C203" t="str">
        <f t="shared" si="32"/>
        <v>test.Class11_11_</v>
      </c>
      <c r="D203">
        <v>5</v>
      </c>
      <c r="E203">
        <v>0.69791666666666663</v>
      </c>
      <c r="F203">
        <v>0.53389830508474578</v>
      </c>
      <c r="G203" s="1" t="str">
        <f t="shared" si="33"/>
        <v/>
      </c>
      <c r="H203" s="1" t="str">
        <f t="shared" si="34"/>
        <v/>
      </c>
      <c r="I203" s="1">
        <f t="shared" si="35"/>
        <v>0.69791666666666663</v>
      </c>
      <c r="J203" s="1" t="str">
        <f t="shared" si="36"/>
        <v/>
      </c>
      <c r="K203" s="1" t="str">
        <f t="shared" si="37"/>
        <v/>
      </c>
      <c r="L203" s="1" t="str">
        <f t="shared" si="38"/>
        <v/>
      </c>
    </row>
    <row r="204" spans="1:12">
      <c r="A204" t="s">
        <v>142</v>
      </c>
      <c r="B204">
        <v>11</v>
      </c>
      <c r="C204" t="str">
        <f t="shared" si="32"/>
        <v>test.Class11_11_</v>
      </c>
      <c r="D204">
        <v>6</v>
      </c>
      <c r="E204">
        <v>0.69791666666666663</v>
      </c>
      <c r="F204">
        <v>0.54738058551617874</v>
      </c>
      <c r="G204" s="1" t="str">
        <f t="shared" si="33"/>
        <v/>
      </c>
      <c r="H204" s="1" t="str">
        <f t="shared" si="34"/>
        <v/>
      </c>
      <c r="I204" s="1">
        <f t="shared" si="35"/>
        <v>0.69791666666666663</v>
      </c>
      <c r="J204" s="1" t="str">
        <f t="shared" si="36"/>
        <v/>
      </c>
      <c r="K204" s="1" t="str">
        <f t="shared" si="37"/>
        <v/>
      </c>
      <c r="L204" s="1" t="str">
        <f t="shared" si="38"/>
        <v/>
      </c>
    </row>
    <row r="205" spans="1:12">
      <c r="A205" t="s">
        <v>142</v>
      </c>
      <c r="B205">
        <v>11</v>
      </c>
      <c r="C205" t="str">
        <f t="shared" si="32"/>
        <v>test.Class11_11_</v>
      </c>
      <c r="D205">
        <v>7</v>
      </c>
      <c r="E205">
        <v>0.83854166666666663</v>
      </c>
      <c r="F205">
        <v>0.55392912172573194</v>
      </c>
      <c r="G205" s="1" t="str">
        <f t="shared" si="33"/>
        <v/>
      </c>
      <c r="H205" s="1" t="str">
        <f t="shared" si="34"/>
        <v/>
      </c>
      <c r="I205" s="1">
        <f t="shared" si="35"/>
        <v>0.83854166666666663</v>
      </c>
      <c r="J205" s="1" t="str">
        <f t="shared" si="36"/>
        <v/>
      </c>
      <c r="K205" s="1" t="str">
        <f t="shared" si="37"/>
        <v/>
      </c>
      <c r="L205" s="1" t="str">
        <f t="shared" si="38"/>
        <v/>
      </c>
    </row>
    <row r="206" spans="1:12">
      <c r="A206" t="s">
        <v>142</v>
      </c>
      <c r="B206">
        <v>11</v>
      </c>
      <c r="C206" t="str">
        <f t="shared" si="32"/>
        <v>test.Class11_11_</v>
      </c>
      <c r="D206">
        <v>8</v>
      </c>
      <c r="E206">
        <v>0.83854166666666663</v>
      </c>
      <c r="F206">
        <v>0.55412172573189522</v>
      </c>
      <c r="G206" s="1" t="str">
        <f t="shared" si="33"/>
        <v/>
      </c>
      <c r="H206" s="1" t="str">
        <f t="shared" si="34"/>
        <v/>
      </c>
      <c r="I206" s="1">
        <f t="shared" si="35"/>
        <v>0.83854166666666663</v>
      </c>
      <c r="J206" s="1" t="str">
        <f t="shared" si="36"/>
        <v/>
      </c>
      <c r="K206" s="1" t="str">
        <f t="shared" si="37"/>
        <v/>
      </c>
      <c r="L206" s="1" t="str">
        <f t="shared" si="38"/>
        <v/>
      </c>
    </row>
    <row r="207" spans="1:12">
      <c r="A207" t="s">
        <v>142</v>
      </c>
      <c r="B207">
        <v>11</v>
      </c>
      <c r="C207" t="str">
        <f t="shared" si="32"/>
        <v>test.Class11_11_</v>
      </c>
      <c r="D207">
        <v>9</v>
      </c>
      <c r="E207">
        <v>0.83854166666666663</v>
      </c>
      <c r="F207">
        <v>0.5543143297380585</v>
      </c>
      <c r="G207" s="1" t="str">
        <f t="shared" si="33"/>
        <v/>
      </c>
      <c r="H207" s="1" t="str">
        <f t="shared" si="34"/>
        <v/>
      </c>
      <c r="I207" s="1">
        <f t="shared" si="35"/>
        <v>0.83854166666666663</v>
      </c>
      <c r="J207" s="1" t="str">
        <f t="shared" si="36"/>
        <v/>
      </c>
      <c r="K207" s="1" t="str">
        <f t="shared" si="37"/>
        <v/>
      </c>
      <c r="L207" s="1" t="str">
        <f t="shared" si="38"/>
        <v/>
      </c>
    </row>
    <row r="208" spans="1:12">
      <c r="A208" t="s">
        <v>142</v>
      </c>
      <c r="B208">
        <v>11</v>
      </c>
      <c r="C208" t="str">
        <f t="shared" si="32"/>
        <v>test.Class11_11_</v>
      </c>
      <c r="D208">
        <v>10</v>
      </c>
      <c r="E208">
        <v>0.97916666666666663</v>
      </c>
      <c r="F208">
        <v>0.55835901386748843</v>
      </c>
      <c r="G208" s="1" t="str">
        <f t="shared" si="33"/>
        <v/>
      </c>
      <c r="H208" s="1" t="str">
        <f t="shared" si="34"/>
        <v/>
      </c>
      <c r="I208" s="1">
        <f t="shared" si="35"/>
        <v>0.97916666666666663</v>
      </c>
      <c r="J208" s="1" t="str">
        <f t="shared" si="36"/>
        <v/>
      </c>
      <c r="K208" s="1" t="str">
        <f t="shared" si="37"/>
        <v/>
      </c>
      <c r="L208" s="1" t="str">
        <f t="shared" si="38"/>
        <v/>
      </c>
    </row>
    <row r="209" spans="1:12">
      <c r="A209" t="s">
        <v>142</v>
      </c>
      <c r="B209">
        <v>11</v>
      </c>
      <c r="C209" t="str">
        <f t="shared" si="32"/>
        <v>test.Class11_11_</v>
      </c>
      <c r="D209">
        <v>11</v>
      </c>
      <c r="E209">
        <v>0.97916666666666663</v>
      </c>
      <c r="F209">
        <v>0.57299691833590138</v>
      </c>
      <c r="G209" s="1" t="str">
        <f t="shared" si="33"/>
        <v/>
      </c>
      <c r="H209" s="1" t="str">
        <f t="shared" si="34"/>
        <v/>
      </c>
      <c r="I209" s="1">
        <f t="shared" si="35"/>
        <v>0.97916666666666663</v>
      </c>
      <c r="J209" s="1" t="str">
        <f t="shared" si="36"/>
        <v/>
      </c>
      <c r="K209" s="1" t="str">
        <f t="shared" si="37"/>
        <v/>
      </c>
      <c r="L209" s="1" t="str">
        <f t="shared" si="38"/>
        <v/>
      </c>
    </row>
    <row r="210" spans="1:12">
      <c r="A210" t="s">
        <v>142</v>
      </c>
      <c r="B210">
        <v>11</v>
      </c>
      <c r="C210" t="str">
        <f t="shared" si="32"/>
        <v>test.Class11_11_</v>
      </c>
      <c r="D210">
        <v>12</v>
      </c>
      <c r="E210">
        <v>1</v>
      </c>
      <c r="F210">
        <v>0.98401386748844377</v>
      </c>
      <c r="G210" s="1" t="str">
        <f t="shared" si="33"/>
        <v/>
      </c>
      <c r="H210" s="1" t="str">
        <f t="shared" si="34"/>
        <v/>
      </c>
      <c r="I210" s="1" t="str">
        <f t="shared" si="35"/>
        <v/>
      </c>
      <c r="J210" s="1" t="str">
        <f t="shared" si="36"/>
        <v/>
      </c>
      <c r="K210" s="1">
        <f t="shared" si="37"/>
        <v>1</v>
      </c>
      <c r="L210" s="1" t="str">
        <f t="shared" si="38"/>
        <v/>
      </c>
    </row>
    <row r="211" spans="1:12">
      <c r="A211" t="s">
        <v>142</v>
      </c>
      <c r="B211">
        <v>11</v>
      </c>
      <c r="C211" t="str">
        <f t="shared" si="32"/>
        <v>test.Class11_11_</v>
      </c>
      <c r="D211">
        <v>13</v>
      </c>
      <c r="E211">
        <v>1</v>
      </c>
      <c r="F211">
        <v>1.0175269645608629</v>
      </c>
      <c r="G211" s="1" t="str">
        <f t="shared" si="33"/>
        <v/>
      </c>
      <c r="H211" s="1" t="str">
        <f t="shared" si="34"/>
        <v/>
      </c>
      <c r="I211" s="1" t="str">
        <f t="shared" si="35"/>
        <v/>
      </c>
      <c r="J211" s="1" t="str">
        <f t="shared" si="36"/>
        <v/>
      </c>
      <c r="K211" s="1">
        <f t="shared" si="37"/>
        <v>1</v>
      </c>
      <c r="L211" s="1" t="str">
        <f t="shared" si="38"/>
        <v/>
      </c>
    </row>
    <row r="212" spans="1:12">
      <c r="A212" t="s">
        <v>142</v>
      </c>
      <c r="B212">
        <v>12</v>
      </c>
      <c r="C212" t="str">
        <f t="shared" si="32"/>
        <v>test.Class11_12_</v>
      </c>
      <c r="D212">
        <v>1</v>
      </c>
      <c r="E212">
        <v>8.4745762711864406E-3</v>
      </c>
      <c r="F212">
        <v>2.9203811865969875E-2</v>
      </c>
      <c r="G212" s="1">
        <f t="shared" si="33"/>
        <v>8.4745762711864406E-3</v>
      </c>
      <c r="H212" s="1" t="str">
        <f t="shared" si="34"/>
        <v/>
      </c>
      <c r="I212" s="1" t="str">
        <f t="shared" si="35"/>
        <v/>
      </c>
      <c r="J212" s="1" t="str">
        <f t="shared" si="36"/>
        <v/>
      </c>
      <c r="K212" s="1" t="str">
        <f t="shared" si="37"/>
        <v/>
      </c>
      <c r="L212" s="1" t="str">
        <f t="shared" si="38"/>
        <v/>
      </c>
    </row>
    <row r="213" spans="1:12">
      <c r="A213" t="s">
        <v>142</v>
      </c>
      <c r="B213">
        <v>12</v>
      </c>
      <c r="C213" t="str">
        <f t="shared" si="32"/>
        <v>test.Class11_12_</v>
      </c>
      <c r="D213">
        <v>2</v>
      </c>
      <c r="E213">
        <v>0.52542372881355937</v>
      </c>
      <c r="F213">
        <v>0.61912081155856136</v>
      </c>
      <c r="G213" s="1" t="str">
        <f t="shared" si="33"/>
        <v/>
      </c>
      <c r="H213" s="1" t="str">
        <f t="shared" si="34"/>
        <v/>
      </c>
      <c r="I213" s="1" t="str">
        <f t="shared" si="35"/>
        <v/>
      </c>
      <c r="J213" s="1">
        <f t="shared" si="36"/>
        <v>0.52542372881355937</v>
      </c>
      <c r="K213" s="1" t="str">
        <f t="shared" si="37"/>
        <v/>
      </c>
      <c r="L213" s="1" t="str">
        <f t="shared" si="38"/>
        <v/>
      </c>
    </row>
    <row r="214" spans="1:12">
      <c r="A214" t="s">
        <v>142</v>
      </c>
      <c r="B214">
        <v>12</v>
      </c>
      <c r="C214" t="str">
        <f t="shared" si="32"/>
        <v>test.Class11_12_</v>
      </c>
      <c r="D214">
        <v>3</v>
      </c>
      <c r="E214">
        <v>0.55932203389830504</v>
      </c>
      <c r="F214">
        <v>0.65785428834921611</v>
      </c>
      <c r="G214" s="1" t="str">
        <f t="shared" si="33"/>
        <v/>
      </c>
      <c r="H214" s="1" t="str">
        <f t="shared" si="34"/>
        <v/>
      </c>
      <c r="I214" s="1" t="str">
        <f t="shared" si="35"/>
        <v/>
      </c>
      <c r="J214" s="1">
        <f t="shared" si="36"/>
        <v>0.55932203389830504</v>
      </c>
      <c r="K214" s="1" t="str">
        <f t="shared" si="37"/>
        <v/>
      </c>
      <c r="L214" s="1" t="str">
        <f t="shared" si="38"/>
        <v/>
      </c>
    </row>
    <row r="215" spans="1:12">
      <c r="A215" t="s">
        <v>142</v>
      </c>
      <c r="B215">
        <v>12</v>
      </c>
      <c r="C215" t="str">
        <f t="shared" si="32"/>
        <v>test.Class11_12_</v>
      </c>
      <c r="D215">
        <v>4</v>
      </c>
      <c r="E215">
        <v>0.59322033898305082</v>
      </c>
      <c r="F215">
        <v>0.69351367968029509</v>
      </c>
      <c r="G215" s="1" t="str">
        <f t="shared" si="33"/>
        <v/>
      </c>
      <c r="H215" s="1" t="str">
        <f t="shared" si="34"/>
        <v/>
      </c>
      <c r="I215" s="1" t="str">
        <f t="shared" si="35"/>
        <v/>
      </c>
      <c r="J215" s="1">
        <f t="shared" si="36"/>
        <v>0.59322033898305082</v>
      </c>
      <c r="K215" s="1" t="str">
        <f t="shared" si="37"/>
        <v/>
      </c>
      <c r="L215" s="1" t="str">
        <f t="shared" si="38"/>
        <v/>
      </c>
    </row>
    <row r="216" spans="1:12">
      <c r="A216" t="s">
        <v>142</v>
      </c>
      <c r="B216">
        <v>12</v>
      </c>
      <c r="C216" t="str">
        <f t="shared" si="32"/>
        <v>test.Class11_12_</v>
      </c>
      <c r="D216">
        <v>5</v>
      </c>
      <c r="E216">
        <v>0.71186440677966101</v>
      </c>
      <c r="F216">
        <v>0.72763602828158624</v>
      </c>
      <c r="G216" s="1" t="str">
        <f t="shared" si="33"/>
        <v/>
      </c>
      <c r="H216" s="1" t="str">
        <f t="shared" si="34"/>
        <v/>
      </c>
      <c r="I216" s="1" t="str">
        <f t="shared" si="35"/>
        <v/>
      </c>
      <c r="J216" s="1">
        <f t="shared" si="36"/>
        <v>0.71186440677966101</v>
      </c>
      <c r="K216" s="1" t="str">
        <f t="shared" si="37"/>
        <v/>
      </c>
      <c r="L216" s="1" t="str">
        <f t="shared" si="38"/>
        <v/>
      </c>
    </row>
    <row r="217" spans="1:12">
      <c r="A217" t="s">
        <v>142</v>
      </c>
      <c r="B217">
        <v>12</v>
      </c>
      <c r="C217" t="str">
        <f t="shared" si="32"/>
        <v>test.Class11_12_</v>
      </c>
      <c r="D217">
        <v>6</v>
      </c>
      <c r="E217">
        <v>0.88983050847457623</v>
      </c>
      <c r="F217">
        <v>0.74700276667691357</v>
      </c>
      <c r="G217" s="1" t="str">
        <f t="shared" si="33"/>
        <v/>
      </c>
      <c r="H217" s="1" t="str">
        <f t="shared" si="34"/>
        <v/>
      </c>
      <c r="I217" s="1" t="str">
        <f t="shared" si="35"/>
        <v/>
      </c>
      <c r="J217" s="1">
        <f t="shared" si="36"/>
        <v>0.88983050847457623</v>
      </c>
      <c r="K217" s="1" t="str">
        <f t="shared" si="37"/>
        <v/>
      </c>
      <c r="L217" s="1" t="str">
        <f t="shared" si="38"/>
        <v/>
      </c>
    </row>
    <row r="218" spans="1:12">
      <c r="A218" t="s">
        <v>142</v>
      </c>
      <c r="B218">
        <v>12</v>
      </c>
      <c r="C218" t="str">
        <f t="shared" si="32"/>
        <v>test.Class11_12_</v>
      </c>
      <c r="D218">
        <v>7</v>
      </c>
      <c r="E218">
        <v>1</v>
      </c>
      <c r="F218">
        <v>0.74976944359053177</v>
      </c>
      <c r="G218" s="1" t="str">
        <f t="shared" si="33"/>
        <v/>
      </c>
      <c r="H218" s="1" t="str">
        <f t="shared" si="34"/>
        <v/>
      </c>
      <c r="I218" s="1" t="str">
        <f t="shared" si="35"/>
        <v/>
      </c>
      <c r="J218" s="1">
        <f t="shared" si="36"/>
        <v>1</v>
      </c>
      <c r="K218" s="1" t="str">
        <f t="shared" si="37"/>
        <v/>
      </c>
      <c r="L218" s="1" t="str">
        <f t="shared" si="38"/>
        <v/>
      </c>
    </row>
    <row r="219" spans="1:12">
      <c r="A219" t="s">
        <v>142</v>
      </c>
      <c r="B219">
        <v>12</v>
      </c>
      <c r="C219" t="str">
        <f t="shared" si="32"/>
        <v>test.Class11_12_</v>
      </c>
      <c r="D219">
        <v>8</v>
      </c>
      <c r="E219">
        <v>1</v>
      </c>
      <c r="F219">
        <v>0.78389179219182292</v>
      </c>
      <c r="G219" s="1" t="str">
        <f t="shared" si="33"/>
        <v/>
      </c>
      <c r="H219" s="1" t="str">
        <f t="shared" si="34"/>
        <v/>
      </c>
      <c r="I219" s="1" t="str">
        <f t="shared" si="35"/>
        <v/>
      </c>
      <c r="J219" s="1">
        <f t="shared" si="36"/>
        <v>1</v>
      </c>
      <c r="K219" s="1" t="str">
        <f t="shared" si="37"/>
        <v/>
      </c>
      <c r="L219" s="1" t="str">
        <f t="shared" si="38"/>
        <v/>
      </c>
    </row>
    <row r="220" spans="1:12">
      <c r="A220" t="s">
        <v>142</v>
      </c>
      <c r="B220">
        <v>12</v>
      </c>
      <c r="C220" t="str">
        <f t="shared" si="32"/>
        <v>test.Class11_12_</v>
      </c>
      <c r="D220">
        <v>9</v>
      </c>
      <c r="E220">
        <v>1</v>
      </c>
      <c r="F220">
        <v>0.79680295112204125</v>
      </c>
      <c r="G220" s="1" t="str">
        <f t="shared" si="33"/>
        <v/>
      </c>
      <c r="H220" s="1" t="str">
        <f t="shared" si="34"/>
        <v/>
      </c>
      <c r="I220" s="1" t="str">
        <f t="shared" si="35"/>
        <v/>
      </c>
      <c r="J220" s="1">
        <f t="shared" si="36"/>
        <v>1</v>
      </c>
      <c r="K220" s="1" t="str">
        <f t="shared" si="37"/>
        <v/>
      </c>
      <c r="L220" s="1" t="str">
        <f t="shared" si="38"/>
        <v/>
      </c>
    </row>
    <row r="221" spans="1:12">
      <c r="A221" t="s">
        <v>142</v>
      </c>
      <c r="B221">
        <v>12</v>
      </c>
      <c r="C221" t="str">
        <f t="shared" si="32"/>
        <v>test.Class11_12_</v>
      </c>
      <c r="D221">
        <v>10</v>
      </c>
      <c r="E221">
        <v>1</v>
      </c>
      <c r="F221">
        <v>0.80971411005225946</v>
      </c>
      <c r="G221" s="1" t="str">
        <f t="shared" si="33"/>
        <v/>
      </c>
      <c r="H221" s="1" t="str">
        <f t="shared" si="34"/>
        <v/>
      </c>
      <c r="I221" s="1" t="str">
        <f t="shared" si="35"/>
        <v/>
      </c>
      <c r="J221" s="1" t="str">
        <f t="shared" si="36"/>
        <v/>
      </c>
      <c r="K221" s="1">
        <f t="shared" si="37"/>
        <v>1</v>
      </c>
      <c r="L221" s="1" t="str">
        <f t="shared" si="38"/>
        <v/>
      </c>
    </row>
    <row r="222" spans="1:12">
      <c r="A222" t="s">
        <v>142</v>
      </c>
      <c r="B222">
        <v>12</v>
      </c>
      <c r="C222" t="str">
        <f t="shared" si="32"/>
        <v>test.Class11_12_</v>
      </c>
      <c r="D222">
        <v>11</v>
      </c>
      <c r="E222">
        <v>1</v>
      </c>
      <c r="F222">
        <v>0.84383645865355061</v>
      </c>
      <c r="G222" s="1" t="str">
        <f t="shared" si="33"/>
        <v/>
      </c>
      <c r="H222" s="1" t="str">
        <f t="shared" si="34"/>
        <v/>
      </c>
      <c r="I222" s="1" t="str">
        <f t="shared" si="35"/>
        <v/>
      </c>
      <c r="J222" s="1" t="str">
        <f t="shared" si="36"/>
        <v/>
      </c>
      <c r="K222" s="1">
        <f t="shared" si="37"/>
        <v>1</v>
      </c>
      <c r="L222" s="1" t="str">
        <f t="shared" si="38"/>
        <v/>
      </c>
    </row>
    <row r="223" spans="1:12">
      <c r="A223" t="s">
        <v>142</v>
      </c>
      <c r="B223">
        <v>12</v>
      </c>
      <c r="C223" t="str">
        <f t="shared" si="32"/>
        <v>test.Class11_12_</v>
      </c>
      <c r="D223">
        <v>12</v>
      </c>
      <c r="E223">
        <v>1</v>
      </c>
      <c r="F223">
        <v>0.86965877651398704</v>
      </c>
      <c r="G223" s="1" t="str">
        <f t="shared" si="33"/>
        <v/>
      </c>
      <c r="H223" s="1" t="str">
        <f t="shared" si="34"/>
        <v/>
      </c>
      <c r="I223" s="1" t="str">
        <f t="shared" si="35"/>
        <v/>
      </c>
      <c r="J223" s="1" t="str">
        <f t="shared" si="36"/>
        <v/>
      </c>
      <c r="K223" s="1">
        <f t="shared" si="37"/>
        <v>1</v>
      </c>
      <c r="L223" s="1" t="str">
        <f t="shared" si="38"/>
        <v/>
      </c>
    </row>
    <row r="224" spans="1:12">
      <c r="A224" t="s">
        <v>142</v>
      </c>
      <c r="B224">
        <v>12</v>
      </c>
      <c r="C224" t="str">
        <f t="shared" si="32"/>
        <v>test.Class11_12_</v>
      </c>
      <c r="D224">
        <v>13</v>
      </c>
      <c r="E224">
        <v>1</v>
      </c>
      <c r="F224">
        <v>0.88134030126037499</v>
      </c>
      <c r="G224" s="1" t="str">
        <f t="shared" si="33"/>
        <v/>
      </c>
      <c r="H224" s="1" t="str">
        <f t="shared" si="34"/>
        <v/>
      </c>
      <c r="I224" s="1" t="str">
        <f t="shared" si="35"/>
        <v/>
      </c>
      <c r="J224" s="1" t="str">
        <f t="shared" si="36"/>
        <v/>
      </c>
      <c r="K224" s="1">
        <f t="shared" si="37"/>
        <v>1</v>
      </c>
      <c r="L224" s="1" t="str">
        <f t="shared" si="38"/>
        <v/>
      </c>
    </row>
    <row r="225" spans="1:12">
      <c r="A225" t="s">
        <v>142</v>
      </c>
      <c r="B225">
        <v>12</v>
      </c>
      <c r="C225" t="str">
        <f t="shared" si="32"/>
        <v>test.Class11_12_</v>
      </c>
      <c r="D225">
        <v>14</v>
      </c>
      <c r="E225">
        <v>1</v>
      </c>
      <c r="F225">
        <v>0.91115893021826011</v>
      </c>
      <c r="G225" s="1" t="str">
        <f t="shared" si="33"/>
        <v/>
      </c>
      <c r="H225" s="1" t="str">
        <f t="shared" si="34"/>
        <v/>
      </c>
      <c r="I225" s="1" t="str">
        <f t="shared" si="35"/>
        <v/>
      </c>
      <c r="J225" s="1" t="str">
        <f t="shared" si="36"/>
        <v/>
      </c>
      <c r="K225" s="1">
        <f t="shared" si="37"/>
        <v>1</v>
      </c>
      <c r="L225" s="1" t="str">
        <f t="shared" si="38"/>
        <v/>
      </c>
    </row>
    <row r="226" spans="1:12">
      <c r="A226" t="s">
        <v>142</v>
      </c>
      <c r="B226">
        <v>12</v>
      </c>
      <c r="C226" t="str">
        <f t="shared" si="32"/>
        <v>test.Class11_12_</v>
      </c>
      <c r="D226">
        <v>15</v>
      </c>
      <c r="E226">
        <v>1</v>
      </c>
      <c r="F226">
        <v>0.9326775284352905</v>
      </c>
      <c r="G226" s="1" t="str">
        <f t="shared" si="33"/>
        <v/>
      </c>
      <c r="H226" s="1" t="str">
        <f t="shared" si="34"/>
        <v/>
      </c>
      <c r="I226" s="1" t="str">
        <f t="shared" si="35"/>
        <v/>
      </c>
      <c r="J226" s="1" t="str">
        <f t="shared" si="36"/>
        <v/>
      </c>
      <c r="K226" s="1">
        <f t="shared" si="37"/>
        <v>1</v>
      </c>
      <c r="L226" s="1" t="str">
        <f t="shared" si="38"/>
        <v/>
      </c>
    </row>
    <row r="227" spans="1:12">
      <c r="A227" t="s">
        <v>142</v>
      </c>
      <c r="B227">
        <v>12</v>
      </c>
      <c r="C227" t="str">
        <f t="shared" si="32"/>
        <v>test.Class11_12_</v>
      </c>
      <c r="D227">
        <v>16</v>
      </c>
      <c r="E227">
        <v>1</v>
      </c>
      <c r="F227">
        <v>0.96495542576083615</v>
      </c>
      <c r="G227" s="1" t="str">
        <f t="shared" si="33"/>
        <v/>
      </c>
      <c r="H227" s="1" t="str">
        <f t="shared" si="34"/>
        <v/>
      </c>
      <c r="I227" s="1" t="str">
        <f t="shared" si="35"/>
        <v/>
      </c>
      <c r="J227" s="1" t="str">
        <f t="shared" si="36"/>
        <v/>
      </c>
      <c r="K227" s="1">
        <f t="shared" si="37"/>
        <v>1</v>
      </c>
      <c r="L227" s="1" t="str">
        <f t="shared" si="38"/>
        <v/>
      </c>
    </row>
    <row r="228" spans="1:12">
      <c r="A228" t="s">
        <v>142</v>
      </c>
      <c r="B228">
        <v>12</v>
      </c>
      <c r="C228" t="str">
        <f t="shared" si="32"/>
        <v>test.Class11_12_</v>
      </c>
      <c r="D228">
        <v>17</v>
      </c>
      <c r="E228">
        <v>1</v>
      </c>
      <c r="F228">
        <v>1.0313556716876728</v>
      </c>
      <c r="G228" s="1" t="str">
        <f t="shared" si="33"/>
        <v/>
      </c>
      <c r="H228" s="1" t="str">
        <f t="shared" si="34"/>
        <v/>
      </c>
      <c r="I228" s="1" t="str">
        <f t="shared" si="35"/>
        <v/>
      </c>
      <c r="J228" s="1" t="str">
        <f t="shared" si="36"/>
        <v/>
      </c>
      <c r="K228" s="1">
        <f t="shared" si="37"/>
        <v>1</v>
      </c>
      <c r="L228" s="1" t="str">
        <f t="shared" si="38"/>
        <v/>
      </c>
    </row>
    <row r="229" spans="1:12">
      <c r="A229" t="s">
        <v>206</v>
      </c>
      <c r="B229">
        <v>1</v>
      </c>
      <c r="C229" t="str">
        <f t="shared" si="32"/>
        <v>test.Class13_1_</v>
      </c>
      <c r="D229">
        <v>1</v>
      </c>
      <c r="E229">
        <v>0.20454545454545456</v>
      </c>
      <c r="F229">
        <v>0.40346430080270385</v>
      </c>
      <c r="G229" s="1" t="str">
        <f t="shared" si="33"/>
        <v/>
      </c>
      <c r="H229" s="1" t="str">
        <f t="shared" si="34"/>
        <v/>
      </c>
      <c r="I229" s="1">
        <f t="shared" si="35"/>
        <v>0.20454545454545456</v>
      </c>
      <c r="J229" s="1" t="str">
        <f t="shared" si="36"/>
        <v/>
      </c>
      <c r="K229" s="1" t="str">
        <f t="shared" si="37"/>
        <v/>
      </c>
      <c r="L229" s="1" t="str">
        <f t="shared" si="38"/>
        <v/>
      </c>
    </row>
    <row r="230" spans="1:12">
      <c r="A230" t="s">
        <v>206</v>
      </c>
      <c r="B230">
        <v>1</v>
      </c>
      <c r="C230" t="str">
        <f t="shared" si="32"/>
        <v>test.Class13_1_</v>
      </c>
      <c r="D230">
        <v>2</v>
      </c>
      <c r="E230">
        <v>0.38636363636363635</v>
      </c>
      <c r="F230">
        <v>0.49936628643852976</v>
      </c>
      <c r="G230" s="1" t="str">
        <f t="shared" si="33"/>
        <v/>
      </c>
      <c r="H230" s="1" t="str">
        <f t="shared" si="34"/>
        <v/>
      </c>
      <c r="I230" s="1">
        <f t="shared" si="35"/>
        <v>0.38636363636363635</v>
      </c>
      <c r="J230" s="1" t="str">
        <f t="shared" si="36"/>
        <v/>
      </c>
      <c r="K230" s="1" t="str">
        <f t="shared" si="37"/>
        <v/>
      </c>
      <c r="L230" s="1" t="str">
        <f t="shared" si="38"/>
        <v/>
      </c>
    </row>
    <row r="231" spans="1:12">
      <c r="A231" t="s">
        <v>206</v>
      </c>
      <c r="B231">
        <v>1</v>
      </c>
      <c r="C231" t="str">
        <f t="shared" si="32"/>
        <v>test.Class13_1_</v>
      </c>
      <c r="D231">
        <v>3</v>
      </c>
      <c r="E231">
        <v>0.38636363636363635</v>
      </c>
      <c r="F231">
        <v>0.50823827629911278</v>
      </c>
      <c r="G231" s="1" t="str">
        <f t="shared" si="33"/>
        <v/>
      </c>
      <c r="H231" s="1" t="str">
        <f t="shared" si="34"/>
        <v/>
      </c>
      <c r="I231" s="1">
        <f t="shared" si="35"/>
        <v>0.38636363636363635</v>
      </c>
      <c r="J231" s="1" t="str">
        <f t="shared" si="36"/>
        <v/>
      </c>
      <c r="K231" s="1" t="str">
        <f t="shared" si="37"/>
        <v/>
      </c>
      <c r="L231" s="1" t="str">
        <f t="shared" si="38"/>
        <v/>
      </c>
    </row>
    <row r="232" spans="1:12">
      <c r="A232" t="s">
        <v>206</v>
      </c>
      <c r="B232">
        <v>1</v>
      </c>
      <c r="C232" t="str">
        <f t="shared" si="32"/>
        <v>test.Class13_1_</v>
      </c>
      <c r="D232">
        <v>4</v>
      </c>
      <c r="E232">
        <v>0.38636363636363635</v>
      </c>
      <c r="F232">
        <v>0.52049007182087026</v>
      </c>
      <c r="G232" s="1" t="str">
        <f t="shared" si="33"/>
        <v/>
      </c>
      <c r="H232" s="1" t="str">
        <f t="shared" si="34"/>
        <v/>
      </c>
      <c r="I232" s="1">
        <f t="shared" si="35"/>
        <v>0.38636363636363635</v>
      </c>
      <c r="J232" s="1" t="str">
        <f t="shared" si="36"/>
        <v/>
      </c>
      <c r="K232" s="1" t="str">
        <f t="shared" si="37"/>
        <v/>
      </c>
      <c r="L232" s="1" t="str">
        <f t="shared" si="38"/>
        <v/>
      </c>
    </row>
    <row r="233" spans="1:12">
      <c r="A233" t="s">
        <v>206</v>
      </c>
      <c r="B233">
        <v>1</v>
      </c>
      <c r="C233" t="str">
        <f t="shared" si="32"/>
        <v>test.Class13_1_</v>
      </c>
      <c r="D233">
        <v>5</v>
      </c>
      <c r="E233">
        <v>1</v>
      </c>
      <c r="F233">
        <v>0.86523024926066749</v>
      </c>
      <c r="G233" s="1" t="str">
        <f t="shared" si="33"/>
        <v/>
      </c>
      <c r="H233" s="1" t="str">
        <f t="shared" si="34"/>
        <v/>
      </c>
      <c r="I233" s="1" t="str">
        <f t="shared" si="35"/>
        <v/>
      </c>
      <c r="J233" s="1" t="str">
        <f t="shared" si="36"/>
        <v/>
      </c>
      <c r="K233" s="1">
        <f t="shared" si="37"/>
        <v>1</v>
      </c>
      <c r="L233" s="1" t="str">
        <f t="shared" si="38"/>
        <v/>
      </c>
    </row>
    <row r="234" spans="1:12">
      <c r="A234" t="s">
        <v>206</v>
      </c>
      <c r="B234">
        <v>1</v>
      </c>
      <c r="C234" t="str">
        <f t="shared" si="32"/>
        <v>test.Class13_1_</v>
      </c>
      <c r="D234">
        <v>6</v>
      </c>
      <c r="E234">
        <v>1</v>
      </c>
      <c r="F234">
        <v>0.87621461765948461</v>
      </c>
      <c r="G234" s="1" t="str">
        <f t="shared" si="33"/>
        <v/>
      </c>
      <c r="H234" s="1" t="str">
        <f t="shared" si="34"/>
        <v/>
      </c>
      <c r="I234" s="1" t="str">
        <f t="shared" si="35"/>
        <v/>
      </c>
      <c r="J234" s="1" t="str">
        <f t="shared" si="36"/>
        <v/>
      </c>
      <c r="K234" s="1">
        <f t="shared" si="37"/>
        <v>1</v>
      </c>
      <c r="L234" s="1" t="str">
        <f t="shared" si="38"/>
        <v/>
      </c>
    </row>
    <row r="235" spans="1:12">
      <c r="A235" t="s">
        <v>206</v>
      </c>
      <c r="B235">
        <v>1</v>
      </c>
      <c r="C235" t="str">
        <f t="shared" si="32"/>
        <v>test.Class13_1_</v>
      </c>
      <c r="D235">
        <v>7</v>
      </c>
      <c r="E235">
        <v>1</v>
      </c>
      <c r="F235">
        <v>0.89860583016476547</v>
      </c>
      <c r="G235" s="1" t="str">
        <f t="shared" si="33"/>
        <v/>
      </c>
      <c r="H235" s="1" t="str">
        <f t="shared" si="34"/>
        <v/>
      </c>
      <c r="I235" s="1" t="str">
        <f t="shared" si="35"/>
        <v/>
      </c>
      <c r="J235" s="1" t="str">
        <f t="shared" si="36"/>
        <v/>
      </c>
      <c r="K235" s="1">
        <f t="shared" si="37"/>
        <v>1</v>
      </c>
      <c r="L235" s="1" t="str">
        <f t="shared" si="38"/>
        <v/>
      </c>
    </row>
    <row r="236" spans="1:12">
      <c r="A236" t="s">
        <v>214</v>
      </c>
      <c r="B236">
        <v>1</v>
      </c>
      <c r="C236" t="str">
        <f t="shared" si="32"/>
        <v>test.client_1_</v>
      </c>
      <c r="D236">
        <v>1</v>
      </c>
      <c r="E236">
        <v>7.7380952380952384E-2</v>
      </c>
      <c r="F236">
        <v>3.374888691006233E-2</v>
      </c>
      <c r="G236" s="1">
        <f t="shared" si="33"/>
        <v>7.7380952380952384E-2</v>
      </c>
      <c r="H236" s="1" t="str">
        <f t="shared" si="34"/>
        <v/>
      </c>
      <c r="I236" s="1" t="str">
        <f t="shared" si="35"/>
        <v/>
      </c>
      <c r="J236" s="1" t="str">
        <f t="shared" si="36"/>
        <v/>
      </c>
      <c r="K236" s="1" t="str">
        <f t="shared" si="37"/>
        <v/>
      </c>
      <c r="L236" s="1" t="str">
        <f t="shared" si="38"/>
        <v/>
      </c>
    </row>
    <row r="237" spans="1:12">
      <c r="A237" t="s">
        <v>214</v>
      </c>
      <c r="B237">
        <v>1</v>
      </c>
      <c r="C237" t="str">
        <f t="shared" si="32"/>
        <v>test.client_1_</v>
      </c>
      <c r="D237">
        <v>2</v>
      </c>
      <c r="E237">
        <v>8.9285714285714288E-2</v>
      </c>
      <c r="F237">
        <v>3.8735529830810328E-2</v>
      </c>
      <c r="G237" s="1">
        <f t="shared" si="33"/>
        <v>8.9285714285714288E-2</v>
      </c>
      <c r="H237" s="1" t="str">
        <f t="shared" si="34"/>
        <v/>
      </c>
      <c r="I237" s="1" t="str">
        <f t="shared" si="35"/>
        <v/>
      </c>
      <c r="J237" s="1" t="str">
        <f t="shared" si="36"/>
        <v/>
      </c>
      <c r="K237" s="1" t="str">
        <f t="shared" si="37"/>
        <v/>
      </c>
      <c r="L237" s="1" t="str">
        <f t="shared" si="38"/>
        <v/>
      </c>
    </row>
    <row r="238" spans="1:12">
      <c r="A238" t="s">
        <v>214</v>
      </c>
      <c r="B238">
        <v>1</v>
      </c>
      <c r="C238" t="str">
        <f t="shared" si="32"/>
        <v>test.client_1_</v>
      </c>
      <c r="D238">
        <v>3</v>
      </c>
      <c r="E238">
        <v>0.125</v>
      </c>
      <c r="F238">
        <v>4.354407836153161E-2</v>
      </c>
      <c r="G238" s="1">
        <f t="shared" si="33"/>
        <v>0.125</v>
      </c>
      <c r="H238" s="1" t="str">
        <f t="shared" si="34"/>
        <v/>
      </c>
      <c r="I238" s="1" t="str">
        <f t="shared" si="35"/>
        <v/>
      </c>
      <c r="J238" s="1" t="str">
        <f t="shared" si="36"/>
        <v/>
      </c>
      <c r="K238" s="1" t="str">
        <f t="shared" si="37"/>
        <v/>
      </c>
      <c r="L238" s="1" t="str">
        <f t="shared" si="38"/>
        <v/>
      </c>
    </row>
    <row r="239" spans="1:12">
      <c r="A239" t="s">
        <v>214</v>
      </c>
      <c r="B239">
        <v>1</v>
      </c>
      <c r="C239" t="str">
        <f t="shared" si="32"/>
        <v>test.client_1_</v>
      </c>
      <c r="D239">
        <v>4</v>
      </c>
      <c r="E239">
        <v>0.13690476190476192</v>
      </c>
      <c r="F239">
        <v>4.4701691896705253E-2</v>
      </c>
      <c r="G239" s="1">
        <f t="shared" si="33"/>
        <v>0.13690476190476192</v>
      </c>
      <c r="H239" s="1" t="str">
        <f t="shared" si="34"/>
        <v/>
      </c>
      <c r="I239" s="1" t="str">
        <f t="shared" si="35"/>
        <v/>
      </c>
      <c r="J239" s="1" t="str">
        <f t="shared" si="36"/>
        <v/>
      </c>
      <c r="K239" s="1" t="str">
        <f t="shared" si="37"/>
        <v/>
      </c>
      <c r="L239" s="1" t="str">
        <f t="shared" si="38"/>
        <v/>
      </c>
    </row>
    <row r="240" spans="1:12">
      <c r="A240" t="s">
        <v>214</v>
      </c>
      <c r="B240">
        <v>1</v>
      </c>
      <c r="C240" t="str">
        <f t="shared" si="32"/>
        <v>test.client_1_</v>
      </c>
      <c r="D240">
        <v>5</v>
      </c>
      <c r="E240">
        <v>0.14880952380952381</v>
      </c>
      <c r="F240">
        <v>4.6037399821905613E-2</v>
      </c>
      <c r="G240" s="1">
        <f t="shared" si="33"/>
        <v>0.14880952380952381</v>
      </c>
      <c r="H240" s="1" t="str">
        <f t="shared" si="34"/>
        <v/>
      </c>
      <c r="I240" s="1" t="str">
        <f t="shared" si="35"/>
        <v/>
      </c>
      <c r="J240" s="1" t="str">
        <f t="shared" si="36"/>
        <v/>
      </c>
      <c r="K240" s="1" t="str">
        <f t="shared" si="37"/>
        <v/>
      </c>
      <c r="L240" s="1" t="str">
        <f t="shared" si="38"/>
        <v/>
      </c>
    </row>
    <row r="241" spans="1:12">
      <c r="A241" t="s">
        <v>214</v>
      </c>
      <c r="B241">
        <v>1</v>
      </c>
      <c r="C241" t="str">
        <f t="shared" si="32"/>
        <v>test.client_1_</v>
      </c>
      <c r="D241">
        <v>6</v>
      </c>
      <c r="E241">
        <v>0.16071428571428573</v>
      </c>
      <c r="F241">
        <v>5.0044523597506677E-2</v>
      </c>
      <c r="G241" s="1">
        <f t="shared" si="33"/>
        <v>0.16071428571428573</v>
      </c>
      <c r="H241" s="1" t="str">
        <f t="shared" si="34"/>
        <v/>
      </c>
      <c r="I241" s="1" t="str">
        <f t="shared" si="35"/>
        <v/>
      </c>
      <c r="J241" s="1" t="str">
        <f t="shared" si="36"/>
        <v/>
      </c>
      <c r="K241" s="1" t="str">
        <f t="shared" si="37"/>
        <v/>
      </c>
      <c r="L241" s="1" t="str">
        <f t="shared" si="38"/>
        <v/>
      </c>
    </row>
    <row r="242" spans="1:12">
      <c r="A242" t="s">
        <v>214</v>
      </c>
      <c r="B242">
        <v>1</v>
      </c>
      <c r="C242" t="str">
        <f t="shared" si="32"/>
        <v>test.client_1_</v>
      </c>
      <c r="D242">
        <v>7</v>
      </c>
      <c r="E242">
        <v>0.17261904761904762</v>
      </c>
      <c r="F242">
        <v>5.0222617987533393E-2</v>
      </c>
      <c r="G242" s="1">
        <f t="shared" si="33"/>
        <v>0.17261904761904762</v>
      </c>
      <c r="H242" s="1" t="str">
        <f t="shared" si="34"/>
        <v/>
      </c>
      <c r="I242" s="1" t="str">
        <f t="shared" si="35"/>
        <v/>
      </c>
      <c r="J242" s="1" t="str">
        <f t="shared" si="36"/>
        <v/>
      </c>
      <c r="K242" s="1" t="str">
        <f t="shared" si="37"/>
        <v/>
      </c>
      <c r="L242" s="1" t="str">
        <f t="shared" si="38"/>
        <v/>
      </c>
    </row>
    <row r="243" spans="1:12">
      <c r="A243" t="s">
        <v>214</v>
      </c>
      <c r="B243">
        <v>1</v>
      </c>
      <c r="C243" t="str">
        <f t="shared" si="32"/>
        <v>test.client_1_</v>
      </c>
      <c r="D243">
        <v>8</v>
      </c>
      <c r="E243">
        <v>0.19047619047619047</v>
      </c>
      <c r="F243">
        <v>5.1914514692787177E-2</v>
      </c>
      <c r="G243" s="1">
        <f t="shared" si="33"/>
        <v>0.19047619047619047</v>
      </c>
      <c r="H243" s="1" t="str">
        <f t="shared" si="34"/>
        <v/>
      </c>
      <c r="I243" s="1" t="str">
        <f t="shared" si="35"/>
        <v/>
      </c>
      <c r="J243" s="1" t="str">
        <f t="shared" si="36"/>
        <v/>
      </c>
      <c r="K243" s="1" t="str">
        <f t="shared" si="37"/>
        <v/>
      </c>
      <c r="L243" s="1" t="str">
        <f t="shared" si="38"/>
        <v/>
      </c>
    </row>
    <row r="244" spans="1:12">
      <c r="A244" t="s">
        <v>214</v>
      </c>
      <c r="B244">
        <v>1</v>
      </c>
      <c r="C244" t="str">
        <f t="shared" si="32"/>
        <v>test.client_1_</v>
      </c>
      <c r="D244">
        <v>9</v>
      </c>
      <c r="E244">
        <v>0.20238095238095238</v>
      </c>
      <c r="F244">
        <v>5.333926981300089E-2</v>
      </c>
      <c r="G244" s="1">
        <f t="shared" si="33"/>
        <v>0.20238095238095238</v>
      </c>
      <c r="H244" s="1" t="str">
        <f t="shared" si="34"/>
        <v/>
      </c>
      <c r="I244" s="1" t="str">
        <f t="shared" si="35"/>
        <v/>
      </c>
      <c r="J244" s="1" t="str">
        <f t="shared" si="36"/>
        <v/>
      </c>
      <c r="K244" s="1" t="str">
        <f t="shared" si="37"/>
        <v/>
      </c>
      <c r="L244" s="1" t="str">
        <f t="shared" si="38"/>
        <v/>
      </c>
    </row>
    <row r="245" spans="1:12">
      <c r="A245" t="s">
        <v>214</v>
      </c>
      <c r="B245">
        <v>1</v>
      </c>
      <c r="C245" t="str">
        <f t="shared" si="32"/>
        <v>test.client_1_</v>
      </c>
      <c r="D245">
        <v>10</v>
      </c>
      <c r="E245">
        <v>0.20833333333333334</v>
      </c>
      <c r="F245">
        <v>5.3428317008014245E-2</v>
      </c>
      <c r="G245" s="1">
        <f t="shared" si="33"/>
        <v>0.20833333333333334</v>
      </c>
      <c r="H245" s="1" t="str">
        <f t="shared" si="34"/>
        <v/>
      </c>
      <c r="I245" s="1" t="str">
        <f t="shared" si="35"/>
        <v/>
      </c>
      <c r="J245" s="1" t="str">
        <f t="shared" si="36"/>
        <v/>
      </c>
      <c r="K245" s="1" t="str">
        <f t="shared" si="37"/>
        <v/>
      </c>
      <c r="L245" s="1" t="str">
        <f t="shared" si="38"/>
        <v/>
      </c>
    </row>
    <row r="246" spans="1:12">
      <c r="A246" t="s">
        <v>214</v>
      </c>
      <c r="B246">
        <v>1</v>
      </c>
      <c r="C246" t="str">
        <f t="shared" si="32"/>
        <v>test.client_1_</v>
      </c>
      <c r="D246">
        <v>11</v>
      </c>
      <c r="E246">
        <v>0.22619047619047619</v>
      </c>
      <c r="F246">
        <v>5.6812110418521813E-2</v>
      </c>
      <c r="G246" s="1">
        <f t="shared" si="33"/>
        <v>0.22619047619047619</v>
      </c>
      <c r="H246" s="1" t="str">
        <f t="shared" si="34"/>
        <v/>
      </c>
      <c r="I246" s="1" t="str">
        <f t="shared" si="35"/>
        <v/>
      </c>
      <c r="J246" s="1" t="str">
        <f t="shared" si="36"/>
        <v/>
      </c>
      <c r="K246" s="1" t="str">
        <f t="shared" si="37"/>
        <v/>
      </c>
      <c r="L246" s="1" t="str">
        <f t="shared" si="38"/>
        <v/>
      </c>
    </row>
    <row r="247" spans="1:12">
      <c r="A247" t="s">
        <v>214</v>
      </c>
      <c r="B247">
        <v>1</v>
      </c>
      <c r="C247" t="str">
        <f t="shared" si="32"/>
        <v>test.client_1_</v>
      </c>
      <c r="D247">
        <v>12</v>
      </c>
      <c r="E247">
        <v>0.23214285714285715</v>
      </c>
      <c r="F247">
        <v>5.6990204808548529E-2</v>
      </c>
      <c r="G247" s="1">
        <f t="shared" si="33"/>
        <v>0.23214285714285715</v>
      </c>
      <c r="H247" s="1" t="str">
        <f t="shared" si="34"/>
        <v/>
      </c>
      <c r="I247" s="1" t="str">
        <f t="shared" si="35"/>
        <v/>
      </c>
      <c r="J247" s="1" t="str">
        <f t="shared" si="36"/>
        <v/>
      </c>
      <c r="K247" s="1" t="str">
        <f t="shared" si="37"/>
        <v/>
      </c>
      <c r="L247" s="1" t="str">
        <f t="shared" si="38"/>
        <v/>
      </c>
    </row>
    <row r="248" spans="1:12">
      <c r="A248" t="s">
        <v>214</v>
      </c>
      <c r="B248">
        <v>1</v>
      </c>
      <c r="C248" t="str">
        <f t="shared" si="32"/>
        <v>test.client_1_</v>
      </c>
      <c r="D248">
        <v>13</v>
      </c>
      <c r="E248">
        <v>0.24404761904761904</v>
      </c>
      <c r="F248">
        <v>6.0017809439002673E-2</v>
      </c>
      <c r="G248" s="1">
        <f t="shared" si="33"/>
        <v>0.24404761904761904</v>
      </c>
      <c r="H248" s="1" t="str">
        <f t="shared" si="34"/>
        <v/>
      </c>
      <c r="I248" s="1" t="str">
        <f t="shared" si="35"/>
        <v/>
      </c>
      <c r="J248" s="1" t="str">
        <f t="shared" si="36"/>
        <v/>
      </c>
      <c r="K248" s="1" t="str">
        <f t="shared" si="37"/>
        <v/>
      </c>
      <c r="L248" s="1" t="str">
        <f t="shared" si="38"/>
        <v/>
      </c>
    </row>
    <row r="249" spans="1:12">
      <c r="A249" t="s">
        <v>214</v>
      </c>
      <c r="B249">
        <v>1</v>
      </c>
      <c r="C249" t="str">
        <f t="shared" si="32"/>
        <v>test.client_1_</v>
      </c>
      <c r="D249">
        <v>14</v>
      </c>
      <c r="E249">
        <v>0.25595238095238093</v>
      </c>
      <c r="F249">
        <v>6.0106856634016027E-2</v>
      </c>
      <c r="G249" s="1">
        <f t="shared" si="33"/>
        <v>0.25595238095238093</v>
      </c>
      <c r="H249" s="1" t="str">
        <f t="shared" si="34"/>
        <v/>
      </c>
      <c r="I249" s="1" t="str">
        <f t="shared" si="35"/>
        <v/>
      </c>
      <c r="J249" s="1" t="str">
        <f t="shared" si="36"/>
        <v/>
      </c>
      <c r="K249" s="1" t="str">
        <f t="shared" si="37"/>
        <v/>
      </c>
      <c r="L249" s="1" t="str">
        <f t="shared" si="38"/>
        <v/>
      </c>
    </row>
    <row r="250" spans="1:12">
      <c r="A250" t="s">
        <v>214</v>
      </c>
      <c r="B250">
        <v>1</v>
      </c>
      <c r="C250" t="str">
        <f t="shared" si="32"/>
        <v>test.client_1_</v>
      </c>
      <c r="D250">
        <v>15</v>
      </c>
      <c r="E250">
        <v>0.26190476190476192</v>
      </c>
      <c r="F250">
        <v>6.0373998219056098E-2</v>
      </c>
      <c r="G250" s="1">
        <f t="shared" si="33"/>
        <v>0.26190476190476192</v>
      </c>
      <c r="H250" s="1" t="str">
        <f t="shared" si="34"/>
        <v/>
      </c>
      <c r="I250" s="1" t="str">
        <f t="shared" si="35"/>
        <v/>
      </c>
      <c r="J250" s="1" t="str">
        <f t="shared" si="36"/>
        <v/>
      </c>
      <c r="K250" s="1" t="str">
        <f t="shared" si="37"/>
        <v/>
      </c>
      <c r="L250" s="1" t="str">
        <f t="shared" si="38"/>
        <v/>
      </c>
    </row>
    <row r="251" spans="1:12">
      <c r="A251" t="s">
        <v>214</v>
      </c>
      <c r="B251">
        <v>1</v>
      </c>
      <c r="C251" t="str">
        <f t="shared" si="32"/>
        <v>test.client_1_</v>
      </c>
      <c r="D251">
        <v>16</v>
      </c>
      <c r="E251">
        <v>1</v>
      </c>
      <c r="F251">
        <v>0.97666963490650049</v>
      </c>
      <c r="G251" s="1" t="str">
        <f t="shared" si="33"/>
        <v/>
      </c>
      <c r="H251" s="1" t="str">
        <f t="shared" si="34"/>
        <v/>
      </c>
      <c r="I251" s="1" t="str">
        <f t="shared" si="35"/>
        <v/>
      </c>
      <c r="J251" s="1" t="str">
        <f t="shared" si="36"/>
        <v/>
      </c>
      <c r="K251" s="1">
        <f t="shared" si="37"/>
        <v>1</v>
      </c>
      <c r="L251" s="1" t="str">
        <f t="shared" si="38"/>
        <v/>
      </c>
    </row>
    <row r="252" spans="1:12">
      <c r="A252" t="s">
        <v>214</v>
      </c>
      <c r="B252">
        <v>3</v>
      </c>
      <c r="C252" t="str">
        <f t="shared" si="32"/>
        <v>test.client_3_</v>
      </c>
      <c r="D252">
        <v>1</v>
      </c>
      <c r="E252">
        <v>0.84036144578313254</v>
      </c>
      <c r="F252">
        <v>0.72079060623771318</v>
      </c>
      <c r="G252" s="1" t="str">
        <f t="shared" si="33"/>
        <v/>
      </c>
      <c r="H252" s="1" t="str">
        <f t="shared" si="34"/>
        <v/>
      </c>
      <c r="I252" s="1" t="str">
        <f t="shared" si="35"/>
        <v/>
      </c>
      <c r="J252" s="1">
        <f t="shared" si="36"/>
        <v>0.84036144578313254</v>
      </c>
      <c r="K252" s="1" t="str">
        <f t="shared" si="37"/>
        <v/>
      </c>
      <c r="L252" s="1" t="str">
        <f t="shared" si="38"/>
        <v/>
      </c>
    </row>
    <row r="253" spans="1:12">
      <c r="A253" t="s">
        <v>214</v>
      </c>
      <c r="B253">
        <v>3</v>
      </c>
      <c r="C253" t="str">
        <f t="shared" si="32"/>
        <v>test.client_3_</v>
      </c>
      <c r="D253">
        <v>2</v>
      </c>
      <c r="E253">
        <v>0.99698795180722888</v>
      </c>
      <c r="F253">
        <v>0.90829392699644018</v>
      </c>
      <c r="G253" s="1" t="str">
        <f t="shared" si="33"/>
        <v/>
      </c>
      <c r="H253" s="1" t="str">
        <f t="shared" si="34"/>
        <v/>
      </c>
      <c r="I253" s="1" t="str">
        <f t="shared" si="35"/>
        <v/>
      </c>
      <c r="J253" s="1" t="str">
        <f t="shared" si="36"/>
        <v/>
      </c>
      <c r="K253" s="1">
        <f t="shared" si="37"/>
        <v>0.99698795180722888</v>
      </c>
      <c r="L253" s="1" t="str">
        <f t="shared" si="38"/>
        <v/>
      </c>
    </row>
    <row r="254" spans="1:12">
      <c r="A254" t="s">
        <v>214</v>
      </c>
      <c r="B254">
        <v>3</v>
      </c>
      <c r="C254" t="str">
        <f t="shared" si="32"/>
        <v>test.client_3_</v>
      </c>
      <c r="D254">
        <v>3</v>
      </c>
      <c r="E254">
        <v>1</v>
      </c>
      <c r="F254">
        <v>0.98220073322352686</v>
      </c>
      <c r="G254" s="1" t="str">
        <f t="shared" si="33"/>
        <v/>
      </c>
      <c r="H254" s="1" t="str">
        <f t="shared" si="34"/>
        <v/>
      </c>
      <c r="I254" s="1" t="str">
        <f t="shared" si="35"/>
        <v/>
      </c>
      <c r="J254" s="1" t="str">
        <f t="shared" si="36"/>
        <v/>
      </c>
      <c r="K254" s="1">
        <f t="shared" si="37"/>
        <v>1</v>
      </c>
      <c r="L254" s="1" t="str">
        <f t="shared" si="38"/>
        <v/>
      </c>
    </row>
    <row r="255" spans="1:12">
      <c r="A255" t="s">
        <v>214</v>
      </c>
      <c r="B255">
        <v>4</v>
      </c>
      <c r="C255" t="str">
        <f t="shared" si="32"/>
        <v>test.client_4_</v>
      </c>
      <c r="D255">
        <v>1</v>
      </c>
      <c r="E255">
        <v>0.86821705426356588</v>
      </c>
      <c r="F255">
        <v>0.88718734047983661</v>
      </c>
      <c r="G255" s="1" t="str">
        <f t="shared" si="33"/>
        <v/>
      </c>
      <c r="H255" s="1" t="str">
        <f t="shared" si="34"/>
        <v/>
      </c>
      <c r="I255" s="1" t="str">
        <f t="shared" si="35"/>
        <v/>
      </c>
      <c r="J255" s="1" t="str">
        <f t="shared" si="36"/>
        <v/>
      </c>
      <c r="K255" s="1">
        <f t="shared" si="37"/>
        <v>0.86821705426356588</v>
      </c>
      <c r="L255" s="1" t="str">
        <f t="shared" si="38"/>
        <v/>
      </c>
    </row>
    <row r="256" spans="1:12">
      <c r="A256" t="s">
        <v>214</v>
      </c>
      <c r="B256">
        <v>4</v>
      </c>
      <c r="C256" t="str">
        <f t="shared" si="32"/>
        <v>test.client_4_</v>
      </c>
      <c r="D256">
        <v>2</v>
      </c>
      <c r="E256">
        <v>0.89922480620155043</v>
      </c>
      <c r="F256">
        <v>0.88897396630934145</v>
      </c>
      <c r="G256" s="1" t="str">
        <f t="shared" si="33"/>
        <v/>
      </c>
      <c r="H256" s="1" t="str">
        <f t="shared" si="34"/>
        <v/>
      </c>
      <c r="I256" s="1" t="str">
        <f t="shared" si="35"/>
        <v/>
      </c>
      <c r="J256" s="1" t="str">
        <f t="shared" si="36"/>
        <v/>
      </c>
      <c r="K256" s="1">
        <f t="shared" si="37"/>
        <v>0.89922480620155043</v>
      </c>
      <c r="L256" s="1" t="str">
        <f t="shared" si="38"/>
        <v/>
      </c>
    </row>
    <row r="257" spans="1:12">
      <c r="A257" t="s">
        <v>214</v>
      </c>
      <c r="B257">
        <v>4</v>
      </c>
      <c r="C257" t="str">
        <f t="shared" si="32"/>
        <v>test.client_4_</v>
      </c>
      <c r="D257">
        <v>3</v>
      </c>
      <c r="E257">
        <v>0.92248062015503873</v>
      </c>
      <c r="F257">
        <v>0.90658499234303214</v>
      </c>
      <c r="G257" s="1" t="str">
        <f t="shared" si="33"/>
        <v/>
      </c>
      <c r="H257" s="1" t="str">
        <f t="shared" si="34"/>
        <v/>
      </c>
      <c r="I257" s="1" t="str">
        <f t="shared" si="35"/>
        <v/>
      </c>
      <c r="J257" s="1" t="str">
        <f t="shared" si="36"/>
        <v/>
      </c>
      <c r="K257" s="1">
        <f t="shared" si="37"/>
        <v>0.92248062015503873</v>
      </c>
      <c r="L257" s="1" t="str">
        <f t="shared" si="38"/>
        <v/>
      </c>
    </row>
    <row r="258" spans="1:12">
      <c r="A258" t="s">
        <v>214</v>
      </c>
      <c r="B258">
        <v>4</v>
      </c>
      <c r="C258" t="str">
        <f t="shared" si="32"/>
        <v>test.client_4_</v>
      </c>
      <c r="D258">
        <v>4</v>
      </c>
      <c r="E258">
        <v>0.92248062015503873</v>
      </c>
      <c r="F258">
        <v>0.91449719244512506</v>
      </c>
      <c r="G258" s="1" t="str">
        <f t="shared" si="33"/>
        <v/>
      </c>
      <c r="H258" s="1" t="str">
        <f t="shared" si="34"/>
        <v/>
      </c>
      <c r="I258" s="1" t="str">
        <f t="shared" si="35"/>
        <v/>
      </c>
      <c r="J258" s="1" t="str">
        <f t="shared" si="36"/>
        <v/>
      </c>
      <c r="K258" s="1">
        <f t="shared" si="37"/>
        <v>0.92248062015503873</v>
      </c>
      <c r="L258" s="1" t="str">
        <f t="shared" si="38"/>
        <v/>
      </c>
    </row>
    <row r="259" spans="1:12">
      <c r="A259" t="s">
        <v>214</v>
      </c>
      <c r="B259">
        <v>4</v>
      </c>
      <c r="C259" t="str">
        <f t="shared" ref="C259:C322" si="39">CONCATENATE(A259, "_",B259,"_")</f>
        <v>test.client_4_</v>
      </c>
      <c r="D259">
        <v>5</v>
      </c>
      <c r="E259">
        <v>0.94573643410852715</v>
      </c>
      <c r="F259">
        <v>0.93542623787646761</v>
      </c>
      <c r="G259" s="1" t="str">
        <f t="shared" ref="G259:G322" si="40">IF($F259 &lt;= 0.2,$E259,"")</f>
        <v/>
      </c>
      <c r="H259" s="1" t="str">
        <f t="shared" ref="H259:H322" si="41">IF(AND($F259 &gt; 0.2,$F259 &lt;= 0.4),$E259,"")</f>
        <v/>
      </c>
      <c r="I259" s="1" t="str">
        <f t="shared" ref="I259:I322" si="42">IF(AND($F259 &gt; 0.4,$F259 &lt;= 0.6),$E259,"")</f>
        <v/>
      </c>
      <c r="J259" s="1" t="str">
        <f t="shared" ref="J259:J322" si="43">IF(AND($F259 &gt; 0.6,$F259 &lt;= 0.8),$E259,"")</f>
        <v/>
      </c>
      <c r="K259" s="1">
        <f t="shared" ref="K259:K322" si="44">IF(AND($F259 &gt; 0.8, $F259 &lt;=1.1),$E259,"")</f>
        <v>0.94573643410852715</v>
      </c>
      <c r="L259" s="1" t="str">
        <f t="shared" ref="L259:L322" si="45">IF(AND($F259 &gt; 1.1),$E259,"")</f>
        <v/>
      </c>
    </row>
    <row r="260" spans="1:12">
      <c r="A260" t="s">
        <v>214</v>
      </c>
      <c r="B260">
        <v>4</v>
      </c>
      <c r="C260" t="str">
        <f t="shared" si="39"/>
        <v>test.client_4_</v>
      </c>
      <c r="D260">
        <v>6</v>
      </c>
      <c r="E260">
        <v>1</v>
      </c>
      <c r="F260">
        <v>0.95201633486472692</v>
      </c>
      <c r="G260" s="1" t="str">
        <f t="shared" si="40"/>
        <v/>
      </c>
      <c r="H260" s="1" t="str">
        <f t="shared" si="41"/>
        <v/>
      </c>
      <c r="I260" s="1" t="str">
        <f t="shared" si="42"/>
        <v/>
      </c>
      <c r="J260" s="1" t="str">
        <f t="shared" si="43"/>
        <v/>
      </c>
      <c r="K260" s="1">
        <f t="shared" si="44"/>
        <v>1</v>
      </c>
      <c r="L260" s="1" t="str">
        <f t="shared" si="45"/>
        <v/>
      </c>
    </row>
    <row r="261" spans="1:12">
      <c r="A261" t="s">
        <v>214</v>
      </c>
      <c r="B261">
        <v>4</v>
      </c>
      <c r="C261" t="str">
        <f t="shared" si="39"/>
        <v>test.client_4_</v>
      </c>
      <c r="D261">
        <v>7</v>
      </c>
      <c r="E261">
        <v>1</v>
      </c>
      <c r="F261">
        <v>0.97141398672792245</v>
      </c>
      <c r="G261" s="1" t="str">
        <f t="shared" si="40"/>
        <v/>
      </c>
      <c r="H261" s="1" t="str">
        <f t="shared" si="41"/>
        <v/>
      </c>
      <c r="I261" s="1" t="str">
        <f t="shared" si="42"/>
        <v/>
      </c>
      <c r="J261" s="1" t="str">
        <f t="shared" si="43"/>
        <v/>
      </c>
      <c r="K261" s="1">
        <f t="shared" si="44"/>
        <v>1</v>
      </c>
      <c r="L261" s="1" t="str">
        <f t="shared" si="45"/>
        <v/>
      </c>
    </row>
    <row r="262" spans="1:12">
      <c r="A262" t="s">
        <v>214</v>
      </c>
      <c r="B262">
        <v>4</v>
      </c>
      <c r="C262" t="str">
        <f t="shared" si="39"/>
        <v>test.client_4_</v>
      </c>
      <c r="D262">
        <v>8</v>
      </c>
      <c r="E262">
        <v>1</v>
      </c>
      <c r="F262">
        <v>0.98851454823889739</v>
      </c>
      <c r="G262" s="1" t="str">
        <f t="shared" si="40"/>
        <v/>
      </c>
      <c r="H262" s="1" t="str">
        <f t="shared" si="41"/>
        <v/>
      </c>
      <c r="I262" s="1" t="str">
        <f t="shared" si="42"/>
        <v/>
      </c>
      <c r="J262" s="1" t="str">
        <f t="shared" si="43"/>
        <v/>
      </c>
      <c r="K262" s="1">
        <f t="shared" si="44"/>
        <v>1</v>
      </c>
      <c r="L262" s="1" t="str">
        <f t="shared" si="45"/>
        <v/>
      </c>
    </row>
    <row r="263" spans="1:12">
      <c r="A263" t="s">
        <v>214</v>
      </c>
      <c r="B263">
        <v>4</v>
      </c>
      <c r="C263" t="str">
        <f t="shared" si="39"/>
        <v>test.client_4_</v>
      </c>
      <c r="D263">
        <v>9</v>
      </c>
      <c r="E263">
        <v>1</v>
      </c>
      <c r="F263">
        <v>1.2322613578356305</v>
      </c>
      <c r="G263" s="1" t="str">
        <f t="shared" si="40"/>
        <v/>
      </c>
      <c r="H263" s="1" t="str">
        <f t="shared" si="41"/>
        <v/>
      </c>
      <c r="I263" s="1" t="str">
        <f t="shared" si="42"/>
        <v/>
      </c>
      <c r="J263" s="1" t="str">
        <f t="shared" si="43"/>
        <v/>
      </c>
      <c r="K263" s="1" t="str">
        <f t="shared" si="44"/>
        <v/>
      </c>
      <c r="L263" s="1">
        <f t="shared" si="45"/>
        <v>1</v>
      </c>
    </row>
    <row r="264" spans="1:12">
      <c r="A264" t="s">
        <v>214</v>
      </c>
      <c r="B264">
        <v>6</v>
      </c>
      <c r="C264" t="str">
        <f t="shared" si="39"/>
        <v>test.client_6_</v>
      </c>
      <c r="D264">
        <v>1</v>
      </c>
      <c r="E264">
        <v>0.64462809917355368</v>
      </c>
      <c r="F264">
        <v>0.63735643005083786</v>
      </c>
      <c r="G264" s="1" t="str">
        <f t="shared" si="40"/>
        <v/>
      </c>
      <c r="H264" s="1" t="str">
        <f t="shared" si="41"/>
        <v/>
      </c>
      <c r="I264" s="1" t="str">
        <f t="shared" si="42"/>
        <v/>
      </c>
      <c r="J264" s="1">
        <f t="shared" si="43"/>
        <v>0.64462809917355368</v>
      </c>
      <c r="K264" s="1" t="str">
        <f t="shared" si="44"/>
        <v/>
      </c>
      <c r="L264" s="1" t="str">
        <f t="shared" si="45"/>
        <v/>
      </c>
    </row>
    <row r="265" spans="1:12">
      <c r="A265" t="s">
        <v>214</v>
      </c>
      <c r="B265">
        <v>6</v>
      </c>
      <c r="C265" t="str">
        <f t="shared" si="39"/>
        <v>test.client_6_</v>
      </c>
      <c r="D265">
        <v>2</v>
      </c>
      <c r="E265">
        <v>1</v>
      </c>
      <c r="F265">
        <v>0.64018075691960086</v>
      </c>
      <c r="G265" s="1" t="str">
        <f t="shared" si="40"/>
        <v/>
      </c>
      <c r="H265" s="1" t="str">
        <f t="shared" si="41"/>
        <v/>
      </c>
      <c r="I265" s="1" t="str">
        <f t="shared" si="42"/>
        <v/>
      </c>
      <c r="J265" s="1">
        <f t="shared" si="43"/>
        <v>1</v>
      </c>
      <c r="K265" s="1" t="str">
        <f t="shared" si="44"/>
        <v/>
      </c>
      <c r="L265" s="1" t="str">
        <f t="shared" si="45"/>
        <v/>
      </c>
    </row>
    <row r="266" spans="1:12">
      <c r="A266" t="s">
        <v>214</v>
      </c>
      <c r="B266">
        <v>7</v>
      </c>
      <c r="C266" t="str">
        <f t="shared" si="39"/>
        <v>test.client_7_</v>
      </c>
      <c r="D266">
        <v>1</v>
      </c>
      <c r="E266">
        <v>2.3255813953488372E-2</v>
      </c>
      <c r="F266">
        <v>8.070866141732283E-2</v>
      </c>
      <c r="G266" s="1">
        <f t="shared" si="40"/>
        <v>2.3255813953488372E-2</v>
      </c>
      <c r="H266" s="1" t="str">
        <f t="shared" si="41"/>
        <v/>
      </c>
      <c r="I266" s="1" t="str">
        <f t="shared" si="42"/>
        <v/>
      </c>
      <c r="J266" s="1" t="str">
        <f t="shared" si="43"/>
        <v/>
      </c>
      <c r="K266" s="1" t="str">
        <f t="shared" si="44"/>
        <v/>
      </c>
      <c r="L266" s="1" t="str">
        <f t="shared" si="45"/>
        <v/>
      </c>
    </row>
    <row r="267" spans="1:12">
      <c r="A267" t="s">
        <v>214</v>
      </c>
      <c r="B267">
        <v>7</v>
      </c>
      <c r="C267" t="str">
        <f t="shared" si="39"/>
        <v>test.client_7_</v>
      </c>
      <c r="D267">
        <v>2</v>
      </c>
      <c r="E267">
        <v>6.9767441860465115E-2</v>
      </c>
      <c r="F267">
        <v>0.14271653543307086</v>
      </c>
      <c r="G267" s="1">
        <f t="shared" si="40"/>
        <v>6.9767441860465115E-2</v>
      </c>
      <c r="H267" s="1" t="str">
        <f t="shared" si="41"/>
        <v/>
      </c>
      <c r="I267" s="1" t="str">
        <f t="shared" si="42"/>
        <v/>
      </c>
      <c r="J267" s="1" t="str">
        <f t="shared" si="43"/>
        <v/>
      </c>
      <c r="K267" s="1" t="str">
        <f t="shared" si="44"/>
        <v/>
      </c>
      <c r="L267" s="1" t="str">
        <f t="shared" si="45"/>
        <v/>
      </c>
    </row>
    <row r="268" spans="1:12">
      <c r="A268" t="s">
        <v>214</v>
      </c>
      <c r="B268">
        <v>7</v>
      </c>
      <c r="C268" t="str">
        <f t="shared" si="39"/>
        <v>test.client_7_</v>
      </c>
      <c r="D268">
        <v>3</v>
      </c>
      <c r="E268">
        <v>0.13953488372093023</v>
      </c>
      <c r="F268">
        <v>0.2125984251968504</v>
      </c>
      <c r="G268" s="1" t="str">
        <f t="shared" si="40"/>
        <v/>
      </c>
      <c r="H268" s="1">
        <f t="shared" si="41"/>
        <v>0.13953488372093023</v>
      </c>
      <c r="I268" s="1" t="str">
        <f t="shared" si="42"/>
        <v/>
      </c>
      <c r="J268" s="1" t="str">
        <f t="shared" si="43"/>
        <v/>
      </c>
      <c r="K268" s="1" t="str">
        <f t="shared" si="44"/>
        <v/>
      </c>
      <c r="L268" s="1" t="str">
        <f t="shared" si="45"/>
        <v/>
      </c>
    </row>
    <row r="269" spans="1:12">
      <c r="A269" t="s">
        <v>214</v>
      </c>
      <c r="B269">
        <v>7</v>
      </c>
      <c r="C269" t="str">
        <f t="shared" si="39"/>
        <v>test.client_7_</v>
      </c>
      <c r="D269">
        <v>4</v>
      </c>
      <c r="E269">
        <v>0.23255813953488372</v>
      </c>
      <c r="F269">
        <v>0.40551181102362205</v>
      </c>
      <c r="G269" s="1" t="str">
        <f t="shared" si="40"/>
        <v/>
      </c>
      <c r="H269" s="1" t="str">
        <f t="shared" si="41"/>
        <v/>
      </c>
      <c r="I269" s="1">
        <f t="shared" si="42"/>
        <v>0.23255813953488372</v>
      </c>
      <c r="J269" s="1" t="str">
        <f t="shared" si="43"/>
        <v/>
      </c>
      <c r="K269" s="1" t="str">
        <f t="shared" si="44"/>
        <v/>
      </c>
      <c r="L269" s="1" t="str">
        <f t="shared" si="45"/>
        <v/>
      </c>
    </row>
    <row r="270" spans="1:12">
      <c r="A270" t="s">
        <v>214</v>
      </c>
      <c r="B270">
        <v>7</v>
      </c>
      <c r="C270" t="str">
        <f t="shared" si="39"/>
        <v>test.client_7_</v>
      </c>
      <c r="D270">
        <v>5</v>
      </c>
      <c r="E270">
        <v>0.2558139534883721</v>
      </c>
      <c r="F270">
        <v>0.83759842519685035</v>
      </c>
      <c r="G270" s="1" t="str">
        <f t="shared" si="40"/>
        <v/>
      </c>
      <c r="H270" s="1" t="str">
        <f t="shared" si="41"/>
        <v/>
      </c>
      <c r="I270" s="1" t="str">
        <f t="shared" si="42"/>
        <v/>
      </c>
      <c r="J270" s="1" t="str">
        <f t="shared" si="43"/>
        <v/>
      </c>
      <c r="K270" s="1">
        <f t="shared" si="44"/>
        <v>0.2558139534883721</v>
      </c>
      <c r="L270" s="1" t="str">
        <f t="shared" si="45"/>
        <v/>
      </c>
    </row>
    <row r="271" spans="1:12">
      <c r="A271" t="s">
        <v>214</v>
      </c>
      <c r="B271">
        <v>7</v>
      </c>
      <c r="C271" t="str">
        <f t="shared" si="39"/>
        <v>test.client_7_</v>
      </c>
      <c r="D271">
        <v>6</v>
      </c>
      <c r="E271">
        <v>0.95348837209302328</v>
      </c>
      <c r="F271">
        <v>0.87401574803149606</v>
      </c>
      <c r="G271" s="1" t="str">
        <f t="shared" si="40"/>
        <v/>
      </c>
      <c r="H271" s="1" t="str">
        <f t="shared" si="41"/>
        <v/>
      </c>
      <c r="I271" s="1" t="str">
        <f t="shared" si="42"/>
        <v/>
      </c>
      <c r="J271" s="1" t="str">
        <f t="shared" si="43"/>
        <v/>
      </c>
      <c r="K271" s="1">
        <f t="shared" si="44"/>
        <v>0.95348837209302328</v>
      </c>
      <c r="L271" s="1" t="str">
        <f t="shared" si="45"/>
        <v/>
      </c>
    </row>
    <row r="272" spans="1:12">
      <c r="A272" t="s">
        <v>214</v>
      </c>
      <c r="B272">
        <v>7</v>
      </c>
      <c r="C272" t="str">
        <f t="shared" si="39"/>
        <v>test.client_7_</v>
      </c>
      <c r="D272">
        <v>7</v>
      </c>
      <c r="E272">
        <v>1</v>
      </c>
      <c r="F272">
        <v>1</v>
      </c>
      <c r="G272" s="1" t="str">
        <f t="shared" si="40"/>
        <v/>
      </c>
      <c r="H272" s="1" t="str">
        <f t="shared" si="41"/>
        <v/>
      </c>
      <c r="I272" s="1" t="str">
        <f t="shared" si="42"/>
        <v/>
      </c>
      <c r="J272" s="1" t="str">
        <f t="shared" si="43"/>
        <v/>
      </c>
      <c r="K272" s="1">
        <f t="shared" si="44"/>
        <v>1</v>
      </c>
      <c r="L272" s="1" t="str">
        <f t="shared" si="45"/>
        <v/>
      </c>
    </row>
    <row r="273" spans="1:12">
      <c r="A273" t="s">
        <v>247</v>
      </c>
      <c r="B273">
        <v>3</v>
      </c>
      <c r="C273" t="str">
        <f t="shared" si="39"/>
        <v>test.GeoEngine_3_</v>
      </c>
      <c r="D273">
        <v>1</v>
      </c>
      <c r="E273">
        <v>9.6774193548387094E-2</v>
      </c>
      <c r="F273">
        <v>6.9508196721311477E-2</v>
      </c>
      <c r="G273" s="1">
        <f t="shared" si="40"/>
        <v>9.6774193548387094E-2</v>
      </c>
      <c r="H273" s="1" t="str">
        <f t="shared" si="41"/>
        <v/>
      </c>
      <c r="I273" s="1" t="str">
        <f t="shared" si="42"/>
        <v/>
      </c>
      <c r="J273" s="1" t="str">
        <f t="shared" si="43"/>
        <v/>
      </c>
      <c r="K273" s="1" t="str">
        <f t="shared" si="44"/>
        <v/>
      </c>
      <c r="L273" s="1" t="str">
        <f t="shared" si="45"/>
        <v/>
      </c>
    </row>
    <row r="274" spans="1:12">
      <c r="A274" t="s">
        <v>247</v>
      </c>
      <c r="B274">
        <v>3</v>
      </c>
      <c r="C274" t="str">
        <f t="shared" si="39"/>
        <v>test.GeoEngine_3_</v>
      </c>
      <c r="D274">
        <v>2</v>
      </c>
      <c r="E274">
        <v>0.74193548387096775</v>
      </c>
      <c r="F274">
        <v>0.62535519125683059</v>
      </c>
      <c r="G274" s="1" t="str">
        <f t="shared" si="40"/>
        <v/>
      </c>
      <c r="H274" s="1" t="str">
        <f t="shared" si="41"/>
        <v/>
      </c>
      <c r="I274" s="1" t="str">
        <f t="shared" si="42"/>
        <v/>
      </c>
      <c r="J274" s="1">
        <f t="shared" si="43"/>
        <v>0.74193548387096775</v>
      </c>
      <c r="K274" s="1" t="str">
        <f t="shared" si="44"/>
        <v/>
      </c>
      <c r="L274" s="1" t="str">
        <f t="shared" si="45"/>
        <v/>
      </c>
    </row>
    <row r="275" spans="1:12">
      <c r="A275" t="s">
        <v>247</v>
      </c>
      <c r="B275">
        <v>3</v>
      </c>
      <c r="C275" t="str">
        <f t="shared" si="39"/>
        <v>test.GeoEngine_3_</v>
      </c>
      <c r="D275">
        <v>3</v>
      </c>
      <c r="E275">
        <v>1</v>
      </c>
      <c r="F275">
        <v>0.63934426229508201</v>
      </c>
      <c r="G275" s="1" t="str">
        <f t="shared" si="40"/>
        <v/>
      </c>
      <c r="H275" s="1" t="str">
        <f t="shared" si="41"/>
        <v/>
      </c>
      <c r="I275" s="1" t="str">
        <f t="shared" si="42"/>
        <v/>
      </c>
      <c r="J275" s="1">
        <f t="shared" si="43"/>
        <v>1</v>
      </c>
      <c r="K275" s="1" t="str">
        <f t="shared" si="44"/>
        <v/>
      </c>
      <c r="L275" s="1" t="str">
        <f t="shared" si="45"/>
        <v/>
      </c>
    </row>
    <row r="276" spans="1:12">
      <c r="A276" t="s">
        <v>247</v>
      </c>
      <c r="B276">
        <v>7</v>
      </c>
      <c r="C276" t="str">
        <f t="shared" si="39"/>
        <v>test.GeoEngine_7_</v>
      </c>
      <c r="D276">
        <v>1</v>
      </c>
      <c r="E276">
        <v>5.3571428571428568E-2</v>
      </c>
      <c r="F276">
        <v>1.2417994376757264E-2</v>
      </c>
      <c r="G276" s="1">
        <f t="shared" si="40"/>
        <v>5.3571428571428568E-2</v>
      </c>
      <c r="H276" s="1" t="str">
        <f t="shared" si="41"/>
        <v/>
      </c>
      <c r="I276" s="1" t="str">
        <f t="shared" si="42"/>
        <v/>
      </c>
      <c r="J276" s="1" t="str">
        <f t="shared" si="43"/>
        <v/>
      </c>
      <c r="K276" s="1" t="str">
        <f t="shared" si="44"/>
        <v/>
      </c>
      <c r="L276" s="1" t="str">
        <f t="shared" si="45"/>
        <v/>
      </c>
    </row>
    <row r="277" spans="1:12">
      <c r="A277" t="s">
        <v>247</v>
      </c>
      <c r="B277">
        <v>7</v>
      </c>
      <c r="C277" t="str">
        <f t="shared" si="39"/>
        <v>test.GeoEngine_7_</v>
      </c>
      <c r="D277">
        <v>2</v>
      </c>
      <c r="E277">
        <v>7.1428571428571425E-2</v>
      </c>
      <c r="F277">
        <v>2.7413308341143392E-2</v>
      </c>
      <c r="G277" s="1">
        <f t="shared" si="40"/>
        <v>7.1428571428571425E-2</v>
      </c>
      <c r="H277" s="1" t="str">
        <f t="shared" si="41"/>
        <v/>
      </c>
      <c r="I277" s="1" t="str">
        <f t="shared" si="42"/>
        <v/>
      </c>
      <c r="J277" s="1" t="str">
        <f t="shared" si="43"/>
        <v/>
      </c>
      <c r="K277" s="1" t="str">
        <f t="shared" si="44"/>
        <v/>
      </c>
      <c r="L277" s="1" t="str">
        <f t="shared" si="45"/>
        <v/>
      </c>
    </row>
    <row r="278" spans="1:12">
      <c r="A278" t="s">
        <v>247</v>
      </c>
      <c r="B278">
        <v>7</v>
      </c>
      <c r="C278" t="str">
        <f t="shared" si="39"/>
        <v>test.GeoEngine_7_</v>
      </c>
      <c r="D278">
        <v>3</v>
      </c>
      <c r="E278">
        <v>0.2857142857142857</v>
      </c>
      <c r="F278">
        <v>7.2633552014995315E-2</v>
      </c>
      <c r="G278" s="1">
        <f t="shared" si="40"/>
        <v>0.2857142857142857</v>
      </c>
      <c r="H278" s="1" t="str">
        <f t="shared" si="41"/>
        <v/>
      </c>
      <c r="I278" s="1" t="str">
        <f t="shared" si="42"/>
        <v/>
      </c>
      <c r="J278" s="1" t="str">
        <f t="shared" si="43"/>
        <v/>
      </c>
      <c r="K278" s="1" t="str">
        <f t="shared" si="44"/>
        <v/>
      </c>
      <c r="L278" s="1" t="str">
        <f t="shared" si="45"/>
        <v/>
      </c>
    </row>
    <row r="279" spans="1:12">
      <c r="A279" t="s">
        <v>247</v>
      </c>
      <c r="B279">
        <v>7</v>
      </c>
      <c r="C279" t="str">
        <f t="shared" si="39"/>
        <v>test.GeoEngine_7_</v>
      </c>
      <c r="D279">
        <v>4</v>
      </c>
      <c r="E279">
        <v>0.48214285714285715</v>
      </c>
      <c r="F279">
        <v>0.10824742268041238</v>
      </c>
      <c r="G279" s="1">
        <f t="shared" si="40"/>
        <v>0.48214285714285715</v>
      </c>
      <c r="H279" s="1" t="str">
        <f t="shared" si="41"/>
        <v/>
      </c>
      <c r="I279" s="1" t="str">
        <f t="shared" si="42"/>
        <v/>
      </c>
      <c r="J279" s="1" t="str">
        <f t="shared" si="43"/>
        <v/>
      </c>
      <c r="K279" s="1" t="str">
        <f t="shared" si="44"/>
        <v/>
      </c>
      <c r="L279" s="1" t="str">
        <f t="shared" si="45"/>
        <v/>
      </c>
    </row>
    <row r="280" spans="1:12">
      <c r="A280" t="s">
        <v>247</v>
      </c>
      <c r="B280">
        <v>7</v>
      </c>
      <c r="C280" t="str">
        <f t="shared" si="39"/>
        <v>test.GeoEngine_7_</v>
      </c>
      <c r="D280">
        <v>5</v>
      </c>
      <c r="E280">
        <v>0.5178571428571429</v>
      </c>
      <c r="F280">
        <v>0.10848172446110591</v>
      </c>
      <c r="G280" s="1">
        <f t="shared" si="40"/>
        <v>0.5178571428571429</v>
      </c>
      <c r="H280" s="1" t="str">
        <f t="shared" si="41"/>
        <v/>
      </c>
      <c r="I280" s="1" t="str">
        <f t="shared" si="42"/>
        <v/>
      </c>
      <c r="J280" s="1" t="str">
        <f t="shared" si="43"/>
        <v/>
      </c>
      <c r="K280" s="1" t="str">
        <f t="shared" si="44"/>
        <v/>
      </c>
      <c r="L280" s="1" t="str">
        <f t="shared" si="45"/>
        <v/>
      </c>
    </row>
    <row r="281" spans="1:12">
      <c r="A281" t="s">
        <v>247</v>
      </c>
      <c r="B281">
        <v>7</v>
      </c>
      <c r="C281" t="str">
        <f t="shared" si="39"/>
        <v>test.GeoEngine_7_</v>
      </c>
      <c r="D281">
        <v>6</v>
      </c>
      <c r="E281">
        <v>1</v>
      </c>
      <c r="F281">
        <v>1.0056232427366447</v>
      </c>
      <c r="G281" s="1" t="str">
        <f t="shared" si="40"/>
        <v/>
      </c>
      <c r="H281" s="1" t="str">
        <f t="shared" si="41"/>
        <v/>
      </c>
      <c r="I281" s="1" t="str">
        <f t="shared" si="42"/>
        <v/>
      </c>
      <c r="J281" s="1" t="str">
        <f t="shared" si="43"/>
        <v/>
      </c>
      <c r="K281" s="1">
        <f t="shared" si="44"/>
        <v>1</v>
      </c>
      <c r="L281" s="1" t="str">
        <f t="shared" si="45"/>
        <v/>
      </c>
    </row>
    <row r="282" spans="1:12">
      <c r="A282" t="s">
        <v>247</v>
      </c>
      <c r="B282">
        <v>8</v>
      </c>
      <c r="C282" t="str">
        <f t="shared" si="39"/>
        <v>test.GeoEngine_8_</v>
      </c>
      <c r="D282">
        <v>1</v>
      </c>
      <c r="E282">
        <v>4.6511627906976744E-2</v>
      </c>
      <c r="F282">
        <v>5.5461041170466144E-2</v>
      </c>
      <c r="G282" s="1">
        <f t="shared" si="40"/>
        <v>4.6511627906976744E-2</v>
      </c>
      <c r="H282" s="1" t="str">
        <f t="shared" si="41"/>
        <v/>
      </c>
      <c r="I282" s="1" t="str">
        <f t="shared" si="42"/>
        <v/>
      </c>
      <c r="J282" s="1" t="str">
        <f t="shared" si="43"/>
        <v/>
      </c>
      <c r="K282" s="1" t="str">
        <f t="shared" si="44"/>
        <v/>
      </c>
      <c r="L282" s="1" t="str">
        <f t="shared" si="45"/>
        <v/>
      </c>
    </row>
    <row r="283" spans="1:12">
      <c r="A283" t="s">
        <v>247</v>
      </c>
      <c r="B283">
        <v>8</v>
      </c>
      <c r="C283" t="str">
        <f t="shared" si="39"/>
        <v>test.GeoEngine_8_</v>
      </c>
      <c r="D283">
        <v>2</v>
      </c>
      <c r="E283">
        <v>0.1744186046511628</v>
      </c>
      <c r="F283">
        <v>0.1309969377339231</v>
      </c>
      <c r="G283" s="1">
        <f t="shared" si="40"/>
        <v>0.1744186046511628</v>
      </c>
      <c r="H283" s="1" t="str">
        <f t="shared" si="41"/>
        <v/>
      </c>
      <c r="I283" s="1" t="str">
        <f t="shared" si="42"/>
        <v/>
      </c>
      <c r="J283" s="1" t="str">
        <f t="shared" si="43"/>
        <v/>
      </c>
      <c r="K283" s="1" t="str">
        <f t="shared" si="44"/>
        <v/>
      </c>
      <c r="L283" s="1" t="str">
        <f t="shared" si="45"/>
        <v/>
      </c>
    </row>
    <row r="284" spans="1:12">
      <c r="A284" t="s">
        <v>247</v>
      </c>
      <c r="B284">
        <v>8</v>
      </c>
      <c r="C284" t="str">
        <f t="shared" si="39"/>
        <v>test.GeoEngine_8_</v>
      </c>
      <c r="D284">
        <v>3</v>
      </c>
      <c r="E284">
        <v>0.22093023255813954</v>
      </c>
      <c r="F284">
        <v>0.15651582170806397</v>
      </c>
      <c r="G284" s="1">
        <f t="shared" si="40"/>
        <v>0.22093023255813954</v>
      </c>
      <c r="H284" s="1" t="str">
        <f t="shared" si="41"/>
        <v/>
      </c>
      <c r="I284" s="1" t="str">
        <f t="shared" si="42"/>
        <v/>
      </c>
      <c r="J284" s="1" t="str">
        <f t="shared" si="43"/>
        <v/>
      </c>
      <c r="K284" s="1" t="str">
        <f t="shared" si="44"/>
        <v/>
      </c>
      <c r="L284" s="1" t="str">
        <f t="shared" si="45"/>
        <v/>
      </c>
    </row>
    <row r="285" spans="1:12">
      <c r="A285" t="s">
        <v>247</v>
      </c>
      <c r="B285">
        <v>8</v>
      </c>
      <c r="C285" t="str">
        <f t="shared" si="39"/>
        <v>test.GeoEngine_8_</v>
      </c>
      <c r="D285">
        <v>4</v>
      </c>
      <c r="E285">
        <v>0.33720930232558138</v>
      </c>
      <c r="F285">
        <v>0.18577747533174549</v>
      </c>
      <c r="G285" s="1">
        <f t="shared" si="40"/>
        <v>0.33720930232558138</v>
      </c>
      <c r="H285" s="1" t="str">
        <f t="shared" si="41"/>
        <v/>
      </c>
      <c r="I285" s="1" t="str">
        <f t="shared" si="42"/>
        <v/>
      </c>
      <c r="J285" s="1" t="str">
        <f t="shared" si="43"/>
        <v/>
      </c>
      <c r="K285" s="1" t="str">
        <f t="shared" si="44"/>
        <v/>
      </c>
      <c r="L285" s="1" t="str">
        <f t="shared" si="45"/>
        <v/>
      </c>
    </row>
    <row r="286" spans="1:12">
      <c r="A286" t="s">
        <v>247</v>
      </c>
      <c r="B286">
        <v>8</v>
      </c>
      <c r="C286" t="str">
        <f t="shared" si="39"/>
        <v>test.GeoEngine_8_</v>
      </c>
      <c r="D286">
        <v>5</v>
      </c>
      <c r="E286">
        <v>0.36046511627906974</v>
      </c>
      <c r="F286">
        <v>0.19564477713507997</v>
      </c>
      <c r="G286" s="1">
        <f t="shared" si="40"/>
        <v>0.36046511627906974</v>
      </c>
      <c r="H286" s="1" t="str">
        <f t="shared" si="41"/>
        <v/>
      </c>
      <c r="I286" s="1" t="str">
        <f t="shared" si="42"/>
        <v/>
      </c>
      <c r="J286" s="1" t="str">
        <f t="shared" si="43"/>
        <v/>
      </c>
      <c r="K286" s="1" t="str">
        <f t="shared" si="44"/>
        <v/>
      </c>
      <c r="L286" s="1" t="str">
        <f t="shared" si="45"/>
        <v/>
      </c>
    </row>
    <row r="287" spans="1:12">
      <c r="A287" t="s">
        <v>247</v>
      </c>
      <c r="B287">
        <v>8</v>
      </c>
      <c r="C287" t="str">
        <f t="shared" si="39"/>
        <v>test.GeoEngine_8_</v>
      </c>
      <c r="D287">
        <v>6</v>
      </c>
      <c r="E287">
        <v>0.7558139534883721</v>
      </c>
      <c r="F287">
        <v>0.74072813882272881</v>
      </c>
      <c r="G287" s="1" t="str">
        <f t="shared" si="40"/>
        <v/>
      </c>
      <c r="H287" s="1" t="str">
        <f t="shared" si="41"/>
        <v/>
      </c>
      <c r="I287" s="1" t="str">
        <f t="shared" si="42"/>
        <v/>
      </c>
      <c r="J287" s="1">
        <f t="shared" si="43"/>
        <v>0.7558139534883721</v>
      </c>
      <c r="K287" s="1" t="str">
        <f t="shared" si="44"/>
        <v/>
      </c>
      <c r="L287" s="1" t="str">
        <f t="shared" si="45"/>
        <v/>
      </c>
    </row>
    <row r="288" spans="1:12">
      <c r="A288" t="s">
        <v>247</v>
      </c>
      <c r="B288">
        <v>8</v>
      </c>
      <c r="C288" t="str">
        <f t="shared" si="39"/>
        <v>test.GeoEngine_8_</v>
      </c>
      <c r="D288">
        <v>7</v>
      </c>
      <c r="E288">
        <v>0.79069767441860461</v>
      </c>
      <c r="F288">
        <v>0.7645457638652603</v>
      </c>
      <c r="G288" s="1" t="str">
        <f t="shared" si="40"/>
        <v/>
      </c>
      <c r="H288" s="1" t="str">
        <f t="shared" si="41"/>
        <v/>
      </c>
      <c r="I288" s="1" t="str">
        <f t="shared" si="42"/>
        <v/>
      </c>
      <c r="J288" s="1">
        <f t="shared" si="43"/>
        <v>0.79069767441860461</v>
      </c>
      <c r="K288" s="1" t="str">
        <f t="shared" si="44"/>
        <v/>
      </c>
      <c r="L288" s="1" t="str">
        <f t="shared" si="45"/>
        <v/>
      </c>
    </row>
    <row r="289" spans="1:12">
      <c r="A289" t="s">
        <v>247</v>
      </c>
      <c r="B289">
        <v>8</v>
      </c>
      <c r="C289" t="str">
        <f t="shared" si="39"/>
        <v>test.GeoEngine_8_</v>
      </c>
      <c r="D289">
        <v>8</v>
      </c>
      <c r="E289">
        <v>0.81395348837209303</v>
      </c>
      <c r="F289">
        <v>0.77067029601905412</v>
      </c>
      <c r="G289" s="1" t="str">
        <f t="shared" si="40"/>
        <v/>
      </c>
      <c r="H289" s="1" t="str">
        <f t="shared" si="41"/>
        <v/>
      </c>
      <c r="I289" s="1" t="str">
        <f t="shared" si="42"/>
        <v/>
      </c>
      <c r="J289" s="1">
        <f t="shared" si="43"/>
        <v>0.81395348837209303</v>
      </c>
      <c r="K289" s="1" t="str">
        <f t="shared" si="44"/>
        <v/>
      </c>
      <c r="L289" s="1" t="str">
        <f t="shared" si="45"/>
        <v/>
      </c>
    </row>
    <row r="290" spans="1:12">
      <c r="A290" t="s">
        <v>247</v>
      </c>
      <c r="B290">
        <v>8</v>
      </c>
      <c r="C290" t="str">
        <f t="shared" si="39"/>
        <v>test.GeoEngine_8_</v>
      </c>
      <c r="D290">
        <v>9</v>
      </c>
      <c r="E290">
        <v>0.87209302325581395</v>
      </c>
      <c r="F290">
        <v>0.81047975501871383</v>
      </c>
      <c r="G290" s="1" t="str">
        <f t="shared" si="40"/>
        <v/>
      </c>
      <c r="H290" s="1" t="str">
        <f t="shared" si="41"/>
        <v/>
      </c>
      <c r="I290" s="1" t="str">
        <f t="shared" si="42"/>
        <v/>
      </c>
      <c r="J290" s="1" t="str">
        <f t="shared" si="43"/>
        <v/>
      </c>
      <c r="K290" s="1">
        <f t="shared" si="44"/>
        <v>0.87209302325581395</v>
      </c>
      <c r="L290" s="1" t="str">
        <f t="shared" si="45"/>
        <v/>
      </c>
    </row>
    <row r="291" spans="1:12">
      <c r="A291" t="s">
        <v>247</v>
      </c>
      <c r="B291">
        <v>8</v>
      </c>
      <c r="C291" t="str">
        <f t="shared" si="39"/>
        <v>test.GeoEngine_8_</v>
      </c>
      <c r="D291">
        <v>10</v>
      </c>
      <c r="E291">
        <v>0.91860465116279066</v>
      </c>
      <c r="F291">
        <v>0.86866281047975502</v>
      </c>
      <c r="G291" s="1" t="str">
        <f t="shared" si="40"/>
        <v/>
      </c>
      <c r="H291" s="1" t="str">
        <f t="shared" si="41"/>
        <v/>
      </c>
      <c r="I291" s="1" t="str">
        <f t="shared" si="42"/>
        <v/>
      </c>
      <c r="J291" s="1" t="str">
        <f t="shared" si="43"/>
        <v/>
      </c>
      <c r="K291" s="1">
        <f t="shared" si="44"/>
        <v>0.91860465116279066</v>
      </c>
      <c r="L291" s="1" t="str">
        <f t="shared" si="45"/>
        <v/>
      </c>
    </row>
    <row r="292" spans="1:12">
      <c r="A292" t="s">
        <v>247</v>
      </c>
      <c r="B292">
        <v>8</v>
      </c>
      <c r="C292" t="str">
        <f t="shared" si="39"/>
        <v>test.GeoEngine_8_</v>
      </c>
      <c r="D292">
        <v>11</v>
      </c>
      <c r="E292">
        <v>1</v>
      </c>
      <c r="F292">
        <v>0.92684586594079621</v>
      </c>
      <c r="G292" s="1" t="str">
        <f t="shared" si="40"/>
        <v/>
      </c>
      <c r="H292" s="1" t="str">
        <f t="shared" si="41"/>
        <v/>
      </c>
      <c r="I292" s="1" t="str">
        <f t="shared" si="42"/>
        <v/>
      </c>
      <c r="J292" s="1" t="str">
        <f t="shared" si="43"/>
        <v/>
      </c>
      <c r="K292" s="1">
        <f t="shared" si="44"/>
        <v>1</v>
      </c>
      <c r="L292" s="1" t="str">
        <f t="shared" si="45"/>
        <v/>
      </c>
    </row>
    <row r="293" spans="1:12">
      <c r="A293" t="s">
        <v>247</v>
      </c>
      <c r="B293">
        <v>9</v>
      </c>
      <c r="C293" t="str">
        <f t="shared" si="39"/>
        <v>test.GeoEngine_9_</v>
      </c>
      <c r="D293">
        <v>1</v>
      </c>
      <c r="E293">
        <v>8.6956521739130432E-2</v>
      </c>
      <c r="F293">
        <v>8.8299024918743224E-2</v>
      </c>
      <c r="G293" s="1">
        <f t="shared" si="40"/>
        <v>8.6956521739130432E-2</v>
      </c>
      <c r="H293" s="1" t="str">
        <f t="shared" si="41"/>
        <v/>
      </c>
      <c r="I293" s="1" t="str">
        <f t="shared" si="42"/>
        <v/>
      </c>
      <c r="J293" s="1" t="str">
        <f t="shared" si="43"/>
        <v/>
      </c>
      <c r="K293" s="1" t="str">
        <f t="shared" si="44"/>
        <v/>
      </c>
      <c r="L293" s="1" t="str">
        <f t="shared" si="45"/>
        <v/>
      </c>
    </row>
    <row r="294" spans="1:12">
      <c r="A294" t="s">
        <v>247</v>
      </c>
      <c r="B294">
        <v>9</v>
      </c>
      <c r="C294" t="str">
        <f t="shared" si="39"/>
        <v>test.GeoEngine_9_</v>
      </c>
      <c r="D294">
        <v>2</v>
      </c>
      <c r="E294">
        <v>0.19565217391304349</v>
      </c>
      <c r="F294">
        <v>0.13434452871072589</v>
      </c>
      <c r="G294" s="1">
        <f t="shared" si="40"/>
        <v>0.19565217391304349</v>
      </c>
      <c r="H294" s="1" t="str">
        <f t="shared" si="41"/>
        <v/>
      </c>
      <c r="I294" s="1" t="str">
        <f t="shared" si="42"/>
        <v/>
      </c>
      <c r="J294" s="1" t="str">
        <f t="shared" si="43"/>
        <v/>
      </c>
      <c r="K294" s="1" t="str">
        <f t="shared" si="44"/>
        <v/>
      </c>
      <c r="L294" s="1" t="str">
        <f t="shared" si="45"/>
        <v/>
      </c>
    </row>
    <row r="295" spans="1:12">
      <c r="A295" t="s">
        <v>247</v>
      </c>
      <c r="B295">
        <v>9</v>
      </c>
      <c r="C295" t="str">
        <f t="shared" si="39"/>
        <v>test.GeoEngine_9_</v>
      </c>
      <c r="D295">
        <v>3</v>
      </c>
      <c r="E295">
        <v>0.41304347826086957</v>
      </c>
      <c r="F295">
        <v>0.28764897074756229</v>
      </c>
      <c r="G295" s="1" t="str">
        <f t="shared" si="40"/>
        <v/>
      </c>
      <c r="H295" s="1">
        <f t="shared" si="41"/>
        <v>0.41304347826086957</v>
      </c>
      <c r="I295" s="1" t="str">
        <f t="shared" si="42"/>
        <v/>
      </c>
      <c r="J295" s="1" t="str">
        <f t="shared" si="43"/>
        <v/>
      </c>
      <c r="K295" s="1" t="str">
        <f t="shared" si="44"/>
        <v/>
      </c>
      <c r="L295" s="1" t="str">
        <f t="shared" si="45"/>
        <v/>
      </c>
    </row>
    <row r="296" spans="1:12">
      <c r="A296" t="s">
        <v>247</v>
      </c>
      <c r="B296">
        <v>9</v>
      </c>
      <c r="C296" t="str">
        <f t="shared" si="39"/>
        <v>test.GeoEngine_9_</v>
      </c>
      <c r="D296">
        <v>4</v>
      </c>
      <c r="E296">
        <v>0.45652173913043476</v>
      </c>
      <c r="F296">
        <v>0.31094257854821233</v>
      </c>
      <c r="G296" s="1" t="str">
        <f t="shared" si="40"/>
        <v/>
      </c>
      <c r="H296" s="1">
        <f t="shared" si="41"/>
        <v>0.45652173913043476</v>
      </c>
      <c r="I296" s="1" t="str">
        <f t="shared" si="42"/>
        <v/>
      </c>
      <c r="J296" s="1" t="str">
        <f t="shared" si="43"/>
        <v/>
      </c>
      <c r="K296" s="1" t="str">
        <f t="shared" si="44"/>
        <v/>
      </c>
      <c r="L296" s="1" t="str">
        <f t="shared" si="45"/>
        <v/>
      </c>
    </row>
    <row r="297" spans="1:12">
      <c r="A297" t="s">
        <v>247</v>
      </c>
      <c r="B297">
        <v>9</v>
      </c>
      <c r="C297" t="str">
        <f t="shared" si="39"/>
        <v>test.GeoEngine_9_</v>
      </c>
      <c r="D297">
        <v>5</v>
      </c>
      <c r="E297">
        <v>1</v>
      </c>
      <c r="F297">
        <v>0.99729144095341282</v>
      </c>
      <c r="G297" s="1" t="str">
        <f t="shared" si="40"/>
        <v/>
      </c>
      <c r="H297" s="1" t="str">
        <f t="shared" si="41"/>
        <v/>
      </c>
      <c r="I297" s="1" t="str">
        <f t="shared" si="42"/>
        <v/>
      </c>
      <c r="J297" s="1" t="str">
        <f t="shared" si="43"/>
        <v/>
      </c>
      <c r="K297" s="1">
        <f t="shared" si="44"/>
        <v>1</v>
      </c>
      <c r="L297" s="1" t="str">
        <f t="shared" si="45"/>
        <v/>
      </c>
    </row>
    <row r="298" spans="1:12">
      <c r="A298" t="s">
        <v>247</v>
      </c>
      <c r="B298">
        <v>10</v>
      </c>
      <c r="C298" t="str">
        <f t="shared" si="39"/>
        <v>test.GeoEngine_10_</v>
      </c>
      <c r="D298">
        <v>1</v>
      </c>
      <c r="E298">
        <v>3.3333333333333333E-2</v>
      </c>
      <c r="F298">
        <v>8.3333333333333329E-2</v>
      </c>
      <c r="G298" s="1">
        <f t="shared" si="40"/>
        <v>3.3333333333333333E-2</v>
      </c>
      <c r="H298" s="1" t="str">
        <f t="shared" si="41"/>
        <v/>
      </c>
      <c r="I298" s="1" t="str">
        <f t="shared" si="42"/>
        <v/>
      </c>
      <c r="J298" s="1" t="str">
        <f t="shared" si="43"/>
        <v/>
      </c>
      <c r="K298" s="1" t="str">
        <f t="shared" si="44"/>
        <v/>
      </c>
      <c r="L298" s="1" t="str">
        <f t="shared" si="45"/>
        <v/>
      </c>
    </row>
    <row r="299" spans="1:12">
      <c r="A299" t="s">
        <v>247</v>
      </c>
      <c r="B299">
        <v>10</v>
      </c>
      <c r="C299" t="str">
        <f t="shared" si="39"/>
        <v>test.GeoEngine_10_</v>
      </c>
      <c r="D299">
        <v>2</v>
      </c>
      <c r="E299">
        <v>0.2</v>
      </c>
      <c r="F299">
        <v>0.35388127853881279</v>
      </c>
      <c r="G299" s="1" t="str">
        <f t="shared" si="40"/>
        <v/>
      </c>
      <c r="H299" s="1">
        <f t="shared" si="41"/>
        <v>0.2</v>
      </c>
      <c r="I299" s="1" t="str">
        <f t="shared" si="42"/>
        <v/>
      </c>
      <c r="J299" s="1" t="str">
        <f t="shared" si="43"/>
        <v/>
      </c>
      <c r="K299" s="1" t="str">
        <f t="shared" si="44"/>
        <v/>
      </c>
      <c r="L299" s="1" t="str">
        <f t="shared" si="45"/>
        <v/>
      </c>
    </row>
    <row r="300" spans="1:12">
      <c r="A300" t="s">
        <v>247</v>
      </c>
      <c r="B300">
        <v>10</v>
      </c>
      <c r="C300" t="str">
        <f t="shared" si="39"/>
        <v>test.GeoEngine_10_</v>
      </c>
      <c r="D300">
        <v>3</v>
      </c>
      <c r="E300">
        <v>0.4</v>
      </c>
      <c r="F300">
        <v>0.49200913242009131</v>
      </c>
      <c r="G300" s="1" t="str">
        <f t="shared" si="40"/>
        <v/>
      </c>
      <c r="H300" s="1" t="str">
        <f t="shared" si="41"/>
        <v/>
      </c>
      <c r="I300" s="1">
        <f t="shared" si="42"/>
        <v>0.4</v>
      </c>
      <c r="J300" s="1" t="str">
        <f t="shared" si="43"/>
        <v/>
      </c>
      <c r="K300" s="1" t="str">
        <f t="shared" si="44"/>
        <v/>
      </c>
      <c r="L300" s="1" t="str">
        <f t="shared" si="45"/>
        <v/>
      </c>
    </row>
    <row r="301" spans="1:12">
      <c r="A301" t="s">
        <v>247</v>
      </c>
      <c r="B301">
        <v>10</v>
      </c>
      <c r="C301" t="str">
        <f t="shared" si="39"/>
        <v>test.GeoEngine_10_</v>
      </c>
      <c r="D301">
        <v>4</v>
      </c>
      <c r="E301">
        <v>0.43333333333333335</v>
      </c>
      <c r="F301">
        <v>0.5639269406392694</v>
      </c>
      <c r="G301" s="1" t="str">
        <f t="shared" si="40"/>
        <v/>
      </c>
      <c r="H301" s="1" t="str">
        <f t="shared" si="41"/>
        <v/>
      </c>
      <c r="I301" s="1">
        <f t="shared" si="42"/>
        <v>0.43333333333333335</v>
      </c>
      <c r="J301" s="1" t="str">
        <f t="shared" si="43"/>
        <v/>
      </c>
      <c r="K301" s="1" t="str">
        <f t="shared" si="44"/>
        <v/>
      </c>
      <c r="L301" s="1" t="str">
        <f t="shared" si="45"/>
        <v/>
      </c>
    </row>
    <row r="302" spans="1:12">
      <c r="A302" t="s">
        <v>247</v>
      </c>
      <c r="B302">
        <v>10</v>
      </c>
      <c r="C302" t="str">
        <f t="shared" si="39"/>
        <v>test.GeoEngine_10_</v>
      </c>
      <c r="D302">
        <v>5</v>
      </c>
      <c r="E302">
        <v>0.6333333333333333</v>
      </c>
      <c r="F302">
        <v>0.67808219178082196</v>
      </c>
      <c r="G302" s="1" t="str">
        <f t="shared" si="40"/>
        <v/>
      </c>
      <c r="H302" s="1" t="str">
        <f t="shared" si="41"/>
        <v/>
      </c>
      <c r="I302" s="1" t="str">
        <f t="shared" si="42"/>
        <v/>
      </c>
      <c r="J302" s="1">
        <f t="shared" si="43"/>
        <v>0.6333333333333333</v>
      </c>
      <c r="K302" s="1" t="str">
        <f t="shared" si="44"/>
        <v/>
      </c>
      <c r="L302" s="1" t="str">
        <f t="shared" si="45"/>
        <v/>
      </c>
    </row>
    <row r="303" spans="1:12">
      <c r="A303" t="s">
        <v>247</v>
      </c>
      <c r="B303">
        <v>10</v>
      </c>
      <c r="C303" t="str">
        <f t="shared" si="39"/>
        <v>test.GeoEngine_10_</v>
      </c>
      <c r="D303">
        <v>6</v>
      </c>
      <c r="E303">
        <v>0.6333333333333333</v>
      </c>
      <c r="F303">
        <v>0.71232876712328763</v>
      </c>
      <c r="G303" s="1" t="str">
        <f t="shared" si="40"/>
        <v/>
      </c>
      <c r="H303" s="1" t="str">
        <f t="shared" si="41"/>
        <v/>
      </c>
      <c r="I303" s="1" t="str">
        <f t="shared" si="42"/>
        <v/>
      </c>
      <c r="J303" s="1">
        <f t="shared" si="43"/>
        <v>0.6333333333333333</v>
      </c>
      <c r="K303" s="1" t="str">
        <f t="shared" si="44"/>
        <v/>
      </c>
      <c r="L303" s="1" t="str">
        <f t="shared" si="45"/>
        <v/>
      </c>
    </row>
    <row r="304" spans="1:12">
      <c r="A304" t="s">
        <v>247</v>
      </c>
      <c r="B304">
        <v>10</v>
      </c>
      <c r="C304" t="str">
        <f t="shared" si="39"/>
        <v>test.GeoEngine_10_</v>
      </c>
      <c r="D304">
        <v>7</v>
      </c>
      <c r="E304">
        <v>0.66666666666666663</v>
      </c>
      <c r="F304">
        <v>0.71575342465753422</v>
      </c>
      <c r="G304" s="1" t="str">
        <f t="shared" si="40"/>
        <v/>
      </c>
      <c r="H304" s="1" t="str">
        <f t="shared" si="41"/>
        <v/>
      </c>
      <c r="I304" s="1" t="str">
        <f t="shared" si="42"/>
        <v/>
      </c>
      <c r="J304" s="1">
        <f t="shared" si="43"/>
        <v>0.66666666666666663</v>
      </c>
      <c r="K304" s="1" t="str">
        <f t="shared" si="44"/>
        <v/>
      </c>
      <c r="L304" s="1" t="str">
        <f t="shared" si="45"/>
        <v/>
      </c>
    </row>
    <row r="305" spans="1:12">
      <c r="A305" t="s">
        <v>247</v>
      </c>
      <c r="B305">
        <v>10</v>
      </c>
      <c r="C305" t="str">
        <f t="shared" si="39"/>
        <v>test.GeoEngine_10_</v>
      </c>
      <c r="D305">
        <v>8</v>
      </c>
      <c r="E305">
        <v>0.8</v>
      </c>
      <c r="F305">
        <v>0.76141552511415522</v>
      </c>
      <c r="G305" s="1" t="str">
        <f t="shared" si="40"/>
        <v/>
      </c>
      <c r="H305" s="1" t="str">
        <f t="shared" si="41"/>
        <v/>
      </c>
      <c r="I305" s="1" t="str">
        <f t="shared" si="42"/>
        <v/>
      </c>
      <c r="J305" s="1">
        <f t="shared" si="43"/>
        <v>0.8</v>
      </c>
      <c r="K305" s="1" t="str">
        <f t="shared" si="44"/>
        <v/>
      </c>
      <c r="L305" s="1" t="str">
        <f t="shared" si="45"/>
        <v/>
      </c>
    </row>
    <row r="306" spans="1:12">
      <c r="A306" t="s">
        <v>247</v>
      </c>
      <c r="B306">
        <v>10</v>
      </c>
      <c r="C306" t="str">
        <f t="shared" si="39"/>
        <v>test.GeoEngine_10_</v>
      </c>
      <c r="D306">
        <v>9</v>
      </c>
      <c r="E306">
        <v>0.8</v>
      </c>
      <c r="F306">
        <v>0.78767123287671237</v>
      </c>
      <c r="G306" s="1" t="str">
        <f t="shared" si="40"/>
        <v/>
      </c>
      <c r="H306" s="1" t="str">
        <f t="shared" si="41"/>
        <v/>
      </c>
      <c r="I306" s="1" t="str">
        <f t="shared" si="42"/>
        <v/>
      </c>
      <c r="J306" s="1">
        <f t="shared" si="43"/>
        <v>0.8</v>
      </c>
      <c r="K306" s="1" t="str">
        <f t="shared" si="44"/>
        <v/>
      </c>
      <c r="L306" s="1" t="str">
        <f t="shared" si="45"/>
        <v/>
      </c>
    </row>
    <row r="307" spans="1:12">
      <c r="A307" t="s">
        <v>247</v>
      </c>
      <c r="B307">
        <v>10</v>
      </c>
      <c r="C307" t="str">
        <f t="shared" si="39"/>
        <v>test.GeoEngine_10_</v>
      </c>
      <c r="D307">
        <v>10</v>
      </c>
      <c r="E307">
        <v>0.8</v>
      </c>
      <c r="F307">
        <v>0.8047945205479452</v>
      </c>
      <c r="G307" s="1" t="str">
        <f t="shared" si="40"/>
        <v/>
      </c>
      <c r="H307" s="1" t="str">
        <f t="shared" si="41"/>
        <v/>
      </c>
      <c r="I307" s="1" t="str">
        <f t="shared" si="42"/>
        <v/>
      </c>
      <c r="J307" s="1" t="str">
        <f t="shared" si="43"/>
        <v/>
      </c>
      <c r="K307" s="1">
        <f t="shared" si="44"/>
        <v>0.8</v>
      </c>
      <c r="L307" s="1" t="str">
        <f t="shared" si="45"/>
        <v/>
      </c>
    </row>
    <row r="308" spans="1:12">
      <c r="A308" t="s">
        <v>247</v>
      </c>
      <c r="B308">
        <v>10</v>
      </c>
      <c r="C308" t="str">
        <f t="shared" si="39"/>
        <v>test.GeoEngine_10_</v>
      </c>
      <c r="D308">
        <v>11</v>
      </c>
      <c r="E308">
        <v>0.8</v>
      </c>
      <c r="F308">
        <v>0.80593607305936077</v>
      </c>
      <c r="G308" s="1" t="str">
        <f t="shared" si="40"/>
        <v/>
      </c>
      <c r="H308" s="1" t="str">
        <f t="shared" si="41"/>
        <v/>
      </c>
      <c r="I308" s="1" t="str">
        <f t="shared" si="42"/>
        <v/>
      </c>
      <c r="J308" s="1" t="str">
        <f t="shared" si="43"/>
        <v/>
      </c>
      <c r="K308" s="1">
        <f t="shared" si="44"/>
        <v>0.8</v>
      </c>
      <c r="L308" s="1" t="str">
        <f t="shared" si="45"/>
        <v/>
      </c>
    </row>
    <row r="309" spans="1:12">
      <c r="A309" t="s">
        <v>247</v>
      </c>
      <c r="B309">
        <v>10</v>
      </c>
      <c r="C309" t="str">
        <f t="shared" si="39"/>
        <v>test.GeoEngine_10_</v>
      </c>
      <c r="D309">
        <v>12</v>
      </c>
      <c r="E309">
        <v>0.93333333333333335</v>
      </c>
      <c r="F309">
        <v>0.80821917808219179</v>
      </c>
      <c r="G309" s="1" t="str">
        <f t="shared" si="40"/>
        <v/>
      </c>
      <c r="H309" s="1" t="str">
        <f t="shared" si="41"/>
        <v/>
      </c>
      <c r="I309" s="1" t="str">
        <f t="shared" si="42"/>
        <v/>
      </c>
      <c r="J309" s="1" t="str">
        <f t="shared" si="43"/>
        <v/>
      </c>
      <c r="K309" s="1">
        <f t="shared" si="44"/>
        <v>0.93333333333333335</v>
      </c>
      <c r="L309" s="1" t="str">
        <f t="shared" si="45"/>
        <v/>
      </c>
    </row>
    <row r="310" spans="1:12">
      <c r="A310" t="s">
        <v>247</v>
      </c>
      <c r="B310">
        <v>10</v>
      </c>
      <c r="C310" t="str">
        <f t="shared" si="39"/>
        <v>test.GeoEngine_10_</v>
      </c>
      <c r="D310">
        <v>13</v>
      </c>
      <c r="E310">
        <v>0.96666666666666667</v>
      </c>
      <c r="F310">
        <v>0.81506849315068497</v>
      </c>
      <c r="G310" s="1" t="str">
        <f t="shared" si="40"/>
        <v/>
      </c>
      <c r="H310" s="1" t="str">
        <f t="shared" si="41"/>
        <v/>
      </c>
      <c r="I310" s="1" t="str">
        <f t="shared" si="42"/>
        <v/>
      </c>
      <c r="J310" s="1" t="str">
        <f t="shared" si="43"/>
        <v/>
      </c>
      <c r="K310" s="1">
        <f t="shared" si="44"/>
        <v>0.96666666666666667</v>
      </c>
      <c r="L310" s="1" t="str">
        <f t="shared" si="45"/>
        <v/>
      </c>
    </row>
    <row r="311" spans="1:12">
      <c r="A311" t="s">
        <v>247</v>
      </c>
      <c r="B311">
        <v>10</v>
      </c>
      <c r="C311" t="str">
        <f t="shared" si="39"/>
        <v>test.GeoEngine_10_</v>
      </c>
      <c r="D311">
        <v>14</v>
      </c>
      <c r="E311">
        <v>1</v>
      </c>
      <c r="F311">
        <v>0.81849315068493156</v>
      </c>
      <c r="G311" s="1" t="str">
        <f t="shared" si="40"/>
        <v/>
      </c>
      <c r="H311" s="1" t="str">
        <f t="shared" si="41"/>
        <v/>
      </c>
      <c r="I311" s="1" t="str">
        <f t="shared" si="42"/>
        <v/>
      </c>
      <c r="J311" s="1" t="str">
        <f t="shared" si="43"/>
        <v/>
      </c>
      <c r="K311" s="1">
        <f t="shared" si="44"/>
        <v>1</v>
      </c>
      <c r="L311" s="1" t="str">
        <f t="shared" si="45"/>
        <v/>
      </c>
    </row>
    <row r="312" spans="1:12">
      <c r="A312" t="s">
        <v>247</v>
      </c>
      <c r="B312">
        <v>10</v>
      </c>
      <c r="C312" t="str">
        <f t="shared" si="39"/>
        <v>test.GeoEngine_10_</v>
      </c>
      <c r="D312">
        <v>15</v>
      </c>
      <c r="E312">
        <v>1</v>
      </c>
      <c r="F312">
        <v>0.8595890410958904</v>
      </c>
      <c r="G312" s="1" t="str">
        <f t="shared" si="40"/>
        <v/>
      </c>
      <c r="H312" s="1" t="str">
        <f t="shared" si="41"/>
        <v/>
      </c>
      <c r="I312" s="1" t="str">
        <f t="shared" si="42"/>
        <v/>
      </c>
      <c r="J312" s="1" t="str">
        <f t="shared" si="43"/>
        <v/>
      </c>
      <c r="K312" s="1">
        <f t="shared" si="44"/>
        <v>1</v>
      </c>
      <c r="L312" s="1" t="str">
        <f t="shared" si="45"/>
        <v/>
      </c>
    </row>
    <row r="313" spans="1:12">
      <c r="A313" t="s">
        <v>247</v>
      </c>
      <c r="B313">
        <v>10</v>
      </c>
      <c r="C313" t="str">
        <f t="shared" si="39"/>
        <v>test.GeoEngine_10_</v>
      </c>
      <c r="D313">
        <v>16</v>
      </c>
      <c r="E313">
        <v>1</v>
      </c>
      <c r="F313">
        <v>0.86757990867579904</v>
      </c>
      <c r="G313" s="1" t="str">
        <f t="shared" si="40"/>
        <v/>
      </c>
      <c r="H313" s="1" t="str">
        <f t="shared" si="41"/>
        <v/>
      </c>
      <c r="I313" s="1" t="str">
        <f t="shared" si="42"/>
        <v/>
      </c>
      <c r="J313" s="1" t="str">
        <f t="shared" si="43"/>
        <v/>
      </c>
      <c r="K313" s="1">
        <f t="shared" si="44"/>
        <v>1</v>
      </c>
      <c r="L313" s="1" t="str">
        <f t="shared" si="45"/>
        <v/>
      </c>
    </row>
    <row r="314" spans="1:12">
      <c r="A314" t="s">
        <v>247</v>
      </c>
      <c r="B314">
        <v>10</v>
      </c>
      <c r="C314" t="str">
        <f t="shared" si="39"/>
        <v>test.GeoEngine_10_</v>
      </c>
      <c r="D314">
        <v>17</v>
      </c>
      <c r="E314">
        <v>1</v>
      </c>
      <c r="F314">
        <v>0.87214611872146119</v>
      </c>
      <c r="G314" s="1" t="str">
        <f t="shared" si="40"/>
        <v/>
      </c>
      <c r="H314" s="1" t="str">
        <f t="shared" si="41"/>
        <v/>
      </c>
      <c r="I314" s="1" t="str">
        <f t="shared" si="42"/>
        <v/>
      </c>
      <c r="J314" s="1" t="str">
        <f t="shared" si="43"/>
        <v/>
      </c>
      <c r="K314" s="1">
        <f t="shared" si="44"/>
        <v>1</v>
      </c>
      <c r="L314" s="1" t="str">
        <f t="shared" si="45"/>
        <v/>
      </c>
    </row>
    <row r="315" spans="1:12">
      <c r="A315" t="s">
        <v>247</v>
      </c>
      <c r="B315">
        <v>10</v>
      </c>
      <c r="C315" t="str">
        <f t="shared" si="39"/>
        <v>test.GeoEngine_10_</v>
      </c>
      <c r="D315">
        <v>18</v>
      </c>
      <c r="E315">
        <v>1</v>
      </c>
      <c r="F315">
        <v>0.88242009132420096</v>
      </c>
      <c r="G315" s="1" t="str">
        <f t="shared" si="40"/>
        <v/>
      </c>
      <c r="H315" s="1" t="str">
        <f t="shared" si="41"/>
        <v/>
      </c>
      <c r="I315" s="1" t="str">
        <f t="shared" si="42"/>
        <v/>
      </c>
      <c r="J315" s="1" t="str">
        <f t="shared" si="43"/>
        <v/>
      </c>
      <c r="K315" s="1">
        <f t="shared" si="44"/>
        <v>1</v>
      </c>
      <c r="L315" s="1" t="str">
        <f t="shared" si="45"/>
        <v/>
      </c>
    </row>
    <row r="316" spans="1:12">
      <c r="A316" t="s">
        <v>247</v>
      </c>
      <c r="B316">
        <v>10</v>
      </c>
      <c r="C316" t="str">
        <f t="shared" si="39"/>
        <v>test.GeoEngine_10_</v>
      </c>
      <c r="D316">
        <v>19</v>
      </c>
      <c r="E316">
        <v>1</v>
      </c>
      <c r="F316">
        <v>0.88470319634703198</v>
      </c>
      <c r="G316" s="1" t="str">
        <f t="shared" si="40"/>
        <v/>
      </c>
      <c r="H316" s="1" t="str">
        <f t="shared" si="41"/>
        <v/>
      </c>
      <c r="I316" s="1" t="str">
        <f t="shared" si="42"/>
        <v/>
      </c>
      <c r="J316" s="1" t="str">
        <f t="shared" si="43"/>
        <v/>
      </c>
      <c r="K316" s="1">
        <f t="shared" si="44"/>
        <v>1</v>
      </c>
      <c r="L316" s="1" t="str">
        <f t="shared" si="45"/>
        <v/>
      </c>
    </row>
    <row r="317" spans="1:12">
      <c r="A317" t="s">
        <v>247</v>
      </c>
      <c r="B317">
        <v>10</v>
      </c>
      <c r="C317" t="str">
        <f t="shared" si="39"/>
        <v>test.GeoEngine_10_</v>
      </c>
      <c r="D317">
        <v>20</v>
      </c>
      <c r="E317">
        <v>1</v>
      </c>
      <c r="F317">
        <v>0.88584474885844744</v>
      </c>
      <c r="G317" s="1" t="str">
        <f t="shared" si="40"/>
        <v/>
      </c>
      <c r="H317" s="1" t="str">
        <f t="shared" si="41"/>
        <v/>
      </c>
      <c r="I317" s="1" t="str">
        <f t="shared" si="42"/>
        <v/>
      </c>
      <c r="J317" s="1" t="str">
        <f t="shared" si="43"/>
        <v/>
      </c>
      <c r="K317" s="1">
        <f t="shared" si="44"/>
        <v>1</v>
      </c>
      <c r="L317" s="1" t="str">
        <f t="shared" si="45"/>
        <v/>
      </c>
    </row>
    <row r="318" spans="1:12">
      <c r="A318" t="s">
        <v>247</v>
      </c>
      <c r="B318">
        <v>10</v>
      </c>
      <c r="C318" t="str">
        <f t="shared" si="39"/>
        <v>test.GeoEngine_10_</v>
      </c>
      <c r="D318">
        <v>21</v>
      </c>
      <c r="E318">
        <v>1</v>
      </c>
      <c r="F318">
        <v>0.88698630136986301</v>
      </c>
      <c r="G318" s="1" t="str">
        <f t="shared" si="40"/>
        <v/>
      </c>
      <c r="H318" s="1" t="str">
        <f t="shared" si="41"/>
        <v/>
      </c>
      <c r="I318" s="1" t="str">
        <f t="shared" si="42"/>
        <v/>
      </c>
      <c r="J318" s="1" t="str">
        <f t="shared" si="43"/>
        <v/>
      </c>
      <c r="K318" s="1">
        <f t="shared" si="44"/>
        <v>1</v>
      </c>
      <c r="L318" s="1" t="str">
        <f t="shared" si="45"/>
        <v/>
      </c>
    </row>
    <row r="319" spans="1:12">
      <c r="A319" t="s">
        <v>247</v>
      </c>
      <c r="B319">
        <v>10</v>
      </c>
      <c r="C319" t="str">
        <f t="shared" si="39"/>
        <v>test.GeoEngine_10_</v>
      </c>
      <c r="D319">
        <v>22</v>
      </c>
      <c r="E319">
        <v>1</v>
      </c>
      <c r="F319">
        <v>0.88812785388127857</v>
      </c>
      <c r="G319" s="1" t="str">
        <f t="shared" si="40"/>
        <v/>
      </c>
      <c r="H319" s="1" t="str">
        <f t="shared" si="41"/>
        <v/>
      </c>
      <c r="I319" s="1" t="str">
        <f t="shared" si="42"/>
        <v/>
      </c>
      <c r="J319" s="1" t="str">
        <f t="shared" si="43"/>
        <v/>
      </c>
      <c r="K319" s="1">
        <f t="shared" si="44"/>
        <v>1</v>
      </c>
      <c r="L319" s="1" t="str">
        <f t="shared" si="45"/>
        <v/>
      </c>
    </row>
    <row r="320" spans="1:12">
      <c r="A320" t="s">
        <v>247</v>
      </c>
      <c r="B320">
        <v>10</v>
      </c>
      <c r="C320" t="str">
        <f t="shared" si="39"/>
        <v>test.GeoEngine_10_</v>
      </c>
      <c r="D320">
        <v>23</v>
      </c>
      <c r="E320">
        <v>1</v>
      </c>
      <c r="F320">
        <v>0.8904109589041096</v>
      </c>
      <c r="G320" s="1" t="str">
        <f t="shared" si="40"/>
        <v/>
      </c>
      <c r="H320" s="1" t="str">
        <f t="shared" si="41"/>
        <v/>
      </c>
      <c r="I320" s="1" t="str">
        <f t="shared" si="42"/>
        <v/>
      </c>
      <c r="J320" s="1" t="str">
        <f t="shared" si="43"/>
        <v/>
      </c>
      <c r="K320" s="1">
        <f t="shared" si="44"/>
        <v>1</v>
      </c>
      <c r="L320" s="1" t="str">
        <f t="shared" si="45"/>
        <v/>
      </c>
    </row>
    <row r="321" spans="1:12">
      <c r="A321" t="s">
        <v>247</v>
      </c>
      <c r="B321">
        <v>10</v>
      </c>
      <c r="C321" t="str">
        <f t="shared" si="39"/>
        <v>test.GeoEngine_10_</v>
      </c>
      <c r="D321">
        <v>24</v>
      </c>
      <c r="E321">
        <v>1</v>
      </c>
      <c r="F321">
        <v>0.92808219178082196</v>
      </c>
      <c r="G321" s="1" t="str">
        <f t="shared" si="40"/>
        <v/>
      </c>
      <c r="H321" s="1" t="str">
        <f t="shared" si="41"/>
        <v/>
      </c>
      <c r="I321" s="1" t="str">
        <f t="shared" si="42"/>
        <v/>
      </c>
      <c r="J321" s="1" t="str">
        <f t="shared" si="43"/>
        <v/>
      </c>
      <c r="K321" s="1">
        <f t="shared" si="44"/>
        <v>1</v>
      </c>
      <c r="L321" s="1" t="str">
        <f t="shared" si="45"/>
        <v/>
      </c>
    </row>
    <row r="322" spans="1:12">
      <c r="A322" t="s">
        <v>247</v>
      </c>
      <c r="B322">
        <v>10</v>
      </c>
      <c r="C322" t="str">
        <f t="shared" si="39"/>
        <v>test.GeoEngine_10_</v>
      </c>
      <c r="D322">
        <v>25</v>
      </c>
      <c r="E322">
        <v>1</v>
      </c>
      <c r="F322">
        <v>0.93036529680365299</v>
      </c>
      <c r="G322" s="1" t="str">
        <f t="shared" si="40"/>
        <v/>
      </c>
      <c r="H322" s="1" t="str">
        <f t="shared" si="41"/>
        <v/>
      </c>
      <c r="I322" s="1" t="str">
        <f t="shared" si="42"/>
        <v/>
      </c>
      <c r="J322" s="1" t="str">
        <f t="shared" si="43"/>
        <v/>
      </c>
      <c r="K322" s="1">
        <f t="shared" si="44"/>
        <v>1</v>
      </c>
      <c r="L322" s="1" t="str">
        <f t="shared" si="45"/>
        <v/>
      </c>
    </row>
    <row r="323" spans="1:12">
      <c r="A323" t="s">
        <v>247</v>
      </c>
      <c r="B323">
        <v>10</v>
      </c>
      <c r="C323" t="str">
        <f t="shared" ref="C323:C386" si="46">CONCATENATE(A323, "_",B323,"_")</f>
        <v>test.GeoEngine_10_</v>
      </c>
      <c r="D323">
        <v>26</v>
      </c>
      <c r="E323">
        <v>1</v>
      </c>
      <c r="F323">
        <v>0.93493150684931503</v>
      </c>
      <c r="G323" s="1" t="str">
        <f t="shared" ref="G323:G386" si="47">IF($F323 &lt;= 0.2,$E323,"")</f>
        <v/>
      </c>
      <c r="H323" s="1" t="str">
        <f t="shared" ref="H323:H386" si="48">IF(AND($F323 &gt; 0.2,$F323 &lt;= 0.4),$E323,"")</f>
        <v/>
      </c>
      <c r="I323" s="1" t="str">
        <f t="shared" ref="I323:I386" si="49">IF(AND($F323 &gt; 0.4,$F323 &lt;= 0.6),$E323,"")</f>
        <v/>
      </c>
      <c r="J323" s="1" t="str">
        <f t="shared" ref="J323:J386" si="50">IF(AND($F323 &gt; 0.6,$F323 &lt;= 0.8),$E323,"")</f>
        <v/>
      </c>
      <c r="K323" s="1">
        <f t="shared" ref="K323:K386" si="51">IF(AND($F323 &gt; 0.8, $F323 &lt;=1.1),$E323,"")</f>
        <v>1</v>
      </c>
      <c r="L323" s="1" t="str">
        <f t="shared" ref="L323:L386" si="52">IF(AND($F323 &gt; 1.1),$E323,"")</f>
        <v/>
      </c>
    </row>
    <row r="324" spans="1:12">
      <c r="A324" t="s">
        <v>247</v>
      </c>
      <c r="B324">
        <v>10</v>
      </c>
      <c r="C324" t="str">
        <f t="shared" si="46"/>
        <v>test.GeoEngine_10_</v>
      </c>
      <c r="D324">
        <v>27</v>
      </c>
      <c r="E324">
        <v>1</v>
      </c>
      <c r="F324">
        <v>0.93949771689497719</v>
      </c>
      <c r="G324" s="1" t="str">
        <f t="shared" si="47"/>
        <v/>
      </c>
      <c r="H324" s="1" t="str">
        <f t="shared" si="48"/>
        <v/>
      </c>
      <c r="I324" s="1" t="str">
        <f t="shared" si="49"/>
        <v/>
      </c>
      <c r="J324" s="1" t="str">
        <f t="shared" si="50"/>
        <v/>
      </c>
      <c r="K324" s="1">
        <f t="shared" si="51"/>
        <v>1</v>
      </c>
      <c r="L324" s="1" t="str">
        <f t="shared" si="52"/>
        <v/>
      </c>
    </row>
    <row r="325" spans="1:12">
      <c r="A325" t="s">
        <v>247</v>
      </c>
      <c r="B325">
        <v>10</v>
      </c>
      <c r="C325" t="str">
        <f t="shared" si="46"/>
        <v>test.GeoEngine_10_</v>
      </c>
      <c r="D325">
        <v>28</v>
      </c>
      <c r="E325">
        <v>1</v>
      </c>
      <c r="F325">
        <v>0.94063926940639264</v>
      </c>
      <c r="G325" s="1" t="str">
        <f t="shared" si="47"/>
        <v/>
      </c>
      <c r="H325" s="1" t="str">
        <f t="shared" si="48"/>
        <v/>
      </c>
      <c r="I325" s="1" t="str">
        <f t="shared" si="49"/>
        <v/>
      </c>
      <c r="J325" s="1" t="str">
        <f t="shared" si="50"/>
        <v/>
      </c>
      <c r="K325" s="1">
        <f t="shared" si="51"/>
        <v>1</v>
      </c>
      <c r="L325" s="1" t="str">
        <f t="shared" si="52"/>
        <v/>
      </c>
    </row>
    <row r="326" spans="1:12">
      <c r="A326" t="s">
        <v>247</v>
      </c>
      <c r="B326">
        <v>10</v>
      </c>
      <c r="C326" t="str">
        <f t="shared" si="46"/>
        <v>test.GeoEngine_10_</v>
      </c>
      <c r="D326">
        <v>29</v>
      </c>
      <c r="E326">
        <v>1</v>
      </c>
      <c r="F326">
        <v>0.94406392694063923</v>
      </c>
      <c r="G326" s="1" t="str">
        <f t="shared" si="47"/>
        <v/>
      </c>
      <c r="H326" s="1" t="str">
        <f t="shared" si="48"/>
        <v/>
      </c>
      <c r="I326" s="1" t="str">
        <f t="shared" si="49"/>
        <v/>
      </c>
      <c r="J326" s="1" t="str">
        <f t="shared" si="50"/>
        <v/>
      </c>
      <c r="K326" s="1">
        <f t="shared" si="51"/>
        <v>1</v>
      </c>
      <c r="L326" s="1" t="str">
        <f t="shared" si="52"/>
        <v/>
      </c>
    </row>
    <row r="327" spans="1:12">
      <c r="A327" t="s">
        <v>247</v>
      </c>
      <c r="B327">
        <v>10</v>
      </c>
      <c r="C327" t="str">
        <f t="shared" si="46"/>
        <v>test.GeoEngine_10_</v>
      </c>
      <c r="D327">
        <v>30</v>
      </c>
      <c r="E327">
        <v>1</v>
      </c>
      <c r="F327">
        <v>0.95205479452054798</v>
      </c>
      <c r="G327" s="1" t="str">
        <f t="shared" si="47"/>
        <v/>
      </c>
      <c r="H327" s="1" t="str">
        <f t="shared" si="48"/>
        <v/>
      </c>
      <c r="I327" s="1" t="str">
        <f t="shared" si="49"/>
        <v/>
      </c>
      <c r="J327" s="1" t="str">
        <f t="shared" si="50"/>
        <v/>
      </c>
      <c r="K327" s="1">
        <f t="shared" si="51"/>
        <v>1</v>
      </c>
      <c r="L327" s="1" t="str">
        <f t="shared" si="52"/>
        <v/>
      </c>
    </row>
    <row r="328" spans="1:12">
      <c r="A328" t="s">
        <v>247</v>
      </c>
      <c r="B328">
        <v>10</v>
      </c>
      <c r="C328" t="str">
        <f t="shared" si="46"/>
        <v>test.GeoEngine_10_</v>
      </c>
      <c r="D328">
        <v>31</v>
      </c>
      <c r="E328">
        <v>1</v>
      </c>
      <c r="F328">
        <v>0.99657534246575341</v>
      </c>
      <c r="G328" s="1" t="str">
        <f t="shared" si="47"/>
        <v/>
      </c>
      <c r="H328" s="1" t="str">
        <f t="shared" si="48"/>
        <v/>
      </c>
      <c r="I328" s="1" t="str">
        <f t="shared" si="49"/>
        <v/>
      </c>
      <c r="J328" s="1" t="str">
        <f t="shared" si="50"/>
        <v/>
      </c>
      <c r="K328" s="1">
        <f t="shared" si="51"/>
        <v>1</v>
      </c>
      <c r="L328" s="1" t="str">
        <f t="shared" si="52"/>
        <v/>
      </c>
    </row>
    <row r="329" spans="1:12">
      <c r="A329" t="s">
        <v>247</v>
      </c>
      <c r="B329">
        <v>10</v>
      </c>
      <c r="C329" t="str">
        <f t="shared" si="46"/>
        <v>test.GeoEngine_10_</v>
      </c>
      <c r="D329">
        <v>32</v>
      </c>
      <c r="E329">
        <v>1</v>
      </c>
      <c r="F329">
        <v>1.0125570776255708</v>
      </c>
      <c r="G329" s="1" t="str">
        <f t="shared" si="47"/>
        <v/>
      </c>
      <c r="H329" s="1" t="str">
        <f t="shared" si="48"/>
        <v/>
      </c>
      <c r="I329" s="1" t="str">
        <f t="shared" si="49"/>
        <v/>
      </c>
      <c r="J329" s="1" t="str">
        <f t="shared" si="50"/>
        <v/>
      </c>
      <c r="K329" s="1">
        <f t="shared" si="51"/>
        <v>1</v>
      </c>
      <c r="L329" s="1" t="str">
        <f t="shared" si="52"/>
        <v/>
      </c>
    </row>
    <row r="330" spans="1:12">
      <c r="A330" t="s">
        <v>294</v>
      </c>
      <c r="B330">
        <v>3</v>
      </c>
      <c r="C330" t="str">
        <f t="shared" si="46"/>
        <v>test.FastBlurFilter_3_</v>
      </c>
      <c r="D330">
        <v>1</v>
      </c>
      <c r="E330">
        <v>0.8848920863309353</v>
      </c>
      <c r="F330">
        <v>0.97780140901236212</v>
      </c>
      <c r="G330" s="1" t="str">
        <f t="shared" si="47"/>
        <v/>
      </c>
      <c r="H330" s="1" t="str">
        <f t="shared" si="48"/>
        <v/>
      </c>
      <c r="I330" s="1" t="str">
        <f t="shared" si="49"/>
        <v/>
      </c>
      <c r="J330" s="1" t="str">
        <f t="shared" si="50"/>
        <v/>
      </c>
      <c r="K330" s="1">
        <f t="shared" si="51"/>
        <v>0.8848920863309353</v>
      </c>
      <c r="L330" s="1" t="str">
        <f t="shared" si="52"/>
        <v/>
      </c>
    </row>
    <row r="331" spans="1:12">
      <c r="A331" t="s">
        <v>294</v>
      </c>
      <c r="B331">
        <v>3</v>
      </c>
      <c r="C331" t="str">
        <f t="shared" si="46"/>
        <v>test.FastBlurFilter_3_</v>
      </c>
      <c r="D331">
        <v>2</v>
      </c>
      <c r="E331">
        <v>1</v>
      </c>
      <c r="F331">
        <v>1.0040210022597369</v>
      </c>
      <c r="G331" s="1" t="str">
        <f t="shared" si="47"/>
        <v/>
      </c>
      <c r="H331" s="1" t="str">
        <f t="shared" si="48"/>
        <v/>
      </c>
      <c r="I331" s="1" t="str">
        <f t="shared" si="49"/>
        <v/>
      </c>
      <c r="J331" s="1" t="str">
        <f t="shared" si="50"/>
        <v/>
      </c>
      <c r="K331" s="1">
        <f t="shared" si="51"/>
        <v>1</v>
      </c>
      <c r="L331" s="1" t="str">
        <f t="shared" si="52"/>
        <v/>
      </c>
    </row>
    <row r="332" spans="1:12">
      <c r="A332" t="s">
        <v>295</v>
      </c>
      <c r="B332">
        <v>2</v>
      </c>
      <c r="C332" t="str">
        <f t="shared" si="46"/>
        <v>test.ImageData_2_</v>
      </c>
      <c r="D332">
        <v>1</v>
      </c>
      <c r="E332">
        <v>0.25</v>
      </c>
      <c r="F332">
        <v>0.28895612708018154</v>
      </c>
      <c r="G332" s="1" t="str">
        <f t="shared" si="47"/>
        <v/>
      </c>
      <c r="H332" s="1">
        <f t="shared" si="48"/>
        <v>0.25</v>
      </c>
      <c r="I332" s="1" t="str">
        <f t="shared" si="49"/>
        <v/>
      </c>
      <c r="J332" s="1" t="str">
        <f t="shared" si="50"/>
        <v/>
      </c>
      <c r="K332" s="1" t="str">
        <f t="shared" si="51"/>
        <v/>
      </c>
      <c r="L332" s="1" t="str">
        <f t="shared" si="52"/>
        <v/>
      </c>
    </row>
    <row r="333" spans="1:12">
      <c r="A333" t="s">
        <v>295</v>
      </c>
      <c r="B333">
        <v>2</v>
      </c>
      <c r="C333" t="str">
        <f t="shared" si="46"/>
        <v>test.ImageData_2_</v>
      </c>
      <c r="D333">
        <v>2</v>
      </c>
      <c r="E333">
        <v>0.32142857142857145</v>
      </c>
      <c r="F333">
        <v>0.30143721633888049</v>
      </c>
      <c r="G333" s="1" t="str">
        <f t="shared" si="47"/>
        <v/>
      </c>
      <c r="H333" s="1">
        <f t="shared" si="48"/>
        <v>0.32142857142857145</v>
      </c>
      <c r="I333" s="1" t="str">
        <f t="shared" si="49"/>
        <v/>
      </c>
      <c r="J333" s="1" t="str">
        <f t="shared" si="50"/>
        <v/>
      </c>
      <c r="K333" s="1" t="str">
        <f t="shared" si="51"/>
        <v/>
      </c>
      <c r="L333" s="1" t="str">
        <f t="shared" si="52"/>
        <v/>
      </c>
    </row>
    <row r="334" spans="1:12">
      <c r="A334" t="s">
        <v>295</v>
      </c>
      <c r="B334">
        <v>2</v>
      </c>
      <c r="C334" t="str">
        <f t="shared" si="46"/>
        <v>test.ImageData_2_</v>
      </c>
      <c r="D334">
        <v>3</v>
      </c>
      <c r="E334">
        <v>0.35714285714285715</v>
      </c>
      <c r="F334">
        <v>0.3124054462934947</v>
      </c>
      <c r="G334" s="1" t="str">
        <f t="shared" si="47"/>
        <v/>
      </c>
      <c r="H334" s="1">
        <f t="shared" si="48"/>
        <v>0.35714285714285715</v>
      </c>
      <c r="I334" s="1" t="str">
        <f t="shared" si="49"/>
        <v/>
      </c>
      <c r="J334" s="1" t="str">
        <f t="shared" si="50"/>
        <v/>
      </c>
      <c r="K334" s="1" t="str">
        <f t="shared" si="51"/>
        <v/>
      </c>
      <c r="L334" s="1" t="str">
        <f t="shared" si="52"/>
        <v/>
      </c>
    </row>
    <row r="335" spans="1:12">
      <c r="A335" t="s">
        <v>295</v>
      </c>
      <c r="B335">
        <v>2</v>
      </c>
      <c r="C335" t="str">
        <f t="shared" si="46"/>
        <v>test.ImageData_2_</v>
      </c>
      <c r="D335">
        <v>4</v>
      </c>
      <c r="E335">
        <v>0.4732142857142857</v>
      </c>
      <c r="F335">
        <v>0.31429652042360062</v>
      </c>
      <c r="G335" s="1" t="str">
        <f t="shared" si="47"/>
        <v/>
      </c>
      <c r="H335" s="1">
        <f t="shared" si="48"/>
        <v>0.4732142857142857</v>
      </c>
      <c r="I335" s="1" t="str">
        <f t="shared" si="49"/>
        <v/>
      </c>
      <c r="J335" s="1" t="str">
        <f t="shared" si="50"/>
        <v/>
      </c>
      <c r="K335" s="1" t="str">
        <f t="shared" si="51"/>
        <v/>
      </c>
      <c r="L335" s="1" t="str">
        <f t="shared" si="52"/>
        <v/>
      </c>
    </row>
    <row r="336" spans="1:12">
      <c r="A336" t="s">
        <v>295</v>
      </c>
      <c r="B336">
        <v>2</v>
      </c>
      <c r="C336" t="str">
        <f t="shared" si="46"/>
        <v>test.ImageData_2_</v>
      </c>
      <c r="D336">
        <v>5</v>
      </c>
      <c r="E336">
        <v>0.5714285714285714</v>
      </c>
      <c r="F336">
        <v>0.3385022692889561</v>
      </c>
      <c r="G336" s="1" t="str">
        <f t="shared" si="47"/>
        <v/>
      </c>
      <c r="H336" s="1">
        <f t="shared" si="48"/>
        <v>0.5714285714285714</v>
      </c>
      <c r="I336" s="1" t="str">
        <f t="shared" si="49"/>
        <v/>
      </c>
      <c r="J336" s="1" t="str">
        <f t="shared" si="50"/>
        <v/>
      </c>
      <c r="K336" s="1" t="str">
        <f t="shared" si="51"/>
        <v/>
      </c>
      <c r="L336" s="1" t="str">
        <f t="shared" si="52"/>
        <v/>
      </c>
    </row>
    <row r="337" spans="1:12">
      <c r="A337" t="s">
        <v>295</v>
      </c>
      <c r="B337">
        <v>2</v>
      </c>
      <c r="C337" t="str">
        <f t="shared" si="46"/>
        <v>test.ImageData_2_</v>
      </c>
      <c r="D337">
        <v>6</v>
      </c>
      <c r="E337">
        <v>0.6696428571428571</v>
      </c>
      <c r="F337">
        <v>0.36422087745839637</v>
      </c>
      <c r="G337" s="1" t="str">
        <f t="shared" si="47"/>
        <v/>
      </c>
      <c r="H337" s="1">
        <f t="shared" si="48"/>
        <v>0.6696428571428571</v>
      </c>
      <c r="I337" s="1" t="str">
        <f t="shared" si="49"/>
        <v/>
      </c>
      <c r="J337" s="1" t="str">
        <f t="shared" si="50"/>
        <v/>
      </c>
      <c r="K337" s="1" t="str">
        <f t="shared" si="51"/>
        <v/>
      </c>
      <c r="L337" s="1" t="str">
        <f t="shared" si="52"/>
        <v/>
      </c>
    </row>
    <row r="338" spans="1:12">
      <c r="A338" t="s">
        <v>295</v>
      </c>
      <c r="B338">
        <v>2</v>
      </c>
      <c r="C338" t="str">
        <f t="shared" si="46"/>
        <v>test.ImageData_2_</v>
      </c>
      <c r="D338">
        <v>7</v>
      </c>
      <c r="E338">
        <v>0.8125</v>
      </c>
      <c r="F338">
        <v>0.41944024205748864</v>
      </c>
      <c r="G338" s="1" t="str">
        <f t="shared" si="47"/>
        <v/>
      </c>
      <c r="H338" s="1" t="str">
        <f t="shared" si="48"/>
        <v/>
      </c>
      <c r="I338" s="1">
        <f t="shared" si="49"/>
        <v>0.8125</v>
      </c>
      <c r="J338" s="1" t="str">
        <f t="shared" si="50"/>
        <v/>
      </c>
      <c r="K338" s="1" t="str">
        <f t="shared" si="51"/>
        <v/>
      </c>
      <c r="L338" s="1" t="str">
        <f t="shared" si="52"/>
        <v/>
      </c>
    </row>
    <row r="339" spans="1:12">
      <c r="A339" t="s">
        <v>295</v>
      </c>
      <c r="B339">
        <v>2</v>
      </c>
      <c r="C339" t="str">
        <f t="shared" si="46"/>
        <v>test.ImageData_2_</v>
      </c>
      <c r="D339">
        <v>8</v>
      </c>
      <c r="E339">
        <v>1</v>
      </c>
      <c r="F339">
        <v>0.47919818456883512</v>
      </c>
      <c r="G339" s="1" t="str">
        <f t="shared" si="47"/>
        <v/>
      </c>
      <c r="H339" s="1" t="str">
        <f t="shared" si="48"/>
        <v/>
      </c>
      <c r="I339" s="1">
        <f t="shared" si="49"/>
        <v>1</v>
      </c>
      <c r="J339" s="1" t="str">
        <f t="shared" si="50"/>
        <v/>
      </c>
      <c r="K339" s="1" t="str">
        <f t="shared" si="51"/>
        <v/>
      </c>
      <c r="L339" s="1" t="str">
        <f t="shared" si="52"/>
        <v/>
      </c>
    </row>
    <row r="340" spans="1:12">
      <c r="A340" t="s">
        <v>295</v>
      </c>
      <c r="B340">
        <v>3</v>
      </c>
      <c r="C340" t="str">
        <f t="shared" si="46"/>
        <v>test.ImageData_3_</v>
      </c>
      <c r="D340">
        <v>1</v>
      </c>
      <c r="E340">
        <v>0.10857142857142857</v>
      </c>
      <c r="F340">
        <v>7.5719649561952443E-2</v>
      </c>
      <c r="G340" s="1">
        <f t="shared" si="47"/>
        <v>0.10857142857142857</v>
      </c>
      <c r="H340" s="1" t="str">
        <f t="shared" si="48"/>
        <v/>
      </c>
      <c r="I340" s="1" t="str">
        <f t="shared" si="49"/>
        <v/>
      </c>
      <c r="J340" s="1" t="str">
        <f t="shared" si="50"/>
        <v/>
      </c>
      <c r="K340" s="1" t="str">
        <f t="shared" si="51"/>
        <v/>
      </c>
      <c r="L340" s="1" t="str">
        <f t="shared" si="52"/>
        <v/>
      </c>
    </row>
    <row r="341" spans="1:12">
      <c r="A341" t="s">
        <v>295</v>
      </c>
      <c r="B341">
        <v>3</v>
      </c>
      <c r="C341" t="str">
        <f t="shared" si="46"/>
        <v>test.ImageData_3_</v>
      </c>
      <c r="D341">
        <v>2</v>
      </c>
      <c r="E341">
        <v>0.16</v>
      </c>
      <c r="F341">
        <v>0.11439299123904881</v>
      </c>
      <c r="G341" s="1">
        <f t="shared" si="47"/>
        <v>0.16</v>
      </c>
      <c r="H341" s="1" t="str">
        <f t="shared" si="48"/>
        <v/>
      </c>
      <c r="I341" s="1" t="str">
        <f t="shared" si="49"/>
        <v/>
      </c>
      <c r="J341" s="1" t="str">
        <f t="shared" si="50"/>
        <v/>
      </c>
      <c r="K341" s="1" t="str">
        <f t="shared" si="51"/>
        <v/>
      </c>
      <c r="L341" s="1" t="str">
        <f t="shared" si="52"/>
        <v/>
      </c>
    </row>
    <row r="342" spans="1:12">
      <c r="A342" t="s">
        <v>295</v>
      </c>
      <c r="B342">
        <v>3</v>
      </c>
      <c r="C342" t="str">
        <f t="shared" si="46"/>
        <v>test.ImageData_3_</v>
      </c>
      <c r="D342">
        <v>3</v>
      </c>
      <c r="E342">
        <v>0.36</v>
      </c>
      <c r="F342">
        <v>0.2284105131414268</v>
      </c>
      <c r="G342" s="1" t="str">
        <f t="shared" si="47"/>
        <v/>
      </c>
      <c r="H342" s="1">
        <f t="shared" si="48"/>
        <v>0.36</v>
      </c>
      <c r="I342" s="1" t="str">
        <f t="shared" si="49"/>
        <v/>
      </c>
      <c r="J342" s="1" t="str">
        <f t="shared" si="50"/>
        <v/>
      </c>
      <c r="K342" s="1" t="str">
        <f t="shared" si="51"/>
        <v/>
      </c>
      <c r="L342" s="1" t="str">
        <f t="shared" si="52"/>
        <v/>
      </c>
    </row>
    <row r="343" spans="1:12">
      <c r="A343" t="s">
        <v>295</v>
      </c>
      <c r="B343">
        <v>3</v>
      </c>
      <c r="C343" t="str">
        <f t="shared" si="46"/>
        <v>test.ImageData_3_</v>
      </c>
      <c r="D343">
        <v>4</v>
      </c>
      <c r="E343">
        <v>0.56000000000000005</v>
      </c>
      <c r="F343">
        <v>0.31151439299123906</v>
      </c>
      <c r="G343" s="1" t="str">
        <f t="shared" si="47"/>
        <v/>
      </c>
      <c r="H343" s="1">
        <f t="shared" si="48"/>
        <v>0.56000000000000005</v>
      </c>
      <c r="I343" s="1" t="str">
        <f t="shared" si="49"/>
        <v/>
      </c>
      <c r="J343" s="1" t="str">
        <f t="shared" si="50"/>
        <v/>
      </c>
      <c r="K343" s="1" t="str">
        <f t="shared" si="51"/>
        <v/>
      </c>
      <c r="L343" s="1" t="str">
        <f t="shared" si="52"/>
        <v/>
      </c>
    </row>
    <row r="344" spans="1:12">
      <c r="A344" t="s">
        <v>295</v>
      </c>
      <c r="B344">
        <v>3</v>
      </c>
      <c r="C344" t="str">
        <f t="shared" si="46"/>
        <v>test.ImageData_3_</v>
      </c>
      <c r="D344">
        <v>5</v>
      </c>
      <c r="E344">
        <v>0.88571428571428568</v>
      </c>
      <c r="F344">
        <v>0.40212765957446811</v>
      </c>
      <c r="G344" s="1" t="str">
        <f t="shared" si="47"/>
        <v/>
      </c>
      <c r="H344" s="1" t="str">
        <f t="shared" si="48"/>
        <v/>
      </c>
      <c r="I344" s="1">
        <f t="shared" si="49"/>
        <v>0.88571428571428568</v>
      </c>
      <c r="J344" s="1" t="str">
        <f t="shared" si="50"/>
        <v/>
      </c>
      <c r="K344" s="1" t="str">
        <f t="shared" si="51"/>
        <v/>
      </c>
      <c r="L344" s="1" t="str">
        <f t="shared" si="52"/>
        <v/>
      </c>
    </row>
    <row r="345" spans="1:12">
      <c r="A345" t="s">
        <v>295</v>
      </c>
      <c r="B345">
        <v>3</v>
      </c>
      <c r="C345" t="str">
        <f t="shared" si="46"/>
        <v>test.ImageData_3_</v>
      </c>
      <c r="D345">
        <v>6</v>
      </c>
      <c r="E345">
        <v>1</v>
      </c>
      <c r="F345">
        <v>0.54993742177722149</v>
      </c>
      <c r="G345" s="1" t="str">
        <f t="shared" si="47"/>
        <v/>
      </c>
      <c r="H345" s="1" t="str">
        <f t="shared" si="48"/>
        <v/>
      </c>
      <c r="I345" s="1">
        <f t="shared" si="49"/>
        <v>1</v>
      </c>
      <c r="J345" s="1" t="str">
        <f t="shared" si="50"/>
        <v/>
      </c>
      <c r="K345" s="1" t="str">
        <f t="shared" si="51"/>
        <v/>
      </c>
      <c r="L345" s="1" t="str">
        <f t="shared" si="52"/>
        <v/>
      </c>
    </row>
    <row r="346" spans="1:12">
      <c r="A346" t="s">
        <v>295</v>
      </c>
      <c r="B346">
        <v>4</v>
      </c>
      <c r="C346" t="str">
        <f t="shared" si="46"/>
        <v>test.ImageData_4_</v>
      </c>
      <c r="D346">
        <v>1</v>
      </c>
      <c r="E346">
        <v>0.10857142857142857</v>
      </c>
      <c r="F346">
        <v>2.851040118870728E-2</v>
      </c>
      <c r="G346" s="1">
        <f t="shared" si="47"/>
        <v>0.10857142857142857</v>
      </c>
      <c r="H346" s="1" t="str">
        <f t="shared" si="48"/>
        <v/>
      </c>
      <c r="I346" s="1" t="str">
        <f t="shared" si="49"/>
        <v/>
      </c>
      <c r="J346" s="1" t="str">
        <f t="shared" si="50"/>
        <v/>
      </c>
      <c r="K346" s="1" t="str">
        <f t="shared" si="51"/>
        <v/>
      </c>
      <c r="L346" s="1" t="str">
        <f t="shared" si="52"/>
        <v/>
      </c>
    </row>
    <row r="347" spans="1:12">
      <c r="A347" t="s">
        <v>295</v>
      </c>
      <c r="B347">
        <v>4</v>
      </c>
      <c r="C347" t="str">
        <f t="shared" si="46"/>
        <v>test.ImageData_4_</v>
      </c>
      <c r="D347">
        <v>2</v>
      </c>
      <c r="E347">
        <v>0.11397058823529412</v>
      </c>
      <c r="F347">
        <v>5.1309435364041603E-2</v>
      </c>
      <c r="G347" s="1">
        <f t="shared" si="47"/>
        <v>0.11397058823529412</v>
      </c>
      <c r="H347" s="1" t="str">
        <f t="shared" si="48"/>
        <v/>
      </c>
      <c r="I347" s="1" t="str">
        <f t="shared" si="49"/>
        <v/>
      </c>
      <c r="J347" s="1" t="str">
        <f t="shared" si="50"/>
        <v/>
      </c>
      <c r="K347" s="1" t="str">
        <f t="shared" si="51"/>
        <v/>
      </c>
      <c r="L347" s="1" t="str">
        <f t="shared" si="52"/>
        <v/>
      </c>
    </row>
    <row r="348" spans="1:12">
      <c r="A348" t="s">
        <v>295</v>
      </c>
      <c r="B348">
        <v>4</v>
      </c>
      <c r="C348" t="str">
        <f t="shared" si="46"/>
        <v>test.ImageData_4_</v>
      </c>
      <c r="D348">
        <v>3</v>
      </c>
      <c r="E348">
        <v>0.24264705882352941</v>
      </c>
      <c r="F348">
        <v>8.5066864784546808E-2</v>
      </c>
      <c r="G348" s="1">
        <f t="shared" si="47"/>
        <v>0.24264705882352941</v>
      </c>
      <c r="H348" s="1" t="str">
        <f t="shared" si="48"/>
        <v/>
      </c>
      <c r="I348" s="1" t="str">
        <f t="shared" si="49"/>
        <v/>
      </c>
      <c r="J348" s="1" t="str">
        <f t="shared" si="50"/>
        <v/>
      </c>
      <c r="K348" s="1" t="str">
        <f t="shared" si="51"/>
        <v/>
      </c>
      <c r="L348" s="1" t="str">
        <f t="shared" si="52"/>
        <v/>
      </c>
    </row>
    <row r="349" spans="1:12">
      <c r="A349" t="s">
        <v>295</v>
      </c>
      <c r="B349">
        <v>4</v>
      </c>
      <c r="C349" t="str">
        <f t="shared" si="46"/>
        <v>test.ImageData_4_</v>
      </c>
      <c r="D349">
        <v>4</v>
      </c>
      <c r="E349">
        <v>0.37132352941176472</v>
      </c>
      <c r="F349">
        <v>8.7249257057949475E-2</v>
      </c>
      <c r="G349" s="1">
        <f t="shared" si="47"/>
        <v>0.37132352941176472</v>
      </c>
      <c r="H349" s="1" t="str">
        <f t="shared" si="48"/>
        <v/>
      </c>
      <c r="I349" s="1" t="str">
        <f t="shared" si="49"/>
        <v/>
      </c>
      <c r="J349" s="1" t="str">
        <f t="shared" si="50"/>
        <v/>
      </c>
      <c r="K349" s="1" t="str">
        <f t="shared" si="51"/>
        <v/>
      </c>
      <c r="L349" s="1" t="str">
        <f t="shared" si="52"/>
        <v/>
      </c>
    </row>
    <row r="350" spans="1:12">
      <c r="A350" t="s">
        <v>295</v>
      </c>
      <c r="B350">
        <v>4</v>
      </c>
      <c r="C350" t="str">
        <f t="shared" si="46"/>
        <v>test.ImageData_4_</v>
      </c>
      <c r="D350">
        <v>5</v>
      </c>
      <c r="E350">
        <v>0.56617647058823528</v>
      </c>
      <c r="F350">
        <v>0.1198922734026746</v>
      </c>
      <c r="G350" s="1">
        <f t="shared" si="47"/>
        <v>0.56617647058823528</v>
      </c>
      <c r="H350" s="1" t="str">
        <f t="shared" si="48"/>
        <v/>
      </c>
      <c r="I350" s="1" t="str">
        <f t="shared" si="49"/>
        <v/>
      </c>
      <c r="J350" s="1" t="str">
        <f t="shared" si="50"/>
        <v/>
      </c>
      <c r="K350" s="1" t="str">
        <f t="shared" si="51"/>
        <v/>
      </c>
      <c r="L350" s="1" t="str">
        <f t="shared" si="52"/>
        <v/>
      </c>
    </row>
    <row r="351" spans="1:12">
      <c r="A351" t="s">
        <v>295</v>
      </c>
      <c r="B351">
        <v>4</v>
      </c>
      <c r="C351" t="str">
        <f t="shared" si="46"/>
        <v>test.ImageData_4_</v>
      </c>
      <c r="D351">
        <v>6</v>
      </c>
      <c r="E351">
        <v>0.64338235294117652</v>
      </c>
      <c r="F351">
        <v>0.22074665676077265</v>
      </c>
      <c r="G351" s="1" t="str">
        <f t="shared" si="47"/>
        <v/>
      </c>
      <c r="H351" s="1">
        <f t="shared" si="48"/>
        <v>0.64338235294117652</v>
      </c>
      <c r="I351" s="1" t="str">
        <f t="shared" si="49"/>
        <v/>
      </c>
      <c r="J351" s="1" t="str">
        <f t="shared" si="50"/>
        <v/>
      </c>
      <c r="K351" s="1" t="str">
        <f t="shared" si="51"/>
        <v/>
      </c>
      <c r="L351" s="1" t="str">
        <f t="shared" si="52"/>
        <v/>
      </c>
    </row>
    <row r="352" spans="1:12">
      <c r="A352" t="s">
        <v>295</v>
      </c>
      <c r="B352">
        <v>4</v>
      </c>
      <c r="C352" t="str">
        <f t="shared" si="46"/>
        <v>test.ImageData_4_</v>
      </c>
      <c r="D352">
        <v>7</v>
      </c>
      <c r="E352">
        <v>0.74264705882352944</v>
      </c>
      <c r="F352">
        <v>0.25046433878157504</v>
      </c>
      <c r="G352" s="1" t="str">
        <f t="shared" si="47"/>
        <v/>
      </c>
      <c r="H352" s="1">
        <f t="shared" si="48"/>
        <v>0.74264705882352944</v>
      </c>
      <c r="I352" s="1" t="str">
        <f t="shared" si="49"/>
        <v/>
      </c>
      <c r="J352" s="1" t="str">
        <f t="shared" si="50"/>
        <v/>
      </c>
      <c r="K352" s="1" t="str">
        <f t="shared" si="51"/>
        <v/>
      </c>
      <c r="L352" s="1" t="str">
        <f t="shared" si="52"/>
        <v/>
      </c>
    </row>
    <row r="353" spans="1:12">
      <c r="A353" t="s">
        <v>295</v>
      </c>
      <c r="B353">
        <v>4</v>
      </c>
      <c r="C353" t="str">
        <f t="shared" si="46"/>
        <v>test.ImageData_4_</v>
      </c>
      <c r="D353">
        <v>8</v>
      </c>
      <c r="E353">
        <v>0.88235294117647056</v>
      </c>
      <c r="F353">
        <v>0.27224182763744426</v>
      </c>
      <c r="G353" s="1" t="str">
        <f t="shared" si="47"/>
        <v/>
      </c>
      <c r="H353" s="1">
        <f t="shared" si="48"/>
        <v>0.88235294117647056</v>
      </c>
      <c r="I353" s="1" t="str">
        <f t="shared" si="49"/>
        <v/>
      </c>
      <c r="J353" s="1" t="str">
        <f t="shared" si="50"/>
        <v/>
      </c>
      <c r="K353" s="1" t="str">
        <f t="shared" si="51"/>
        <v/>
      </c>
      <c r="L353" s="1" t="str">
        <f t="shared" si="52"/>
        <v/>
      </c>
    </row>
    <row r="354" spans="1:12">
      <c r="A354" t="s">
        <v>295</v>
      </c>
      <c r="B354">
        <v>4</v>
      </c>
      <c r="C354" t="str">
        <f t="shared" si="46"/>
        <v>test.ImageData_4_</v>
      </c>
      <c r="D354">
        <v>9</v>
      </c>
      <c r="E354">
        <v>1</v>
      </c>
      <c r="F354">
        <v>0.29053677563150077</v>
      </c>
      <c r="G354" s="1" t="str">
        <f t="shared" si="47"/>
        <v/>
      </c>
      <c r="H354" s="1">
        <f t="shared" si="48"/>
        <v>1</v>
      </c>
      <c r="I354" s="1" t="str">
        <f t="shared" si="49"/>
        <v/>
      </c>
      <c r="J354" s="1" t="str">
        <f t="shared" si="50"/>
        <v/>
      </c>
      <c r="K354" s="1" t="str">
        <f t="shared" si="51"/>
        <v/>
      </c>
      <c r="L354" s="1" t="str">
        <f t="shared" si="52"/>
        <v/>
      </c>
    </row>
    <row r="355" spans="1:12">
      <c r="A355" t="s">
        <v>295</v>
      </c>
      <c r="B355">
        <v>5</v>
      </c>
      <c r="C355" t="str">
        <f t="shared" si="46"/>
        <v>test.ImageData_5_</v>
      </c>
      <c r="D355">
        <v>1</v>
      </c>
      <c r="E355">
        <v>0.36363636363636365</v>
      </c>
      <c r="F355">
        <v>0.50852272727272729</v>
      </c>
      <c r="G355" s="1" t="str">
        <f t="shared" si="47"/>
        <v/>
      </c>
      <c r="H355" s="1" t="str">
        <f t="shared" si="48"/>
        <v/>
      </c>
      <c r="I355" s="1">
        <f t="shared" si="49"/>
        <v>0.36363636363636365</v>
      </c>
      <c r="J355" s="1" t="str">
        <f t="shared" si="50"/>
        <v/>
      </c>
      <c r="K355" s="1" t="str">
        <f t="shared" si="51"/>
        <v/>
      </c>
      <c r="L355" s="1" t="str">
        <f t="shared" si="52"/>
        <v/>
      </c>
    </row>
    <row r="356" spans="1:12">
      <c r="A356" t="s">
        <v>295</v>
      </c>
      <c r="B356">
        <v>5</v>
      </c>
      <c r="C356" t="str">
        <f t="shared" si="46"/>
        <v>test.ImageData_5_</v>
      </c>
      <c r="D356">
        <v>2</v>
      </c>
      <c r="E356">
        <v>0.54545454545454541</v>
      </c>
      <c r="F356">
        <v>0.69886363636363635</v>
      </c>
      <c r="G356" s="1" t="str">
        <f t="shared" si="47"/>
        <v/>
      </c>
      <c r="H356" s="1" t="str">
        <f t="shared" si="48"/>
        <v/>
      </c>
      <c r="I356" s="1" t="str">
        <f t="shared" si="49"/>
        <v/>
      </c>
      <c r="J356" s="1">
        <f t="shared" si="50"/>
        <v>0.54545454545454541</v>
      </c>
      <c r="K356" s="1" t="str">
        <f t="shared" si="51"/>
        <v/>
      </c>
      <c r="L356" s="1" t="str">
        <f t="shared" si="52"/>
        <v/>
      </c>
    </row>
    <row r="357" spans="1:12">
      <c r="A357" t="s">
        <v>295</v>
      </c>
      <c r="B357">
        <v>5</v>
      </c>
      <c r="C357" t="str">
        <f t="shared" si="46"/>
        <v>test.ImageData_5_</v>
      </c>
      <c r="D357">
        <v>3</v>
      </c>
      <c r="E357">
        <v>0.68181818181818177</v>
      </c>
      <c r="F357">
        <v>0.78835227272727271</v>
      </c>
      <c r="G357" s="1" t="str">
        <f t="shared" si="47"/>
        <v/>
      </c>
      <c r="H357" s="1" t="str">
        <f t="shared" si="48"/>
        <v/>
      </c>
      <c r="I357" s="1" t="str">
        <f t="shared" si="49"/>
        <v/>
      </c>
      <c r="J357" s="1">
        <f t="shared" si="50"/>
        <v>0.68181818181818177</v>
      </c>
      <c r="K357" s="1" t="str">
        <f t="shared" si="51"/>
        <v/>
      </c>
      <c r="L357" s="1" t="str">
        <f t="shared" si="52"/>
        <v/>
      </c>
    </row>
    <row r="358" spans="1:12">
      <c r="A358" t="s">
        <v>295</v>
      </c>
      <c r="B358">
        <v>5</v>
      </c>
      <c r="C358" t="str">
        <f t="shared" si="46"/>
        <v>test.ImageData_5_</v>
      </c>
      <c r="D358">
        <v>4</v>
      </c>
      <c r="E358">
        <v>0.77272727272727271</v>
      </c>
      <c r="F358">
        <v>0.92613636363636365</v>
      </c>
      <c r="G358" s="1" t="str">
        <f t="shared" si="47"/>
        <v/>
      </c>
      <c r="H358" s="1" t="str">
        <f t="shared" si="48"/>
        <v/>
      </c>
      <c r="I358" s="1" t="str">
        <f t="shared" si="49"/>
        <v/>
      </c>
      <c r="J358" s="1" t="str">
        <f t="shared" si="50"/>
        <v/>
      </c>
      <c r="K358" s="1">
        <f t="shared" si="51"/>
        <v>0.77272727272727271</v>
      </c>
      <c r="L358" s="1" t="str">
        <f t="shared" si="52"/>
        <v/>
      </c>
    </row>
    <row r="359" spans="1:12">
      <c r="A359" t="s">
        <v>295</v>
      </c>
      <c r="B359">
        <v>5</v>
      </c>
      <c r="C359" t="str">
        <f t="shared" si="46"/>
        <v>test.ImageData_5_</v>
      </c>
      <c r="D359">
        <v>5</v>
      </c>
      <c r="E359">
        <v>0.86363636363636365</v>
      </c>
      <c r="F359">
        <v>1.0071022727272727</v>
      </c>
      <c r="G359" s="1" t="str">
        <f t="shared" si="47"/>
        <v/>
      </c>
      <c r="H359" s="1" t="str">
        <f t="shared" si="48"/>
        <v/>
      </c>
      <c r="I359" s="1" t="str">
        <f t="shared" si="49"/>
        <v/>
      </c>
      <c r="J359" s="1" t="str">
        <f t="shared" si="50"/>
        <v/>
      </c>
      <c r="K359" s="1">
        <f t="shared" si="51"/>
        <v>0.86363636363636365</v>
      </c>
      <c r="L359" s="1" t="str">
        <f t="shared" si="52"/>
        <v/>
      </c>
    </row>
    <row r="360" spans="1:12">
      <c r="A360" t="s">
        <v>295</v>
      </c>
      <c r="B360">
        <v>5</v>
      </c>
      <c r="C360" t="str">
        <f t="shared" si="46"/>
        <v>test.ImageData_5_</v>
      </c>
      <c r="D360">
        <v>6</v>
      </c>
      <c r="E360">
        <v>1</v>
      </c>
      <c r="F360">
        <v>1.0184659090909092</v>
      </c>
      <c r="G360" s="1" t="str">
        <f t="shared" si="47"/>
        <v/>
      </c>
      <c r="H360" s="1" t="str">
        <f t="shared" si="48"/>
        <v/>
      </c>
      <c r="I360" s="1" t="str">
        <f t="shared" si="49"/>
        <v/>
      </c>
      <c r="J360" s="1" t="str">
        <f t="shared" si="50"/>
        <v/>
      </c>
      <c r="K360" s="1">
        <f t="shared" si="51"/>
        <v>1</v>
      </c>
      <c r="L360" s="1" t="str">
        <f t="shared" si="52"/>
        <v/>
      </c>
    </row>
    <row r="361" spans="1:12">
      <c r="A361" t="s">
        <v>295</v>
      </c>
      <c r="B361">
        <v>6</v>
      </c>
      <c r="C361" t="str">
        <f t="shared" si="46"/>
        <v>test.ImageData_6_</v>
      </c>
      <c r="D361">
        <v>1</v>
      </c>
      <c r="E361">
        <v>0.14285714285714285</v>
      </c>
      <c r="F361">
        <v>0.1325136612021858</v>
      </c>
      <c r="G361" s="1">
        <f t="shared" si="47"/>
        <v>0.14285714285714285</v>
      </c>
      <c r="H361" s="1" t="str">
        <f t="shared" si="48"/>
        <v/>
      </c>
      <c r="I361" s="1" t="str">
        <f t="shared" si="49"/>
        <v/>
      </c>
      <c r="J361" s="1" t="str">
        <f t="shared" si="50"/>
        <v/>
      </c>
      <c r="K361" s="1" t="str">
        <f t="shared" si="51"/>
        <v/>
      </c>
      <c r="L361" s="1" t="str">
        <f t="shared" si="52"/>
        <v/>
      </c>
    </row>
    <row r="362" spans="1:12">
      <c r="A362" t="s">
        <v>295</v>
      </c>
      <c r="B362">
        <v>6</v>
      </c>
      <c r="C362" t="str">
        <f t="shared" si="46"/>
        <v>test.ImageData_6_</v>
      </c>
      <c r="D362">
        <v>2</v>
      </c>
      <c r="E362">
        <v>0.33333333333333331</v>
      </c>
      <c r="F362">
        <v>0.3797814207650273</v>
      </c>
      <c r="G362" s="1" t="str">
        <f t="shared" si="47"/>
        <v/>
      </c>
      <c r="H362" s="1">
        <f t="shared" si="48"/>
        <v>0.33333333333333331</v>
      </c>
      <c r="I362" s="1" t="str">
        <f t="shared" si="49"/>
        <v/>
      </c>
      <c r="J362" s="1" t="str">
        <f t="shared" si="50"/>
        <v/>
      </c>
      <c r="K362" s="1" t="str">
        <f t="shared" si="51"/>
        <v/>
      </c>
      <c r="L362" s="1" t="str">
        <f t="shared" si="52"/>
        <v/>
      </c>
    </row>
    <row r="363" spans="1:12">
      <c r="A363" t="s">
        <v>295</v>
      </c>
      <c r="B363">
        <v>6</v>
      </c>
      <c r="C363" t="str">
        <f t="shared" si="46"/>
        <v>test.ImageData_6_</v>
      </c>
      <c r="D363">
        <v>3</v>
      </c>
      <c r="E363">
        <v>0.47619047619047616</v>
      </c>
      <c r="F363">
        <v>0.40163934426229508</v>
      </c>
      <c r="G363" s="1" t="str">
        <f t="shared" si="47"/>
        <v/>
      </c>
      <c r="H363" s="1" t="str">
        <f t="shared" si="48"/>
        <v/>
      </c>
      <c r="I363" s="1">
        <f t="shared" si="49"/>
        <v>0.47619047619047616</v>
      </c>
      <c r="J363" s="1" t="str">
        <f t="shared" si="50"/>
        <v/>
      </c>
      <c r="K363" s="1" t="str">
        <f t="shared" si="51"/>
        <v/>
      </c>
      <c r="L363" s="1" t="str">
        <f t="shared" si="52"/>
        <v/>
      </c>
    </row>
    <row r="364" spans="1:12">
      <c r="A364" t="s">
        <v>295</v>
      </c>
      <c r="B364">
        <v>6</v>
      </c>
      <c r="C364" t="str">
        <f t="shared" si="46"/>
        <v>test.ImageData_6_</v>
      </c>
      <c r="D364">
        <v>4</v>
      </c>
      <c r="E364">
        <v>0.66666666666666663</v>
      </c>
      <c r="F364">
        <v>0.62295081967213117</v>
      </c>
      <c r="G364" s="1" t="str">
        <f t="shared" si="47"/>
        <v/>
      </c>
      <c r="H364" s="1" t="str">
        <f t="shared" si="48"/>
        <v/>
      </c>
      <c r="I364" s="1" t="str">
        <f t="shared" si="49"/>
        <v/>
      </c>
      <c r="J364" s="1">
        <f t="shared" si="50"/>
        <v>0.66666666666666663</v>
      </c>
      <c r="K364" s="1" t="str">
        <f t="shared" si="51"/>
        <v/>
      </c>
      <c r="L364" s="1" t="str">
        <f t="shared" si="52"/>
        <v/>
      </c>
    </row>
    <row r="365" spans="1:12">
      <c r="A365" t="s">
        <v>295</v>
      </c>
      <c r="B365">
        <v>6</v>
      </c>
      <c r="C365" t="str">
        <f t="shared" si="46"/>
        <v>test.ImageData_6_</v>
      </c>
      <c r="D365">
        <v>5</v>
      </c>
      <c r="E365">
        <v>0.7142857142857143</v>
      </c>
      <c r="F365">
        <v>0.62431693989071035</v>
      </c>
      <c r="G365" s="1" t="str">
        <f t="shared" si="47"/>
        <v/>
      </c>
      <c r="H365" s="1" t="str">
        <f t="shared" si="48"/>
        <v/>
      </c>
      <c r="I365" s="1" t="str">
        <f t="shared" si="49"/>
        <v/>
      </c>
      <c r="J365" s="1">
        <f t="shared" si="50"/>
        <v>0.7142857142857143</v>
      </c>
      <c r="K365" s="1" t="str">
        <f t="shared" si="51"/>
        <v/>
      </c>
      <c r="L365" s="1" t="str">
        <f t="shared" si="52"/>
        <v/>
      </c>
    </row>
    <row r="366" spans="1:12">
      <c r="A366" t="s">
        <v>295</v>
      </c>
      <c r="B366">
        <v>6</v>
      </c>
      <c r="C366" t="str">
        <f t="shared" si="46"/>
        <v>test.ImageData_6_</v>
      </c>
      <c r="D366">
        <v>6</v>
      </c>
      <c r="E366">
        <v>0.8571428571428571</v>
      </c>
      <c r="F366">
        <v>0.64754098360655743</v>
      </c>
      <c r="G366" s="1" t="str">
        <f t="shared" si="47"/>
        <v/>
      </c>
      <c r="H366" s="1" t="str">
        <f t="shared" si="48"/>
        <v/>
      </c>
      <c r="I366" s="1" t="str">
        <f t="shared" si="49"/>
        <v/>
      </c>
      <c r="J366" s="1">
        <f t="shared" si="50"/>
        <v>0.8571428571428571</v>
      </c>
      <c r="K366" s="1" t="str">
        <f t="shared" si="51"/>
        <v/>
      </c>
      <c r="L366" s="1" t="str">
        <f t="shared" si="52"/>
        <v/>
      </c>
    </row>
    <row r="367" spans="1:12">
      <c r="A367" t="s">
        <v>295</v>
      </c>
      <c r="B367">
        <v>6</v>
      </c>
      <c r="C367" t="str">
        <f t="shared" si="46"/>
        <v>test.ImageData_6_</v>
      </c>
      <c r="D367">
        <v>7</v>
      </c>
      <c r="E367">
        <v>1</v>
      </c>
      <c r="F367">
        <v>0.73907103825136611</v>
      </c>
      <c r="G367" s="1" t="str">
        <f t="shared" si="47"/>
        <v/>
      </c>
      <c r="H367" s="1" t="str">
        <f t="shared" si="48"/>
        <v/>
      </c>
      <c r="I367" s="1" t="str">
        <f t="shared" si="49"/>
        <v/>
      </c>
      <c r="J367" s="1">
        <f t="shared" si="50"/>
        <v>1</v>
      </c>
      <c r="K367" s="1" t="str">
        <f t="shared" si="51"/>
        <v/>
      </c>
      <c r="L367" s="1" t="str">
        <f t="shared" si="52"/>
        <v/>
      </c>
    </row>
    <row r="368" spans="1:12">
      <c r="A368" t="s">
        <v>295</v>
      </c>
      <c r="B368">
        <v>6</v>
      </c>
      <c r="C368" t="str">
        <f t="shared" si="46"/>
        <v>test.ImageData_6_</v>
      </c>
      <c r="D368">
        <v>8</v>
      </c>
      <c r="E368">
        <v>1</v>
      </c>
      <c r="F368">
        <v>0.79644808743169404</v>
      </c>
      <c r="G368" s="1" t="str">
        <f t="shared" si="47"/>
        <v/>
      </c>
      <c r="H368" s="1" t="str">
        <f t="shared" si="48"/>
        <v/>
      </c>
      <c r="I368" s="1" t="str">
        <f t="shared" si="49"/>
        <v/>
      </c>
      <c r="J368" s="1">
        <f t="shared" si="50"/>
        <v>1</v>
      </c>
      <c r="K368" s="1" t="str">
        <f t="shared" si="51"/>
        <v/>
      </c>
      <c r="L368" s="1" t="str">
        <f t="shared" si="52"/>
        <v/>
      </c>
    </row>
    <row r="369" spans="1:12">
      <c r="A369" t="s">
        <v>295</v>
      </c>
      <c r="B369">
        <v>6</v>
      </c>
      <c r="C369" t="str">
        <f t="shared" si="46"/>
        <v>test.ImageData_6_</v>
      </c>
      <c r="D369">
        <v>9</v>
      </c>
      <c r="E369">
        <v>1</v>
      </c>
      <c r="F369">
        <v>1.0027322404371584</v>
      </c>
      <c r="G369" s="1" t="str">
        <f t="shared" si="47"/>
        <v/>
      </c>
      <c r="H369" s="1" t="str">
        <f t="shared" si="48"/>
        <v/>
      </c>
      <c r="I369" s="1" t="str">
        <f t="shared" si="49"/>
        <v/>
      </c>
      <c r="J369" s="1" t="str">
        <f t="shared" si="50"/>
        <v/>
      </c>
      <c r="K369" s="1">
        <f t="shared" si="51"/>
        <v>1</v>
      </c>
      <c r="L369" s="1" t="str">
        <f t="shared" si="52"/>
        <v/>
      </c>
    </row>
    <row r="370" spans="1:12">
      <c r="A370" t="s">
        <v>295</v>
      </c>
      <c r="B370">
        <v>6</v>
      </c>
      <c r="C370" t="str">
        <f t="shared" si="46"/>
        <v>test.ImageData_6_</v>
      </c>
      <c r="D370">
        <v>10</v>
      </c>
      <c r="E370">
        <v>1</v>
      </c>
      <c r="F370">
        <v>1.78551912568306</v>
      </c>
      <c r="G370" s="1" t="str">
        <f t="shared" si="47"/>
        <v/>
      </c>
      <c r="H370" s="1" t="str">
        <f t="shared" si="48"/>
        <v/>
      </c>
      <c r="I370" s="1" t="str">
        <f t="shared" si="49"/>
        <v/>
      </c>
      <c r="J370" s="1" t="str">
        <f t="shared" si="50"/>
        <v/>
      </c>
      <c r="K370" s="1" t="str">
        <f t="shared" si="51"/>
        <v/>
      </c>
      <c r="L370" s="1">
        <f t="shared" si="52"/>
        <v>1</v>
      </c>
    </row>
    <row r="371" spans="1:12">
      <c r="A371" t="s">
        <v>295</v>
      </c>
      <c r="B371">
        <v>7</v>
      </c>
      <c r="C371" t="str">
        <f t="shared" si="46"/>
        <v>test.ImageData_7_</v>
      </c>
      <c r="D371">
        <v>1</v>
      </c>
      <c r="E371">
        <v>0.23333333333333334</v>
      </c>
      <c r="F371">
        <v>0.30019960079840319</v>
      </c>
      <c r="G371" s="1" t="str">
        <f t="shared" si="47"/>
        <v/>
      </c>
      <c r="H371" s="1">
        <f t="shared" si="48"/>
        <v>0.23333333333333334</v>
      </c>
      <c r="I371" s="1" t="str">
        <f t="shared" si="49"/>
        <v/>
      </c>
      <c r="J371" s="1" t="str">
        <f t="shared" si="50"/>
        <v/>
      </c>
      <c r="K371" s="1" t="str">
        <f t="shared" si="51"/>
        <v/>
      </c>
      <c r="L371" s="1" t="str">
        <f t="shared" si="52"/>
        <v/>
      </c>
    </row>
    <row r="372" spans="1:12">
      <c r="A372" t="s">
        <v>295</v>
      </c>
      <c r="B372">
        <v>7</v>
      </c>
      <c r="C372" t="str">
        <f t="shared" si="46"/>
        <v>test.ImageData_7_</v>
      </c>
      <c r="D372">
        <v>2</v>
      </c>
      <c r="E372">
        <v>0.26666666666666666</v>
      </c>
      <c r="F372">
        <v>0.30379241516966066</v>
      </c>
      <c r="G372" s="1" t="str">
        <f t="shared" si="47"/>
        <v/>
      </c>
      <c r="H372" s="1">
        <f t="shared" si="48"/>
        <v>0.26666666666666666</v>
      </c>
      <c r="I372" s="1" t="str">
        <f t="shared" si="49"/>
        <v/>
      </c>
      <c r="J372" s="1" t="str">
        <f t="shared" si="50"/>
        <v/>
      </c>
      <c r="K372" s="1" t="str">
        <f t="shared" si="51"/>
        <v/>
      </c>
      <c r="L372" s="1" t="str">
        <f t="shared" si="52"/>
        <v/>
      </c>
    </row>
    <row r="373" spans="1:12">
      <c r="A373" t="s">
        <v>295</v>
      </c>
      <c r="B373">
        <v>7</v>
      </c>
      <c r="C373" t="str">
        <f t="shared" si="46"/>
        <v>test.ImageData_7_</v>
      </c>
      <c r="D373">
        <v>3</v>
      </c>
      <c r="E373">
        <v>0.33333333333333331</v>
      </c>
      <c r="F373">
        <v>0.31377245508982038</v>
      </c>
      <c r="G373" s="1" t="str">
        <f t="shared" si="47"/>
        <v/>
      </c>
      <c r="H373" s="1">
        <f t="shared" si="48"/>
        <v>0.33333333333333331</v>
      </c>
      <c r="I373" s="1" t="str">
        <f t="shared" si="49"/>
        <v/>
      </c>
      <c r="J373" s="1" t="str">
        <f t="shared" si="50"/>
        <v/>
      </c>
      <c r="K373" s="1" t="str">
        <f t="shared" si="51"/>
        <v/>
      </c>
      <c r="L373" s="1" t="str">
        <f t="shared" si="52"/>
        <v/>
      </c>
    </row>
    <row r="374" spans="1:12">
      <c r="A374" t="s">
        <v>295</v>
      </c>
      <c r="B374">
        <v>7</v>
      </c>
      <c r="C374" t="str">
        <f t="shared" si="46"/>
        <v>test.ImageData_7_</v>
      </c>
      <c r="D374">
        <v>4</v>
      </c>
      <c r="E374">
        <v>0.42499999999999999</v>
      </c>
      <c r="F374">
        <v>0.32814371257485031</v>
      </c>
      <c r="G374" s="1" t="str">
        <f t="shared" si="47"/>
        <v/>
      </c>
      <c r="H374" s="1">
        <f t="shared" si="48"/>
        <v>0.42499999999999999</v>
      </c>
      <c r="I374" s="1" t="str">
        <f t="shared" si="49"/>
        <v/>
      </c>
      <c r="J374" s="1" t="str">
        <f t="shared" si="50"/>
        <v/>
      </c>
      <c r="K374" s="1" t="str">
        <f t="shared" si="51"/>
        <v/>
      </c>
      <c r="L374" s="1" t="str">
        <f t="shared" si="52"/>
        <v/>
      </c>
    </row>
    <row r="375" spans="1:12">
      <c r="A375" t="s">
        <v>295</v>
      </c>
      <c r="B375">
        <v>7</v>
      </c>
      <c r="C375" t="str">
        <f t="shared" si="46"/>
        <v>test.ImageData_7_</v>
      </c>
      <c r="D375">
        <v>5</v>
      </c>
      <c r="E375">
        <v>0.45833333333333331</v>
      </c>
      <c r="F375">
        <v>0.32934131736526945</v>
      </c>
      <c r="G375" s="1" t="str">
        <f t="shared" si="47"/>
        <v/>
      </c>
      <c r="H375" s="1">
        <f t="shared" si="48"/>
        <v>0.45833333333333331</v>
      </c>
      <c r="I375" s="1" t="str">
        <f t="shared" si="49"/>
        <v/>
      </c>
      <c r="J375" s="1" t="str">
        <f t="shared" si="50"/>
        <v/>
      </c>
      <c r="K375" s="1" t="str">
        <f t="shared" si="51"/>
        <v/>
      </c>
      <c r="L375" s="1" t="str">
        <f t="shared" si="52"/>
        <v/>
      </c>
    </row>
    <row r="376" spans="1:12">
      <c r="A376" t="s">
        <v>295</v>
      </c>
      <c r="B376">
        <v>7</v>
      </c>
      <c r="C376" t="str">
        <f t="shared" si="46"/>
        <v>test.ImageData_7_</v>
      </c>
      <c r="D376">
        <v>6</v>
      </c>
      <c r="E376">
        <v>0.59166666666666667</v>
      </c>
      <c r="F376">
        <v>0.33852295409181637</v>
      </c>
      <c r="G376" s="1" t="str">
        <f t="shared" si="47"/>
        <v/>
      </c>
      <c r="H376" s="1">
        <f t="shared" si="48"/>
        <v>0.59166666666666667</v>
      </c>
      <c r="I376" s="1" t="str">
        <f t="shared" si="49"/>
        <v/>
      </c>
      <c r="J376" s="1" t="str">
        <f t="shared" si="50"/>
        <v/>
      </c>
      <c r="K376" s="1" t="str">
        <f t="shared" si="51"/>
        <v/>
      </c>
      <c r="L376" s="1" t="str">
        <f t="shared" si="52"/>
        <v/>
      </c>
    </row>
    <row r="377" spans="1:12">
      <c r="A377" t="s">
        <v>295</v>
      </c>
      <c r="B377">
        <v>7</v>
      </c>
      <c r="C377" t="str">
        <f t="shared" si="46"/>
        <v>test.ImageData_7_</v>
      </c>
      <c r="D377">
        <v>7</v>
      </c>
      <c r="E377">
        <v>0.65</v>
      </c>
      <c r="F377">
        <v>0.34491017964071857</v>
      </c>
      <c r="G377" s="1" t="str">
        <f t="shared" si="47"/>
        <v/>
      </c>
      <c r="H377" s="1">
        <f t="shared" si="48"/>
        <v>0.65</v>
      </c>
      <c r="I377" s="1" t="str">
        <f t="shared" si="49"/>
        <v/>
      </c>
      <c r="J377" s="1" t="str">
        <f t="shared" si="50"/>
        <v/>
      </c>
      <c r="K377" s="1" t="str">
        <f t="shared" si="51"/>
        <v/>
      </c>
      <c r="L377" s="1" t="str">
        <f t="shared" si="52"/>
        <v/>
      </c>
    </row>
    <row r="378" spans="1:12">
      <c r="A378" t="s">
        <v>295</v>
      </c>
      <c r="B378">
        <v>7</v>
      </c>
      <c r="C378" t="str">
        <f t="shared" si="46"/>
        <v>test.ImageData_7_</v>
      </c>
      <c r="D378">
        <v>8</v>
      </c>
      <c r="E378">
        <v>0.73333333333333328</v>
      </c>
      <c r="F378">
        <v>0.37445109780439123</v>
      </c>
      <c r="G378" s="1" t="str">
        <f t="shared" si="47"/>
        <v/>
      </c>
      <c r="H378" s="1">
        <f t="shared" si="48"/>
        <v>0.73333333333333328</v>
      </c>
      <c r="I378" s="1" t="str">
        <f t="shared" si="49"/>
        <v/>
      </c>
      <c r="J378" s="1" t="str">
        <f t="shared" si="50"/>
        <v/>
      </c>
      <c r="K378" s="1" t="str">
        <f t="shared" si="51"/>
        <v/>
      </c>
      <c r="L378" s="1" t="str">
        <f t="shared" si="52"/>
        <v/>
      </c>
    </row>
    <row r="379" spans="1:12">
      <c r="A379" t="s">
        <v>295</v>
      </c>
      <c r="B379">
        <v>7</v>
      </c>
      <c r="C379" t="str">
        <f t="shared" si="46"/>
        <v>test.ImageData_7_</v>
      </c>
      <c r="D379">
        <v>9</v>
      </c>
      <c r="E379">
        <v>0.85</v>
      </c>
      <c r="F379">
        <v>0.42115768463073855</v>
      </c>
      <c r="G379" s="1" t="str">
        <f t="shared" si="47"/>
        <v/>
      </c>
      <c r="H379" s="1" t="str">
        <f t="shared" si="48"/>
        <v/>
      </c>
      <c r="I379" s="1">
        <f t="shared" si="49"/>
        <v>0.85</v>
      </c>
      <c r="J379" s="1" t="str">
        <f t="shared" si="50"/>
        <v/>
      </c>
      <c r="K379" s="1" t="str">
        <f t="shared" si="51"/>
        <v/>
      </c>
      <c r="L379" s="1" t="str">
        <f t="shared" si="52"/>
        <v/>
      </c>
    </row>
    <row r="380" spans="1:12">
      <c r="A380" t="s">
        <v>295</v>
      </c>
      <c r="B380">
        <v>7</v>
      </c>
      <c r="C380" t="str">
        <f t="shared" si="46"/>
        <v>test.ImageData_7_</v>
      </c>
      <c r="D380">
        <v>10</v>
      </c>
      <c r="E380">
        <v>1</v>
      </c>
      <c r="F380">
        <v>0.47425149700598801</v>
      </c>
      <c r="G380" s="1" t="str">
        <f t="shared" si="47"/>
        <v/>
      </c>
      <c r="H380" s="1" t="str">
        <f t="shared" si="48"/>
        <v/>
      </c>
      <c r="I380" s="1">
        <f t="shared" si="49"/>
        <v>1</v>
      </c>
      <c r="J380" s="1" t="str">
        <f t="shared" si="50"/>
        <v/>
      </c>
      <c r="K380" s="1" t="str">
        <f t="shared" si="51"/>
        <v/>
      </c>
      <c r="L380" s="1" t="str">
        <f t="shared" si="52"/>
        <v/>
      </c>
    </row>
    <row r="381" spans="1:12">
      <c r="A381" t="s">
        <v>295</v>
      </c>
      <c r="B381">
        <v>8</v>
      </c>
      <c r="C381" t="str">
        <f t="shared" si="46"/>
        <v>test.ImageData_8_</v>
      </c>
      <c r="D381">
        <v>1</v>
      </c>
      <c r="E381">
        <v>0.11728395061728394</v>
      </c>
      <c r="F381">
        <v>7.2757180817411116E-2</v>
      </c>
      <c r="G381" s="1">
        <f t="shared" si="47"/>
        <v>0.11728395061728394</v>
      </c>
      <c r="H381" s="1" t="str">
        <f t="shared" si="48"/>
        <v/>
      </c>
      <c r="I381" s="1" t="str">
        <f t="shared" si="49"/>
        <v/>
      </c>
      <c r="J381" s="1" t="str">
        <f t="shared" si="50"/>
        <v/>
      </c>
      <c r="K381" s="1" t="str">
        <f t="shared" si="51"/>
        <v/>
      </c>
      <c r="L381" s="1" t="str">
        <f t="shared" si="52"/>
        <v/>
      </c>
    </row>
    <row r="382" spans="1:12">
      <c r="A382" t="s">
        <v>295</v>
      </c>
      <c r="B382">
        <v>8</v>
      </c>
      <c r="C382" t="str">
        <f t="shared" si="46"/>
        <v>test.ImageData_8_</v>
      </c>
      <c r="D382">
        <v>2</v>
      </c>
      <c r="E382">
        <v>0.1728395061728395</v>
      </c>
      <c r="F382">
        <v>0.11514614703277236</v>
      </c>
      <c r="G382" s="1">
        <f t="shared" si="47"/>
        <v>0.1728395061728395</v>
      </c>
      <c r="H382" s="1" t="str">
        <f t="shared" si="48"/>
        <v/>
      </c>
      <c r="I382" s="1" t="str">
        <f t="shared" si="49"/>
        <v/>
      </c>
      <c r="J382" s="1" t="str">
        <f t="shared" si="50"/>
        <v/>
      </c>
      <c r="K382" s="1" t="str">
        <f t="shared" si="51"/>
        <v/>
      </c>
      <c r="L382" s="1" t="str">
        <f t="shared" si="52"/>
        <v/>
      </c>
    </row>
    <row r="383" spans="1:12">
      <c r="A383" t="s">
        <v>295</v>
      </c>
      <c r="B383">
        <v>8</v>
      </c>
      <c r="C383" t="str">
        <f t="shared" si="46"/>
        <v>test.ImageData_8_</v>
      </c>
      <c r="D383">
        <v>3</v>
      </c>
      <c r="E383">
        <v>0.3888888888888889</v>
      </c>
      <c r="F383">
        <v>0.209540680754144</v>
      </c>
      <c r="G383" s="1" t="str">
        <f t="shared" si="47"/>
        <v/>
      </c>
      <c r="H383" s="1">
        <f t="shared" si="48"/>
        <v>0.3888888888888889</v>
      </c>
      <c r="I383" s="1" t="str">
        <f t="shared" si="49"/>
        <v/>
      </c>
      <c r="J383" s="1" t="str">
        <f t="shared" si="50"/>
        <v/>
      </c>
      <c r="K383" s="1" t="str">
        <f t="shared" si="51"/>
        <v/>
      </c>
      <c r="L383" s="1" t="str">
        <f t="shared" si="52"/>
        <v/>
      </c>
    </row>
    <row r="384" spans="1:12">
      <c r="A384" t="s">
        <v>295</v>
      </c>
      <c r="B384">
        <v>8</v>
      </c>
      <c r="C384" t="str">
        <f t="shared" si="46"/>
        <v>test.ImageData_8_</v>
      </c>
      <c r="D384">
        <v>4</v>
      </c>
      <c r="E384">
        <v>0.66049382716049387</v>
      </c>
      <c r="F384">
        <v>0.23560673162090345</v>
      </c>
      <c r="G384" s="1" t="str">
        <f t="shared" si="47"/>
        <v/>
      </c>
      <c r="H384" s="1">
        <f t="shared" si="48"/>
        <v>0.66049382716049387</v>
      </c>
      <c r="I384" s="1" t="str">
        <f t="shared" si="49"/>
        <v/>
      </c>
      <c r="J384" s="1" t="str">
        <f t="shared" si="50"/>
        <v/>
      </c>
      <c r="K384" s="1" t="str">
        <f t="shared" si="51"/>
        <v/>
      </c>
      <c r="L384" s="1" t="str">
        <f t="shared" si="52"/>
        <v/>
      </c>
    </row>
    <row r="385" spans="1:12">
      <c r="A385" t="s">
        <v>295</v>
      </c>
      <c r="B385">
        <v>8</v>
      </c>
      <c r="C385" t="str">
        <f t="shared" si="46"/>
        <v>test.ImageData_8_</v>
      </c>
      <c r="D385">
        <v>5</v>
      </c>
      <c r="E385">
        <v>0.86419753086419748</v>
      </c>
      <c r="F385">
        <v>0.30950272048589145</v>
      </c>
      <c r="G385" s="1" t="str">
        <f t="shared" si="47"/>
        <v/>
      </c>
      <c r="H385" s="1">
        <f t="shared" si="48"/>
        <v>0.86419753086419748</v>
      </c>
      <c r="I385" s="1" t="str">
        <f t="shared" si="49"/>
        <v/>
      </c>
      <c r="J385" s="1" t="str">
        <f t="shared" si="50"/>
        <v/>
      </c>
      <c r="K385" s="1" t="str">
        <f t="shared" si="51"/>
        <v/>
      </c>
      <c r="L385" s="1" t="str">
        <f t="shared" si="52"/>
        <v/>
      </c>
    </row>
    <row r="386" spans="1:12">
      <c r="A386" t="s">
        <v>295</v>
      </c>
      <c r="B386">
        <v>8</v>
      </c>
      <c r="C386" t="str">
        <f t="shared" si="46"/>
        <v>test.ImageData_8_</v>
      </c>
      <c r="D386">
        <v>6</v>
      </c>
      <c r="E386">
        <v>1</v>
      </c>
      <c r="F386">
        <v>0.54523598633430348</v>
      </c>
      <c r="G386" s="1" t="str">
        <f t="shared" si="47"/>
        <v/>
      </c>
      <c r="H386" s="1" t="str">
        <f t="shared" si="48"/>
        <v/>
      </c>
      <c r="I386" s="1">
        <f t="shared" si="49"/>
        <v>1</v>
      </c>
      <c r="J386" s="1" t="str">
        <f t="shared" si="50"/>
        <v/>
      </c>
      <c r="K386" s="1" t="str">
        <f t="shared" si="51"/>
        <v/>
      </c>
      <c r="L386" s="1" t="str">
        <f t="shared" si="52"/>
        <v/>
      </c>
    </row>
    <row r="387" spans="1:12">
      <c r="A387" t="s">
        <v>295</v>
      </c>
      <c r="B387">
        <v>9</v>
      </c>
      <c r="C387" t="str">
        <f t="shared" ref="C387:C450" si="53">CONCATENATE(A387, "_",B387,"_")</f>
        <v>test.ImageData_9_</v>
      </c>
      <c r="D387">
        <v>1</v>
      </c>
      <c r="E387">
        <v>7.3643410852713184E-2</v>
      </c>
      <c r="F387">
        <v>2.6984950700570835E-2</v>
      </c>
      <c r="G387" s="1">
        <f t="shared" ref="G387:G450" si="54">IF($F387 &lt;= 0.2,$E387,"")</f>
        <v>7.3643410852713184E-2</v>
      </c>
      <c r="H387" s="1" t="str">
        <f t="shared" ref="H387:H450" si="55">IF(AND($F387 &gt; 0.2,$F387 &lt;= 0.4),$E387,"")</f>
        <v/>
      </c>
      <c r="I387" s="1" t="str">
        <f t="shared" ref="I387:I450" si="56">IF(AND($F387 &gt; 0.4,$F387 &lt;= 0.6),$E387,"")</f>
        <v/>
      </c>
      <c r="J387" s="1" t="str">
        <f t="shared" ref="J387:J450" si="57">IF(AND($F387 &gt; 0.6,$F387 &lt;= 0.8),$E387,"")</f>
        <v/>
      </c>
      <c r="K387" s="1" t="str">
        <f t="shared" ref="K387:K450" si="58">IF(AND($F387 &gt; 0.8, $F387 &lt;=1.1),$E387,"")</f>
        <v/>
      </c>
      <c r="L387" s="1" t="str">
        <f t="shared" ref="L387:L450" si="59">IF(AND($F387 &gt; 1.1),$E387,"")</f>
        <v/>
      </c>
    </row>
    <row r="388" spans="1:12">
      <c r="A388" t="s">
        <v>295</v>
      </c>
      <c r="B388">
        <v>9</v>
      </c>
      <c r="C388" t="str">
        <f t="shared" si="53"/>
        <v>test.ImageData_9_</v>
      </c>
      <c r="D388">
        <v>2</v>
      </c>
      <c r="E388">
        <v>0.12015503875968993</v>
      </c>
      <c r="F388">
        <v>4.7785850198927518E-2</v>
      </c>
      <c r="G388" s="1">
        <f t="shared" si="54"/>
        <v>0.12015503875968993</v>
      </c>
      <c r="H388" s="1" t="str">
        <f t="shared" si="55"/>
        <v/>
      </c>
      <c r="I388" s="1" t="str">
        <f t="shared" si="56"/>
        <v/>
      </c>
      <c r="J388" s="1" t="str">
        <f t="shared" si="57"/>
        <v/>
      </c>
      <c r="K388" s="1" t="str">
        <f t="shared" si="58"/>
        <v/>
      </c>
      <c r="L388" s="1" t="str">
        <f t="shared" si="59"/>
        <v/>
      </c>
    </row>
    <row r="389" spans="1:12">
      <c r="A389" t="s">
        <v>295</v>
      </c>
      <c r="B389">
        <v>9</v>
      </c>
      <c r="C389" t="str">
        <f t="shared" si="53"/>
        <v>test.ImageData_9_</v>
      </c>
      <c r="D389">
        <v>3</v>
      </c>
      <c r="E389">
        <v>0.2558139534883721</v>
      </c>
      <c r="F389">
        <v>7.4338349766476394E-2</v>
      </c>
      <c r="G389" s="1">
        <f t="shared" si="54"/>
        <v>0.2558139534883721</v>
      </c>
      <c r="H389" s="1" t="str">
        <f t="shared" si="55"/>
        <v/>
      </c>
      <c r="I389" s="1" t="str">
        <f t="shared" si="56"/>
        <v/>
      </c>
      <c r="J389" s="1" t="str">
        <f t="shared" si="57"/>
        <v/>
      </c>
      <c r="K389" s="1" t="str">
        <f t="shared" si="58"/>
        <v/>
      </c>
      <c r="L389" s="1" t="str">
        <f t="shared" si="59"/>
        <v/>
      </c>
    </row>
    <row r="390" spans="1:12">
      <c r="A390" t="s">
        <v>295</v>
      </c>
      <c r="B390">
        <v>9</v>
      </c>
      <c r="C390" t="str">
        <f t="shared" si="53"/>
        <v>test.ImageData_9_</v>
      </c>
      <c r="D390">
        <v>4</v>
      </c>
      <c r="E390">
        <v>0.4263565891472868</v>
      </c>
      <c r="F390">
        <v>8.3117107766822351E-2</v>
      </c>
      <c r="G390" s="1">
        <f t="shared" si="54"/>
        <v>0.4263565891472868</v>
      </c>
      <c r="H390" s="1" t="str">
        <f t="shared" si="55"/>
        <v/>
      </c>
      <c r="I390" s="1" t="str">
        <f t="shared" si="56"/>
        <v/>
      </c>
      <c r="J390" s="1" t="str">
        <f t="shared" si="57"/>
        <v/>
      </c>
      <c r="K390" s="1" t="str">
        <f t="shared" si="58"/>
        <v/>
      </c>
      <c r="L390" s="1" t="str">
        <f t="shared" si="59"/>
        <v/>
      </c>
    </row>
    <row r="391" spans="1:12">
      <c r="A391" t="s">
        <v>295</v>
      </c>
      <c r="B391">
        <v>9</v>
      </c>
      <c r="C391" t="str">
        <f t="shared" si="53"/>
        <v>test.ImageData_9_</v>
      </c>
      <c r="D391">
        <v>5</v>
      </c>
      <c r="E391">
        <v>0.55426356589147285</v>
      </c>
      <c r="F391">
        <v>0.10923715620134924</v>
      </c>
      <c r="G391" s="1">
        <f t="shared" si="54"/>
        <v>0.55426356589147285</v>
      </c>
      <c r="H391" s="1" t="str">
        <f t="shared" si="55"/>
        <v/>
      </c>
      <c r="I391" s="1" t="str">
        <f t="shared" si="56"/>
        <v/>
      </c>
      <c r="J391" s="1" t="str">
        <f t="shared" si="57"/>
        <v/>
      </c>
      <c r="K391" s="1" t="str">
        <f t="shared" si="58"/>
        <v/>
      </c>
      <c r="L391" s="1" t="str">
        <f t="shared" si="59"/>
        <v/>
      </c>
    </row>
    <row r="392" spans="1:12">
      <c r="A392" t="s">
        <v>295</v>
      </c>
      <c r="B392">
        <v>9</v>
      </c>
      <c r="C392" t="str">
        <f t="shared" si="53"/>
        <v>test.ImageData_9_</v>
      </c>
      <c r="D392">
        <v>6</v>
      </c>
      <c r="E392">
        <v>0.65891472868217049</v>
      </c>
      <c r="F392">
        <v>0.21583636049126448</v>
      </c>
      <c r="G392" s="1" t="str">
        <f t="shared" si="54"/>
        <v/>
      </c>
      <c r="H392" s="1">
        <f t="shared" si="55"/>
        <v>0.65891472868217049</v>
      </c>
      <c r="I392" s="1" t="str">
        <f t="shared" si="56"/>
        <v/>
      </c>
      <c r="J392" s="1" t="str">
        <f t="shared" si="57"/>
        <v/>
      </c>
      <c r="K392" s="1" t="str">
        <f t="shared" si="58"/>
        <v/>
      </c>
      <c r="L392" s="1" t="str">
        <f t="shared" si="59"/>
        <v/>
      </c>
    </row>
    <row r="393" spans="1:12">
      <c r="A393" t="s">
        <v>295</v>
      </c>
      <c r="B393">
        <v>9</v>
      </c>
      <c r="C393" t="str">
        <f t="shared" si="53"/>
        <v>test.ImageData_9_</v>
      </c>
      <c r="D393">
        <v>7</v>
      </c>
      <c r="E393">
        <v>0.77906976744186052</v>
      </c>
      <c r="F393">
        <v>0.23594533817678603</v>
      </c>
      <c r="G393" s="1" t="str">
        <f t="shared" si="54"/>
        <v/>
      </c>
      <c r="H393" s="1">
        <f t="shared" si="55"/>
        <v>0.77906976744186052</v>
      </c>
      <c r="I393" s="1" t="str">
        <f t="shared" si="56"/>
        <v/>
      </c>
      <c r="J393" s="1" t="str">
        <f t="shared" si="57"/>
        <v/>
      </c>
      <c r="K393" s="1" t="str">
        <f t="shared" si="58"/>
        <v/>
      </c>
      <c r="L393" s="1" t="str">
        <f t="shared" si="59"/>
        <v/>
      </c>
    </row>
    <row r="394" spans="1:12">
      <c r="A394" t="s">
        <v>295</v>
      </c>
      <c r="B394">
        <v>9</v>
      </c>
      <c r="C394" t="str">
        <f t="shared" si="53"/>
        <v>test.ImageData_9_</v>
      </c>
      <c r="D394">
        <v>8</v>
      </c>
      <c r="E394">
        <v>0.86434108527131781</v>
      </c>
      <c r="F394">
        <v>0.2458917142362913</v>
      </c>
      <c r="G394" s="1" t="str">
        <f t="shared" si="54"/>
        <v/>
      </c>
      <c r="H394" s="1">
        <f t="shared" si="55"/>
        <v>0.86434108527131781</v>
      </c>
      <c r="I394" s="1" t="str">
        <f t="shared" si="56"/>
        <v/>
      </c>
      <c r="J394" s="1" t="str">
        <f t="shared" si="57"/>
        <v/>
      </c>
      <c r="K394" s="1" t="str">
        <f t="shared" si="58"/>
        <v/>
      </c>
      <c r="L394" s="1" t="str">
        <f t="shared" si="59"/>
        <v/>
      </c>
    </row>
    <row r="395" spans="1:12">
      <c r="A395" t="s">
        <v>295</v>
      </c>
      <c r="B395">
        <v>9</v>
      </c>
      <c r="C395" t="str">
        <f t="shared" si="53"/>
        <v>test.ImageData_9_</v>
      </c>
      <c r="D395">
        <v>9</v>
      </c>
      <c r="E395">
        <v>1</v>
      </c>
      <c r="F395">
        <v>0.28667185608026291</v>
      </c>
      <c r="G395" s="1" t="str">
        <f t="shared" si="54"/>
        <v/>
      </c>
      <c r="H395" s="1">
        <f t="shared" si="55"/>
        <v>1</v>
      </c>
      <c r="I395" s="1" t="str">
        <f t="shared" si="56"/>
        <v/>
      </c>
      <c r="J395" s="1" t="str">
        <f t="shared" si="57"/>
        <v/>
      </c>
      <c r="K395" s="1" t="str">
        <f t="shared" si="58"/>
        <v/>
      </c>
      <c r="L395" s="1" t="str">
        <f t="shared" si="59"/>
        <v/>
      </c>
    </row>
    <row r="396" spans="1:12">
      <c r="A396" t="s">
        <v>295</v>
      </c>
      <c r="B396">
        <v>11</v>
      </c>
      <c r="C396" t="str">
        <f t="shared" si="53"/>
        <v>test.ImageData_11_</v>
      </c>
      <c r="D396">
        <v>1</v>
      </c>
      <c r="E396">
        <v>0.33962264150943394</v>
      </c>
      <c r="F396">
        <v>5.3307184881440539E-2</v>
      </c>
      <c r="G396" s="1">
        <f t="shared" si="54"/>
        <v>0.33962264150943394</v>
      </c>
      <c r="H396" s="1" t="str">
        <f t="shared" si="55"/>
        <v/>
      </c>
      <c r="I396" s="1" t="str">
        <f t="shared" si="56"/>
        <v/>
      </c>
      <c r="J396" s="1" t="str">
        <f t="shared" si="57"/>
        <v/>
      </c>
      <c r="K396" s="1" t="str">
        <f t="shared" si="58"/>
        <v/>
      </c>
      <c r="L396" s="1" t="str">
        <f t="shared" si="59"/>
        <v/>
      </c>
    </row>
    <row r="397" spans="1:12">
      <c r="A397" t="s">
        <v>295</v>
      </c>
      <c r="B397">
        <v>11</v>
      </c>
      <c r="C397" t="str">
        <f t="shared" si="53"/>
        <v>test.ImageData_11_</v>
      </c>
      <c r="D397">
        <v>2</v>
      </c>
      <c r="E397">
        <v>1</v>
      </c>
      <c r="F397">
        <v>0.96291674095204138</v>
      </c>
      <c r="G397" s="1" t="str">
        <f t="shared" si="54"/>
        <v/>
      </c>
      <c r="H397" s="1" t="str">
        <f t="shared" si="55"/>
        <v/>
      </c>
      <c r="I397" s="1" t="str">
        <f t="shared" si="56"/>
        <v/>
      </c>
      <c r="J397" s="1" t="str">
        <f t="shared" si="57"/>
        <v/>
      </c>
      <c r="K397" s="1">
        <f t="shared" si="58"/>
        <v>1</v>
      </c>
      <c r="L397" s="1" t="str">
        <f t="shared" si="59"/>
        <v/>
      </c>
    </row>
    <row r="398" spans="1:12">
      <c r="A398" t="s">
        <v>295</v>
      </c>
      <c r="B398">
        <v>13</v>
      </c>
      <c r="C398" t="str">
        <f t="shared" si="53"/>
        <v>test.ImageData_13_</v>
      </c>
      <c r="D398">
        <v>1</v>
      </c>
      <c r="E398">
        <v>1.3568521031207597E-3</v>
      </c>
      <c r="F398">
        <v>7.0090322580645167E-2</v>
      </c>
      <c r="G398" s="1">
        <f t="shared" si="54"/>
        <v>1.3568521031207597E-3</v>
      </c>
      <c r="H398" s="1" t="str">
        <f t="shared" si="55"/>
        <v/>
      </c>
      <c r="I398" s="1" t="str">
        <f t="shared" si="56"/>
        <v/>
      </c>
      <c r="J398" s="1" t="str">
        <f t="shared" si="57"/>
        <v/>
      </c>
      <c r="K398" s="1" t="str">
        <f t="shared" si="58"/>
        <v/>
      </c>
      <c r="L398" s="1" t="str">
        <f t="shared" si="59"/>
        <v/>
      </c>
    </row>
    <row r="399" spans="1:12">
      <c r="A399" t="s">
        <v>295</v>
      </c>
      <c r="B399">
        <v>13</v>
      </c>
      <c r="C399" t="str">
        <f t="shared" si="53"/>
        <v>test.ImageData_13_</v>
      </c>
      <c r="D399">
        <v>2</v>
      </c>
      <c r="E399">
        <v>5.4274084124830389E-3</v>
      </c>
      <c r="F399">
        <v>7.1070967741935484E-2</v>
      </c>
      <c r="G399" s="1">
        <f t="shared" si="54"/>
        <v>5.4274084124830389E-3</v>
      </c>
      <c r="H399" s="1" t="str">
        <f t="shared" si="55"/>
        <v/>
      </c>
      <c r="I399" s="1" t="str">
        <f t="shared" si="56"/>
        <v/>
      </c>
      <c r="J399" s="1" t="str">
        <f t="shared" si="57"/>
        <v/>
      </c>
      <c r="K399" s="1" t="str">
        <f t="shared" si="58"/>
        <v/>
      </c>
      <c r="L399" s="1" t="str">
        <f t="shared" si="59"/>
        <v/>
      </c>
    </row>
    <row r="400" spans="1:12">
      <c r="A400" t="s">
        <v>295</v>
      </c>
      <c r="B400">
        <v>13</v>
      </c>
      <c r="C400" t="str">
        <f t="shared" si="53"/>
        <v>test.ImageData_13_</v>
      </c>
      <c r="D400">
        <v>3</v>
      </c>
      <c r="E400">
        <v>6.7842605156037995E-3</v>
      </c>
      <c r="F400">
        <v>7.344516129032258E-2</v>
      </c>
      <c r="G400" s="1">
        <f t="shared" si="54"/>
        <v>6.7842605156037995E-3</v>
      </c>
      <c r="H400" s="1" t="str">
        <f t="shared" si="55"/>
        <v/>
      </c>
      <c r="I400" s="1" t="str">
        <f t="shared" si="56"/>
        <v/>
      </c>
      <c r="J400" s="1" t="str">
        <f t="shared" si="57"/>
        <v/>
      </c>
      <c r="K400" s="1" t="str">
        <f t="shared" si="58"/>
        <v/>
      </c>
      <c r="L400" s="1" t="str">
        <f t="shared" si="59"/>
        <v/>
      </c>
    </row>
    <row r="401" spans="1:12">
      <c r="A401" t="s">
        <v>295</v>
      </c>
      <c r="B401">
        <v>13</v>
      </c>
      <c r="C401" t="str">
        <f t="shared" si="53"/>
        <v>test.ImageData_13_</v>
      </c>
      <c r="D401">
        <v>4</v>
      </c>
      <c r="E401">
        <v>1</v>
      </c>
      <c r="F401">
        <v>0.97997419354838711</v>
      </c>
      <c r="G401" s="1" t="str">
        <f t="shared" si="54"/>
        <v/>
      </c>
      <c r="H401" s="1" t="str">
        <f t="shared" si="55"/>
        <v/>
      </c>
      <c r="I401" s="1" t="str">
        <f t="shared" si="56"/>
        <v/>
      </c>
      <c r="J401" s="1" t="str">
        <f t="shared" si="57"/>
        <v/>
      </c>
      <c r="K401" s="1">
        <f t="shared" si="58"/>
        <v>1</v>
      </c>
      <c r="L401" s="1" t="str">
        <f t="shared" si="59"/>
        <v/>
      </c>
    </row>
    <row r="402" spans="1:12">
      <c r="A402" t="s">
        <v>295</v>
      </c>
      <c r="B402">
        <v>14</v>
      </c>
      <c r="C402" t="str">
        <f t="shared" si="53"/>
        <v>test.ImageData_14_</v>
      </c>
      <c r="D402">
        <v>1</v>
      </c>
      <c r="E402">
        <v>3.1315240083507308E-3</v>
      </c>
      <c r="F402">
        <v>4.2773792443806788E-2</v>
      </c>
      <c r="G402" s="1">
        <f t="shared" si="54"/>
        <v>3.1315240083507308E-3</v>
      </c>
      <c r="H402" s="1" t="str">
        <f t="shared" si="55"/>
        <v/>
      </c>
      <c r="I402" s="1" t="str">
        <f t="shared" si="56"/>
        <v/>
      </c>
      <c r="J402" s="1" t="str">
        <f t="shared" si="57"/>
        <v/>
      </c>
      <c r="K402" s="1" t="str">
        <f t="shared" si="58"/>
        <v/>
      </c>
      <c r="L402" s="1" t="str">
        <f t="shared" si="59"/>
        <v/>
      </c>
    </row>
    <row r="403" spans="1:12">
      <c r="A403" t="s">
        <v>295</v>
      </c>
      <c r="B403">
        <v>14</v>
      </c>
      <c r="C403" t="str">
        <f t="shared" si="53"/>
        <v>test.ImageData_14_</v>
      </c>
      <c r="D403">
        <v>2</v>
      </c>
      <c r="E403">
        <v>4.1753653444676405E-3</v>
      </c>
      <c r="F403">
        <v>4.2850310856049734E-2</v>
      </c>
      <c r="G403" s="1">
        <f t="shared" si="54"/>
        <v>4.1753653444676405E-3</v>
      </c>
      <c r="H403" s="1" t="str">
        <f t="shared" si="55"/>
        <v/>
      </c>
      <c r="I403" s="1" t="str">
        <f t="shared" si="56"/>
        <v/>
      </c>
      <c r="J403" s="1" t="str">
        <f t="shared" si="57"/>
        <v/>
      </c>
      <c r="K403" s="1" t="str">
        <f t="shared" si="58"/>
        <v/>
      </c>
      <c r="L403" s="1" t="str">
        <f t="shared" si="59"/>
        <v/>
      </c>
    </row>
    <row r="404" spans="1:12">
      <c r="A404" t="s">
        <v>295</v>
      </c>
      <c r="B404">
        <v>14</v>
      </c>
      <c r="C404" t="str">
        <f t="shared" si="53"/>
        <v>test.ImageData_14_</v>
      </c>
      <c r="D404">
        <v>3</v>
      </c>
      <c r="E404">
        <v>5.2192066805845511E-3</v>
      </c>
      <c r="F404">
        <v>4.3385939741750361E-2</v>
      </c>
      <c r="G404" s="1">
        <f t="shared" si="54"/>
        <v>5.2192066805845511E-3</v>
      </c>
      <c r="H404" s="1" t="str">
        <f t="shared" si="55"/>
        <v/>
      </c>
      <c r="I404" s="1" t="str">
        <f t="shared" si="56"/>
        <v/>
      </c>
      <c r="J404" s="1" t="str">
        <f t="shared" si="57"/>
        <v/>
      </c>
      <c r="K404" s="1" t="str">
        <f t="shared" si="58"/>
        <v/>
      </c>
      <c r="L404" s="1" t="str">
        <f t="shared" si="59"/>
        <v/>
      </c>
    </row>
    <row r="405" spans="1:12">
      <c r="A405" t="s">
        <v>295</v>
      </c>
      <c r="B405">
        <v>14</v>
      </c>
      <c r="C405" t="str">
        <f t="shared" si="53"/>
        <v>test.ImageData_14_</v>
      </c>
      <c r="D405">
        <v>4</v>
      </c>
      <c r="E405">
        <v>0.39874739039665968</v>
      </c>
      <c r="F405">
        <v>0.44541367766618845</v>
      </c>
      <c r="G405" s="1" t="str">
        <f t="shared" si="54"/>
        <v/>
      </c>
      <c r="H405" s="1" t="str">
        <f t="shared" si="55"/>
        <v/>
      </c>
      <c r="I405" s="1">
        <f t="shared" si="56"/>
        <v>0.39874739039665968</v>
      </c>
      <c r="J405" s="1" t="str">
        <f t="shared" si="57"/>
        <v/>
      </c>
      <c r="K405" s="1" t="str">
        <f t="shared" si="58"/>
        <v/>
      </c>
      <c r="L405" s="1" t="str">
        <f t="shared" si="59"/>
        <v/>
      </c>
    </row>
    <row r="406" spans="1:12">
      <c r="A406" t="s">
        <v>295</v>
      </c>
      <c r="B406">
        <v>14</v>
      </c>
      <c r="C406" t="str">
        <f t="shared" si="53"/>
        <v>test.ImageData_14_</v>
      </c>
      <c r="D406">
        <v>5</v>
      </c>
      <c r="E406">
        <v>0.58663883089770352</v>
      </c>
      <c r="F406">
        <v>0.45048302247728361</v>
      </c>
      <c r="G406" s="1" t="str">
        <f t="shared" si="54"/>
        <v/>
      </c>
      <c r="H406" s="1" t="str">
        <f t="shared" si="55"/>
        <v/>
      </c>
      <c r="I406" s="1">
        <f t="shared" si="56"/>
        <v>0.58663883089770352</v>
      </c>
      <c r="J406" s="1" t="str">
        <f t="shared" si="57"/>
        <v/>
      </c>
      <c r="K406" s="1" t="str">
        <f t="shared" si="58"/>
        <v/>
      </c>
      <c r="L406" s="1" t="str">
        <f t="shared" si="59"/>
        <v/>
      </c>
    </row>
    <row r="407" spans="1:12">
      <c r="A407" t="s">
        <v>295</v>
      </c>
      <c r="B407">
        <v>14</v>
      </c>
      <c r="C407" t="str">
        <f t="shared" si="53"/>
        <v>test.ImageData_14_</v>
      </c>
      <c r="D407">
        <v>6</v>
      </c>
      <c r="E407">
        <v>0.58768267223382042</v>
      </c>
      <c r="F407">
        <v>0.45367766618842659</v>
      </c>
      <c r="G407" s="1" t="str">
        <f t="shared" si="54"/>
        <v/>
      </c>
      <c r="H407" s="1" t="str">
        <f t="shared" si="55"/>
        <v/>
      </c>
      <c r="I407" s="1">
        <f t="shared" si="56"/>
        <v>0.58768267223382042</v>
      </c>
      <c r="J407" s="1" t="str">
        <f t="shared" si="57"/>
        <v/>
      </c>
      <c r="K407" s="1" t="str">
        <f t="shared" si="58"/>
        <v/>
      </c>
      <c r="L407" s="1" t="str">
        <f t="shared" si="59"/>
        <v/>
      </c>
    </row>
    <row r="408" spans="1:12">
      <c r="A408" t="s">
        <v>295</v>
      </c>
      <c r="B408">
        <v>14</v>
      </c>
      <c r="C408" t="str">
        <f t="shared" si="53"/>
        <v>test.ImageData_14_</v>
      </c>
      <c r="D408">
        <v>7</v>
      </c>
      <c r="E408">
        <v>0.58872651356993733</v>
      </c>
      <c r="F408">
        <v>0.45465327594452415</v>
      </c>
      <c r="G408" s="1" t="str">
        <f t="shared" si="54"/>
        <v/>
      </c>
      <c r="H408" s="1" t="str">
        <f t="shared" si="55"/>
        <v/>
      </c>
      <c r="I408" s="1">
        <f t="shared" si="56"/>
        <v>0.58872651356993733</v>
      </c>
      <c r="J408" s="1" t="str">
        <f t="shared" si="57"/>
        <v/>
      </c>
      <c r="K408" s="1" t="str">
        <f t="shared" si="58"/>
        <v/>
      </c>
      <c r="L408" s="1" t="str">
        <f t="shared" si="59"/>
        <v/>
      </c>
    </row>
    <row r="409" spans="1:12">
      <c r="A409" t="s">
        <v>295</v>
      </c>
      <c r="B409">
        <v>14</v>
      </c>
      <c r="C409" t="str">
        <f t="shared" si="53"/>
        <v>test.ImageData_14_</v>
      </c>
      <c r="D409">
        <v>8</v>
      </c>
      <c r="E409">
        <v>0.58872651356993733</v>
      </c>
      <c r="F409">
        <v>0.47286465805834527</v>
      </c>
      <c r="G409" s="1" t="str">
        <f t="shared" si="54"/>
        <v/>
      </c>
      <c r="H409" s="1" t="str">
        <f t="shared" si="55"/>
        <v/>
      </c>
      <c r="I409" s="1">
        <f t="shared" si="56"/>
        <v>0.58872651356993733</v>
      </c>
      <c r="J409" s="1" t="str">
        <f t="shared" si="57"/>
        <v/>
      </c>
      <c r="K409" s="1" t="str">
        <f t="shared" si="58"/>
        <v/>
      </c>
      <c r="L409" s="1" t="str">
        <f t="shared" si="59"/>
        <v/>
      </c>
    </row>
    <row r="410" spans="1:12">
      <c r="A410" t="s">
        <v>295</v>
      </c>
      <c r="B410">
        <v>14</v>
      </c>
      <c r="C410" t="str">
        <f t="shared" si="53"/>
        <v>test.ImageData_14_</v>
      </c>
      <c r="D410">
        <v>9</v>
      </c>
      <c r="E410">
        <v>0.58872651356993733</v>
      </c>
      <c r="F410">
        <v>0.48671449067431849</v>
      </c>
      <c r="G410" s="1" t="str">
        <f t="shared" si="54"/>
        <v/>
      </c>
      <c r="H410" s="1" t="str">
        <f t="shared" si="55"/>
        <v/>
      </c>
      <c r="I410" s="1">
        <f t="shared" si="56"/>
        <v>0.58872651356993733</v>
      </c>
      <c r="J410" s="1" t="str">
        <f t="shared" si="57"/>
        <v/>
      </c>
      <c r="K410" s="1" t="str">
        <f t="shared" si="58"/>
        <v/>
      </c>
      <c r="L410" s="1" t="str">
        <f t="shared" si="59"/>
        <v/>
      </c>
    </row>
    <row r="411" spans="1:12">
      <c r="A411" t="s">
        <v>295</v>
      </c>
      <c r="B411">
        <v>14</v>
      </c>
      <c r="C411" t="str">
        <f t="shared" si="53"/>
        <v>test.ImageData_14_</v>
      </c>
      <c r="D411">
        <v>10</v>
      </c>
      <c r="E411">
        <v>0.9989561586638831</v>
      </c>
      <c r="F411">
        <v>0.74888570062171211</v>
      </c>
      <c r="G411" s="1" t="str">
        <f t="shared" si="54"/>
        <v/>
      </c>
      <c r="H411" s="1" t="str">
        <f t="shared" si="55"/>
        <v/>
      </c>
      <c r="I411" s="1" t="str">
        <f t="shared" si="56"/>
        <v/>
      </c>
      <c r="J411" s="1">
        <f t="shared" si="57"/>
        <v>0.9989561586638831</v>
      </c>
      <c r="K411" s="1" t="str">
        <f t="shared" si="58"/>
        <v/>
      </c>
      <c r="L411" s="1" t="str">
        <f t="shared" si="59"/>
        <v/>
      </c>
    </row>
    <row r="412" spans="1:12">
      <c r="A412" t="s">
        <v>295</v>
      </c>
      <c r="B412">
        <v>14</v>
      </c>
      <c r="C412" t="str">
        <f t="shared" si="53"/>
        <v>test.ImageData_14_</v>
      </c>
      <c r="D412">
        <v>11</v>
      </c>
      <c r="E412">
        <v>1</v>
      </c>
      <c r="F412">
        <v>0.76527977044476325</v>
      </c>
      <c r="G412" s="1" t="str">
        <f t="shared" si="54"/>
        <v/>
      </c>
      <c r="H412" s="1" t="str">
        <f t="shared" si="55"/>
        <v/>
      </c>
      <c r="I412" s="1" t="str">
        <f t="shared" si="56"/>
        <v/>
      </c>
      <c r="J412" s="1">
        <f t="shared" si="57"/>
        <v>1</v>
      </c>
      <c r="K412" s="1" t="str">
        <f t="shared" si="58"/>
        <v/>
      </c>
      <c r="L412" s="1" t="str">
        <f t="shared" si="59"/>
        <v/>
      </c>
    </row>
    <row r="413" spans="1:12">
      <c r="A413" t="s">
        <v>295</v>
      </c>
      <c r="B413">
        <v>15</v>
      </c>
      <c r="C413" t="str">
        <f t="shared" si="53"/>
        <v>test.ImageData_15_</v>
      </c>
      <c r="D413">
        <v>1</v>
      </c>
      <c r="E413">
        <v>2.1008403361344537E-3</v>
      </c>
      <c r="F413">
        <v>5.8131987017670396E-2</v>
      </c>
      <c r="G413" s="1">
        <f t="shared" si="54"/>
        <v>2.1008403361344537E-3</v>
      </c>
      <c r="H413" s="1" t="str">
        <f t="shared" si="55"/>
        <v/>
      </c>
      <c r="I413" s="1" t="str">
        <f t="shared" si="56"/>
        <v/>
      </c>
      <c r="J413" s="1" t="str">
        <f t="shared" si="57"/>
        <v/>
      </c>
      <c r="K413" s="1" t="str">
        <f t="shared" si="58"/>
        <v/>
      </c>
      <c r="L413" s="1" t="str">
        <f t="shared" si="59"/>
        <v/>
      </c>
    </row>
    <row r="414" spans="1:12">
      <c r="A414" t="s">
        <v>295</v>
      </c>
      <c r="B414">
        <v>15</v>
      </c>
      <c r="C414" t="str">
        <f t="shared" si="53"/>
        <v>test.ImageData_15_</v>
      </c>
      <c r="D414">
        <v>2</v>
      </c>
      <c r="E414">
        <v>6.3025210084033615E-3</v>
      </c>
      <c r="F414">
        <v>5.9646592138478186E-2</v>
      </c>
      <c r="G414" s="1">
        <f t="shared" si="54"/>
        <v>6.3025210084033615E-3</v>
      </c>
      <c r="H414" s="1" t="str">
        <f t="shared" si="55"/>
        <v/>
      </c>
      <c r="I414" s="1" t="str">
        <f t="shared" si="56"/>
        <v/>
      </c>
      <c r="J414" s="1" t="str">
        <f t="shared" si="57"/>
        <v/>
      </c>
      <c r="K414" s="1" t="str">
        <f t="shared" si="58"/>
        <v/>
      </c>
      <c r="L414" s="1" t="str">
        <f t="shared" si="59"/>
        <v/>
      </c>
    </row>
    <row r="415" spans="1:12">
      <c r="A415" t="s">
        <v>295</v>
      </c>
      <c r="B415">
        <v>15</v>
      </c>
      <c r="C415" t="str">
        <f t="shared" si="53"/>
        <v>test.ImageData_15_</v>
      </c>
      <c r="D415">
        <v>3</v>
      </c>
      <c r="E415">
        <v>1.050420168067227E-2</v>
      </c>
      <c r="F415">
        <v>0.11770645510277677</v>
      </c>
      <c r="G415" s="1">
        <f t="shared" si="54"/>
        <v>1.050420168067227E-2</v>
      </c>
      <c r="H415" s="1" t="str">
        <f t="shared" si="55"/>
        <v/>
      </c>
      <c r="I415" s="1" t="str">
        <f t="shared" si="56"/>
        <v/>
      </c>
      <c r="J415" s="1" t="str">
        <f t="shared" si="57"/>
        <v/>
      </c>
      <c r="K415" s="1" t="str">
        <f t="shared" si="58"/>
        <v/>
      </c>
      <c r="L415" s="1" t="str">
        <f t="shared" si="59"/>
        <v/>
      </c>
    </row>
    <row r="416" spans="1:12">
      <c r="A416" t="s">
        <v>295</v>
      </c>
      <c r="B416">
        <v>15</v>
      </c>
      <c r="C416" t="str">
        <f t="shared" si="53"/>
        <v>test.ImageData_15_</v>
      </c>
      <c r="D416">
        <v>4</v>
      </c>
      <c r="E416">
        <v>1</v>
      </c>
      <c r="F416">
        <v>0.98031013342949869</v>
      </c>
      <c r="G416" s="1" t="str">
        <f t="shared" si="54"/>
        <v/>
      </c>
      <c r="H416" s="1" t="str">
        <f t="shared" si="55"/>
        <v/>
      </c>
      <c r="I416" s="1" t="str">
        <f t="shared" si="56"/>
        <v/>
      </c>
      <c r="J416" s="1" t="str">
        <f t="shared" si="57"/>
        <v/>
      </c>
      <c r="K416" s="1">
        <f t="shared" si="58"/>
        <v>1</v>
      </c>
      <c r="L416" s="1" t="str">
        <f t="shared" si="59"/>
        <v/>
      </c>
    </row>
    <row r="417" spans="1:12">
      <c r="A417" t="s">
        <v>295</v>
      </c>
      <c r="B417">
        <v>16</v>
      </c>
      <c r="C417" t="str">
        <f t="shared" si="53"/>
        <v>test.ImageData_16_</v>
      </c>
      <c r="D417">
        <v>1</v>
      </c>
      <c r="E417">
        <v>1.6474464579901153E-3</v>
      </c>
      <c r="F417">
        <v>3.9326490600853421E-2</v>
      </c>
      <c r="G417" s="1">
        <f t="shared" si="54"/>
        <v>1.6474464579901153E-3</v>
      </c>
      <c r="H417" s="1" t="str">
        <f t="shared" si="55"/>
        <v/>
      </c>
      <c r="I417" s="1" t="str">
        <f t="shared" si="56"/>
        <v/>
      </c>
      <c r="J417" s="1" t="str">
        <f t="shared" si="57"/>
        <v/>
      </c>
      <c r="K417" s="1" t="str">
        <f t="shared" si="58"/>
        <v/>
      </c>
      <c r="L417" s="1" t="str">
        <f t="shared" si="59"/>
        <v/>
      </c>
    </row>
    <row r="418" spans="1:12">
      <c r="A418" t="s">
        <v>295</v>
      </c>
      <c r="B418">
        <v>16</v>
      </c>
      <c r="C418" t="str">
        <f t="shared" si="53"/>
        <v>test.ImageData_16_</v>
      </c>
      <c r="D418">
        <v>2</v>
      </c>
      <c r="E418">
        <v>4.9423393739703456E-3</v>
      </c>
      <c r="F418">
        <v>4.032599085072848E-2</v>
      </c>
      <c r="G418" s="1">
        <f t="shared" si="54"/>
        <v>4.9423393739703456E-3</v>
      </c>
      <c r="H418" s="1" t="str">
        <f t="shared" si="55"/>
        <v/>
      </c>
      <c r="I418" s="1" t="str">
        <f t="shared" si="56"/>
        <v/>
      </c>
      <c r="J418" s="1" t="str">
        <f t="shared" si="57"/>
        <v/>
      </c>
      <c r="K418" s="1" t="str">
        <f t="shared" si="58"/>
        <v/>
      </c>
      <c r="L418" s="1" t="str">
        <f t="shared" si="59"/>
        <v/>
      </c>
    </row>
    <row r="419" spans="1:12">
      <c r="A419" t="s">
        <v>295</v>
      </c>
      <c r="B419">
        <v>16</v>
      </c>
      <c r="C419" t="str">
        <f t="shared" si="53"/>
        <v>test.ImageData_16_</v>
      </c>
      <c r="D419">
        <v>3</v>
      </c>
      <c r="E419">
        <v>8.2372322899505763E-3</v>
      </c>
      <c r="F419">
        <v>4.4323991850228735E-2</v>
      </c>
      <c r="G419" s="1">
        <f t="shared" si="54"/>
        <v>8.2372322899505763E-3</v>
      </c>
      <c r="H419" s="1" t="str">
        <f t="shared" si="55"/>
        <v/>
      </c>
      <c r="I419" s="1" t="str">
        <f t="shared" si="56"/>
        <v/>
      </c>
      <c r="J419" s="1" t="str">
        <f t="shared" si="57"/>
        <v/>
      </c>
      <c r="K419" s="1" t="str">
        <f t="shared" si="58"/>
        <v/>
      </c>
      <c r="L419" s="1" t="str">
        <f t="shared" si="59"/>
        <v/>
      </c>
    </row>
    <row r="420" spans="1:12">
      <c r="A420" t="s">
        <v>295</v>
      </c>
      <c r="B420">
        <v>16</v>
      </c>
      <c r="C420" t="str">
        <f t="shared" si="53"/>
        <v>test.ImageData_16_</v>
      </c>
      <c r="D420">
        <v>4</v>
      </c>
      <c r="E420">
        <v>1</v>
      </c>
      <c r="F420">
        <v>0.97689616730096496</v>
      </c>
      <c r="G420" s="1" t="str">
        <f t="shared" si="54"/>
        <v/>
      </c>
      <c r="H420" s="1" t="str">
        <f t="shared" si="55"/>
        <v/>
      </c>
      <c r="I420" s="1" t="str">
        <f t="shared" si="56"/>
        <v/>
      </c>
      <c r="J420" s="1" t="str">
        <f t="shared" si="57"/>
        <v/>
      </c>
      <c r="K420" s="1">
        <f t="shared" si="58"/>
        <v>1</v>
      </c>
      <c r="L420" s="1" t="str">
        <f t="shared" si="59"/>
        <v/>
      </c>
    </row>
    <row r="421" spans="1:12">
      <c r="A421" t="s">
        <v>295</v>
      </c>
      <c r="B421">
        <v>20</v>
      </c>
      <c r="C421" t="str">
        <f t="shared" si="53"/>
        <v>test.ImageData_20_</v>
      </c>
      <c r="D421">
        <v>1</v>
      </c>
      <c r="E421">
        <v>0.59259259259259256</v>
      </c>
      <c r="F421">
        <v>0.55237430167597767</v>
      </c>
      <c r="G421" s="1" t="str">
        <f t="shared" si="54"/>
        <v/>
      </c>
      <c r="H421" s="1" t="str">
        <f t="shared" si="55"/>
        <v/>
      </c>
      <c r="I421" s="1">
        <f t="shared" si="56"/>
        <v>0.59259259259259256</v>
      </c>
      <c r="J421" s="1" t="str">
        <f t="shared" si="57"/>
        <v/>
      </c>
      <c r="K421" s="1" t="str">
        <f t="shared" si="58"/>
        <v/>
      </c>
      <c r="L421" s="1" t="str">
        <f t="shared" si="59"/>
        <v/>
      </c>
    </row>
    <row r="422" spans="1:12">
      <c r="A422" t="s">
        <v>295</v>
      </c>
      <c r="B422">
        <v>20</v>
      </c>
      <c r="C422" t="str">
        <f t="shared" si="53"/>
        <v>test.ImageData_20_</v>
      </c>
      <c r="D422">
        <v>2</v>
      </c>
      <c r="E422">
        <v>1</v>
      </c>
      <c r="F422">
        <v>0.55272346368715086</v>
      </c>
      <c r="G422" s="1" t="str">
        <f t="shared" si="54"/>
        <v/>
      </c>
      <c r="H422" s="1" t="str">
        <f t="shared" si="55"/>
        <v/>
      </c>
      <c r="I422" s="1">
        <f t="shared" si="56"/>
        <v>1</v>
      </c>
      <c r="J422" s="1" t="str">
        <f t="shared" si="57"/>
        <v/>
      </c>
      <c r="K422" s="1" t="str">
        <f t="shared" si="58"/>
        <v/>
      </c>
      <c r="L422" s="1" t="str">
        <f t="shared" si="59"/>
        <v/>
      </c>
    </row>
    <row r="423" spans="1:12">
      <c r="A423" t="s">
        <v>295</v>
      </c>
      <c r="B423">
        <v>21</v>
      </c>
      <c r="C423" t="str">
        <f t="shared" si="53"/>
        <v>test.ImageData_21_</v>
      </c>
      <c r="D423">
        <v>1</v>
      </c>
      <c r="E423">
        <v>0.54385964912280704</v>
      </c>
      <c r="F423">
        <v>0.51232121316560397</v>
      </c>
      <c r="G423" s="1" t="str">
        <f t="shared" si="54"/>
        <v/>
      </c>
      <c r="H423" s="1" t="str">
        <f t="shared" si="55"/>
        <v/>
      </c>
      <c r="I423" s="1">
        <f t="shared" si="56"/>
        <v>0.54385964912280704</v>
      </c>
      <c r="J423" s="1" t="str">
        <f t="shared" si="57"/>
        <v/>
      </c>
      <c r="K423" s="1" t="str">
        <f t="shared" si="58"/>
        <v/>
      </c>
      <c r="L423" s="1" t="str">
        <f t="shared" si="59"/>
        <v/>
      </c>
    </row>
    <row r="424" spans="1:12">
      <c r="A424" t="s">
        <v>295</v>
      </c>
      <c r="B424">
        <v>21</v>
      </c>
      <c r="C424" t="str">
        <f t="shared" si="53"/>
        <v>test.ImageData_21_</v>
      </c>
      <c r="D424">
        <v>2</v>
      </c>
      <c r="E424">
        <v>1</v>
      </c>
      <c r="F424">
        <v>0.51481992073065652</v>
      </c>
      <c r="G424" s="1" t="str">
        <f t="shared" si="54"/>
        <v/>
      </c>
      <c r="H424" s="1" t="str">
        <f t="shared" si="55"/>
        <v/>
      </c>
      <c r="I424" s="1">
        <f t="shared" si="56"/>
        <v>1</v>
      </c>
      <c r="J424" s="1" t="str">
        <f t="shared" si="57"/>
        <v/>
      </c>
      <c r="K424" s="1" t="str">
        <f t="shared" si="58"/>
        <v/>
      </c>
      <c r="L424" s="1" t="str">
        <f t="shared" si="59"/>
        <v/>
      </c>
    </row>
    <row r="425" spans="1:12">
      <c r="A425" t="s">
        <v>344</v>
      </c>
      <c r="B425">
        <v>0</v>
      </c>
      <c r="C425" t="str">
        <f t="shared" si="53"/>
        <v>test.QRCodeDataBlockReader_0_</v>
      </c>
      <c r="D425">
        <v>1</v>
      </c>
      <c r="E425">
        <v>0.1</v>
      </c>
      <c r="F425">
        <v>0.41477272727272729</v>
      </c>
      <c r="G425" s="1" t="str">
        <f t="shared" si="54"/>
        <v/>
      </c>
      <c r="H425" s="1" t="str">
        <f t="shared" si="55"/>
        <v/>
      </c>
      <c r="I425" s="1">
        <f t="shared" si="56"/>
        <v>0.1</v>
      </c>
      <c r="J425" s="1" t="str">
        <f t="shared" si="57"/>
        <v/>
      </c>
      <c r="K425" s="1" t="str">
        <f t="shared" si="58"/>
        <v/>
      </c>
      <c r="L425" s="1" t="str">
        <f t="shared" si="59"/>
        <v/>
      </c>
    </row>
    <row r="426" spans="1:12">
      <c r="A426" t="s">
        <v>344</v>
      </c>
      <c r="B426">
        <v>0</v>
      </c>
      <c r="C426" t="str">
        <f t="shared" si="53"/>
        <v>test.QRCodeDataBlockReader_0_</v>
      </c>
      <c r="D426">
        <v>2</v>
      </c>
      <c r="E426">
        <v>0.4</v>
      </c>
      <c r="F426">
        <v>0.63068181818181823</v>
      </c>
      <c r="G426" s="1" t="str">
        <f t="shared" si="54"/>
        <v/>
      </c>
      <c r="H426" s="1" t="str">
        <f t="shared" si="55"/>
        <v/>
      </c>
      <c r="I426" s="1" t="str">
        <f t="shared" si="56"/>
        <v/>
      </c>
      <c r="J426" s="1">
        <f t="shared" si="57"/>
        <v>0.4</v>
      </c>
      <c r="K426" s="1" t="str">
        <f t="shared" si="58"/>
        <v/>
      </c>
      <c r="L426" s="1" t="str">
        <f t="shared" si="59"/>
        <v/>
      </c>
    </row>
    <row r="427" spans="1:12">
      <c r="A427" t="s">
        <v>344</v>
      </c>
      <c r="B427">
        <v>0</v>
      </c>
      <c r="C427" t="str">
        <f t="shared" si="53"/>
        <v>test.QRCodeDataBlockReader_0_</v>
      </c>
      <c r="D427">
        <v>3</v>
      </c>
      <c r="E427">
        <v>0.6</v>
      </c>
      <c r="F427">
        <v>0.69318181818181823</v>
      </c>
      <c r="G427" s="1" t="str">
        <f t="shared" si="54"/>
        <v/>
      </c>
      <c r="H427" s="1" t="str">
        <f t="shared" si="55"/>
        <v/>
      </c>
      <c r="I427" s="1" t="str">
        <f t="shared" si="56"/>
        <v/>
      </c>
      <c r="J427" s="1">
        <f t="shared" si="57"/>
        <v>0.6</v>
      </c>
      <c r="K427" s="1" t="str">
        <f t="shared" si="58"/>
        <v/>
      </c>
      <c r="L427" s="1" t="str">
        <f t="shared" si="59"/>
        <v/>
      </c>
    </row>
    <row r="428" spans="1:12">
      <c r="A428" t="s">
        <v>344</v>
      </c>
      <c r="B428">
        <v>0</v>
      </c>
      <c r="C428" t="str">
        <f t="shared" si="53"/>
        <v>test.QRCodeDataBlockReader_0_</v>
      </c>
      <c r="D428">
        <v>4</v>
      </c>
      <c r="E428">
        <v>1</v>
      </c>
      <c r="F428">
        <v>0.98863636363636365</v>
      </c>
      <c r="G428" s="1" t="str">
        <f t="shared" si="54"/>
        <v/>
      </c>
      <c r="H428" s="1" t="str">
        <f t="shared" si="55"/>
        <v/>
      </c>
      <c r="I428" s="1" t="str">
        <f t="shared" si="56"/>
        <v/>
      </c>
      <c r="J428" s="1" t="str">
        <f t="shared" si="57"/>
        <v/>
      </c>
      <c r="K428" s="1">
        <f t="shared" si="58"/>
        <v>1</v>
      </c>
      <c r="L428" s="1" t="str">
        <f t="shared" si="59"/>
        <v/>
      </c>
    </row>
    <row r="429" spans="1:12">
      <c r="A429" t="s">
        <v>344</v>
      </c>
      <c r="B429">
        <v>1</v>
      </c>
      <c r="C429" t="str">
        <f t="shared" si="53"/>
        <v>test.QRCodeDataBlockReader_1_</v>
      </c>
      <c r="D429">
        <v>1</v>
      </c>
      <c r="E429">
        <v>9.7345132743362831E-2</v>
      </c>
      <c r="F429">
        <v>8.4423305588585018E-2</v>
      </c>
      <c r="G429" s="1">
        <f t="shared" si="54"/>
        <v>9.7345132743362831E-2</v>
      </c>
      <c r="H429" s="1" t="str">
        <f t="shared" si="55"/>
        <v/>
      </c>
      <c r="I429" s="1" t="str">
        <f t="shared" si="56"/>
        <v/>
      </c>
      <c r="J429" s="1" t="str">
        <f t="shared" si="57"/>
        <v/>
      </c>
      <c r="K429" s="1" t="str">
        <f t="shared" si="58"/>
        <v/>
      </c>
      <c r="L429" s="1" t="str">
        <f t="shared" si="59"/>
        <v/>
      </c>
    </row>
    <row r="430" spans="1:12">
      <c r="A430" t="s">
        <v>344</v>
      </c>
      <c r="B430">
        <v>1</v>
      </c>
      <c r="C430" t="str">
        <f t="shared" si="53"/>
        <v>test.QRCodeDataBlockReader_1_</v>
      </c>
      <c r="D430">
        <v>2</v>
      </c>
      <c r="E430">
        <v>0.26548672566371684</v>
      </c>
      <c r="F430">
        <v>0.20187607345752412</v>
      </c>
      <c r="G430" s="1" t="str">
        <f t="shared" si="54"/>
        <v/>
      </c>
      <c r="H430" s="1">
        <f t="shared" si="55"/>
        <v>0.26548672566371684</v>
      </c>
      <c r="I430" s="1" t="str">
        <f t="shared" si="56"/>
        <v/>
      </c>
      <c r="J430" s="1" t="str">
        <f t="shared" si="57"/>
        <v/>
      </c>
      <c r="K430" s="1" t="str">
        <f t="shared" si="58"/>
        <v/>
      </c>
      <c r="L430" s="1" t="str">
        <f t="shared" si="59"/>
        <v/>
      </c>
    </row>
    <row r="431" spans="1:12">
      <c r="A431" t="s">
        <v>344</v>
      </c>
      <c r="B431">
        <v>1</v>
      </c>
      <c r="C431" t="str">
        <f t="shared" si="53"/>
        <v>test.QRCodeDataBlockReader_1_</v>
      </c>
      <c r="D431">
        <v>3</v>
      </c>
      <c r="E431">
        <v>0.51327433628318586</v>
      </c>
      <c r="F431">
        <v>0.28603514334786628</v>
      </c>
      <c r="G431" s="1" t="str">
        <f t="shared" si="54"/>
        <v/>
      </c>
      <c r="H431" s="1">
        <f t="shared" si="55"/>
        <v>0.51327433628318586</v>
      </c>
      <c r="I431" s="1" t="str">
        <f t="shared" si="56"/>
        <v/>
      </c>
      <c r="J431" s="1" t="str">
        <f t="shared" si="57"/>
        <v/>
      </c>
      <c r="K431" s="1" t="str">
        <f t="shared" si="58"/>
        <v/>
      </c>
      <c r="L431" s="1" t="str">
        <f t="shared" si="59"/>
        <v/>
      </c>
    </row>
    <row r="432" spans="1:12">
      <c r="A432" t="s">
        <v>344</v>
      </c>
      <c r="B432">
        <v>1</v>
      </c>
      <c r="C432" t="str">
        <f t="shared" si="53"/>
        <v>test.QRCodeDataBlockReader_1_</v>
      </c>
      <c r="D432">
        <v>4</v>
      </c>
      <c r="E432">
        <v>1</v>
      </c>
      <c r="F432">
        <v>0.60021138855859424</v>
      </c>
      <c r="G432" s="1" t="str">
        <f t="shared" si="54"/>
        <v/>
      </c>
      <c r="H432" s="1" t="str">
        <f t="shared" si="55"/>
        <v/>
      </c>
      <c r="I432" s="1" t="str">
        <f t="shared" si="56"/>
        <v/>
      </c>
      <c r="J432" s="1">
        <f t="shared" si="57"/>
        <v>1</v>
      </c>
      <c r="K432" s="1" t="str">
        <f t="shared" si="58"/>
        <v/>
      </c>
      <c r="L432" s="1" t="str">
        <f t="shared" si="59"/>
        <v/>
      </c>
    </row>
    <row r="433" spans="1:12">
      <c r="A433" t="s">
        <v>348</v>
      </c>
      <c r="B433">
        <v>1</v>
      </c>
      <c r="C433" t="str">
        <f t="shared" si="53"/>
        <v>test.StructurePanel_1_</v>
      </c>
      <c r="D433">
        <v>1</v>
      </c>
      <c r="E433">
        <v>0.10638297872340426</v>
      </c>
      <c r="F433">
        <v>0.13454777884308086</v>
      </c>
      <c r="G433" s="1">
        <f t="shared" si="54"/>
        <v>0.10638297872340426</v>
      </c>
      <c r="H433" s="1" t="str">
        <f t="shared" si="55"/>
        <v/>
      </c>
      <c r="I433" s="1" t="str">
        <f t="shared" si="56"/>
        <v/>
      </c>
      <c r="J433" s="1" t="str">
        <f t="shared" si="57"/>
        <v/>
      </c>
      <c r="K433" s="1" t="str">
        <f t="shared" si="58"/>
        <v/>
      </c>
      <c r="L433" s="1" t="str">
        <f t="shared" si="59"/>
        <v/>
      </c>
    </row>
    <row r="434" spans="1:12">
      <c r="A434" t="s">
        <v>348</v>
      </c>
      <c r="B434">
        <v>1</v>
      </c>
      <c r="C434" t="str">
        <f t="shared" si="53"/>
        <v>test.StructurePanel_1_</v>
      </c>
      <c r="D434">
        <v>2</v>
      </c>
      <c r="E434">
        <v>0.18085106382978725</v>
      </c>
      <c r="F434">
        <v>0.14093959731543623</v>
      </c>
      <c r="G434" s="1">
        <f t="shared" si="54"/>
        <v>0.18085106382978725</v>
      </c>
      <c r="H434" s="1" t="str">
        <f t="shared" si="55"/>
        <v/>
      </c>
      <c r="I434" s="1" t="str">
        <f t="shared" si="56"/>
        <v/>
      </c>
      <c r="J434" s="1" t="str">
        <f t="shared" si="57"/>
        <v/>
      </c>
      <c r="K434" s="1" t="str">
        <f t="shared" si="58"/>
        <v/>
      </c>
      <c r="L434" s="1" t="str">
        <f t="shared" si="59"/>
        <v/>
      </c>
    </row>
    <row r="435" spans="1:12">
      <c r="A435" t="s">
        <v>348</v>
      </c>
      <c r="B435">
        <v>1</v>
      </c>
      <c r="C435" t="str">
        <f t="shared" si="53"/>
        <v>test.StructurePanel_1_</v>
      </c>
      <c r="D435">
        <v>3</v>
      </c>
      <c r="E435">
        <v>0.2978723404255319</v>
      </c>
      <c r="F435">
        <v>0.24672419303291787</v>
      </c>
      <c r="G435" s="1" t="str">
        <f t="shared" si="54"/>
        <v/>
      </c>
      <c r="H435" s="1">
        <f t="shared" si="55"/>
        <v>0.2978723404255319</v>
      </c>
      <c r="I435" s="1" t="str">
        <f t="shared" si="56"/>
        <v/>
      </c>
      <c r="J435" s="1" t="str">
        <f t="shared" si="57"/>
        <v/>
      </c>
      <c r="K435" s="1" t="str">
        <f t="shared" si="58"/>
        <v/>
      </c>
      <c r="L435" s="1" t="str">
        <f t="shared" si="59"/>
        <v/>
      </c>
    </row>
    <row r="436" spans="1:12">
      <c r="A436" t="s">
        <v>348</v>
      </c>
      <c r="B436">
        <v>1</v>
      </c>
      <c r="C436" t="str">
        <f t="shared" si="53"/>
        <v>test.StructurePanel_1_</v>
      </c>
      <c r="D436">
        <v>4</v>
      </c>
      <c r="E436">
        <v>0.43617021276595747</v>
      </c>
      <c r="F436">
        <v>0.2505592841163311</v>
      </c>
      <c r="G436" s="1" t="str">
        <f t="shared" si="54"/>
        <v/>
      </c>
      <c r="H436" s="1">
        <f t="shared" si="55"/>
        <v>0.43617021276595747</v>
      </c>
      <c r="I436" s="1" t="str">
        <f t="shared" si="56"/>
        <v/>
      </c>
      <c r="J436" s="1" t="str">
        <f t="shared" si="57"/>
        <v/>
      </c>
      <c r="K436" s="1" t="str">
        <f t="shared" si="58"/>
        <v/>
      </c>
      <c r="L436" s="1" t="str">
        <f t="shared" si="59"/>
        <v/>
      </c>
    </row>
    <row r="437" spans="1:12">
      <c r="A437" t="s">
        <v>348</v>
      </c>
      <c r="B437">
        <v>1</v>
      </c>
      <c r="C437" t="str">
        <f t="shared" si="53"/>
        <v>test.StructurePanel_1_</v>
      </c>
      <c r="D437">
        <v>5</v>
      </c>
      <c r="E437">
        <v>0.56382978723404253</v>
      </c>
      <c r="F437">
        <v>0.26078619367209971</v>
      </c>
      <c r="G437" s="1" t="str">
        <f t="shared" si="54"/>
        <v/>
      </c>
      <c r="H437" s="1">
        <f t="shared" si="55"/>
        <v>0.56382978723404253</v>
      </c>
      <c r="I437" s="1" t="str">
        <f t="shared" si="56"/>
        <v/>
      </c>
      <c r="J437" s="1" t="str">
        <f t="shared" si="57"/>
        <v/>
      </c>
      <c r="K437" s="1" t="str">
        <f t="shared" si="58"/>
        <v/>
      </c>
      <c r="L437" s="1" t="str">
        <f t="shared" si="59"/>
        <v/>
      </c>
    </row>
    <row r="438" spans="1:12">
      <c r="A438" t="s">
        <v>348</v>
      </c>
      <c r="B438">
        <v>1</v>
      </c>
      <c r="C438" t="str">
        <f t="shared" si="53"/>
        <v>test.StructurePanel_1_</v>
      </c>
      <c r="D438">
        <v>6</v>
      </c>
      <c r="E438">
        <v>0.69148936170212771</v>
      </c>
      <c r="F438">
        <v>0.26110578459571748</v>
      </c>
      <c r="G438" s="1" t="str">
        <f t="shared" si="54"/>
        <v/>
      </c>
      <c r="H438" s="1">
        <f t="shared" si="55"/>
        <v>0.69148936170212771</v>
      </c>
      <c r="I438" s="1" t="str">
        <f t="shared" si="56"/>
        <v/>
      </c>
      <c r="J438" s="1" t="str">
        <f t="shared" si="57"/>
        <v/>
      </c>
      <c r="K438" s="1" t="str">
        <f t="shared" si="58"/>
        <v/>
      </c>
      <c r="L438" s="1" t="str">
        <f t="shared" si="59"/>
        <v/>
      </c>
    </row>
    <row r="439" spans="1:12">
      <c r="A439" t="s">
        <v>348</v>
      </c>
      <c r="B439">
        <v>1</v>
      </c>
      <c r="C439" t="str">
        <f t="shared" si="53"/>
        <v>test.StructurePanel_1_</v>
      </c>
      <c r="D439">
        <v>7</v>
      </c>
      <c r="E439">
        <v>0.85106382978723405</v>
      </c>
      <c r="F439">
        <v>0.27388942154042828</v>
      </c>
      <c r="G439" s="1" t="str">
        <f t="shared" si="54"/>
        <v/>
      </c>
      <c r="H439" s="1">
        <f t="shared" si="55"/>
        <v>0.85106382978723405</v>
      </c>
      <c r="I439" s="1" t="str">
        <f t="shared" si="56"/>
        <v/>
      </c>
      <c r="J439" s="1" t="str">
        <f t="shared" si="57"/>
        <v/>
      </c>
      <c r="K439" s="1" t="str">
        <f t="shared" si="58"/>
        <v/>
      </c>
      <c r="L439" s="1" t="str">
        <f t="shared" si="59"/>
        <v/>
      </c>
    </row>
    <row r="440" spans="1:12">
      <c r="A440" t="s">
        <v>348</v>
      </c>
      <c r="B440">
        <v>1</v>
      </c>
      <c r="C440" t="str">
        <f t="shared" si="53"/>
        <v>test.StructurePanel_1_</v>
      </c>
      <c r="D440">
        <v>8</v>
      </c>
      <c r="E440">
        <v>1</v>
      </c>
      <c r="F440">
        <v>0.31160115052732501</v>
      </c>
      <c r="G440" s="1" t="str">
        <f t="shared" si="54"/>
        <v/>
      </c>
      <c r="H440" s="1">
        <f t="shared" si="55"/>
        <v>1</v>
      </c>
      <c r="I440" s="1" t="str">
        <f t="shared" si="56"/>
        <v/>
      </c>
      <c r="J440" s="1" t="str">
        <f t="shared" si="57"/>
        <v/>
      </c>
      <c r="K440" s="1" t="str">
        <f t="shared" si="58"/>
        <v/>
      </c>
      <c r="L440" s="1" t="str">
        <f t="shared" si="59"/>
        <v/>
      </c>
    </row>
    <row r="441" spans="1:12">
      <c r="A441" t="s">
        <v>354</v>
      </c>
      <c r="B441">
        <v>1</v>
      </c>
      <c r="C441" t="str">
        <f t="shared" si="53"/>
        <v>test.WorldController_1_</v>
      </c>
      <c r="D441">
        <v>1</v>
      </c>
      <c r="E441">
        <v>0.21301775147928995</v>
      </c>
      <c r="F441">
        <v>0.22825232027686015</v>
      </c>
      <c r="G441" s="1" t="str">
        <f t="shared" si="54"/>
        <v/>
      </c>
      <c r="H441" s="1">
        <f t="shared" si="55"/>
        <v>0.21301775147928995</v>
      </c>
      <c r="I441" s="1" t="str">
        <f t="shared" si="56"/>
        <v/>
      </c>
      <c r="J441" s="1" t="str">
        <f t="shared" si="57"/>
        <v/>
      </c>
      <c r="K441" s="1" t="str">
        <f t="shared" si="58"/>
        <v/>
      </c>
      <c r="L441" s="1" t="str">
        <f t="shared" si="59"/>
        <v/>
      </c>
    </row>
    <row r="442" spans="1:12">
      <c r="A442" t="s">
        <v>354</v>
      </c>
      <c r="B442">
        <v>1</v>
      </c>
      <c r="C442" t="str">
        <f t="shared" si="53"/>
        <v>test.WorldController_1_</v>
      </c>
      <c r="D442">
        <v>2</v>
      </c>
      <c r="E442">
        <v>0.41420118343195267</v>
      </c>
      <c r="F442">
        <v>0.22939279534371559</v>
      </c>
      <c r="G442" s="1" t="str">
        <f t="shared" si="54"/>
        <v/>
      </c>
      <c r="H442" s="1">
        <f t="shared" si="55"/>
        <v>0.41420118343195267</v>
      </c>
      <c r="I442" s="1" t="str">
        <f t="shared" si="56"/>
        <v/>
      </c>
      <c r="J442" s="1" t="str">
        <f t="shared" si="57"/>
        <v/>
      </c>
      <c r="K442" s="1" t="str">
        <f t="shared" si="58"/>
        <v/>
      </c>
      <c r="L442" s="1" t="str">
        <f t="shared" si="59"/>
        <v/>
      </c>
    </row>
    <row r="443" spans="1:12">
      <c r="A443" t="s">
        <v>354</v>
      </c>
      <c r="B443">
        <v>1</v>
      </c>
      <c r="C443" t="str">
        <f t="shared" si="53"/>
        <v>test.WorldController_1_</v>
      </c>
      <c r="D443">
        <v>3</v>
      </c>
      <c r="E443">
        <v>0.60946745562130178</v>
      </c>
      <c r="F443">
        <v>0.24331445650464056</v>
      </c>
      <c r="G443" s="1" t="str">
        <f t="shared" si="54"/>
        <v/>
      </c>
      <c r="H443" s="1">
        <f t="shared" si="55"/>
        <v>0.60946745562130178</v>
      </c>
      <c r="I443" s="1" t="str">
        <f t="shared" si="56"/>
        <v/>
      </c>
      <c r="J443" s="1" t="str">
        <f t="shared" si="57"/>
        <v/>
      </c>
      <c r="K443" s="1" t="str">
        <f t="shared" si="58"/>
        <v/>
      </c>
      <c r="L443" s="1" t="str">
        <f t="shared" si="59"/>
        <v/>
      </c>
    </row>
    <row r="444" spans="1:12">
      <c r="A444" t="s">
        <v>354</v>
      </c>
      <c r="B444">
        <v>1</v>
      </c>
      <c r="C444" t="str">
        <f t="shared" si="53"/>
        <v>test.WorldController_1_</v>
      </c>
      <c r="D444">
        <v>4</v>
      </c>
      <c r="E444">
        <v>0.79881656804733725</v>
      </c>
      <c r="F444">
        <v>0.24394368412773321</v>
      </c>
      <c r="G444" s="1" t="str">
        <f t="shared" si="54"/>
        <v/>
      </c>
      <c r="H444" s="1">
        <f t="shared" si="55"/>
        <v>0.79881656804733725</v>
      </c>
      <c r="I444" s="1" t="str">
        <f t="shared" si="56"/>
        <v/>
      </c>
      <c r="J444" s="1" t="str">
        <f t="shared" si="57"/>
        <v/>
      </c>
      <c r="K444" s="1" t="str">
        <f t="shared" si="58"/>
        <v/>
      </c>
      <c r="L444" s="1" t="str">
        <f t="shared" si="59"/>
        <v/>
      </c>
    </row>
    <row r="445" spans="1:12">
      <c r="A445" t="s">
        <v>354</v>
      </c>
      <c r="B445">
        <v>1</v>
      </c>
      <c r="C445" t="str">
        <f t="shared" si="53"/>
        <v>test.WorldController_1_</v>
      </c>
      <c r="D445">
        <v>5</v>
      </c>
      <c r="E445">
        <v>1</v>
      </c>
      <c r="F445">
        <v>0.2606968695925751</v>
      </c>
      <c r="G445" s="1" t="str">
        <f t="shared" si="54"/>
        <v/>
      </c>
      <c r="H445" s="1">
        <f t="shared" si="55"/>
        <v>1</v>
      </c>
      <c r="I445" s="1" t="str">
        <f t="shared" si="56"/>
        <v/>
      </c>
      <c r="J445" s="1" t="str">
        <f t="shared" si="57"/>
        <v/>
      </c>
      <c r="K445" s="1" t="str">
        <f t="shared" si="58"/>
        <v/>
      </c>
      <c r="L445" s="1" t="str">
        <f t="shared" si="59"/>
        <v/>
      </c>
    </row>
    <row r="446" spans="1:12">
      <c r="A446" t="s">
        <v>358</v>
      </c>
      <c r="B446">
        <v>5</v>
      </c>
      <c r="C446" t="str">
        <f t="shared" si="53"/>
        <v>test.TIFFFaxDecoder_5_</v>
      </c>
      <c r="D446">
        <v>1</v>
      </c>
      <c r="E446">
        <v>0.31707317073170732</v>
      </c>
      <c r="F446">
        <v>0.19645131538495322</v>
      </c>
      <c r="G446" s="1">
        <f t="shared" si="54"/>
        <v>0.31707317073170732</v>
      </c>
      <c r="H446" s="1" t="str">
        <f t="shared" si="55"/>
        <v/>
      </c>
      <c r="I446" s="1" t="str">
        <f t="shared" si="56"/>
        <v/>
      </c>
      <c r="J446" s="1" t="str">
        <f t="shared" si="57"/>
        <v/>
      </c>
      <c r="K446" s="1" t="str">
        <f t="shared" si="58"/>
        <v/>
      </c>
      <c r="L446" s="1" t="str">
        <f t="shared" si="59"/>
        <v/>
      </c>
    </row>
    <row r="447" spans="1:12">
      <c r="A447" t="s">
        <v>358</v>
      </c>
      <c r="B447">
        <v>5</v>
      </c>
      <c r="C447" t="str">
        <f t="shared" si="53"/>
        <v>test.TIFFFaxDecoder_5_</v>
      </c>
      <c r="D447">
        <v>2</v>
      </c>
      <c r="E447">
        <v>0.35772357723577236</v>
      </c>
      <c r="F447">
        <v>0.20062365496947604</v>
      </c>
      <c r="G447" s="1" t="str">
        <f t="shared" si="54"/>
        <v/>
      </c>
      <c r="H447" s="1">
        <f t="shared" si="55"/>
        <v>0.35772357723577236</v>
      </c>
      <c r="I447" s="1" t="str">
        <f t="shared" si="56"/>
        <v/>
      </c>
      <c r="J447" s="1" t="str">
        <f t="shared" si="57"/>
        <v/>
      </c>
      <c r="K447" s="1" t="str">
        <f t="shared" si="58"/>
        <v/>
      </c>
      <c r="L447" s="1" t="str">
        <f t="shared" si="59"/>
        <v/>
      </c>
    </row>
    <row r="448" spans="1:12">
      <c r="A448" t="s">
        <v>358</v>
      </c>
      <c r="B448">
        <v>5</v>
      </c>
      <c r="C448" t="str">
        <f t="shared" si="53"/>
        <v>test.TIFFFaxDecoder_5_</v>
      </c>
      <c r="D448">
        <v>3</v>
      </c>
      <c r="E448">
        <v>0.44715447154471544</v>
      </c>
      <c r="F448">
        <v>0.29575299749659623</v>
      </c>
      <c r="G448" s="1" t="str">
        <f t="shared" si="54"/>
        <v/>
      </c>
      <c r="H448" s="1">
        <f t="shared" si="55"/>
        <v>0.44715447154471544</v>
      </c>
      <c r="I448" s="1" t="str">
        <f t="shared" si="56"/>
        <v/>
      </c>
      <c r="J448" s="1" t="str">
        <f t="shared" si="57"/>
        <v/>
      </c>
      <c r="K448" s="1" t="str">
        <f t="shared" si="58"/>
        <v/>
      </c>
      <c r="L448" s="1" t="str">
        <f t="shared" si="59"/>
        <v/>
      </c>
    </row>
    <row r="449" spans="1:12">
      <c r="A449" t="s">
        <v>358</v>
      </c>
      <c r="B449">
        <v>5</v>
      </c>
      <c r="C449" t="str">
        <f t="shared" si="53"/>
        <v>test.TIFFFaxDecoder_5_</v>
      </c>
      <c r="D449">
        <v>4</v>
      </c>
      <c r="E449">
        <v>0.57723577235772361</v>
      </c>
      <c r="F449">
        <v>0.46457903289560365</v>
      </c>
      <c r="G449" s="1" t="str">
        <f t="shared" si="54"/>
        <v/>
      </c>
      <c r="H449" s="1" t="str">
        <f t="shared" si="55"/>
        <v/>
      </c>
      <c r="I449" s="1">
        <f t="shared" si="56"/>
        <v>0.57723577235772361</v>
      </c>
      <c r="J449" s="1" t="str">
        <f t="shared" si="57"/>
        <v/>
      </c>
      <c r="K449" s="1" t="str">
        <f t="shared" si="58"/>
        <v/>
      </c>
      <c r="L449" s="1" t="str">
        <f t="shared" si="59"/>
        <v/>
      </c>
    </row>
    <row r="450" spans="1:12">
      <c r="A450" t="s">
        <v>358</v>
      </c>
      <c r="B450">
        <v>5</v>
      </c>
      <c r="C450" t="str">
        <f t="shared" si="53"/>
        <v>test.TIFFFaxDecoder_5_</v>
      </c>
      <c r="D450">
        <v>5</v>
      </c>
      <c r="E450">
        <v>1</v>
      </c>
      <c r="F450">
        <v>0.67596293205674385</v>
      </c>
      <c r="G450" s="1" t="str">
        <f t="shared" si="54"/>
        <v/>
      </c>
      <c r="H450" s="1" t="str">
        <f t="shared" si="55"/>
        <v/>
      </c>
      <c r="I450" s="1" t="str">
        <f t="shared" si="56"/>
        <v/>
      </c>
      <c r="J450" s="1">
        <f t="shared" si="57"/>
        <v>1</v>
      </c>
      <c r="K450" s="1" t="str">
        <f t="shared" si="58"/>
        <v/>
      </c>
      <c r="L450" s="1" t="str">
        <f t="shared" si="59"/>
        <v/>
      </c>
    </row>
    <row r="451" spans="1:12">
      <c r="A451" t="s">
        <v>358</v>
      </c>
      <c r="B451">
        <v>7</v>
      </c>
      <c r="C451" t="str">
        <f t="shared" ref="C451:C514" si="60">CONCATENATE(A451, "_",B451,"_")</f>
        <v>test.TIFFFaxDecoder_7_</v>
      </c>
      <c r="D451">
        <v>1</v>
      </c>
      <c r="E451">
        <v>0.30303030303030304</v>
      </c>
      <c r="F451">
        <v>0.29255319148936171</v>
      </c>
      <c r="G451" s="1" t="str">
        <f t="shared" ref="G451:G514" si="61">IF($F451 &lt;= 0.2,$E451,"")</f>
        <v/>
      </c>
      <c r="H451" s="1">
        <f t="shared" ref="H451:H514" si="62">IF(AND($F451 &gt; 0.2,$F451 &lt;= 0.4),$E451,"")</f>
        <v>0.30303030303030304</v>
      </c>
      <c r="I451" s="1" t="str">
        <f t="shared" ref="I451:I514" si="63">IF(AND($F451 &gt; 0.4,$F451 &lt;= 0.6),$E451,"")</f>
        <v/>
      </c>
      <c r="J451" s="1" t="str">
        <f t="shared" ref="J451:J514" si="64">IF(AND($F451 &gt; 0.6,$F451 &lt;= 0.8),$E451,"")</f>
        <v/>
      </c>
      <c r="K451" s="1" t="str">
        <f t="shared" ref="K451:K514" si="65">IF(AND($F451 &gt; 0.8, $F451 &lt;=1.1),$E451,"")</f>
        <v/>
      </c>
      <c r="L451" s="1" t="str">
        <f t="shared" ref="L451:L513" si="66">IF(AND($F451 &gt; 1.1),$E451,"")</f>
        <v/>
      </c>
    </row>
    <row r="452" spans="1:12">
      <c r="A452" t="s">
        <v>358</v>
      </c>
      <c r="B452">
        <v>7</v>
      </c>
      <c r="C452" t="str">
        <f t="shared" si="60"/>
        <v>test.TIFFFaxDecoder_7_</v>
      </c>
      <c r="D452">
        <v>2</v>
      </c>
      <c r="E452">
        <v>0.66666666666666663</v>
      </c>
      <c r="F452">
        <v>0.53191489361702127</v>
      </c>
      <c r="G452" s="1" t="str">
        <f t="shared" si="61"/>
        <v/>
      </c>
      <c r="H452" s="1" t="str">
        <f t="shared" si="62"/>
        <v/>
      </c>
      <c r="I452" s="1">
        <f t="shared" si="63"/>
        <v>0.66666666666666663</v>
      </c>
      <c r="J452" s="1" t="str">
        <f t="shared" si="64"/>
        <v/>
      </c>
      <c r="K452" s="1" t="str">
        <f t="shared" si="65"/>
        <v/>
      </c>
      <c r="L452" s="1" t="str">
        <f t="shared" si="66"/>
        <v/>
      </c>
    </row>
    <row r="453" spans="1:12">
      <c r="A453" t="s">
        <v>358</v>
      </c>
      <c r="B453">
        <v>7</v>
      </c>
      <c r="C453" t="str">
        <f t="shared" si="60"/>
        <v>test.TIFFFaxDecoder_7_</v>
      </c>
      <c r="D453">
        <v>3</v>
      </c>
      <c r="E453">
        <v>1</v>
      </c>
      <c r="F453">
        <v>0.82978723404255317</v>
      </c>
      <c r="G453" s="1" t="str">
        <f t="shared" si="61"/>
        <v/>
      </c>
      <c r="H453" s="1" t="str">
        <f t="shared" si="62"/>
        <v/>
      </c>
      <c r="I453" s="1" t="str">
        <f t="shared" si="63"/>
        <v/>
      </c>
      <c r="J453" s="1" t="str">
        <f t="shared" si="64"/>
        <v/>
      </c>
      <c r="K453" s="1">
        <f t="shared" si="65"/>
        <v>1</v>
      </c>
      <c r="L453" s="1" t="str">
        <f t="shared" si="66"/>
        <v/>
      </c>
    </row>
    <row r="454" spans="1:12">
      <c r="A454" t="s">
        <v>358</v>
      </c>
      <c r="B454">
        <v>9</v>
      </c>
      <c r="C454" t="str">
        <f t="shared" si="60"/>
        <v>test.TIFFFaxDecoder_9_</v>
      </c>
      <c r="D454">
        <v>1</v>
      </c>
      <c r="E454">
        <v>0.1388888888888889</v>
      </c>
      <c r="F454">
        <v>0.25449871465295631</v>
      </c>
      <c r="G454" s="1" t="str">
        <f t="shared" si="61"/>
        <v/>
      </c>
      <c r="H454" s="1">
        <f t="shared" si="62"/>
        <v>0.1388888888888889</v>
      </c>
      <c r="I454" s="1" t="str">
        <f t="shared" si="63"/>
        <v/>
      </c>
      <c r="J454" s="1" t="str">
        <f t="shared" si="64"/>
        <v/>
      </c>
      <c r="K454" s="1" t="str">
        <f t="shared" si="65"/>
        <v/>
      </c>
      <c r="L454" s="1" t="str">
        <f t="shared" si="66"/>
        <v/>
      </c>
    </row>
    <row r="455" spans="1:12">
      <c r="A455" t="s">
        <v>358</v>
      </c>
      <c r="B455">
        <v>9</v>
      </c>
      <c r="C455" t="str">
        <f t="shared" si="60"/>
        <v>test.TIFFFaxDecoder_9_</v>
      </c>
      <c r="D455">
        <v>2</v>
      </c>
      <c r="E455">
        <v>0.30555555555555558</v>
      </c>
      <c r="F455">
        <v>0.25578406169665807</v>
      </c>
      <c r="G455" s="1" t="str">
        <f t="shared" si="61"/>
        <v/>
      </c>
      <c r="H455" s="1">
        <f t="shared" si="62"/>
        <v>0.30555555555555558</v>
      </c>
      <c r="I455" s="1" t="str">
        <f t="shared" si="63"/>
        <v/>
      </c>
      <c r="J455" s="1" t="str">
        <f t="shared" si="64"/>
        <v/>
      </c>
      <c r="K455" s="1" t="str">
        <f t="shared" si="65"/>
        <v/>
      </c>
      <c r="L455" s="1" t="str">
        <f t="shared" si="66"/>
        <v/>
      </c>
    </row>
    <row r="456" spans="1:12">
      <c r="A456" t="s">
        <v>358</v>
      </c>
      <c r="B456">
        <v>9</v>
      </c>
      <c r="C456" t="str">
        <f t="shared" si="60"/>
        <v>test.TIFFFaxDecoder_9_</v>
      </c>
      <c r="D456">
        <v>3</v>
      </c>
      <c r="E456">
        <v>0.33333333333333331</v>
      </c>
      <c r="F456">
        <v>0.2583547557840617</v>
      </c>
      <c r="G456" s="1" t="str">
        <f t="shared" si="61"/>
        <v/>
      </c>
      <c r="H456" s="1">
        <f t="shared" si="62"/>
        <v>0.33333333333333331</v>
      </c>
      <c r="I456" s="1" t="str">
        <f t="shared" si="63"/>
        <v/>
      </c>
      <c r="J456" s="1" t="str">
        <f t="shared" si="64"/>
        <v/>
      </c>
      <c r="K456" s="1" t="str">
        <f t="shared" si="65"/>
        <v/>
      </c>
      <c r="L456" s="1" t="str">
        <f t="shared" si="66"/>
        <v/>
      </c>
    </row>
    <row r="457" spans="1:12">
      <c r="A457" t="s">
        <v>358</v>
      </c>
      <c r="B457">
        <v>9</v>
      </c>
      <c r="C457" t="str">
        <f t="shared" si="60"/>
        <v>test.TIFFFaxDecoder_9_</v>
      </c>
      <c r="D457">
        <v>4</v>
      </c>
      <c r="E457">
        <v>0.47222222222222221</v>
      </c>
      <c r="F457">
        <v>0.29048843187660667</v>
      </c>
      <c r="G457" s="1" t="str">
        <f t="shared" si="61"/>
        <v/>
      </c>
      <c r="H457" s="1">
        <f t="shared" si="62"/>
        <v>0.47222222222222221</v>
      </c>
      <c r="I457" s="1" t="str">
        <f t="shared" si="63"/>
        <v/>
      </c>
      <c r="J457" s="1" t="str">
        <f t="shared" si="64"/>
        <v/>
      </c>
      <c r="K457" s="1" t="str">
        <f t="shared" si="65"/>
        <v/>
      </c>
      <c r="L457" s="1" t="str">
        <f t="shared" si="66"/>
        <v/>
      </c>
    </row>
    <row r="458" spans="1:12">
      <c r="A458" t="s">
        <v>358</v>
      </c>
      <c r="B458">
        <v>9</v>
      </c>
      <c r="C458" t="str">
        <f t="shared" si="60"/>
        <v>test.TIFFFaxDecoder_9_</v>
      </c>
      <c r="D458">
        <v>5</v>
      </c>
      <c r="E458">
        <v>0.5</v>
      </c>
      <c r="F458">
        <v>0.31876606683804626</v>
      </c>
      <c r="G458" s="1" t="str">
        <f t="shared" si="61"/>
        <v/>
      </c>
      <c r="H458" s="1">
        <f t="shared" si="62"/>
        <v>0.5</v>
      </c>
      <c r="I458" s="1" t="str">
        <f t="shared" si="63"/>
        <v/>
      </c>
      <c r="J458" s="1" t="str">
        <f t="shared" si="64"/>
        <v/>
      </c>
      <c r="K458" s="1" t="str">
        <f t="shared" si="65"/>
        <v/>
      </c>
      <c r="L458" s="1" t="str">
        <f t="shared" si="66"/>
        <v/>
      </c>
    </row>
    <row r="459" spans="1:12">
      <c r="A459" t="s">
        <v>358</v>
      </c>
      <c r="B459">
        <v>9</v>
      </c>
      <c r="C459" t="str">
        <f t="shared" si="60"/>
        <v>test.TIFFFaxDecoder_9_</v>
      </c>
      <c r="D459">
        <v>6</v>
      </c>
      <c r="E459">
        <v>0.55555555555555558</v>
      </c>
      <c r="F459">
        <v>0.32005141388174807</v>
      </c>
      <c r="G459" s="1" t="str">
        <f t="shared" si="61"/>
        <v/>
      </c>
      <c r="H459" s="1">
        <f t="shared" si="62"/>
        <v>0.55555555555555558</v>
      </c>
      <c r="I459" s="1" t="str">
        <f t="shared" si="63"/>
        <v/>
      </c>
      <c r="J459" s="1" t="str">
        <f t="shared" si="64"/>
        <v/>
      </c>
      <c r="K459" s="1" t="str">
        <f t="shared" si="65"/>
        <v/>
      </c>
      <c r="L459" s="1" t="str">
        <f t="shared" si="66"/>
        <v/>
      </c>
    </row>
    <row r="460" spans="1:12">
      <c r="A460" t="s">
        <v>358</v>
      </c>
      <c r="B460">
        <v>9</v>
      </c>
      <c r="C460" t="str">
        <f t="shared" si="60"/>
        <v>test.TIFFFaxDecoder_9_</v>
      </c>
      <c r="D460">
        <v>7</v>
      </c>
      <c r="E460">
        <v>0.55555555555555558</v>
      </c>
      <c r="F460">
        <v>0.32133676092544988</v>
      </c>
      <c r="G460" s="1" t="str">
        <f t="shared" si="61"/>
        <v/>
      </c>
      <c r="H460" s="1">
        <f t="shared" si="62"/>
        <v>0.55555555555555558</v>
      </c>
      <c r="I460" s="1" t="str">
        <f t="shared" si="63"/>
        <v/>
      </c>
      <c r="J460" s="1" t="str">
        <f t="shared" si="64"/>
        <v/>
      </c>
      <c r="K460" s="1" t="str">
        <f t="shared" si="65"/>
        <v/>
      </c>
      <c r="L460" s="1" t="str">
        <f t="shared" si="66"/>
        <v/>
      </c>
    </row>
    <row r="461" spans="1:12">
      <c r="A461" t="s">
        <v>358</v>
      </c>
      <c r="B461">
        <v>9</v>
      </c>
      <c r="C461" t="str">
        <f t="shared" si="60"/>
        <v>test.TIFFFaxDecoder_9_</v>
      </c>
      <c r="D461">
        <v>8</v>
      </c>
      <c r="E461">
        <v>0.63888888888888884</v>
      </c>
      <c r="F461">
        <v>0.32262210796915169</v>
      </c>
      <c r="G461" s="1" t="str">
        <f t="shared" si="61"/>
        <v/>
      </c>
      <c r="H461" s="1">
        <f t="shared" si="62"/>
        <v>0.63888888888888884</v>
      </c>
      <c r="I461" s="1" t="str">
        <f t="shared" si="63"/>
        <v/>
      </c>
      <c r="J461" s="1" t="str">
        <f t="shared" si="64"/>
        <v/>
      </c>
      <c r="K461" s="1" t="str">
        <f t="shared" si="65"/>
        <v/>
      </c>
      <c r="L461" s="1" t="str">
        <f t="shared" si="66"/>
        <v/>
      </c>
    </row>
    <row r="462" spans="1:12">
      <c r="A462" t="s">
        <v>358</v>
      </c>
      <c r="B462">
        <v>9</v>
      </c>
      <c r="C462" t="str">
        <f t="shared" si="60"/>
        <v>test.TIFFFaxDecoder_9_</v>
      </c>
      <c r="D462">
        <v>9</v>
      </c>
      <c r="E462">
        <v>0.66666666666666663</v>
      </c>
      <c r="F462">
        <v>0.32390745501285345</v>
      </c>
      <c r="G462" s="1" t="str">
        <f t="shared" si="61"/>
        <v/>
      </c>
      <c r="H462" s="1">
        <f t="shared" si="62"/>
        <v>0.66666666666666663</v>
      </c>
      <c r="I462" s="1" t="str">
        <f t="shared" si="63"/>
        <v/>
      </c>
      <c r="J462" s="1" t="str">
        <f t="shared" si="64"/>
        <v/>
      </c>
      <c r="K462" s="1" t="str">
        <f t="shared" si="65"/>
        <v/>
      </c>
      <c r="L462" s="1" t="str">
        <f t="shared" si="66"/>
        <v/>
      </c>
    </row>
    <row r="463" spans="1:12">
      <c r="A463" t="s">
        <v>358</v>
      </c>
      <c r="B463">
        <v>9</v>
      </c>
      <c r="C463" t="str">
        <f t="shared" si="60"/>
        <v>test.TIFFFaxDecoder_9_</v>
      </c>
      <c r="D463">
        <v>10</v>
      </c>
      <c r="E463">
        <v>0.66666666666666663</v>
      </c>
      <c r="F463">
        <v>0.33547557840616965</v>
      </c>
      <c r="G463" s="1" t="str">
        <f t="shared" si="61"/>
        <v/>
      </c>
      <c r="H463" s="1">
        <f t="shared" si="62"/>
        <v>0.66666666666666663</v>
      </c>
      <c r="I463" s="1" t="str">
        <f t="shared" si="63"/>
        <v/>
      </c>
      <c r="J463" s="1" t="str">
        <f t="shared" si="64"/>
        <v/>
      </c>
      <c r="K463" s="1" t="str">
        <f t="shared" si="65"/>
        <v/>
      </c>
      <c r="L463" s="1" t="str">
        <f t="shared" si="66"/>
        <v/>
      </c>
    </row>
    <row r="464" spans="1:12">
      <c r="A464" t="s">
        <v>358</v>
      </c>
      <c r="B464">
        <v>9</v>
      </c>
      <c r="C464" t="str">
        <f t="shared" si="60"/>
        <v>test.TIFFFaxDecoder_9_</v>
      </c>
      <c r="D464">
        <v>11</v>
      </c>
      <c r="E464">
        <v>0.66666666666666663</v>
      </c>
      <c r="F464">
        <v>0.33676092544987146</v>
      </c>
      <c r="G464" s="1" t="str">
        <f t="shared" si="61"/>
        <v/>
      </c>
      <c r="H464" s="1">
        <f t="shared" si="62"/>
        <v>0.66666666666666663</v>
      </c>
      <c r="I464" s="1" t="str">
        <f t="shared" si="63"/>
        <v/>
      </c>
      <c r="J464" s="1" t="str">
        <f t="shared" si="64"/>
        <v/>
      </c>
      <c r="K464" s="1" t="str">
        <f t="shared" si="65"/>
        <v/>
      </c>
      <c r="L464" s="1" t="str">
        <f t="shared" si="66"/>
        <v/>
      </c>
    </row>
    <row r="465" spans="1:12">
      <c r="A465" t="s">
        <v>358</v>
      </c>
      <c r="B465">
        <v>9</v>
      </c>
      <c r="C465" t="str">
        <f t="shared" si="60"/>
        <v>test.TIFFFaxDecoder_9_</v>
      </c>
      <c r="D465">
        <v>12</v>
      </c>
      <c r="E465">
        <v>0.66666666666666663</v>
      </c>
      <c r="F465">
        <v>0.38688946015424164</v>
      </c>
      <c r="G465" s="1" t="str">
        <f t="shared" si="61"/>
        <v/>
      </c>
      <c r="H465" s="1">
        <f t="shared" si="62"/>
        <v>0.66666666666666663</v>
      </c>
      <c r="I465" s="1" t="str">
        <f t="shared" si="63"/>
        <v/>
      </c>
      <c r="J465" s="1" t="str">
        <f t="shared" si="64"/>
        <v/>
      </c>
      <c r="K465" s="1" t="str">
        <f t="shared" si="65"/>
        <v/>
      </c>
      <c r="L465" s="1" t="str">
        <f t="shared" si="66"/>
        <v/>
      </c>
    </row>
    <row r="466" spans="1:12">
      <c r="A466" t="s">
        <v>358</v>
      </c>
      <c r="B466">
        <v>9</v>
      </c>
      <c r="C466" t="str">
        <f t="shared" si="60"/>
        <v>test.TIFFFaxDecoder_9_</v>
      </c>
      <c r="D466">
        <v>13</v>
      </c>
      <c r="E466">
        <v>0.66666666666666663</v>
      </c>
      <c r="F466">
        <v>0.41002570694087404</v>
      </c>
      <c r="G466" s="1" t="str">
        <f t="shared" si="61"/>
        <v/>
      </c>
      <c r="H466" s="1" t="str">
        <f t="shared" si="62"/>
        <v/>
      </c>
      <c r="I466" s="1">
        <f t="shared" si="63"/>
        <v>0.66666666666666663</v>
      </c>
      <c r="J466" s="1" t="str">
        <f t="shared" si="64"/>
        <v/>
      </c>
      <c r="K466" s="1" t="str">
        <f t="shared" si="65"/>
        <v/>
      </c>
      <c r="L466" s="1" t="str">
        <f t="shared" si="66"/>
        <v/>
      </c>
    </row>
    <row r="467" spans="1:12">
      <c r="A467" t="s">
        <v>358</v>
      </c>
      <c r="B467">
        <v>9</v>
      </c>
      <c r="C467" t="str">
        <f t="shared" si="60"/>
        <v>test.TIFFFaxDecoder_9_</v>
      </c>
      <c r="D467">
        <v>14</v>
      </c>
      <c r="E467">
        <v>0.77777777777777779</v>
      </c>
      <c r="F467">
        <v>0.44473007712082263</v>
      </c>
      <c r="G467" s="1" t="str">
        <f t="shared" si="61"/>
        <v/>
      </c>
      <c r="H467" s="1" t="str">
        <f t="shared" si="62"/>
        <v/>
      </c>
      <c r="I467" s="1">
        <f t="shared" si="63"/>
        <v>0.77777777777777779</v>
      </c>
      <c r="J467" s="1" t="str">
        <f t="shared" si="64"/>
        <v/>
      </c>
      <c r="K467" s="1" t="str">
        <f t="shared" si="65"/>
        <v/>
      </c>
      <c r="L467" s="1" t="str">
        <f t="shared" si="66"/>
        <v/>
      </c>
    </row>
    <row r="468" spans="1:12">
      <c r="A468" t="s">
        <v>358</v>
      </c>
      <c r="B468">
        <v>9</v>
      </c>
      <c r="C468" t="str">
        <f t="shared" si="60"/>
        <v>test.TIFFFaxDecoder_9_</v>
      </c>
      <c r="D468">
        <v>15</v>
      </c>
      <c r="E468">
        <v>0.97222222222222221</v>
      </c>
      <c r="F468">
        <v>0.63367609254498714</v>
      </c>
      <c r="G468" s="1" t="str">
        <f t="shared" si="61"/>
        <v/>
      </c>
      <c r="H468" s="1" t="str">
        <f t="shared" si="62"/>
        <v/>
      </c>
      <c r="I468" s="1" t="str">
        <f t="shared" si="63"/>
        <v/>
      </c>
      <c r="J468" s="1">
        <f t="shared" si="64"/>
        <v>0.97222222222222221</v>
      </c>
      <c r="K468" s="1" t="str">
        <f t="shared" si="65"/>
        <v/>
      </c>
      <c r="L468" s="1" t="str">
        <f t="shared" si="66"/>
        <v/>
      </c>
    </row>
    <row r="469" spans="1:12">
      <c r="A469" t="s">
        <v>358</v>
      </c>
      <c r="B469">
        <v>9</v>
      </c>
      <c r="C469" t="str">
        <f t="shared" si="60"/>
        <v>test.TIFFFaxDecoder_9_</v>
      </c>
      <c r="D469">
        <v>16</v>
      </c>
      <c r="E469">
        <v>0.97222222222222221</v>
      </c>
      <c r="F469">
        <v>0.64267352185089976</v>
      </c>
      <c r="G469" s="1" t="str">
        <f t="shared" si="61"/>
        <v/>
      </c>
      <c r="H469" s="1" t="str">
        <f t="shared" si="62"/>
        <v/>
      </c>
      <c r="I469" s="1" t="str">
        <f t="shared" si="63"/>
        <v/>
      </c>
      <c r="J469" s="1">
        <f t="shared" si="64"/>
        <v>0.97222222222222221</v>
      </c>
      <c r="K469" s="1" t="str">
        <f t="shared" si="65"/>
        <v/>
      </c>
      <c r="L469" s="1" t="str">
        <f t="shared" si="66"/>
        <v/>
      </c>
    </row>
    <row r="470" spans="1:12">
      <c r="A470" t="s">
        <v>358</v>
      </c>
      <c r="B470">
        <v>9</v>
      </c>
      <c r="C470" t="str">
        <f t="shared" si="60"/>
        <v>test.TIFFFaxDecoder_9_</v>
      </c>
      <c r="D470">
        <v>17</v>
      </c>
      <c r="E470">
        <v>1</v>
      </c>
      <c r="F470">
        <v>0.69537275064267356</v>
      </c>
      <c r="G470" s="1" t="str">
        <f t="shared" si="61"/>
        <v/>
      </c>
      <c r="H470" s="1" t="str">
        <f t="shared" si="62"/>
        <v/>
      </c>
      <c r="I470" s="1" t="str">
        <f t="shared" si="63"/>
        <v/>
      </c>
      <c r="J470" s="1">
        <f t="shared" si="64"/>
        <v>1</v>
      </c>
      <c r="K470" s="1" t="str">
        <f t="shared" si="65"/>
        <v/>
      </c>
      <c r="L470" s="1" t="str">
        <f t="shared" si="66"/>
        <v/>
      </c>
    </row>
    <row r="471" spans="1:12">
      <c r="A471" t="s">
        <v>358</v>
      </c>
      <c r="B471">
        <v>9</v>
      </c>
      <c r="C471" t="str">
        <f t="shared" si="60"/>
        <v>test.TIFFFaxDecoder_9_</v>
      </c>
      <c r="D471">
        <v>18</v>
      </c>
      <c r="E471">
        <v>1</v>
      </c>
      <c r="F471">
        <v>0.70437017994858608</v>
      </c>
      <c r="G471" s="1" t="str">
        <f t="shared" si="61"/>
        <v/>
      </c>
      <c r="H471" s="1" t="str">
        <f t="shared" si="62"/>
        <v/>
      </c>
      <c r="I471" s="1" t="str">
        <f t="shared" si="63"/>
        <v/>
      </c>
      <c r="J471" s="1">
        <f t="shared" si="64"/>
        <v>1</v>
      </c>
      <c r="K471" s="1" t="str">
        <f t="shared" si="65"/>
        <v/>
      </c>
      <c r="L471" s="1" t="str">
        <f t="shared" si="66"/>
        <v/>
      </c>
    </row>
    <row r="472" spans="1:12">
      <c r="A472" t="s">
        <v>358</v>
      </c>
      <c r="B472">
        <v>10</v>
      </c>
      <c r="C472" t="str">
        <f t="shared" si="60"/>
        <v>test.TIFFFaxDecoder_10_</v>
      </c>
      <c r="D472">
        <v>1</v>
      </c>
      <c r="E472">
        <v>0.8</v>
      </c>
      <c r="F472">
        <v>0.9555555555555556</v>
      </c>
      <c r="G472" s="1" t="str">
        <f t="shared" si="61"/>
        <v/>
      </c>
      <c r="H472" s="1" t="str">
        <f t="shared" si="62"/>
        <v/>
      </c>
      <c r="I472" s="1" t="str">
        <f t="shared" si="63"/>
        <v/>
      </c>
      <c r="J472" s="1" t="str">
        <f t="shared" si="64"/>
        <v/>
      </c>
      <c r="K472" s="1">
        <f t="shared" si="65"/>
        <v>0.8</v>
      </c>
      <c r="L472" s="1" t="str">
        <f t="shared" si="66"/>
        <v/>
      </c>
    </row>
    <row r="473" spans="1:12">
      <c r="A473" t="s">
        <v>358</v>
      </c>
      <c r="B473">
        <v>10</v>
      </c>
      <c r="C473" t="str">
        <f t="shared" si="60"/>
        <v>test.TIFFFaxDecoder_10_</v>
      </c>
      <c r="D473">
        <v>2</v>
      </c>
      <c r="E473">
        <v>0.8666666666666667</v>
      </c>
      <c r="F473">
        <v>0.9655555555555555</v>
      </c>
      <c r="G473" s="1" t="str">
        <f t="shared" si="61"/>
        <v/>
      </c>
      <c r="H473" s="1" t="str">
        <f t="shared" si="62"/>
        <v/>
      </c>
      <c r="I473" s="1" t="str">
        <f t="shared" si="63"/>
        <v/>
      </c>
      <c r="J473" s="1" t="str">
        <f t="shared" si="64"/>
        <v/>
      </c>
      <c r="K473" s="1">
        <f t="shared" si="65"/>
        <v>0.8666666666666667</v>
      </c>
      <c r="L473" s="1" t="str">
        <f t="shared" si="66"/>
        <v/>
      </c>
    </row>
    <row r="474" spans="1:12">
      <c r="A474" t="s">
        <v>358</v>
      </c>
      <c r="B474">
        <v>10</v>
      </c>
      <c r="C474" t="str">
        <f t="shared" si="60"/>
        <v>test.TIFFFaxDecoder_10_</v>
      </c>
      <c r="D474">
        <v>3</v>
      </c>
      <c r="E474">
        <v>1</v>
      </c>
      <c r="F474">
        <v>0.97222222222222221</v>
      </c>
      <c r="G474" s="1" t="str">
        <f t="shared" si="61"/>
        <v/>
      </c>
      <c r="H474" s="1" t="str">
        <f t="shared" si="62"/>
        <v/>
      </c>
      <c r="I474" s="1" t="str">
        <f t="shared" si="63"/>
        <v/>
      </c>
      <c r="J474" s="1" t="str">
        <f t="shared" si="64"/>
        <v/>
      </c>
      <c r="K474" s="1">
        <f t="shared" si="65"/>
        <v>1</v>
      </c>
      <c r="L474" s="1" t="str">
        <f t="shared" si="66"/>
        <v/>
      </c>
    </row>
    <row r="475" spans="1:12">
      <c r="A475" t="s">
        <v>358</v>
      </c>
      <c r="B475">
        <v>10</v>
      </c>
      <c r="C475" t="str">
        <f t="shared" si="60"/>
        <v>test.TIFFFaxDecoder_10_</v>
      </c>
      <c r="D475">
        <v>4</v>
      </c>
      <c r="E475">
        <v>1</v>
      </c>
      <c r="F475">
        <v>0.98777777777777775</v>
      </c>
      <c r="G475" s="1" t="str">
        <f t="shared" si="61"/>
        <v/>
      </c>
      <c r="H475" s="1" t="str">
        <f t="shared" si="62"/>
        <v/>
      </c>
      <c r="I475" s="1" t="str">
        <f t="shared" si="63"/>
        <v/>
      </c>
      <c r="J475" s="1" t="str">
        <f t="shared" si="64"/>
        <v/>
      </c>
      <c r="K475" s="1">
        <f t="shared" si="65"/>
        <v>1</v>
      </c>
      <c r="L475" s="1" t="str">
        <f t="shared" si="66"/>
        <v/>
      </c>
    </row>
    <row r="476" spans="1:12">
      <c r="A476" t="s">
        <v>358</v>
      </c>
      <c r="B476">
        <v>11</v>
      </c>
      <c r="C476" t="str">
        <f t="shared" si="60"/>
        <v>test.TIFFFaxDecoder_11_</v>
      </c>
      <c r="D476">
        <v>1</v>
      </c>
      <c r="E476">
        <v>7.9545454545454544E-2</v>
      </c>
      <c r="F476">
        <v>0.11619047619047619</v>
      </c>
      <c r="G476" s="1">
        <f t="shared" si="61"/>
        <v>7.9545454545454544E-2</v>
      </c>
      <c r="H476" s="1" t="str">
        <f t="shared" si="62"/>
        <v/>
      </c>
      <c r="I476" s="1" t="str">
        <f t="shared" si="63"/>
        <v/>
      </c>
      <c r="J476" s="1" t="str">
        <f t="shared" si="64"/>
        <v/>
      </c>
      <c r="K476" s="1" t="str">
        <f t="shared" si="65"/>
        <v/>
      </c>
      <c r="L476" s="1" t="str">
        <f t="shared" si="66"/>
        <v/>
      </c>
    </row>
    <row r="477" spans="1:12">
      <c r="A477" t="s">
        <v>358</v>
      </c>
      <c r="B477">
        <v>11</v>
      </c>
      <c r="C477" t="str">
        <f t="shared" si="60"/>
        <v>test.TIFFFaxDecoder_11_</v>
      </c>
      <c r="D477">
        <v>2</v>
      </c>
      <c r="E477">
        <v>0.38636363636363635</v>
      </c>
      <c r="F477">
        <v>0.45841269841269844</v>
      </c>
      <c r="G477" s="1" t="str">
        <f t="shared" si="61"/>
        <v/>
      </c>
      <c r="H477" s="1" t="str">
        <f t="shared" si="62"/>
        <v/>
      </c>
      <c r="I477" s="1">
        <f t="shared" si="63"/>
        <v>0.38636363636363635</v>
      </c>
      <c r="J477" s="1" t="str">
        <f t="shared" si="64"/>
        <v/>
      </c>
      <c r="K477" s="1" t="str">
        <f t="shared" si="65"/>
        <v/>
      </c>
      <c r="L477" s="1" t="str">
        <f t="shared" si="66"/>
        <v/>
      </c>
    </row>
    <row r="478" spans="1:12">
      <c r="A478" t="s">
        <v>358</v>
      </c>
      <c r="B478">
        <v>11</v>
      </c>
      <c r="C478" t="str">
        <f t="shared" si="60"/>
        <v>test.TIFFFaxDecoder_11_</v>
      </c>
      <c r="D478">
        <v>3</v>
      </c>
      <c r="E478">
        <v>0.48863636363636365</v>
      </c>
      <c r="F478">
        <v>0.45904761904761904</v>
      </c>
      <c r="G478" s="1" t="str">
        <f t="shared" si="61"/>
        <v/>
      </c>
      <c r="H478" s="1" t="str">
        <f t="shared" si="62"/>
        <v/>
      </c>
      <c r="I478" s="1">
        <f t="shared" si="63"/>
        <v>0.48863636363636365</v>
      </c>
      <c r="J478" s="1" t="str">
        <f t="shared" si="64"/>
        <v/>
      </c>
      <c r="K478" s="1" t="str">
        <f t="shared" si="65"/>
        <v/>
      </c>
      <c r="L478" s="1" t="str">
        <f t="shared" si="66"/>
        <v/>
      </c>
    </row>
    <row r="479" spans="1:12">
      <c r="A479" t="s">
        <v>358</v>
      </c>
      <c r="B479">
        <v>11</v>
      </c>
      <c r="C479" t="str">
        <f t="shared" si="60"/>
        <v>test.TIFFFaxDecoder_11_</v>
      </c>
      <c r="D479">
        <v>4</v>
      </c>
      <c r="E479">
        <v>0.52272727272727271</v>
      </c>
      <c r="F479">
        <v>0.47619047619047616</v>
      </c>
      <c r="G479" s="1" t="str">
        <f t="shared" si="61"/>
        <v/>
      </c>
      <c r="H479" s="1" t="str">
        <f t="shared" si="62"/>
        <v/>
      </c>
      <c r="I479" s="1">
        <f t="shared" si="63"/>
        <v>0.52272727272727271</v>
      </c>
      <c r="J479" s="1" t="str">
        <f t="shared" si="64"/>
        <v/>
      </c>
      <c r="K479" s="1" t="str">
        <f t="shared" si="65"/>
        <v/>
      </c>
      <c r="L479" s="1" t="str">
        <f t="shared" si="66"/>
        <v/>
      </c>
    </row>
    <row r="480" spans="1:12">
      <c r="A480" t="s">
        <v>358</v>
      </c>
      <c r="B480">
        <v>11</v>
      </c>
      <c r="C480" t="str">
        <f t="shared" si="60"/>
        <v>test.TIFFFaxDecoder_11_</v>
      </c>
      <c r="D480">
        <v>5</v>
      </c>
      <c r="E480">
        <v>0.61363636363636365</v>
      </c>
      <c r="F480">
        <v>0.48253968253968255</v>
      </c>
      <c r="G480" s="1" t="str">
        <f t="shared" si="61"/>
        <v/>
      </c>
      <c r="H480" s="1" t="str">
        <f t="shared" si="62"/>
        <v/>
      </c>
      <c r="I480" s="1">
        <f t="shared" si="63"/>
        <v>0.61363636363636365</v>
      </c>
      <c r="J480" s="1" t="str">
        <f t="shared" si="64"/>
        <v/>
      </c>
      <c r="K480" s="1" t="str">
        <f t="shared" si="65"/>
        <v/>
      </c>
      <c r="L480" s="1" t="str">
        <f t="shared" si="66"/>
        <v/>
      </c>
    </row>
    <row r="481" spans="1:12">
      <c r="A481" t="s">
        <v>358</v>
      </c>
      <c r="B481">
        <v>11</v>
      </c>
      <c r="C481" t="str">
        <f t="shared" si="60"/>
        <v>test.TIFFFaxDecoder_11_</v>
      </c>
      <c r="D481">
        <v>6</v>
      </c>
      <c r="E481">
        <v>0.61363636363636365</v>
      </c>
      <c r="F481">
        <v>0.50031746031746027</v>
      </c>
      <c r="G481" s="1" t="str">
        <f t="shared" si="61"/>
        <v/>
      </c>
      <c r="H481" s="1" t="str">
        <f t="shared" si="62"/>
        <v/>
      </c>
      <c r="I481" s="1">
        <f t="shared" si="63"/>
        <v>0.61363636363636365</v>
      </c>
      <c r="J481" s="1" t="str">
        <f t="shared" si="64"/>
        <v/>
      </c>
      <c r="K481" s="1" t="str">
        <f t="shared" si="65"/>
        <v/>
      </c>
      <c r="L481" s="1" t="str">
        <f t="shared" si="66"/>
        <v/>
      </c>
    </row>
    <row r="482" spans="1:12">
      <c r="A482" t="s">
        <v>358</v>
      </c>
      <c r="B482">
        <v>11</v>
      </c>
      <c r="C482" t="str">
        <f t="shared" si="60"/>
        <v>test.TIFFFaxDecoder_11_</v>
      </c>
      <c r="D482">
        <v>7</v>
      </c>
      <c r="E482">
        <v>0.61363636363636365</v>
      </c>
      <c r="F482">
        <v>0.50095238095238093</v>
      </c>
      <c r="G482" s="1" t="str">
        <f t="shared" si="61"/>
        <v/>
      </c>
      <c r="H482" s="1" t="str">
        <f t="shared" si="62"/>
        <v/>
      </c>
      <c r="I482" s="1">
        <f t="shared" si="63"/>
        <v>0.61363636363636365</v>
      </c>
      <c r="J482" s="1" t="str">
        <f t="shared" si="64"/>
        <v/>
      </c>
      <c r="K482" s="1" t="str">
        <f t="shared" si="65"/>
        <v/>
      </c>
      <c r="L482" s="1" t="str">
        <f t="shared" si="66"/>
        <v/>
      </c>
    </row>
    <row r="483" spans="1:12">
      <c r="A483" t="s">
        <v>358</v>
      </c>
      <c r="B483">
        <v>11</v>
      </c>
      <c r="C483" t="str">
        <f t="shared" si="60"/>
        <v>test.TIFFFaxDecoder_11_</v>
      </c>
      <c r="D483">
        <v>8</v>
      </c>
      <c r="E483">
        <v>0.71590909090909094</v>
      </c>
      <c r="F483">
        <v>0.55746031746031743</v>
      </c>
      <c r="G483" s="1" t="str">
        <f t="shared" si="61"/>
        <v/>
      </c>
      <c r="H483" s="1" t="str">
        <f t="shared" si="62"/>
        <v/>
      </c>
      <c r="I483" s="1">
        <f t="shared" si="63"/>
        <v>0.71590909090909094</v>
      </c>
      <c r="J483" s="1" t="str">
        <f t="shared" si="64"/>
        <v/>
      </c>
      <c r="K483" s="1" t="str">
        <f t="shared" si="65"/>
        <v/>
      </c>
      <c r="L483" s="1" t="str">
        <f t="shared" si="66"/>
        <v/>
      </c>
    </row>
    <row r="484" spans="1:12">
      <c r="A484" t="s">
        <v>358</v>
      </c>
      <c r="B484">
        <v>11</v>
      </c>
      <c r="C484" t="str">
        <f t="shared" si="60"/>
        <v>test.TIFFFaxDecoder_11_</v>
      </c>
      <c r="D484">
        <v>9</v>
      </c>
      <c r="E484">
        <v>0.77272727272727271</v>
      </c>
      <c r="F484">
        <v>0.56190476190476191</v>
      </c>
      <c r="G484" s="1" t="str">
        <f t="shared" si="61"/>
        <v/>
      </c>
      <c r="H484" s="1" t="str">
        <f t="shared" si="62"/>
        <v/>
      </c>
      <c r="I484" s="1">
        <f t="shared" si="63"/>
        <v>0.77272727272727271</v>
      </c>
      <c r="J484" s="1" t="str">
        <f t="shared" si="64"/>
        <v/>
      </c>
      <c r="K484" s="1" t="str">
        <f t="shared" si="65"/>
        <v/>
      </c>
      <c r="L484" s="1" t="str">
        <f t="shared" si="66"/>
        <v/>
      </c>
    </row>
    <row r="485" spans="1:12">
      <c r="A485" t="s">
        <v>358</v>
      </c>
      <c r="B485">
        <v>11</v>
      </c>
      <c r="C485" t="str">
        <f t="shared" si="60"/>
        <v>test.TIFFFaxDecoder_11_</v>
      </c>
      <c r="D485">
        <v>10</v>
      </c>
      <c r="E485">
        <v>0.77272727272727271</v>
      </c>
      <c r="F485">
        <v>0.56634920634920638</v>
      </c>
      <c r="G485" s="1" t="str">
        <f t="shared" si="61"/>
        <v/>
      </c>
      <c r="H485" s="1" t="str">
        <f t="shared" si="62"/>
        <v/>
      </c>
      <c r="I485" s="1">
        <f t="shared" si="63"/>
        <v>0.77272727272727271</v>
      </c>
      <c r="J485" s="1" t="str">
        <f t="shared" si="64"/>
        <v/>
      </c>
      <c r="K485" s="1" t="str">
        <f t="shared" si="65"/>
        <v/>
      </c>
      <c r="L485" s="1" t="str">
        <f t="shared" si="66"/>
        <v/>
      </c>
    </row>
    <row r="486" spans="1:12">
      <c r="A486" t="s">
        <v>358</v>
      </c>
      <c r="B486">
        <v>11</v>
      </c>
      <c r="C486" t="str">
        <f t="shared" si="60"/>
        <v>test.TIFFFaxDecoder_11_</v>
      </c>
      <c r="D486">
        <v>11</v>
      </c>
      <c r="E486">
        <v>0.77272727272727271</v>
      </c>
      <c r="F486">
        <v>0.5714285714285714</v>
      </c>
      <c r="G486" s="1" t="str">
        <f t="shared" si="61"/>
        <v/>
      </c>
      <c r="H486" s="1" t="str">
        <f t="shared" si="62"/>
        <v/>
      </c>
      <c r="I486" s="1">
        <f t="shared" si="63"/>
        <v>0.77272727272727271</v>
      </c>
      <c r="J486" s="1" t="str">
        <f t="shared" si="64"/>
        <v/>
      </c>
      <c r="K486" s="1" t="str">
        <f t="shared" si="65"/>
        <v/>
      </c>
      <c r="L486" s="1" t="str">
        <f t="shared" si="66"/>
        <v/>
      </c>
    </row>
    <row r="487" spans="1:12">
      <c r="A487" t="s">
        <v>358</v>
      </c>
      <c r="B487">
        <v>11</v>
      </c>
      <c r="C487" t="str">
        <f t="shared" si="60"/>
        <v>test.TIFFFaxDecoder_11_</v>
      </c>
      <c r="D487">
        <v>12</v>
      </c>
      <c r="E487">
        <v>0.77272727272727271</v>
      </c>
      <c r="F487">
        <v>0.57269841269841271</v>
      </c>
      <c r="G487" s="1" t="str">
        <f t="shared" si="61"/>
        <v/>
      </c>
      <c r="H487" s="1" t="str">
        <f t="shared" si="62"/>
        <v/>
      </c>
      <c r="I487" s="1">
        <f t="shared" si="63"/>
        <v>0.77272727272727271</v>
      </c>
      <c r="J487" s="1" t="str">
        <f t="shared" si="64"/>
        <v/>
      </c>
      <c r="K487" s="1" t="str">
        <f t="shared" si="65"/>
        <v/>
      </c>
      <c r="L487" s="1" t="str">
        <f t="shared" si="66"/>
        <v/>
      </c>
    </row>
    <row r="488" spans="1:12">
      <c r="A488" t="s">
        <v>358</v>
      </c>
      <c r="B488">
        <v>11</v>
      </c>
      <c r="C488" t="str">
        <f t="shared" si="60"/>
        <v>test.TIFFFaxDecoder_11_</v>
      </c>
      <c r="D488">
        <v>13</v>
      </c>
      <c r="E488">
        <v>0.77272727272727271</v>
      </c>
      <c r="F488">
        <v>0.57333333333333336</v>
      </c>
      <c r="G488" s="1" t="str">
        <f t="shared" si="61"/>
        <v/>
      </c>
      <c r="H488" s="1" t="str">
        <f t="shared" si="62"/>
        <v/>
      </c>
      <c r="I488" s="1">
        <f t="shared" si="63"/>
        <v>0.77272727272727271</v>
      </c>
      <c r="J488" s="1" t="str">
        <f t="shared" si="64"/>
        <v/>
      </c>
      <c r="K488" s="1" t="str">
        <f t="shared" si="65"/>
        <v/>
      </c>
      <c r="L488" s="1" t="str">
        <f t="shared" si="66"/>
        <v/>
      </c>
    </row>
    <row r="489" spans="1:12">
      <c r="A489" t="s">
        <v>358</v>
      </c>
      <c r="B489">
        <v>11</v>
      </c>
      <c r="C489" t="str">
        <f t="shared" si="60"/>
        <v>test.TIFFFaxDecoder_11_</v>
      </c>
      <c r="D489">
        <v>14</v>
      </c>
      <c r="E489">
        <v>0.88636363636363635</v>
      </c>
      <c r="F489">
        <v>0.5917460317460318</v>
      </c>
      <c r="G489" s="1" t="str">
        <f t="shared" si="61"/>
        <v/>
      </c>
      <c r="H489" s="1" t="str">
        <f t="shared" si="62"/>
        <v/>
      </c>
      <c r="I489" s="1">
        <f t="shared" si="63"/>
        <v>0.88636363636363635</v>
      </c>
      <c r="J489" s="1" t="str">
        <f t="shared" si="64"/>
        <v/>
      </c>
      <c r="K489" s="1" t="str">
        <f t="shared" si="65"/>
        <v/>
      </c>
      <c r="L489" s="1" t="str">
        <f t="shared" si="66"/>
        <v/>
      </c>
    </row>
    <row r="490" spans="1:12">
      <c r="A490" t="s">
        <v>358</v>
      </c>
      <c r="B490">
        <v>11</v>
      </c>
      <c r="C490" t="str">
        <f t="shared" si="60"/>
        <v>test.TIFFFaxDecoder_11_</v>
      </c>
      <c r="D490">
        <v>15</v>
      </c>
      <c r="E490">
        <v>1</v>
      </c>
      <c r="F490">
        <v>0.59492063492063496</v>
      </c>
      <c r="G490" s="1" t="str">
        <f t="shared" si="61"/>
        <v/>
      </c>
      <c r="H490" s="1" t="str">
        <f t="shared" si="62"/>
        <v/>
      </c>
      <c r="I490" s="1">
        <f t="shared" si="63"/>
        <v>1</v>
      </c>
      <c r="J490" s="1" t="str">
        <f t="shared" si="64"/>
        <v/>
      </c>
      <c r="K490" s="1" t="str">
        <f t="shared" si="65"/>
        <v/>
      </c>
      <c r="L490" s="1" t="str">
        <f t="shared" si="66"/>
        <v/>
      </c>
    </row>
    <row r="491" spans="1:12">
      <c r="A491" t="s">
        <v>358</v>
      </c>
      <c r="B491">
        <v>11</v>
      </c>
      <c r="C491" t="str">
        <f t="shared" si="60"/>
        <v>test.TIFFFaxDecoder_11_</v>
      </c>
      <c r="D491">
        <v>16</v>
      </c>
      <c r="E491">
        <v>1</v>
      </c>
      <c r="F491">
        <v>0.60507936507936511</v>
      </c>
      <c r="G491" s="1" t="str">
        <f t="shared" si="61"/>
        <v/>
      </c>
      <c r="H491" s="1" t="str">
        <f t="shared" si="62"/>
        <v/>
      </c>
      <c r="I491" s="1" t="str">
        <f t="shared" si="63"/>
        <v/>
      </c>
      <c r="J491" s="1">
        <f t="shared" si="64"/>
        <v>1</v>
      </c>
      <c r="K491" s="1" t="str">
        <f t="shared" si="65"/>
        <v/>
      </c>
      <c r="L491" s="1" t="str">
        <f t="shared" si="66"/>
        <v/>
      </c>
    </row>
    <row r="492" spans="1:12">
      <c r="A492" t="s">
        <v>358</v>
      </c>
      <c r="B492">
        <v>11</v>
      </c>
      <c r="C492" t="str">
        <f t="shared" si="60"/>
        <v>test.TIFFFaxDecoder_11_</v>
      </c>
      <c r="D492">
        <v>17</v>
      </c>
      <c r="E492">
        <v>1</v>
      </c>
      <c r="F492">
        <v>0.60888888888888892</v>
      </c>
      <c r="G492" s="1" t="str">
        <f t="shared" si="61"/>
        <v/>
      </c>
      <c r="H492" s="1" t="str">
        <f t="shared" si="62"/>
        <v/>
      </c>
      <c r="I492" s="1" t="str">
        <f t="shared" si="63"/>
        <v/>
      </c>
      <c r="J492" s="1">
        <f t="shared" si="64"/>
        <v>1</v>
      </c>
      <c r="K492" s="1" t="str">
        <f t="shared" si="65"/>
        <v/>
      </c>
      <c r="L492" s="1" t="str">
        <f t="shared" si="66"/>
        <v/>
      </c>
    </row>
    <row r="493" spans="1:12">
      <c r="A493" t="s">
        <v>358</v>
      </c>
      <c r="B493">
        <v>11</v>
      </c>
      <c r="C493" t="str">
        <f t="shared" si="60"/>
        <v>test.TIFFFaxDecoder_11_</v>
      </c>
      <c r="D493">
        <v>18</v>
      </c>
      <c r="E493">
        <v>1</v>
      </c>
      <c r="F493">
        <v>0.61587301587301591</v>
      </c>
      <c r="G493" s="1" t="str">
        <f t="shared" si="61"/>
        <v/>
      </c>
      <c r="H493" s="1" t="str">
        <f t="shared" si="62"/>
        <v/>
      </c>
      <c r="I493" s="1" t="str">
        <f t="shared" si="63"/>
        <v/>
      </c>
      <c r="J493" s="1">
        <f t="shared" si="64"/>
        <v>1</v>
      </c>
      <c r="K493" s="1" t="str">
        <f t="shared" si="65"/>
        <v/>
      </c>
      <c r="L493" s="1" t="str">
        <f t="shared" si="66"/>
        <v/>
      </c>
    </row>
    <row r="494" spans="1:12">
      <c r="A494" t="s">
        <v>358</v>
      </c>
      <c r="B494">
        <v>11</v>
      </c>
      <c r="C494" t="str">
        <f t="shared" si="60"/>
        <v>test.TIFFFaxDecoder_11_</v>
      </c>
      <c r="D494">
        <v>19</v>
      </c>
      <c r="E494">
        <v>1</v>
      </c>
      <c r="F494">
        <v>0.61968253968253972</v>
      </c>
      <c r="G494" s="1" t="str">
        <f t="shared" si="61"/>
        <v/>
      </c>
      <c r="H494" s="1" t="str">
        <f t="shared" si="62"/>
        <v/>
      </c>
      <c r="I494" s="1" t="str">
        <f t="shared" si="63"/>
        <v/>
      </c>
      <c r="J494" s="1">
        <f t="shared" si="64"/>
        <v>1</v>
      </c>
      <c r="K494" s="1" t="str">
        <f t="shared" si="65"/>
        <v/>
      </c>
      <c r="L494" s="1" t="str">
        <f t="shared" si="66"/>
        <v/>
      </c>
    </row>
    <row r="495" spans="1:12">
      <c r="A495" t="s">
        <v>358</v>
      </c>
      <c r="B495">
        <v>12</v>
      </c>
      <c r="C495" t="str">
        <f t="shared" si="60"/>
        <v>test.TIFFFaxDecoder_12_</v>
      </c>
      <c r="D495">
        <v>1</v>
      </c>
      <c r="E495">
        <v>0.125</v>
      </c>
      <c r="F495">
        <v>0.19201725997842503</v>
      </c>
      <c r="G495" s="1">
        <f t="shared" si="61"/>
        <v>0.125</v>
      </c>
      <c r="H495" s="1" t="str">
        <f t="shared" si="62"/>
        <v/>
      </c>
      <c r="I495" s="1" t="str">
        <f t="shared" si="63"/>
        <v/>
      </c>
      <c r="J495" s="1" t="str">
        <f t="shared" si="64"/>
        <v/>
      </c>
      <c r="K495" s="1" t="str">
        <f t="shared" si="65"/>
        <v/>
      </c>
      <c r="L495" s="1" t="str">
        <f t="shared" si="66"/>
        <v/>
      </c>
    </row>
    <row r="496" spans="1:12">
      <c r="A496" t="s">
        <v>358</v>
      </c>
      <c r="B496">
        <v>12</v>
      </c>
      <c r="C496" t="str">
        <f t="shared" si="60"/>
        <v>test.TIFFFaxDecoder_12_</v>
      </c>
      <c r="D496">
        <v>2</v>
      </c>
      <c r="E496">
        <v>0.5</v>
      </c>
      <c r="F496">
        <v>0.58144552319309606</v>
      </c>
      <c r="G496" s="1" t="str">
        <f t="shared" si="61"/>
        <v/>
      </c>
      <c r="H496" s="1" t="str">
        <f t="shared" si="62"/>
        <v/>
      </c>
      <c r="I496" s="1">
        <f t="shared" si="63"/>
        <v>0.5</v>
      </c>
      <c r="J496" s="1" t="str">
        <f t="shared" si="64"/>
        <v/>
      </c>
      <c r="K496" s="1" t="str">
        <f t="shared" si="65"/>
        <v/>
      </c>
      <c r="L496" s="1" t="str">
        <f t="shared" si="66"/>
        <v/>
      </c>
    </row>
    <row r="497" spans="1:12">
      <c r="A497" t="s">
        <v>358</v>
      </c>
      <c r="B497">
        <v>12</v>
      </c>
      <c r="C497" t="str">
        <f t="shared" si="60"/>
        <v>test.TIFFFaxDecoder_12_</v>
      </c>
      <c r="D497">
        <v>3</v>
      </c>
      <c r="E497">
        <v>0.5714285714285714</v>
      </c>
      <c r="F497">
        <v>0.59546925566343045</v>
      </c>
      <c r="G497" s="1" t="str">
        <f t="shared" si="61"/>
        <v/>
      </c>
      <c r="H497" s="1" t="str">
        <f t="shared" si="62"/>
        <v/>
      </c>
      <c r="I497" s="1">
        <f t="shared" si="63"/>
        <v>0.5714285714285714</v>
      </c>
      <c r="J497" s="1" t="str">
        <f t="shared" si="64"/>
        <v/>
      </c>
      <c r="K497" s="1" t="str">
        <f t="shared" si="65"/>
        <v/>
      </c>
      <c r="L497" s="1" t="str">
        <f t="shared" si="66"/>
        <v/>
      </c>
    </row>
    <row r="498" spans="1:12">
      <c r="A498" t="s">
        <v>358</v>
      </c>
      <c r="B498">
        <v>12</v>
      </c>
      <c r="C498" t="str">
        <f t="shared" si="60"/>
        <v>test.TIFFFaxDecoder_12_</v>
      </c>
      <c r="D498">
        <v>4</v>
      </c>
      <c r="E498">
        <v>0.7678571428571429</v>
      </c>
      <c r="F498">
        <v>0.62135922330097082</v>
      </c>
      <c r="G498" s="1" t="str">
        <f t="shared" si="61"/>
        <v/>
      </c>
      <c r="H498" s="1" t="str">
        <f t="shared" si="62"/>
        <v/>
      </c>
      <c r="I498" s="1" t="str">
        <f t="shared" si="63"/>
        <v/>
      </c>
      <c r="J498" s="1">
        <f t="shared" si="64"/>
        <v>0.7678571428571429</v>
      </c>
      <c r="K498" s="1" t="str">
        <f t="shared" si="65"/>
        <v/>
      </c>
      <c r="L498" s="1" t="str">
        <f t="shared" si="66"/>
        <v/>
      </c>
    </row>
    <row r="499" spans="1:12">
      <c r="A499" t="s">
        <v>358</v>
      </c>
      <c r="B499">
        <v>12</v>
      </c>
      <c r="C499" t="str">
        <f t="shared" si="60"/>
        <v>test.TIFFFaxDecoder_12_</v>
      </c>
      <c r="D499">
        <v>5</v>
      </c>
      <c r="E499">
        <v>0.7678571428571429</v>
      </c>
      <c r="F499">
        <v>0.62783171521035597</v>
      </c>
      <c r="G499" s="1" t="str">
        <f t="shared" si="61"/>
        <v/>
      </c>
      <c r="H499" s="1" t="str">
        <f t="shared" si="62"/>
        <v/>
      </c>
      <c r="I499" s="1" t="str">
        <f t="shared" si="63"/>
        <v/>
      </c>
      <c r="J499" s="1">
        <f t="shared" si="64"/>
        <v>0.7678571428571429</v>
      </c>
      <c r="K499" s="1" t="str">
        <f t="shared" si="65"/>
        <v/>
      </c>
      <c r="L499" s="1" t="str">
        <f t="shared" si="66"/>
        <v/>
      </c>
    </row>
    <row r="500" spans="1:12">
      <c r="A500" t="s">
        <v>358</v>
      </c>
      <c r="B500">
        <v>12</v>
      </c>
      <c r="C500" t="str">
        <f t="shared" si="60"/>
        <v>test.TIFFFaxDecoder_12_</v>
      </c>
      <c r="D500">
        <v>6</v>
      </c>
      <c r="E500">
        <v>0.8928571428571429</v>
      </c>
      <c r="F500">
        <v>0.64293419633225457</v>
      </c>
      <c r="G500" s="1" t="str">
        <f t="shared" si="61"/>
        <v/>
      </c>
      <c r="H500" s="1" t="str">
        <f t="shared" si="62"/>
        <v/>
      </c>
      <c r="I500" s="1" t="str">
        <f t="shared" si="63"/>
        <v/>
      </c>
      <c r="J500" s="1">
        <f t="shared" si="64"/>
        <v>0.8928571428571429</v>
      </c>
      <c r="K500" s="1" t="str">
        <f t="shared" si="65"/>
        <v/>
      </c>
      <c r="L500" s="1" t="str">
        <f t="shared" si="66"/>
        <v/>
      </c>
    </row>
    <row r="501" spans="1:12">
      <c r="A501" t="s">
        <v>358</v>
      </c>
      <c r="B501">
        <v>12</v>
      </c>
      <c r="C501" t="str">
        <f t="shared" si="60"/>
        <v>test.TIFFFaxDecoder_12_</v>
      </c>
      <c r="D501">
        <v>7</v>
      </c>
      <c r="E501">
        <v>1</v>
      </c>
      <c r="F501">
        <v>0.65156418554476803</v>
      </c>
      <c r="G501" s="1" t="str">
        <f t="shared" si="61"/>
        <v/>
      </c>
      <c r="H501" s="1" t="str">
        <f t="shared" si="62"/>
        <v/>
      </c>
      <c r="I501" s="1" t="str">
        <f t="shared" si="63"/>
        <v/>
      </c>
      <c r="J501" s="1">
        <f t="shared" si="64"/>
        <v>1</v>
      </c>
      <c r="K501" s="1" t="str">
        <f t="shared" si="65"/>
        <v/>
      </c>
      <c r="L501" s="1" t="str">
        <f t="shared" si="66"/>
        <v/>
      </c>
    </row>
    <row r="502" spans="1:12">
      <c r="A502" t="s">
        <v>358</v>
      </c>
      <c r="B502">
        <v>12</v>
      </c>
      <c r="C502" t="str">
        <f t="shared" si="60"/>
        <v>test.TIFFFaxDecoder_12_</v>
      </c>
      <c r="D502">
        <v>8</v>
      </c>
      <c r="E502">
        <v>1</v>
      </c>
      <c r="F502">
        <v>0.67961165048543692</v>
      </c>
      <c r="G502" s="1" t="str">
        <f t="shared" si="61"/>
        <v/>
      </c>
      <c r="H502" s="1" t="str">
        <f t="shared" si="62"/>
        <v/>
      </c>
      <c r="I502" s="1" t="str">
        <f t="shared" si="63"/>
        <v/>
      </c>
      <c r="J502" s="1">
        <f t="shared" si="64"/>
        <v>1</v>
      </c>
      <c r="K502" s="1" t="str">
        <f t="shared" si="65"/>
        <v/>
      </c>
      <c r="L502" s="1" t="str">
        <f t="shared" si="66"/>
        <v/>
      </c>
    </row>
    <row r="503" spans="1:12">
      <c r="A503" t="s">
        <v>358</v>
      </c>
      <c r="B503">
        <v>12</v>
      </c>
      <c r="C503" t="str">
        <f t="shared" si="60"/>
        <v>test.TIFFFaxDecoder_12_</v>
      </c>
      <c r="D503">
        <v>9</v>
      </c>
      <c r="E503">
        <v>1</v>
      </c>
      <c r="F503">
        <v>0.69579288025889963</v>
      </c>
      <c r="G503" s="1" t="str">
        <f t="shared" si="61"/>
        <v/>
      </c>
      <c r="H503" s="1" t="str">
        <f t="shared" si="62"/>
        <v/>
      </c>
      <c r="I503" s="1" t="str">
        <f t="shared" si="63"/>
        <v/>
      </c>
      <c r="J503" s="1">
        <f t="shared" si="64"/>
        <v>1</v>
      </c>
      <c r="K503" s="1" t="str">
        <f t="shared" si="65"/>
        <v/>
      </c>
      <c r="L503" s="1" t="str">
        <f t="shared" si="66"/>
        <v/>
      </c>
    </row>
    <row r="504" spans="1:12">
      <c r="A504" t="s">
        <v>358</v>
      </c>
      <c r="B504">
        <v>13</v>
      </c>
      <c r="C504" t="str">
        <f t="shared" si="60"/>
        <v>test.TIFFFaxDecoder_13_</v>
      </c>
      <c r="D504">
        <v>1</v>
      </c>
      <c r="E504">
        <v>0.42857142857142855</v>
      </c>
      <c r="F504">
        <v>0.67441860465116277</v>
      </c>
      <c r="G504" s="1" t="str">
        <f t="shared" si="61"/>
        <v/>
      </c>
      <c r="H504" s="1" t="str">
        <f t="shared" si="62"/>
        <v/>
      </c>
      <c r="I504" s="1" t="str">
        <f t="shared" si="63"/>
        <v/>
      </c>
      <c r="J504" s="1">
        <f t="shared" si="64"/>
        <v>0.42857142857142855</v>
      </c>
      <c r="K504" s="1" t="str">
        <f t="shared" si="65"/>
        <v/>
      </c>
      <c r="L504" s="1" t="str">
        <f t="shared" si="66"/>
        <v/>
      </c>
    </row>
    <row r="505" spans="1:12">
      <c r="A505" t="s">
        <v>358</v>
      </c>
      <c r="B505">
        <v>13</v>
      </c>
      <c r="C505" t="str">
        <f t="shared" si="60"/>
        <v>test.TIFFFaxDecoder_13_</v>
      </c>
      <c r="D505">
        <v>2</v>
      </c>
      <c r="E505">
        <v>1</v>
      </c>
      <c r="F505">
        <v>1.0290697674418605</v>
      </c>
      <c r="G505" s="1" t="str">
        <f t="shared" si="61"/>
        <v/>
      </c>
      <c r="H505" s="1" t="str">
        <f t="shared" si="62"/>
        <v/>
      </c>
      <c r="I505" s="1" t="str">
        <f t="shared" si="63"/>
        <v/>
      </c>
      <c r="J505" s="1" t="str">
        <f t="shared" si="64"/>
        <v/>
      </c>
      <c r="K505" s="1">
        <f t="shared" si="65"/>
        <v>1</v>
      </c>
      <c r="L505" s="1" t="str">
        <f t="shared" si="66"/>
        <v/>
      </c>
    </row>
    <row r="506" spans="1:12">
      <c r="A506" t="s">
        <v>405</v>
      </c>
      <c r="B506">
        <v>2</v>
      </c>
      <c r="C506" t="str">
        <f t="shared" si="60"/>
        <v>test.TIFFFaxEncoder_2_</v>
      </c>
      <c r="D506">
        <v>1</v>
      </c>
      <c r="E506">
        <v>0.352112676056338</v>
      </c>
      <c r="F506">
        <v>0.30474268415741673</v>
      </c>
      <c r="G506" s="1" t="str">
        <f t="shared" si="61"/>
        <v/>
      </c>
      <c r="H506" s="1">
        <f t="shared" si="62"/>
        <v>0.352112676056338</v>
      </c>
      <c r="I506" s="1" t="str">
        <f t="shared" si="63"/>
        <v/>
      </c>
      <c r="J506" s="1" t="str">
        <f t="shared" si="64"/>
        <v/>
      </c>
      <c r="K506" s="1" t="str">
        <f t="shared" si="65"/>
        <v/>
      </c>
      <c r="L506" s="1" t="str">
        <f t="shared" si="66"/>
        <v/>
      </c>
    </row>
    <row r="507" spans="1:12">
      <c r="A507" t="s">
        <v>405</v>
      </c>
      <c r="B507">
        <v>2</v>
      </c>
      <c r="C507" t="str">
        <f t="shared" si="60"/>
        <v>test.TIFFFaxEncoder_2_</v>
      </c>
      <c r="D507">
        <v>2</v>
      </c>
      <c r="E507">
        <v>0.70422535211267601</v>
      </c>
      <c r="F507">
        <v>0.45509586276488395</v>
      </c>
      <c r="G507" s="1" t="str">
        <f t="shared" si="61"/>
        <v/>
      </c>
      <c r="H507" s="1" t="str">
        <f t="shared" si="62"/>
        <v/>
      </c>
      <c r="I507" s="1">
        <f t="shared" si="63"/>
        <v>0.70422535211267601</v>
      </c>
      <c r="J507" s="1" t="str">
        <f t="shared" si="64"/>
        <v/>
      </c>
      <c r="K507" s="1" t="str">
        <f t="shared" si="65"/>
        <v/>
      </c>
      <c r="L507" s="1" t="str">
        <f t="shared" si="66"/>
        <v/>
      </c>
    </row>
    <row r="508" spans="1:12">
      <c r="A508" t="s">
        <v>405</v>
      </c>
      <c r="B508">
        <v>2</v>
      </c>
      <c r="C508" t="str">
        <f t="shared" si="60"/>
        <v>test.TIFFFaxEncoder_2_</v>
      </c>
      <c r="D508">
        <v>3</v>
      </c>
      <c r="E508">
        <v>1</v>
      </c>
      <c r="F508">
        <v>0.6553985872855701</v>
      </c>
      <c r="G508" s="1" t="str">
        <f t="shared" si="61"/>
        <v/>
      </c>
      <c r="H508" s="1" t="str">
        <f t="shared" si="62"/>
        <v/>
      </c>
      <c r="I508" s="1" t="str">
        <f t="shared" si="63"/>
        <v/>
      </c>
      <c r="J508" s="1">
        <f t="shared" si="64"/>
        <v>1</v>
      </c>
      <c r="K508" s="1" t="str">
        <f t="shared" si="65"/>
        <v/>
      </c>
      <c r="L508" s="1" t="str">
        <f t="shared" si="66"/>
        <v/>
      </c>
    </row>
    <row r="509" spans="1:12">
      <c r="A509" t="s">
        <v>405</v>
      </c>
      <c r="B509">
        <v>6</v>
      </c>
      <c r="C509" t="str">
        <f t="shared" si="60"/>
        <v>test.TIFFFaxEncoder_6_</v>
      </c>
      <c r="D509">
        <v>1</v>
      </c>
      <c r="E509">
        <v>0.67741935483870963</v>
      </c>
      <c r="F509">
        <v>0.77626699629171814</v>
      </c>
      <c r="G509" s="1" t="str">
        <f t="shared" si="61"/>
        <v/>
      </c>
      <c r="H509" s="1" t="str">
        <f t="shared" si="62"/>
        <v/>
      </c>
      <c r="I509" s="1" t="str">
        <f t="shared" si="63"/>
        <v/>
      </c>
      <c r="J509" s="1">
        <f t="shared" si="64"/>
        <v>0.67741935483870963</v>
      </c>
      <c r="K509" s="1" t="str">
        <f t="shared" si="65"/>
        <v/>
      </c>
      <c r="L509" s="1" t="str">
        <f t="shared" si="66"/>
        <v/>
      </c>
    </row>
    <row r="510" spans="1:12">
      <c r="A510" t="s">
        <v>405</v>
      </c>
      <c r="B510">
        <v>6</v>
      </c>
      <c r="C510" t="str">
        <f t="shared" si="60"/>
        <v>test.TIFFFaxEncoder_6_</v>
      </c>
      <c r="D510">
        <v>2</v>
      </c>
      <c r="E510">
        <v>0.74193548387096775</v>
      </c>
      <c r="F510">
        <v>0.78615574783683562</v>
      </c>
      <c r="G510" s="1" t="str">
        <f t="shared" si="61"/>
        <v/>
      </c>
      <c r="H510" s="1" t="str">
        <f t="shared" si="62"/>
        <v/>
      </c>
      <c r="I510" s="1" t="str">
        <f t="shared" si="63"/>
        <v/>
      </c>
      <c r="J510" s="1">
        <f t="shared" si="64"/>
        <v>0.74193548387096775</v>
      </c>
      <c r="K510" s="1" t="str">
        <f t="shared" si="65"/>
        <v/>
      </c>
      <c r="L510" s="1" t="str">
        <f t="shared" si="66"/>
        <v/>
      </c>
    </row>
    <row r="511" spans="1:12">
      <c r="A511" t="s">
        <v>405</v>
      </c>
      <c r="B511">
        <v>6</v>
      </c>
      <c r="C511" t="str">
        <f t="shared" si="60"/>
        <v>test.TIFFFaxEncoder_6_</v>
      </c>
      <c r="D511">
        <v>3</v>
      </c>
      <c r="E511">
        <v>0.967741935483871</v>
      </c>
      <c r="F511">
        <v>0.88009888751545118</v>
      </c>
      <c r="G511" s="1" t="str">
        <f t="shared" si="61"/>
        <v/>
      </c>
      <c r="H511" s="1" t="str">
        <f t="shared" si="62"/>
        <v/>
      </c>
      <c r="I511" s="1" t="str">
        <f t="shared" si="63"/>
        <v/>
      </c>
      <c r="J511" s="1" t="str">
        <f t="shared" si="64"/>
        <v/>
      </c>
      <c r="K511" s="1">
        <f t="shared" si="65"/>
        <v>0.967741935483871</v>
      </c>
      <c r="L511" s="1" t="str">
        <f t="shared" si="66"/>
        <v/>
      </c>
    </row>
    <row r="512" spans="1:12">
      <c r="A512" t="s">
        <v>405</v>
      </c>
      <c r="B512">
        <v>6</v>
      </c>
      <c r="C512" t="str">
        <f t="shared" si="60"/>
        <v>test.TIFFFaxEncoder_6_</v>
      </c>
      <c r="D512">
        <v>4</v>
      </c>
      <c r="E512">
        <v>0.967741935483871</v>
      </c>
      <c r="F512">
        <v>0.8813349814585909</v>
      </c>
      <c r="G512" s="1" t="str">
        <f t="shared" si="61"/>
        <v/>
      </c>
      <c r="H512" s="1" t="str">
        <f t="shared" si="62"/>
        <v/>
      </c>
      <c r="I512" s="1" t="str">
        <f t="shared" si="63"/>
        <v/>
      </c>
      <c r="J512" s="1" t="str">
        <f t="shared" si="64"/>
        <v/>
      </c>
      <c r="K512" s="1">
        <f t="shared" si="65"/>
        <v>0.967741935483871</v>
      </c>
      <c r="L512" s="1" t="str">
        <f t="shared" si="66"/>
        <v/>
      </c>
    </row>
    <row r="513" spans="1:12">
      <c r="A513" t="s">
        <v>405</v>
      </c>
      <c r="B513">
        <v>6</v>
      </c>
      <c r="C513" t="str">
        <f t="shared" si="60"/>
        <v>test.TIFFFaxEncoder_6_</v>
      </c>
      <c r="D513">
        <v>5</v>
      </c>
      <c r="E513">
        <v>1</v>
      </c>
      <c r="F513">
        <v>0.90729295426452405</v>
      </c>
      <c r="G513" s="1" t="str">
        <f t="shared" si="61"/>
        <v/>
      </c>
      <c r="H513" s="1" t="str">
        <f t="shared" si="62"/>
        <v/>
      </c>
      <c r="I513" s="1" t="str">
        <f t="shared" si="63"/>
        <v/>
      </c>
      <c r="J513" s="1" t="str">
        <f t="shared" si="64"/>
        <v/>
      </c>
      <c r="K513" s="1">
        <f t="shared" si="65"/>
        <v>1</v>
      </c>
      <c r="L513" s="1" t="str">
        <f t="shared" si="66"/>
        <v/>
      </c>
    </row>
    <row r="514" spans="1:12">
      <c r="A514" t="s">
        <v>405</v>
      </c>
      <c r="B514">
        <v>6</v>
      </c>
      <c r="C514" t="str">
        <f t="shared" si="60"/>
        <v>test.TIFFFaxEncoder_6_</v>
      </c>
      <c r="D514">
        <v>6</v>
      </c>
      <c r="E514">
        <v>1</v>
      </c>
      <c r="F514">
        <v>0.90976514215080351</v>
      </c>
      <c r="G514" s="1" t="str">
        <f t="shared" si="61"/>
        <v/>
      </c>
      <c r="H514" s="1" t="str">
        <f t="shared" si="62"/>
        <v/>
      </c>
      <c r="I514" s="1" t="str">
        <f t="shared" si="63"/>
        <v/>
      </c>
      <c r="J514" s="1" t="str">
        <f t="shared" si="64"/>
        <v/>
      </c>
      <c r="K514" s="1">
        <f t="shared" si="65"/>
        <v>1</v>
      </c>
    </row>
    <row r="515" spans="1:12">
      <c r="A515" t="s">
        <v>405</v>
      </c>
      <c r="B515">
        <v>8</v>
      </c>
      <c r="C515" t="str">
        <f t="shared" ref="C515:C516" si="67">CONCATENATE(A515, "_",B515,"_")</f>
        <v>test.TIFFFaxEncoder_8_</v>
      </c>
      <c r="D515">
        <v>1</v>
      </c>
      <c r="E515">
        <v>0.89655172413793105</v>
      </c>
      <c r="F515">
        <v>0.94816414686825057</v>
      </c>
      <c r="G515" s="1" t="str">
        <f t="shared" ref="G515:G516" si="68">IF($F515 &lt;= 0.2,$E515,"")</f>
        <v/>
      </c>
      <c r="H515" s="1" t="str">
        <f t="shared" ref="H515:H516" si="69">IF(AND($F515 &gt; 0.2,$F515 &lt;= 0.4),$E515,"")</f>
        <v/>
      </c>
      <c r="I515" s="1" t="str">
        <f t="shared" ref="I515:I516" si="70">IF(AND($F515 &gt; 0.4,$F515 &lt;= 0.6),$E515,"")</f>
        <v/>
      </c>
      <c r="J515" s="1" t="str">
        <f t="shared" ref="J515:J516" si="71">IF(AND($F515 &gt; 0.6,$F515 &lt;= 0.8),$E515,"")</f>
        <v/>
      </c>
      <c r="K515" s="1">
        <f t="shared" ref="K515:K516" si="72">IF(AND($F515 &gt; 0.8, $F515 &lt;=1.1),$E515,"")</f>
        <v>0.89655172413793105</v>
      </c>
    </row>
    <row r="516" spans="1:12">
      <c r="A516" t="s">
        <v>405</v>
      </c>
      <c r="B516">
        <v>8</v>
      </c>
      <c r="C516" t="str">
        <f t="shared" si="67"/>
        <v>test.TIFFFaxEncoder_8_</v>
      </c>
      <c r="D516">
        <v>2</v>
      </c>
      <c r="E516">
        <v>1</v>
      </c>
      <c r="F516">
        <v>0.97732181425485964</v>
      </c>
      <c r="G516" s="1" t="str">
        <f t="shared" si="68"/>
        <v/>
      </c>
      <c r="H516" s="1" t="str">
        <f t="shared" si="69"/>
        <v/>
      </c>
      <c r="I516" s="1" t="str">
        <f t="shared" si="70"/>
        <v/>
      </c>
      <c r="J516" s="1" t="str">
        <f t="shared" si="71"/>
        <v/>
      </c>
      <c r="K516" s="1">
        <f t="shared" si="72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1"/>
  <sheetViews>
    <sheetView workbookViewId="0">
      <selection activeCell="I1" sqref="I1:I1048576"/>
    </sheetView>
  </sheetViews>
  <sheetFormatPr baseColWidth="10" defaultRowHeight="15" x14ac:dyDescent="0"/>
  <sheetData>
    <row r="1" spans="1:9">
      <c r="A1" t="s">
        <v>412</v>
      </c>
      <c r="B1" t="s">
        <v>413</v>
      </c>
      <c r="C1" t="s">
        <v>503</v>
      </c>
      <c r="D1" s="4" t="s">
        <v>504</v>
      </c>
      <c r="E1" s="4" t="s">
        <v>505</v>
      </c>
      <c r="F1" s="4" t="s">
        <v>431</v>
      </c>
      <c r="G1" s="4" t="s">
        <v>506</v>
      </c>
      <c r="H1" s="4" t="s">
        <v>507</v>
      </c>
      <c r="I1" s="4" t="s">
        <v>508</v>
      </c>
    </row>
    <row r="2" spans="1:9">
      <c r="A2" t="s">
        <v>4</v>
      </c>
      <c r="B2">
        <v>1</v>
      </c>
      <c r="C2">
        <v>1</v>
      </c>
      <c r="D2">
        <v>46</v>
      </c>
      <c r="E2">
        <v>0</v>
      </c>
      <c r="F2">
        <v>5</v>
      </c>
      <c r="G2">
        <v>0</v>
      </c>
      <c r="H2">
        <v>51</v>
      </c>
      <c r="I2" s="1">
        <f>D2/H2</f>
        <v>0.90196078431372551</v>
      </c>
    </row>
    <row r="3" spans="1:9">
      <c r="A3" t="s">
        <v>4</v>
      </c>
      <c r="B3">
        <v>1</v>
      </c>
      <c r="C3">
        <v>2</v>
      </c>
      <c r="D3">
        <v>48</v>
      </c>
      <c r="E3">
        <v>0</v>
      </c>
      <c r="F3">
        <v>3</v>
      </c>
      <c r="G3">
        <v>0</v>
      </c>
      <c r="H3">
        <v>51</v>
      </c>
      <c r="I3" s="1">
        <f t="shared" ref="I3:I66" si="0">D3/H3</f>
        <v>0.94117647058823528</v>
      </c>
    </row>
    <row r="4" spans="1:9">
      <c r="A4" t="s">
        <v>4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1">
        <f t="shared" si="0"/>
        <v>1</v>
      </c>
    </row>
    <row r="5" spans="1:9">
      <c r="A5" t="s">
        <v>4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1">
        <f t="shared" si="0"/>
        <v>1</v>
      </c>
    </row>
    <row r="6" spans="1:9">
      <c r="A6" t="s">
        <v>4</v>
      </c>
      <c r="B6">
        <v>2</v>
      </c>
      <c r="C6">
        <v>1</v>
      </c>
      <c r="D6">
        <v>11</v>
      </c>
      <c r="E6">
        <v>0</v>
      </c>
      <c r="F6">
        <v>2</v>
      </c>
      <c r="G6">
        <v>0</v>
      </c>
      <c r="H6">
        <v>33</v>
      </c>
      <c r="I6" s="1">
        <f t="shared" si="0"/>
        <v>0.33333333333333331</v>
      </c>
    </row>
    <row r="7" spans="1:9">
      <c r="A7" t="s">
        <v>4</v>
      </c>
      <c r="B7">
        <v>2</v>
      </c>
      <c r="C7">
        <v>2</v>
      </c>
      <c r="D7">
        <v>19</v>
      </c>
      <c r="E7">
        <v>0</v>
      </c>
      <c r="F7">
        <v>3</v>
      </c>
      <c r="G7">
        <v>0</v>
      </c>
      <c r="H7">
        <v>33</v>
      </c>
      <c r="I7" s="1">
        <f t="shared" si="0"/>
        <v>0.5757575757575758</v>
      </c>
    </row>
    <row r="8" spans="1:9">
      <c r="A8" t="s">
        <v>4</v>
      </c>
      <c r="B8">
        <v>2</v>
      </c>
      <c r="C8">
        <v>3</v>
      </c>
      <c r="D8">
        <v>20</v>
      </c>
      <c r="E8">
        <v>0</v>
      </c>
      <c r="F8">
        <v>2</v>
      </c>
      <c r="G8">
        <v>0</v>
      </c>
      <c r="H8">
        <v>33</v>
      </c>
      <c r="I8" s="1">
        <f t="shared" si="0"/>
        <v>0.60606060606060608</v>
      </c>
    </row>
    <row r="9" spans="1:9">
      <c r="A9" t="s">
        <v>4</v>
      </c>
      <c r="B9">
        <v>2</v>
      </c>
      <c r="C9">
        <v>4</v>
      </c>
      <c r="D9">
        <v>26</v>
      </c>
      <c r="E9">
        <v>0</v>
      </c>
      <c r="F9">
        <v>3</v>
      </c>
      <c r="G9">
        <v>0</v>
      </c>
      <c r="H9">
        <v>33</v>
      </c>
      <c r="I9" s="1">
        <f t="shared" si="0"/>
        <v>0.78787878787878785</v>
      </c>
    </row>
    <row r="10" spans="1:9">
      <c r="A10" t="s">
        <v>4</v>
      </c>
      <c r="B10">
        <v>2</v>
      </c>
      <c r="C10">
        <v>5</v>
      </c>
      <c r="D10">
        <v>26</v>
      </c>
      <c r="E10">
        <v>0</v>
      </c>
      <c r="F10">
        <v>3</v>
      </c>
      <c r="G10">
        <v>0</v>
      </c>
      <c r="H10">
        <v>33</v>
      </c>
      <c r="I10" s="1">
        <f t="shared" si="0"/>
        <v>0.78787878787878785</v>
      </c>
    </row>
    <row r="11" spans="1:9">
      <c r="A11" t="s">
        <v>4</v>
      </c>
      <c r="B11">
        <v>2</v>
      </c>
      <c r="C11">
        <v>6</v>
      </c>
      <c r="D11">
        <v>27</v>
      </c>
      <c r="E11">
        <v>0</v>
      </c>
      <c r="F11">
        <v>2</v>
      </c>
      <c r="G11">
        <v>0</v>
      </c>
      <c r="H11">
        <v>33</v>
      </c>
      <c r="I11" s="1">
        <f t="shared" si="0"/>
        <v>0.81818181818181823</v>
      </c>
    </row>
    <row r="12" spans="1:9">
      <c r="A12" t="s">
        <v>4</v>
      </c>
      <c r="B12">
        <v>2</v>
      </c>
      <c r="C12">
        <v>7</v>
      </c>
      <c r="D12">
        <v>32</v>
      </c>
      <c r="E12">
        <v>0</v>
      </c>
      <c r="F12">
        <v>1</v>
      </c>
      <c r="G12">
        <v>0</v>
      </c>
      <c r="H12">
        <v>33</v>
      </c>
      <c r="I12" s="1">
        <f t="shared" si="0"/>
        <v>0.96969696969696972</v>
      </c>
    </row>
    <row r="13" spans="1:9">
      <c r="A13" t="s">
        <v>4</v>
      </c>
      <c r="B13">
        <v>2</v>
      </c>
      <c r="C13">
        <v>8</v>
      </c>
      <c r="D13">
        <v>33</v>
      </c>
      <c r="E13">
        <v>0</v>
      </c>
      <c r="F13">
        <v>0</v>
      </c>
      <c r="G13">
        <v>0</v>
      </c>
      <c r="H13">
        <v>33</v>
      </c>
      <c r="I13" s="1">
        <f t="shared" si="0"/>
        <v>1</v>
      </c>
    </row>
    <row r="14" spans="1:9">
      <c r="A14" t="s">
        <v>4</v>
      </c>
      <c r="B14">
        <v>2</v>
      </c>
      <c r="C14">
        <v>9</v>
      </c>
      <c r="D14">
        <v>33</v>
      </c>
      <c r="E14">
        <v>0</v>
      </c>
      <c r="F14">
        <v>0</v>
      </c>
      <c r="G14">
        <v>0</v>
      </c>
      <c r="H14">
        <v>33</v>
      </c>
      <c r="I14" s="1">
        <f t="shared" si="0"/>
        <v>1</v>
      </c>
    </row>
    <row r="15" spans="1:9">
      <c r="A15" t="s">
        <v>4</v>
      </c>
      <c r="B15">
        <v>2</v>
      </c>
      <c r="C15">
        <v>10</v>
      </c>
      <c r="D15">
        <v>33</v>
      </c>
      <c r="E15">
        <v>0</v>
      </c>
      <c r="F15">
        <v>0</v>
      </c>
      <c r="G15">
        <v>0</v>
      </c>
      <c r="H15">
        <v>33</v>
      </c>
      <c r="I15" s="1">
        <f t="shared" si="0"/>
        <v>1</v>
      </c>
    </row>
    <row r="16" spans="1:9">
      <c r="A16" t="s">
        <v>4</v>
      </c>
      <c r="B16">
        <v>2</v>
      </c>
      <c r="C16">
        <v>11</v>
      </c>
      <c r="D16">
        <v>33</v>
      </c>
      <c r="E16">
        <v>0</v>
      </c>
      <c r="F16">
        <v>0</v>
      </c>
      <c r="G16">
        <v>0</v>
      </c>
      <c r="H16">
        <v>33</v>
      </c>
      <c r="I16" s="1">
        <f t="shared" si="0"/>
        <v>1</v>
      </c>
    </row>
    <row r="17" spans="1:9">
      <c r="A17" t="s">
        <v>4</v>
      </c>
      <c r="B17">
        <v>2</v>
      </c>
      <c r="C17">
        <v>12</v>
      </c>
      <c r="D17">
        <v>33</v>
      </c>
      <c r="E17">
        <v>0</v>
      </c>
      <c r="F17">
        <v>0</v>
      </c>
      <c r="G17">
        <v>0</v>
      </c>
      <c r="H17">
        <v>33</v>
      </c>
      <c r="I17" s="1">
        <f t="shared" si="0"/>
        <v>1</v>
      </c>
    </row>
    <row r="18" spans="1:9">
      <c r="A18" t="s">
        <v>4</v>
      </c>
      <c r="B18">
        <v>2</v>
      </c>
      <c r="C18">
        <v>13</v>
      </c>
      <c r="D18">
        <v>33</v>
      </c>
      <c r="E18">
        <v>0</v>
      </c>
      <c r="F18">
        <v>0</v>
      </c>
      <c r="G18">
        <v>0</v>
      </c>
      <c r="H18">
        <v>33</v>
      </c>
      <c r="I18" s="1">
        <f t="shared" si="0"/>
        <v>1</v>
      </c>
    </row>
    <row r="19" spans="1:9">
      <c r="A19" t="s">
        <v>4</v>
      </c>
      <c r="B19">
        <v>2</v>
      </c>
      <c r="C19">
        <v>14</v>
      </c>
      <c r="D19">
        <v>33</v>
      </c>
      <c r="E19">
        <v>0</v>
      </c>
      <c r="F19">
        <v>0</v>
      </c>
      <c r="G19">
        <v>0</v>
      </c>
      <c r="H19">
        <v>33</v>
      </c>
      <c r="I19" s="1">
        <f t="shared" si="0"/>
        <v>1</v>
      </c>
    </row>
    <row r="20" spans="1:9">
      <c r="A20" t="s">
        <v>4</v>
      </c>
      <c r="B20">
        <v>2</v>
      </c>
      <c r="C20">
        <v>15</v>
      </c>
      <c r="D20">
        <v>33</v>
      </c>
      <c r="E20">
        <v>0</v>
      </c>
      <c r="F20">
        <v>0</v>
      </c>
      <c r="G20">
        <v>0</v>
      </c>
      <c r="H20">
        <v>33</v>
      </c>
      <c r="I20" s="1">
        <f t="shared" si="0"/>
        <v>1</v>
      </c>
    </row>
    <row r="21" spans="1:9">
      <c r="A21" t="s">
        <v>4</v>
      </c>
      <c r="B21">
        <v>6</v>
      </c>
      <c r="C21">
        <v>1</v>
      </c>
      <c r="D21">
        <v>4</v>
      </c>
      <c r="E21">
        <v>0</v>
      </c>
      <c r="F21">
        <v>2</v>
      </c>
      <c r="G21">
        <v>0</v>
      </c>
      <c r="H21">
        <v>18</v>
      </c>
      <c r="I21" s="1">
        <f t="shared" si="0"/>
        <v>0.22222222222222221</v>
      </c>
    </row>
    <row r="22" spans="1:9">
      <c r="A22" t="s">
        <v>4</v>
      </c>
      <c r="B22">
        <v>6</v>
      </c>
      <c r="C22">
        <v>2</v>
      </c>
      <c r="D22">
        <v>10</v>
      </c>
      <c r="E22">
        <v>0</v>
      </c>
      <c r="F22">
        <v>3</v>
      </c>
      <c r="G22">
        <v>0</v>
      </c>
      <c r="H22">
        <v>18</v>
      </c>
      <c r="I22" s="1">
        <f t="shared" si="0"/>
        <v>0.55555555555555558</v>
      </c>
    </row>
    <row r="23" spans="1:9">
      <c r="A23" t="s">
        <v>4</v>
      </c>
      <c r="B23">
        <v>6</v>
      </c>
      <c r="C23">
        <v>3</v>
      </c>
      <c r="D23">
        <v>15</v>
      </c>
      <c r="E23">
        <v>0</v>
      </c>
      <c r="F23">
        <v>3</v>
      </c>
      <c r="G23">
        <v>0</v>
      </c>
      <c r="H23">
        <v>18</v>
      </c>
      <c r="I23" s="1">
        <f t="shared" si="0"/>
        <v>0.83333333333333337</v>
      </c>
    </row>
    <row r="24" spans="1:9">
      <c r="A24" t="s">
        <v>4</v>
      </c>
      <c r="B24">
        <v>6</v>
      </c>
      <c r="C24">
        <v>4</v>
      </c>
      <c r="D24">
        <v>17</v>
      </c>
      <c r="E24">
        <v>0</v>
      </c>
      <c r="F24">
        <v>1</v>
      </c>
      <c r="G24">
        <v>0</v>
      </c>
      <c r="H24">
        <v>18</v>
      </c>
      <c r="I24" s="1">
        <f t="shared" si="0"/>
        <v>0.94444444444444442</v>
      </c>
    </row>
    <row r="25" spans="1:9">
      <c r="A25" t="s">
        <v>4</v>
      </c>
      <c r="B25">
        <v>6</v>
      </c>
      <c r="C25">
        <v>5</v>
      </c>
      <c r="D25">
        <v>18</v>
      </c>
      <c r="E25">
        <v>0</v>
      </c>
      <c r="F25">
        <v>0</v>
      </c>
      <c r="G25">
        <v>0</v>
      </c>
      <c r="H25">
        <v>18</v>
      </c>
      <c r="I25" s="1">
        <f t="shared" si="0"/>
        <v>1</v>
      </c>
    </row>
    <row r="26" spans="1:9">
      <c r="A26" t="s">
        <v>4</v>
      </c>
      <c r="B26">
        <v>9</v>
      </c>
      <c r="C26">
        <v>1</v>
      </c>
      <c r="D26">
        <v>3</v>
      </c>
      <c r="E26">
        <v>0</v>
      </c>
      <c r="F26">
        <v>0</v>
      </c>
      <c r="G26">
        <v>0</v>
      </c>
      <c r="H26">
        <v>46</v>
      </c>
      <c r="I26" s="1">
        <f t="shared" si="0"/>
        <v>6.5217391304347824E-2</v>
      </c>
    </row>
    <row r="27" spans="1:9">
      <c r="A27" t="s">
        <v>4</v>
      </c>
      <c r="B27">
        <v>9</v>
      </c>
      <c r="C27">
        <v>2</v>
      </c>
      <c r="D27">
        <v>3</v>
      </c>
      <c r="E27">
        <v>0</v>
      </c>
      <c r="F27">
        <v>0</v>
      </c>
      <c r="G27">
        <v>0</v>
      </c>
      <c r="H27">
        <v>46</v>
      </c>
      <c r="I27" s="1">
        <f t="shared" si="0"/>
        <v>6.5217391304347824E-2</v>
      </c>
    </row>
    <row r="28" spans="1:9">
      <c r="A28" t="s">
        <v>4</v>
      </c>
      <c r="B28">
        <v>9</v>
      </c>
      <c r="C28">
        <v>3</v>
      </c>
      <c r="D28">
        <v>3</v>
      </c>
      <c r="E28">
        <v>0</v>
      </c>
      <c r="F28">
        <v>0</v>
      </c>
      <c r="G28">
        <v>0</v>
      </c>
      <c r="H28">
        <v>46</v>
      </c>
      <c r="I28" s="1">
        <f t="shared" si="0"/>
        <v>6.5217391304347824E-2</v>
      </c>
    </row>
    <row r="29" spans="1:9">
      <c r="A29" t="s">
        <v>4</v>
      </c>
      <c r="B29">
        <v>9</v>
      </c>
      <c r="C29">
        <v>4</v>
      </c>
      <c r="D29">
        <v>7</v>
      </c>
      <c r="E29">
        <v>0</v>
      </c>
      <c r="F29">
        <v>0</v>
      </c>
      <c r="G29">
        <v>0</v>
      </c>
      <c r="H29">
        <v>46</v>
      </c>
      <c r="I29" s="1">
        <f t="shared" si="0"/>
        <v>0.15217391304347827</v>
      </c>
    </row>
    <row r="30" spans="1:9">
      <c r="A30" t="s">
        <v>4</v>
      </c>
      <c r="B30">
        <v>9</v>
      </c>
      <c r="C30">
        <v>5</v>
      </c>
      <c r="D30">
        <v>11</v>
      </c>
      <c r="E30">
        <v>0</v>
      </c>
      <c r="F30">
        <v>0</v>
      </c>
      <c r="G30">
        <v>0</v>
      </c>
      <c r="H30">
        <v>46</v>
      </c>
      <c r="I30" s="1">
        <f t="shared" si="0"/>
        <v>0.2391304347826087</v>
      </c>
    </row>
    <row r="31" spans="1:9">
      <c r="A31" t="s">
        <v>4</v>
      </c>
      <c r="B31">
        <v>9</v>
      </c>
      <c r="C31">
        <v>6</v>
      </c>
      <c r="D31">
        <v>23</v>
      </c>
      <c r="E31">
        <v>0</v>
      </c>
      <c r="F31">
        <v>2</v>
      </c>
      <c r="G31">
        <v>0</v>
      </c>
      <c r="H31">
        <v>46</v>
      </c>
      <c r="I31" s="1">
        <f t="shared" si="0"/>
        <v>0.5</v>
      </c>
    </row>
    <row r="32" spans="1:9">
      <c r="A32" t="s">
        <v>4</v>
      </c>
      <c r="B32">
        <v>9</v>
      </c>
      <c r="C32">
        <v>7</v>
      </c>
      <c r="D32">
        <v>30</v>
      </c>
      <c r="E32">
        <v>0</v>
      </c>
      <c r="F32">
        <v>2</v>
      </c>
      <c r="G32">
        <v>0</v>
      </c>
      <c r="H32">
        <v>46</v>
      </c>
      <c r="I32" s="1">
        <f t="shared" si="0"/>
        <v>0.65217391304347827</v>
      </c>
    </row>
    <row r="33" spans="1:9">
      <c r="A33" t="s">
        <v>4</v>
      </c>
      <c r="B33">
        <v>9</v>
      </c>
      <c r="C33">
        <v>8</v>
      </c>
      <c r="D33">
        <v>42</v>
      </c>
      <c r="E33">
        <v>0</v>
      </c>
      <c r="F33">
        <v>1</v>
      </c>
      <c r="G33">
        <v>0</v>
      </c>
      <c r="H33">
        <v>46</v>
      </c>
      <c r="I33" s="1">
        <f t="shared" si="0"/>
        <v>0.91304347826086951</v>
      </c>
    </row>
    <row r="34" spans="1:9">
      <c r="A34" t="s">
        <v>4</v>
      </c>
      <c r="B34">
        <v>9</v>
      </c>
      <c r="C34">
        <v>9</v>
      </c>
      <c r="D34">
        <v>46</v>
      </c>
      <c r="E34">
        <v>0</v>
      </c>
      <c r="F34">
        <v>0</v>
      </c>
      <c r="G34">
        <v>0</v>
      </c>
      <c r="H34">
        <v>46</v>
      </c>
      <c r="I34" s="1">
        <f t="shared" si="0"/>
        <v>1</v>
      </c>
    </row>
    <row r="35" spans="1:9">
      <c r="A35" t="s">
        <v>4</v>
      </c>
      <c r="B35">
        <v>9</v>
      </c>
      <c r="C35">
        <v>10</v>
      </c>
      <c r="D35">
        <v>46</v>
      </c>
      <c r="E35">
        <v>0</v>
      </c>
      <c r="F35">
        <v>0</v>
      </c>
      <c r="G35">
        <v>0</v>
      </c>
      <c r="H35">
        <v>46</v>
      </c>
      <c r="I35" s="1">
        <f t="shared" si="0"/>
        <v>1</v>
      </c>
    </row>
    <row r="36" spans="1:9">
      <c r="A36" t="s">
        <v>32</v>
      </c>
      <c r="B36">
        <v>2</v>
      </c>
      <c r="C36">
        <v>1</v>
      </c>
      <c r="D36">
        <v>6</v>
      </c>
      <c r="E36">
        <v>0</v>
      </c>
      <c r="F36">
        <v>2</v>
      </c>
      <c r="G36">
        <v>0</v>
      </c>
      <c r="H36">
        <v>31</v>
      </c>
      <c r="I36" s="1">
        <f t="shared" si="0"/>
        <v>0.19354838709677419</v>
      </c>
    </row>
    <row r="37" spans="1:9">
      <c r="A37" t="s">
        <v>32</v>
      </c>
      <c r="B37">
        <v>2</v>
      </c>
      <c r="C37">
        <v>2</v>
      </c>
      <c r="D37">
        <v>17</v>
      </c>
      <c r="E37">
        <v>0</v>
      </c>
      <c r="F37">
        <v>3</v>
      </c>
      <c r="G37">
        <v>0</v>
      </c>
      <c r="H37">
        <v>31</v>
      </c>
      <c r="I37" s="1">
        <f t="shared" si="0"/>
        <v>0.54838709677419351</v>
      </c>
    </row>
    <row r="38" spans="1:9">
      <c r="A38" t="s">
        <v>32</v>
      </c>
      <c r="B38">
        <v>2</v>
      </c>
      <c r="C38">
        <v>3</v>
      </c>
      <c r="D38">
        <v>29</v>
      </c>
      <c r="E38">
        <v>0</v>
      </c>
      <c r="F38">
        <v>2</v>
      </c>
      <c r="G38">
        <v>0</v>
      </c>
      <c r="H38">
        <v>31</v>
      </c>
      <c r="I38" s="1">
        <f t="shared" si="0"/>
        <v>0.93548387096774188</v>
      </c>
    </row>
    <row r="39" spans="1:9">
      <c r="A39" t="s">
        <v>32</v>
      </c>
      <c r="B39">
        <v>2</v>
      </c>
      <c r="C39">
        <v>4</v>
      </c>
      <c r="D39">
        <v>31</v>
      </c>
      <c r="E39">
        <v>0</v>
      </c>
      <c r="F39">
        <v>0</v>
      </c>
      <c r="G39">
        <v>0</v>
      </c>
      <c r="H39">
        <v>31</v>
      </c>
      <c r="I39" s="1">
        <f t="shared" si="0"/>
        <v>1</v>
      </c>
    </row>
    <row r="40" spans="1:9">
      <c r="A40" t="s">
        <v>32</v>
      </c>
      <c r="B40">
        <v>4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1">
        <f t="shared" si="0"/>
        <v>0.19354838709677419</v>
      </c>
    </row>
    <row r="41" spans="1:9">
      <c r="A41" t="s">
        <v>32</v>
      </c>
      <c r="B41">
        <v>4</v>
      </c>
      <c r="C41">
        <v>2</v>
      </c>
      <c r="D41">
        <v>17</v>
      </c>
      <c r="E41">
        <v>0</v>
      </c>
      <c r="F41">
        <v>3</v>
      </c>
      <c r="G41">
        <v>0</v>
      </c>
      <c r="H41">
        <v>31</v>
      </c>
      <c r="I41" s="1">
        <f t="shared" si="0"/>
        <v>0.54838709677419351</v>
      </c>
    </row>
    <row r="42" spans="1:9">
      <c r="A42" t="s">
        <v>32</v>
      </c>
      <c r="B42">
        <v>4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1">
        <f t="shared" si="0"/>
        <v>0.93548387096774188</v>
      </c>
    </row>
    <row r="43" spans="1:9">
      <c r="A43" t="s">
        <v>32</v>
      </c>
      <c r="B43">
        <v>4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1">
        <f t="shared" si="0"/>
        <v>1</v>
      </c>
    </row>
    <row r="44" spans="1:9">
      <c r="A44" t="s">
        <v>32</v>
      </c>
      <c r="B44">
        <v>13</v>
      </c>
      <c r="C44">
        <v>1</v>
      </c>
      <c r="D44">
        <v>1</v>
      </c>
      <c r="E44">
        <v>0</v>
      </c>
      <c r="F44">
        <v>1</v>
      </c>
      <c r="G44">
        <v>0</v>
      </c>
      <c r="H44">
        <v>8</v>
      </c>
      <c r="I44" s="1">
        <f t="shared" si="0"/>
        <v>0.125</v>
      </c>
    </row>
    <row r="45" spans="1:9">
      <c r="A45" t="s">
        <v>32</v>
      </c>
      <c r="B45">
        <v>13</v>
      </c>
      <c r="C45">
        <v>2</v>
      </c>
      <c r="D45">
        <v>3</v>
      </c>
      <c r="E45">
        <v>0</v>
      </c>
      <c r="F45">
        <v>1</v>
      </c>
      <c r="G45">
        <v>0</v>
      </c>
      <c r="H45">
        <v>8</v>
      </c>
      <c r="I45" s="1">
        <f t="shared" si="0"/>
        <v>0.375</v>
      </c>
    </row>
    <row r="46" spans="1:9">
      <c r="A46" t="s">
        <v>32</v>
      </c>
      <c r="B46">
        <v>13</v>
      </c>
      <c r="C46">
        <v>3</v>
      </c>
      <c r="D46">
        <v>5</v>
      </c>
      <c r="E46">
        <v>0</v>
      </c>
      <c r="F46">
        <v>1</v>
      </c>
      <c r="G46">
        <v>0</v>
      </c>
      <c r="H46">
        <v>8</v>
      </c>
      <c r="I46" s="1">
        <f t="shared" si="0"/>
        <v>0.625</v>
      </c>
    </row>
    <row r="47" spans="1:9">
      <c r="A47" t="s">
        <v>32</v>
      </c>
      <c r="B47">
        <v>13</v>
      </c>
      <c r="C47">
        <v>4</v>
      </c>
      <c r="D47">
        <v>7</v>
      </c>
      <c r="E47">
        <v>0</v>
      </c>
      <c r="F47">
        <v>1</v>
      </c>
      <c r="G47">
        <v>0</v>
      </c>
      <c r="H47">
        <v>8</v>
      </c>
      <c r="I47" s="1">
        <f t="shared" si="0"/>
        <v>0.875</v>
      </c>
    </row>
    <row r="48" spans="1:9">
      <c r="A48" t="s">
        <v>32</v>
      </c>
      <c r="B48">
        <v>13</v>
      </c>
      <c r="C48">
        <v>5</v>
      </c>
      <c r="D48">
        <v>8</v>
      </c>
      <c r="E48">
        <v>0</v>
      </c>
      <c r="F48">
        <v>0</v>
      </c>
      <c r="G48">
        <v>0</v>
      </c>
      <c r="H48">
        <v>8</v>
      </c>
      <c r="I48" s="1">
        <f t="shared" si="0"/>
        <v>1</v>
      </c>
    </row>
    <row r="49" spans="1:9">
      <c r="A49" t="s">
        <v>32</v>
      </c>
      <c r="B49">
        <v>16</v>
      </c>
      <c r="C49">
        <v>1</v>
      </c>
      <c r="D49">
        <v>3</v>
      </c>
      <c r="E49">
        <v>0</v>
      </c>
      <c r="F49">
        <v>0</v>
      </c>
      <c r="G49">
        <v>0</v>
      </c>
      <c r="H49">
        <v>183</v>
      </c>
      <c r="I49" s="1">
        <f t="shared" si="0"/>
        <v>1.6393442622950821E-2</v>
      </c>
    </row>
    <row r="50" spans="1:9">
      <c r="A50" t="s">
        <v>32</v>
      </c>
      <c r="B50">
        <v>16</v>
      </c>
      <c r="C50">
        <v>2</v>
      </c>
      <c r="D50">
        <v>6</v>
      </c>
      <c r="E50">
        <v>0</v>
      </c>
      <c r="F50">
        <v>1</v>
      </c>
      <c r="G50">
        <v>0</v>
      </c>
      <c r="H50">
        <v>183</v>
      </c>
      <c r="I50" s="1">
        <f t="shared" si="0"/>
        <v>3.2786885245901641E-2</v>
      </c>
    </row>
    <row r="51" spans="1:9">
      <c r="A51" t="s">
        <v>32</v>
      </c>
      <c r="B51">
        <v>16</v>
      </c>
      <c r="C51">
        <v>3</v>
      </c>
      <c r="D51">
        <v>149</v>
      </c>
      <c r="E51">
        <v>0</v>
      </c>
      <c r="F51">
        <v>1</v>
      </c>
      <c r="G51">
        <v>0</v>
      </c>
      <c r="H51">
        <v>183</v>
      </c>
      <c r="I51" s="1">
        <f t="shared" si="0"/>
        <v>0.81420765027322406</v>
      </c>
    </row>
    <row r="52" spans="1:9">
      <c r="A52" t="s">
        <v>32</v>
      </c>
      <c r="B52">
        <v>16</v>
      </c>
      <c r="C52">
        <v>4</v>
      </c>
      <c r="D52">
        <v>183</v>
      </c>
      <c r="E52">
        <v>0</v>
      </c>
      <c r="F52">
        <v>0</v>
      </c>
      <c r="G52">
        <v>0</v>
      </c>
      <c r="H52">
        <v>183</v>
      </c>
      <c r="I52" s="1">
        <f t="shared" si="0"/>
        <v>1</v>
      </c>
    </row>
    <row r="53" spans="1:9">
      <c r="A53" t="s">
        <v>32</v>
      </c>
      <c r="B53">
        <v>18</v>
      </c>
      <c r="C53">
        <v>1</v>
      </c>
      <c r="D53">
        <v>3</v>
      </c>
      <c r="E53">
        <v>0</v>
      </c>
      <c r="F53">
        <v>1</v>
      </c>
      <c r="G53">
        <v>0</v>
      </c>
      <c r="H53">
        <v>141</v>
      </c>
      <c r="I53" s="1">
        <f t="shared" si="0"/>
        <v>2.1276595744680851E-2</v>
      </c>
    </row>
    <row r="54" spans="1:9">
      <c r="A54" t="s">
        <v>32</v>
      </c>
      <c r="B54">
        <v>18</v>
      </c>
      <c r="C54">
        <v>2</v>
      </c>
      <c r="D54">
        <v>6</v>
      </c>
      <c r="E54">
        <v>0</v>
      </c>
      <c r="F54">
        <v>1</v>
      </c>
      <c r="G54">
        <v>0</v>
      </c>
      <c r="H54">
        <v>141</v>
      </c>
      <c r="I54" s="1">
        <f t="shared" si="0"/>
        <v>4.2553191489361701E-2</v>
      </c>
    </row>
    <row r="55" spans="1:9">
      <c r="A55" t="s">
        <v>32</v>
      </c>
      <c r="B55">
        <v>18</v>
      </c>
      <c r="C55">
        <v>3</v>
      </c>
      <c r="D55">
        <v>17</v>
      </c>
      <c r="E55">
        <v>0</v>
      </c>
      <c r="F55">
        <v>1</v>
      </c>
      <c r="G55">
        <v>0</v>
      </c>
      <c r="H55">
        <v>141</v>
      </c>
      <c r="I55" s="1">
        <f t="shared" si="0"/>
        <v>0.12056737588652482</v>
      </c>
    </row>
    <row r="56" spans="1:9">
      <c r="A56" t="s">
        <v>32</v>
      </c>
      <c r="B56">
        <v>18</v>
      </c>
      <c r="C56">
        <v>4</v>
      </c>
      <c r="D56">
        <v>23</v>
      </c>
      <c r="E56">
        <v>0</v>
      </c>
      <c r="F56">
        <v>1</v>
      </c>
      <c r="G56">
        <v>0</v>
      </c>
      <c r="H56">
        <v>141</v>
      </c>
      <c r="I56" s="1">
        <f t="shared" si="0"/>
        <v>0.16312056737588654</v>
      </c>
    </row>
    <row r="57" spans="1:9">
      <c r="A57" t="s">
        <v>32</v>
      </c>
      <c r="B57">
        <v>18</v>
      </c>
      <c r="C57">
        <v>5</v>
      </c>
      <c r="D57">
        <v>35</v>
      </c>
      <c r="E57">
        <v>0</v>
      </c>
      <c r="F57">
        <v>5</v>
      </c>
      <c r="G57">
        <v>0</v>
      </c>
      <c r="H57">
        <v>141</v>
      </c>
      <c r="I57" s="1">
        <f t="shared" si="0"/>
        <v>0.24822695035460993</v>
      </c>
    </row>
    <row r="58" spans="1:9">
      <c r="A58" t="s">
        <v>32</v>
      </c>
      <c r="B58">
        <v>18</v>
      </c>
      <c r="C58">
        <v>6</v>
      </c>
      <c r="D58">
        <v>38</v>
      </c>
      <c r="E58">
        <v>0</v>
      </c>
      <c r="F58">
        <v>5</v>
      </c>
      <c r="G58">
        <v>0</v>
      </c>
      <c r="H58">
        <v>141</v>
      </c>
      <c r="I58" s="1">
        <f t="shared" si="0"/>
        <v>0.26950354609929078</v>
      </c>
    </row>
    <row r="59" spans="1:9">
      <c r="A59" t="s">
        <v>32</v>
      </c>
      <c r="B59">
        <v>18</v>
      </c>
      <c r="C59">
        <v>7</v>
      </c>
      <c r="D59">
        <v>41</v>
      </c>
      <c r="E59">
        <v>0</v>
      </c>
      <c r="F59">
        <v>5</v>
      </c>
      <c r="G59">
        <v>0</v>
      </c>
      <c r="H59">
        <v>141</v>
      </c>
      <c r="I59" s="1">
        <f t="shared" si="0"/>
        <v>0.29078014184397161</v>
      </c>
    </row>
    <row r="60" spans="1:9">
      <c r="A60" t="s">
        <v>32</v>
      </c>
      <c r="B60">
        <v>18</v>
      </c>
      <c r="C60">
        <v>8</v>
      </c>
      <c r="D60">
        <v>44</v>
      </c>
      <c r="E60">
        <v>0</v>
      </c>
      <c r="F60">
        <v>5</v>
      </c>
      <c r="G60">
        <v>0</v>
      </c>
      <c r="H60">
        <v>141</v>
      </c>
      <c r="I60" s="1">
        <f t="shared" si="0"/>
        <v>0.31205673758865249</v>
      </c>
    </row>
    <row r="61" spans="1:9">
      <c r="A61" t="s">
        <v>32</v>
      </c>
      <c r="B61">
        <v>18</v>
      </c>
      <c r="C61">
        <v>9</v>
      </c>
      <c r="D61">
        <v>47</v>
      </c>
      <c r="E61">
        <v>0</v>
      </c>
      <c r="F61">
        <v>4</v>
      </c>
      <c r="G61">
        <v>0</v>
      </c>
      <c r="H61">
        <v>141</v>
      </c>
      <c r="I61" s="1">
        <f t="shared" si="0"/>
        <v>0.33333333333333331</v>
      </c>
    </row>
    <row r="62" spans="1:9">
      <c r="A62" t="s">
        <v>32</v>
      </c>
      <c r="B62">
        <v>18</v>
      </c>
      <c r="C62">
        <v>10</v>
      </c>
      <c r="D62">
        <v>51</v>
      </c>
      <c r="E62">
        <v>0</v>
      </c>
      <c r="F62">
        <v>4</v>
      </c>
      <c r="G62">
        <v>0</v>
      </c>
      <c r="H62">
        <v>141</v>
      </c>
      <c r="I62" s="1">
        <f t="shared" si="0"/>
        <v>0.36170212765957449</v>
      </c>
    </row>
    <row r="63" spans="1:9">
      <c r="A63" t="s">
        <v>32</v>
      </c>
      <c r="B63">
        <v>18</v>
      </c>
      <c r="C63">
        <v>11</v>
      </c>
      <c r="D63">
        <v>51</v>
      </c>
      <c r="E63">
        <v>0</v>
      </c>
      <c r="F63">
        <v>4</v>
      </c>
      <c r="G63">
        <v>0</v>
      </c>
      <c r="H63">
        <v>141</v>
      </c>
      <c r="I63" s="1">
        <f t="shared" si="0"/>
        <v>0.36170212765957449</v>
      </c>
    </row>
    <row r="64" spans="1:9">
      <c r="A64" t="s">
        <v>32</v>
      </c>
      <c r="B64">
        <v>18</v>
      </c>
      <c r="C64">
        <v>12</v>
      </c>
      <c r="D64">
        <v>51</v>
      </c>
      <c r="E64">
        <v>0</v>
      </c>
      <c r="F64">
        <v>4</v>
      </c>
      <c r="G64">
        <v>0</v>
      </c>
      <c r="H64">
        <v>141</v>
      </c>
      <c r="I64" s="1">
        <f t="shared" si="0"/>
        <v>0.36170212765957449</v>
      </c>
    </row>
    <row r="65" spans="1:9">
      <c r="A65" t="s">
        <v>32</v>
      </c>
      <c r="B65">
        <v>18</v>
      </c>
      <c r="C65">
        <v>13</v>
      </c>
      <c r="D65">
        <v>51</v>
      </c>
      <c r="E65">
        <v>0</v>
      </c>
      <c r="F65">
        <v>4</v>
      </c>
      <c r="G65">
        <v>0</v>
      </c>
      <c r="H65">
        <v>141</v>
      </c>
      <c r="I65" s="1">
        <f t="shared" si="0"/>
        <v>0.36170212765957449</v>
      </c>
    </row>
    <row r="66" spans="1:9">
      <c r="A66" t="s">
        <v>32</v>
      </c>
      <c r="B66">
        <v>18</v>
      </c>
      <c r="C66">
        <v>14</v>
      </c>
      <c r="D66">
        <v>51</v>
      </c>
      <c r="E66">
        <v>0</v>
      </c>
      <c r="F66">
        <v>4</v>
      </c>
      <c r="G66">
        <v>0</v>
      </c>
      <c r="H66">
        <v>141</v>
      </c>
      <c r="I66" s="1">
        <f t="shared" si="0"/>
        <v>0.36170212765957449</v>
      </c>
    </row>
    <row r="67" spans="1:9">
      <c r="A67" t="s">
        <v>32</v>
      </c>
      <c r="B67">
        <v>18</v>
      </c>
      <c r="C67">
        <v>15</v>
      </c>
      <c r="D67">
        <v>51</v>
      </c>
      <c r="E67">
        <v>0</v>
      </c>
      <c r="F67">
        <v>4</v>
      </c>
      <c r="G67">
        <v>0</v>
      </c>
      <c r="H67">
        <v>141</v>
      </c>
      <c r="I67" s="1">
        <f t="shared" ref="I67:I130" si="1">D67/H67</f>
        <v>0.36170212765957449</v>
      </c>
    </row>
    <row r="68" spans="1:9">
      <c r="A68" t="s">
        <v>32</v>
      </c>
      <c r="B68">
        <v>18</v>
      </c>
      <c r="C68">
        <v>16</v>
      </c>
      <c r="D68">
        <v>51</v>
      </c>
      <c r="E68">
        <v>0</v>
      </c>
      <c r="F68">
        <v>4</v>
      </c>
      <c r="G68">
        <v>0</v>
      </c>
      <c r="H68">
        <v>141</v>
      </c>
      <c r="I68" s="1">
        <f t="shared" si="1"/>
        <v>0.36170212765957449</v>
      </c>
    </row>
    <row r="69" spans="1:9">
      <c r="A69" t="s">
        <v>32</v>
      </c>
      <c r="B69">
        <v>18</v>
      </c>
      <c r="C69">
        <v>17</v>
      </c>
      <c r="D69">
        <v>51</v>
      </c>
      <c r="E69">
        <v>0</v>
      </c>
      <c r="F69">
        <v>4</v>
      </c>
      <c r="G69">
        <v>0</v>
      </c>
      <c r="H69">
        <v>141</v>
      </c>
      <c r="I69" s="1">
        <f t="shared" si="1"/>
        <v>0.36170212765957449</v>
      </c>
    </row>
    <row r="70" spans="1:9">
      <c r="A70" t="s">
        <v>32</v>
      </c>
      <c r="B70">
        <v>18</v>
      </c>
      <c r="C70">
        <v>18</v>
      </c>
      <c r="D70">
        <v>51</v>
      </c>
      <c r="E70">
        <v>0</v>
      </c>
      <c r="F70">
        <v>4</v>
      </c>
      <c r="G70">
        <v>0</v>
      </c>
      <c r="H70">
        <v>141</v>
      </c>
      <c r="I70" s="1">
        <f t="shared" si="1"/>
        <v>0.36170212765957449</v>
      </c>
    </row>
    <row r="71" spans="1:9">
      <c r="A71" t="s">
        <v>32</v>
      </c>
      <c r="B71">
        <v>18</v>
      </c>
      <c r="C71">
        <v>19</v>
      </c>
      <c r="D71">
        <v>65</v>
      </c>
      <c r="E71">
        <v>0</v>
      </c>
      <c r="F71">
        <v>9</v>
      </c>
      <c r="G71">
        <v>0</v>
      </c>
      <c r="H71">
        <v>141</v>
      </c>
      <c r="I71" s="1">
        <f t="shared" si="1"/>
        <v>0.46099290780141844</v>
      </c>
    </row>
    <row r="72" spans="1:9">
      <c r="A72" t="s">
        <v>32</v>
      </c>
      <c r="B72">
        <v>18</v>
      </c>
      <c r="C72">
        <v>20</v>
      </c>
      <c r="D72">
        <v>65</v>
      </c>
      <c r="E72">
        <v>0</v>
      </c>
      <c r="F72">
        <v>9</v>
      </c>
      <c r="G72">
        <v>0</v>
      </c>
      <c r="H72">
        <v>141</v>
      </c>
      <c r="I72" s="1">
        <f t="shared" si="1"/>
        <v>0.46099290780141844</v>
      </c>
    </row>
    <row r="73" spans="1:9">
      <c r="A73" t="s">
        <v>32</v>
      </c>
      <c r="B73">
        <v>18</v>
      </c>
      <c r="C73">
        <v>21</v>
      </c>
      <c r="D73">
        <v>84</v>
      </c>
      <c r="E73">
        <v>0</v>
      </c>
      <c r="F73">
        <v>8</v>
      </c>
      <c r="G73">
        <v>0</v>
      </c>
      <c r="H73">
        <v>141</v>
      </c>
      <c r="I73" s="1">
        <f t="shared" si="1"/>
        <v>0.5957446808510638</v>
      </c>
    </row>
    <row r="74" spans="1:9">
      <c r="A74" t="s">
        <v>32</v>
      </c>
      <c r="B74">
        <v>18</v>
      </c>
      <c r="C74">
        <v>22</v>
      </c>
      <c r="D74">
        <v>89</v>
      </c>
      <c r="E74">
        <v>0</v>
      </c>
      <c r="F74">
        <v>9</v>
      </c>
      <c r="G74">
        <v>0</v>
      </c>
      <c r="H74">
        <v>141</v>
      </c>
      <c r="I74" s="1">
        <f t="shared" si="1"/>
        <v>0.63120567375886527</v>
      </c>
    </row>
    <row r="75" spans="1:9">
      <c r="A75" t="s">
        <v>32</v>
      </c>
      <c r="B75">
        <v>18</v>
      </c>
      <c r="C75">
        <v>23</v>
      </c>
      <c r="D75">
        <v>89</v>
      </c>
      <c r="E75">
        <v>0</v>
      </c>
      <c r="F75">
        <v>9</v>
      </c>
      <c r="G75">
        <v>0</v>
      </c>
      <c r="H75">
        <v>141</v>
      </c>
      <c r="I75" s="1">
        <f t="shared" si="1"/>
        <v>0.63120567375886527</v>
      </c>
    </row>
    <row r="76" spans="1:9">
      <c r="A76" t="s">
        <v>32</v>
      </c>
      <c r="B76">
        <v>18</v>
      </c>
      <c r="C76">
        <v>24</v>
      </c>
      <c r="D76">
        <v>89</v>
      </c>
      <c r="E76">
        <v>0</v>
      </c>
      <c r="F76">
        <v>9</v>
      </c>
      <c r="G76">
        <v>0</v>
      </c>
      <c r="H76">
        <v>141</v>
      </c>
      <c r="I76" s="1">
        <f t="shared" si="1"/>
        <v>0.63120567375886527</v>
      </c>
    </row>
    <row r="77" spans="1:9">
      <c r="A77" t="s">
        <v>32</v>
      </c>
      <c r="B77">
        <v>18</v>
      </c>
      <c r="C77">
        <v>25</v>
      </c>
      <c r="D77">
        <v>102</v>
      </c>
      <c r="E77">
        <v>0</v>
      </c>
      <c r="F77">
        <v>7</v>
      </c>
      <c r="G77">
        <v>0</v>
      </c>
      <c r="H77">
        <v>141</v>
      </c>
      <c r="I77" s="1">
        <f t="shared" si="1"/>
        <v>0.72340425531914898</v>
      </c>
    </row>
    <row r="78" spans="1:9">
      <c r="A78" t="s">
        <v>32</v>
      </c>
      <c r="B78">
        <v>18</v>
      </c>
      <c r="C78">
        <v>26</v>
      </c>
      <c r="D78">
        <v>102</v>
      </c>
      <c r="E78">
        <v>0</v>
      </c>
      <c r="F78">
        <v>7</v>
      </c>
      <c r="G78">
        <v>0</v>
      </c>
      <c r="H78">
        <v>141</v>
      </c>
      <c r="I78" s="1">
        <f t="shared" si="1"/>
        <v>0.72340425531914898</v>
      </c>
    </row>
    <row r="79" spans="1:9">
      <c r="A79" t="s">
        <v>32</v>
      </c>
      <c r="B79">
        <v>18</v>
      </c>
      <c r="C79">
        <v>27</v>
      </c>
      <c r="D79">
        <v>102</v>
      </c>
      <c r="E79">
        <v>0</v>
      </c>
      <c r="F79">
        <v>7</v>
      </c>
      <c r="G79">
        <v>0</v>
      </c>
      <c r="H79">
        <v>141</v>
      </c>
      <c r="I79" s="1">
        <f t="shared" si="1"/>
        <v>0.72340425531914898</v>
      </c>
    </row>
    <row r="80" spans="1:9">
      <c r="A80" t="s">
        <v>32</v>
      </c>
      <c r="B80">
        <v>18</v>
      </c>
      <c r="C80">
        <v>28</v>
      </c>
      <c r="D80">
        <v>107</v>
      </c>
      <c r="E80">
        <v>0</v>
      </c>
      <c r="F80">
        <v>8</v>
      </c>
      <c r="G80">
        <v>0</v>
      </c>
      <c r="H80">
        <v>141</v>
      </c>
      <c r="I80" s="1">
        <f t="shared" si="1"/>
        <v>0.75886524822695034</v>
      </c>
    </row>
    <row r="81" spans="1:9">
      <c r="A81" t="s">
        <v>32</v>
      </c>
      <c r="B81">
        <v>18</v>
      </c>
      <c r="C81">
        <v>29</v>
      </c>
      <c r="D81">
        <v>107</v>
      </c>
      <c r="E81">
        <v>0</v>
      </c>
      <c r="F81">
        <v>8</v>
      </c>
      <c r="G81">
        <v>0</v>
      </c>
      <c r="H81">
        <v>141</v>
      </c>
      <c r="I81" s="1">
        <f t="shared" si="1"/>
        <v>0.75886524822695034</v>
      </c>
    </row>
    <row r="82" spans="1:9">
      <c r="A82" t="s">
        <v>32</v>
      </c>
      <c r="B82">
        <v>18</v>
      </c>
      <c r="C82">
        <v>30</v>
      </c>
      <c r="D82">
        <v>107</v>
      </c>
      <c r="E82">
        <v>0</v>
      </c>
      <c r="F82">
        <v>8</v>
      </c>
      <c r="G82">
        <v>0</v>
      </c>
      <c r="H82">
        <v>141</v>
      </c>
      <c r="I82" s="1">
        <f t="shared" si="1"/>
        <v>0.75886524822695034</v>
      </c>
    </row>
    <row r="83" spans="1:9">
      <c r="A83" t="s">
        <v>32</v>
      </c>
      <c r="B83">
        <v>18</v>
      </c>
      <c r="C83">
        <v>31</v>
      </c>
      <c r="D83">
        <v>107</v>
      </c>
      <c r="E83">
        <v>0</v>
      </c>
      <c r="F83">
        <v>8</v>
      </c>
      <c r="G83">
        <v>0</v>
      </c>
      <c r="H83">
        <v>141</v>
      </c>
      <c r="I83" s="1">
        <f t="shared" si="1"/>
        <v>0.75886524822695034</v>
      </c>
    </row>
    <row r="84" spans="1:9">
      <c r="A84" t="s">
        <v>32</v>
      </c>
      <c r="B84">
        <v>18</v>
      </c>
      <c r="C84">
        <v>32</v>
      </c>
      <c r="D84">
        <v>107</v>
      </c>
      <c r="E84">
        <v>0</v>
      </c>
      <c r="F84">
        <v>8</v>
      </c>
      <c r="G84">
        <v>0</v>
      </c>
      <c r="H84">
        <v>141</v>
      </c>
      <c r="I84" s="1">
        <f t="shared" si="1"/>
        <v>0.75886524822695034</v>
      </c>
    </row>
    <row r="85" spans="1:9">
      <c r="A85" t="s">
        <v>32</v>
      </c>
      <c r="B85">
        <v>18</v>
      </c>
      <c r="C85">
        <v>33</v>
      </c>
      <c r="D85">
        <v>107</v>
      </c>
      <c r="E85">
        <v>0</v>
      </c>
      <c r="F85">
        <v>8</v>
      </c>
      <c r="G85">
        <v>0</v>
      </c>
      <c r="H85">
        <v>141</v>
      </c>
      <c r="I85" s="1">
        <f t="shared" si="1"/>
        <v>0.75886524822695034</v>
      </c>
    </row>
    <row r="86" spans="1:9">
      <c r="A86" t="s">
        <v>32</v>
      </c>
      <c r="B86">
        <v>18</v>
      </c>
      <c r="C86">
        <v>34</v>
      </c>
      <c r="D86">
        <v>107</v>
      </c>
      <c r="E86">
        <v>0</v>
      </c>
      <c r="F86">
        <v>8</v>
      </c>
      <c r="G86">
        <v>0</v>
      </c>
      <c r="H86">
        <v>141</v>
      </c>
      <c r="I86" s="1">
        <f t="shared" si="1"/>
        <v>0.75886524822695034</v>
      </c>
    </row>
    <row r="87" spans="1:9">
      <c r="A87" t="s">
        <v>32</v>
      </c>
      <c r="B87">
        <v>18</v>
      </c>
      <c r="C87">
        <v>35</v>
      </c>
      <c r="D87">
        <v>107</v>
      </c>
      <c r="E87">
        <v>0</v>
      </c>
      <c r="F87">
        <v>8</v>
      </c>
      <c r="G87">
        <v>0</v>
      </c>
      <c r="H87">
        <v>141</v>
      </c>
      <c r="I87" s="1">
        <f t="shared" si="1"/>
        <v>0.75886524822695034</v>
      </c>
    </row>
    <row r="88" spans="1:9">
      <c r="A88" t="s">
        <v>32</v>
      </c>
      <c r="B88">
        <v>18</v>
      </c>
      <c r="C88">
        <v>36</v>
      </c>
      <c r="D88">
        <v>107</v>
      </c>
      <c r="E88">
        <v>0</v>
      </c>
      <c r="F88">
        <v>8</v>
      </c>
      <c r="G88">
        <v>0</v>
      </c>
      <c r="H88">
        <v>141</v>
      </c>
      <c r="I88" s="1">
        <f t="shared" si="1"/>
        <v>0.75886524822695034</v>
      </c>
    </row>
    <row r="89" spans="1:9">
      <c r="A89" t="s">
        <v>32</v>
      </c>
      <c r="B89">
        <v>18</v>
      </c>
      <c r="C89">
        <v>37</v>
      </c>
      <c r="D89">
        <v>107</v>
      </c>
      <c r="E89">
        <v>0</v>
      </c>
      <c r="F89">
        <v>8</v>
      </c>
      <c r="G89">
        <v>0</v>
      </c>
      <c r="H89">
        <v>141</v>
      </c>
      <c r="I89" s="1">
        <f t="shared" si="1"/>
        <v>0.75886524822695034</v>
      </c>
    </row>
    <row r="90" spans="1:9">
      <c r="A90" t="s">
        <v>32</v>
      </c>
      <c r="B90">
        <v>18</v>
      </c>
      <c r="C90">
        <v>38</v>
      </c>
      <c r="D90">
        <v>107</v>
      </c>
      <c r="E90">
        <v>0</v>
      </c>
      <c r="F90">
        <v>8</v>
      </c>
      <c r="G90">
        <v>0</v>
      </c>
      <c r="H90">
        <v>141</v>
      </c>
      <c r="I90" s="1">
        <f t="shared" si="1"/>
        <v>0.75886524822695034</v>
      </c>
    </row>
    <row r="91" spans="1:9">
      <c r="A91" t="s">
        <v>32</v>
      </c>
      <c r="B91">
        <v>18</v>
      </c>
      <c r="C91">
        <v>39</v>
      </c>
      <c r="D91">
        <v>107</v>
      </c>
      <c r="E91">
        <v>0</v>
      </c>
      <c r="F91">
        <v>8</v>
      </c>
      <c r="G91">
        <v>0</v>
      </c>
      <c r="H91">
        <v>141</v>
      </c>
      <c r="I91" s="1">
        <f t="shared" si="1"/>
        <v>0.75886524822695034</v>
      </c>
    </row>
    <row r="92" spans="1:9">
      <c r="A92" t="s">
        <v>32</v>
      </c>
      <c r="B92">
        <v>18</v>
      </c>
      <c r="C92">
        <v>40</v>
      </c>
      <c r="D92">
        <v>141</v>
      </c>
      <c r="E92">
        <v>0</v>
      </c>
      <c r="F92">
        <v>0</v>
      </c>
      <c r="G92">
        <v>0</v>
      </c>
      <c r="H92">
        <v>141</v>
      </c>
      <c r="I92" s="1">
        <f t="shared" si="1"/>
        <v>1</v>
      </c>
    </row>
    <row r="93" spans="1:9">
      <c r="A93" t="s">
        <v>32</v>
      </c>
      <c r="B93">
        <v>18</v>
      </c>
      <c r="C93">
        <v>41</v>
      </c>
      <c r="D93">
        <v>141</v>
      </c>
      <c r="E93">
        <v>0</v>
      </c>
      <c r="F93">
        <v>0</v>
      </c>
      <c r="G93">
        <v>0</v>
      </c>
      <c r="H93">
        <v>141</v>
      </c>
      <c r="I93" s="1">
        <f t="shared" si="1"/>
        <v>1</v>
      </c>
    </row>
    <row r="94" spans="1:9">
      <c r="A94" t="s">
        <v>32</v>
      </c>
      <c r="B94">
        <v>18</v>
      </c>
      <c r="C94">
        <v>42</v>
      </c>
      <c r="D94">
        <v>141</v>
      </c>
      <c r="E94">
        <v>0</v>
      </c>
      <c r="F94">
        <v>0</v>
      </c>
      <c r="G94">
        <v>0</v>
      </c>
      <c r="H94">
        <v>141</v>
      </c>
      <c r="I94" s="1">
        <f t="shared" si="1"/>
        <v>1</v>
      </c>
    </row>
    <row r="95" spans="1:9">
      <c r="A95" t="s">
        <v>32</v>
      </c>
      <c r="B95">
        <v>18</v>
      </c>
      <c r="C95">
        <v>43</v>
      </c>
      <c r="D95">
        <v>141</v>
      </c>
      <c r="E95">
        <v>0</v>
      </c>
      <c r="F95">
        <v>0</v>
      </c>
      <c r="G95">
        <v>0</v>
      </c>
      <c r="H95">
        <v>141</v>
      </c>
      <c r="I95" s="1">
        <f t="shared" si="1"/>
        <v>1</v>
      </c>
    </row>
    <row r="96" spans="1:9">
      <c r="A96" t="s">
        <v>32</v>
      </c>
      <c r="B96">
        <v>18</v>
      </c>
      <c r="C96">
        <v>44</v>
      </c>
      <c r="D96">
        <v>141</v>
      </c>
      <c r="E96">
        <v>0</v>
      </c>
      <c r="F96">
        <v>0</v>
      </c>
      <c r="G96">
        <v>0</v>
      </c>
      <c r="H96">
        <v>141</v>
      </c>
      <c r="I96" s="1">
        <f t="shared" si="1"/>
        <v>1</v>
      </c>
    </row>
    <row r="97" spans="1:9">
      <c r="A97" t="s">
        <v>32</v>
      </c>
      <c r="B97">
        <v>18</v>
      </c>
      <c r="C97">
        <v>45</v>
      </c>
      <c r="D97">
        <v>141</v>
      </c>
      <c r="E97">
        <v>0</v>
      </c>
      <c r="F97">
        <v>0</v>
      </c>
      <c r="G97">
        <v>0</v>
      </c>
      <c r="H97">
        <v>141</v>
      </c>
      <c r="I97" s="1">
        <f t="shared" si="1"/>
        <v>1</v>
      </c>
    </row>
    <row r="98" spans="1:9">
      <c r="A98" t="s">
        <v>32</v>
      </c>
      <c r="B98">
        <v>18</v>
      </c>
      <c r="C98">
        <v>46</v>
      </c>
      <c r="D98">
        <v>141</v>
      </c>
      <c r="E98">
        <v>0</v>
      </c>
      <c r="F98">
        <v>0</v>
      </c>
      <c r="G98">
        <v>0</v>
      </c>
      <c r="H98">
        <v>141</v>
      </c>
      <c r="I98" s="1">
        <f t="shared" si="1"/>
        <v>1</v>
      </c>
    </row>
    <row r="99" spans="1:9">
      <c r="A99" t="s">
        <v>32</v>
      </c>
      <c r="B99">
        <v>19</v>
      </c>
      <c r="C99">
        <v>1</v>
      </c>
      <c r="D99">
        <v>3</v>
      </c>
      <c r="E99">
        <v>0</v>
      </c>
      <c r="F99">
        <v>1</v>
      </c>
      <c r="G99">
        <v>0</v>
      </c>
      <c r="H99">
        <v>127</v>
      </c>
      <c r="I99" s="1">
        <f t="shared" si="1"/>
        <v>2.3622047244094488E-2</v>
      </c>
    </row>
    <row r="100" spans="1:9">
      <c r="A100" t="s">
        <v>32</v>
      </c>
      <c r="B100">
        <v>19</v>
      </c>
      <c r="C100">
        <v>2</v>
      </c>
      <c r="D100">
        <v>6</v>
      </c>
      <c r="E100">
        <v>0</v>
      </c>
      <c r="F100">
        <v>1</v>
      </c>
      <c r="G100">
        <v>0</v>
      </c>
      <c r="H100">
        <v>127</v>
      </c>
      <c r="I100" s="1">
        <f t="shared" si="1"/>
        <v>4.7244094488188976E-2</v>
      </c>
    </row>
    <row r="101" spans="1:9">
      <c r="A101" t="s">
        <v>32</v>
      </c>
      <c r="B101">
        <v>19</v>
      </c>
      <c r="C101">
        <v>3</v>
      </c>
      <c r="D101">
        <v>87</v>
      </c>
      <c r="E101">
        <v>0</v>
      </c>
      <c r="F101">
        <v>11</v>
      </c>
      <c r="G101">
        <v>0</v>
      </c>
      <c r="H101">
        <v>127</v>
      </c>
      <c r="I101" s="1">
        <f t="shared" si="1"/>
        <v>0.68503937007874016</v>
      </c>
    </row>
    <row r="102" spans="1:9">
      <c r="A102" t="s">
        <v>32</v>
      </c>
      <c r="B102">
        <v>19</v>
      </c>
      <c r="C102">
        <v>4</v>
      </c>
      <c r="D102">
        <v>92</v>
      </c>
      <c r="E102">
        <v>0</v>
      </c>
      <c r="F102">
        <v>12</v>
      </c>
      <c r="G102">
        <v>0</v>
      </c>
      <c r="H102">
        <v>127</v>
      </c>
      <c r="I102" s="1">
        <f t="shared" si="1"/>
        <v>0.72440944881889768</v>
      </c>
    </row>
    <row r="103" spans="1:9">
      <c r="A103" t="s">
        <v>32</v>
      </c>
      <c r="B103">
        <v>19</v>
      </c>
      <c r="C103">
        <v>5</v>
      </c>
      <c r="D103">
        <v>93</v>
      </c>
      <c r="E103">
        <v>0</v>
      </c>
      <c r="F103">
        <v>11</v>
      </c>
      <c r="G103">
        <v>0</v>
      </c>
      <c r="H103">
        <v>127</v>
      </c>
      <c r="I103" s="1">
        <f t="shared" si="1"/>
        <v>0.73228346456692917</v>
      </c>
    </row>
    <row r="104" spans="1:9">
      <c r="A104" t="s">
        <v>32</v>
      </c>
      <c r="B104">
        <v>19</v>
      </c>
      <c r="C104">
        <v>6</v>
      </c>
      <c r="D104">
        <v>125</v>
      </c>
      <c r="E104">
        <v>0</v>
      </c>
      <c r="F104">
        <v>2</v>
      </c>
      <c r="G104">
        <v>0</v>
      </c>
      <c r="H104">
        <v>127</v>
      </c>
      <c r="I104" s="1">
        <f t="shared" si="1"/>
        <v>0.98425196850393704</v>
      </c>
    </row>
    <row r="105" spans="1:9">
      <c r="A105" t="s">
        <v>32</v>
      </c>
      <c r="B105">
        <v>19</v>
      </c>
      <c r="C105">
        <v>7</v>
      </c>
      <c r="D105">
        <v>126</v>
      </c>
      <c r="E105">
        <v>0</v>
      </c>
      <c r="F105">
        <v>1</v>
      </c>
      <c r="G105">
        <v>0</v>
      </c>
      <c r="H105">
        <v>127</v>
      </c>
      <c r="I105" s="1">
        <f t="shared" si="1"/>
        <v>0.99212598425196852</v>
      </c>
    </row>
    <row r="106" spans="1:9">
      <c r="A106" t="s">
        <v>32</v>
      </c>
      <c r="B106">
        <v>19</v>
      </c>
      <c r="C106">
        <v>8</v>
      </c>
      <c r="D106">
        <v>127</v>
      </c>
      <c r="E106">
        <v>0</v>
      </c>
      <c r="F106">
        <v>0</v>
      </c>
      <c r="G106">
        <v>0</v>
      </c>
      <c r="H106">
        <v>127</v>
      </c>
      <c r="I106" s="1">
        <f t="shared" si="1"/>
        <v>1</v>
      </c>
    </row>
    <row r="107" spans="1:9">
      <c r="A107" t="s">
        <v>32</v>
      </c>
      <c r="B107">
        <v>19</v>
      </c>
      <c r="C107">
        <v>9</v>
      </c>
      <c r="D107">
        <v>127</v>
      </c>
      <c r="E107">
        <v>0</v>
      </c>
      <c r="F107">
        <v>0</v>
      </c>
      <c r="G107">
        <v>0</v>
      </c>
      <c r="H107">
        <v>127</v>
      </c>
      <c r="I107" s="1">
        <f t="shared" si="1"/>
        <v>1</v>
      </c>
    </row>
    <row r="108" spans="1:9">
      <c r="A108" t="s">
        <v>32</v>
      </c>
      <c r="B108">
        <v>19</v>
      </c>
      <c r="C108">
        <v>10</v>
      </c>
      <c r="D108">
        <v>127</v>
      </c>
      <c r="E108">
        <v>0</v>
      </c>
      <c r="F108">
        <v>0</v>
      </c>
      <c r="G108">
        <v>0</v>
      </c>
      <c r="H108">
        <v>127</v>
      </c>
      <c r="I108" s="1">
        <f t="shared" si="1"/>
        <v>1</v>
      </c>
    </row>
    <row r="109" spans="1:9">
      <c r="A109" t="s">
        <v>32</v>
      </c>
      <c r="B109">
        <v>19</v>
      </c>
      <c r="C109">
        <v>11</v>
      </c>
      <c r="D109">
        <v>127</v>
      </c>
      <c r="E109">
        <v>0</v>
      </c>
      <c r="F109">
        <v>0</v>
      </c>
      <c r="G109">
        <v>0</v>
      </c>
      <c r="H109">
        <v>127</v>
      </c>
      <c r="I109" s="1">
        <f t="shared" si="1"/>
        <v>1</v>
      </c>
    </row>
    <row r="110" spans="1:9">
      <c r="A110" t="s">
        <v>32</v>
      </c>
      <c r="B110">
        <v>19</v>
      </c>
      <c r="C110">
        <v>12</v>
      </c>
      <c r="D110">
        <v>127</v>
      </c>
      <c r="E110">
        <v>0</v>
      </c>
      <c r="F110">
        <v>0</v>
      </c>
      <c r="G110">
        <v>0</v>
      </c>
      <c r="H110">
        <v>127</v>
      </c>
      <c r="I110" s="1">
        <f t="shared" si="1"/>
        <v>1</v>
      </c>
    </row>
    <row r="111" spans="1:9">
      <c r="A111" t="s">
        <v>32</v>
      </c>
      <c r="B111">
        <v>19</v>
      </c>
      <c r="C111">
        <v>13</v>
      </c>
      <c r="D111">
        <v>127</v>
      </c>
      <c r="E111">
        <v>0</v>
      </c>
      <c r="F111">
        <v>0</v>
      </c>
      <c r="G111">
        <v>0</v>
      </c>
      <c r="H111">
        <v>127</v>
      </c>
      <c r="I111" s="1">
        <f t="shared" si="1"/>
        <v>1</v>
      </c>
    </row>
    <row r="112" spans="1:9">
      <c r="A112" t="s">
        <v>32</v>
      </c>
      <c r="B112">
        <v>19</v>
      </c>
      <c r="C112">
        <v>14</v>
      </c>
      <c r="D112">
        <v>127</v>
      </c>
      <c r="E112">
        <v>0</v>
      </c>
      <c r="F112">
        <v>0</v>
      </c>
      <c r="G112">
        <v>0</v>
      </c>
      <c r="H112">
        <v>127</v>
      </c>
      <c r="I112" s="1">
        <f t="shared" si="1"/>
        <v>1</v>
      </c>
    </row>
    <row r="113" spans="1:9">
      <c r="A113" t="s">
        <v>32</v>
      </c>
      <c r="B113">
        <v>19</v>
      </c>
      <c r="C113">
        <v>15</v>
      </c>
      <c r="D113">
        <v>127</v>
      </c>
      <c r="E113">
        <v>0</v>
      </c>
      <c r="F113">
        <v>0</v>
      </c>
      <c r="G113">
        <v>0</v>
      </c>
      <c r="H113">
        <v>127</v>
      </c>
      <c r="I113" s="1">
        <f t="shared" si="1"/>
        <v>1</v>
      </c>
    </row>
    <row r="114" spans="1:9">
      <c r="A114" t="s">
        <v>32</v>
      </c>
      <c r="B114">
        <v>19</v>
      </c>
      <c r="C114">
        <v>16</v>
      </c>
      <c r="D114">
        <v>127</v>
      </c>
      <c r="E114">
        <v>0</v>
      </c>
      <c r="F114">
        <v>0</v>
      </c>
      <c r="G114">
        <v>0</v>
      </c>
      <c r="H114">
        <v>127</v>
      </c>
      <c r="I114" s="1">
        <f t="shared" si="1"/>
        <v>1</v>
      </c>
    </row>
    <row r="115" spans="1:9">
      <c r="A115" t="s">
        <v>32</v>
      </c>
      <c r="B115">
        <v>19</v>
      </c>
      <c r="C115">
        <v>17</v>
      </c>
      <c r="D115">
        <v>127</v>
      </c>
      <c r="E115">
        <v>0</v>
      </c>
      <c r="F115">
        <v>0</v>
      </c>
      <c r="G115">
        <v>0</v>
      </c>
      <c r="H115">
        <v>127</v>
      </c>
      <c r="I115" s="1">
        <f t="shared" si="1"/>
        <v>1</v>
      </c>
    </row>
    <row r="116" spans="1:9">
      <c r="A116" t="s">
        <v>32</v>
      </c>
      <c r="B116">
        <v>19</v>
      </c>
      <c r="C116">
        <v>18</v>
      </c>
      <c r="D116">
        <v>127</v>
      </c>
      <c r="E116">
        <v>0</v>
      </c>
      <c r="F116">
        <v>0</v>
      </c>
      <c r="G116">
        <v>0</v>
      </c>
      <c r="H116">
        <v>127</v>
      </c>
      <c r="I116" s="1">
        <f t="shared" si="1"/>
        <v>1</v>
      </c>
    </row>
    <row r="117" spans="1:9">
      <c r="A117" t="s">
        <v>32</v>
      </c>
      <c r="B117">
        <v>19</v>
      </c>
      <c r="C117">
        <v>19</v>
      </c>
      <c r="D117">
        <v>127</v>
      </c>
      <c r="E117">
        <v>0</v>
      </c>
      <c r="F117">
        <v>0</v>
      </c>
      <c r="G117">
        <v>0</v>
      </c>
      <c r="H117">
        <v>127</v>
      </c>
      <c r="I117" s="1">
        <f t="shared" si="1"/>
        <v>1</v>
      </c>
    </row>
    <row r="118" spans="1:9">
      <c r="A118" t="s">
        <v>32</v>
      </c>
      <c r="B118">
        <v>19</v>
      </c>
      <c r="C118">
        <v>20</v>
      </c>
      <c r="D118">
        <v>127</v>
      </c>
      <c r="E118">
        <v>0</v>
      </c>
      <c r="F118">
        <v>0</v>
      </c>
      <c r="G118">
        <v>0</v>
      </c>
      <c r="H118">
        <v>127</v>
      </c>
      <c r="I118" s="1">
        <f t="shared" si="1"/>
        <v>1</v>
      </c>
    </row>
    <row r="119" spans="1:9">
      <c r="A119" t="s">
        <v>32</v>
      </c>
      <c r="B119">
        <v>19</v>
      </c>
      <c r="C119">
        <v>21</v>
      </c>
      <c r="D119">
        <v>127</v>
      </c>
      <c r="E119">
        <v>0</v>
      </c>
      <c r="F119">
        <v>0</v>
      </c>
      <c r="G119">
        <v>0</v>
      </c>
      <c r="H119">
        <v>127</v>
      </c>
      <c r="I119" s="1">
        <f t="shared" si="1"/>
        <v>1</v>
      </c>
    </row>
    <row r="120" spans="1:9">
      <c r="A120" t="s">
        <v>32</v>
      </c>
      <c r="B120">
        <v>19</v>
      </c>
      <c r="C120">
        <v>22</v>
      </c>
      <c r="D120">
        <v>127</v>
      </c>
      <c r="E120">
        <v>0</v>
      </c>
      <c r="F120">
        <v>0</v>
      </c>
      <c r="G120">
        <v>0</v>
      </c>
      <c r="H120">
        <v>127</v>
      </c>
      <c r="I120" s="1">
        <f t="shared" si="1"/>
        <v>1</v>
      </c>
    </row>
    <row r="121" spans="1:9">
      <c r="A121" t="s">
        <v>32</v>
      </c>
      <c r="B121">
        <v>19</v>
      </c>
      <c r="C121">
        <v>23</v>
      </c>
      <c r="D121">
        <v>127</v>
      </c>
      <c r="E121">
        <v>0</v>
      </c>
      <c r="F121">
        <v>0</v>
      </c>
      <c r="G121">
        <v>0</v>
      </c>
      <c r="H121">
        <v>127</v>
      </c>
      <c r="I121" s="1">
        <f t="shared" si="1"/>
        <v>1</v>
      </c>
    </row>
    <row r="122" spans="1:9">
      <c r="A122" t="s">
        <v>32</v>
      </c>
      <c r="B122">
        <v>19</v>
      </c>
      <c r="C122">
        <v>24</v>
      </c>
      <c r="D122">
        <v>127</v>
      </c>
      <c r="E122">
        <v>0</v>
      </c>
      <c r="F122">
        <v>0</v>
      </c>
      <c r="G122">
        <v>0</v>
      </c>
      <c r="H122">
        <v>127</v>
      </c>
      <c r="I122" s="1">
        <f t="shared" si="1"/>
        <v>1</v>
      </c>
    </row>
    <row r="123" spans="1:9">
      <c r="A123" t="s">
        <v>32</v>
      </c>
      <c r="B123">
        <v>19</v>
      </c>
      <c r="C123">
        <v>25</v>
      </c>
      <c r="D123">
        <v>127</v>
      </c>
      <c r="E123">
        <v>0</v>
      </c>
      <c r="F123">
        <v>0</v>
      </c>
      <c r="G123">
        <v>0</v>
      </c>
      <c r="H123">
        <v>127</v>
      </c>
      <c r="I123" s="1">
        <f t="shared" si="1"/>
        <v>1</v>
      </c>
    </row>
    <row r="124" spans="1:9">
      <c r="A124" t="s">
        <v>32</v>
      </c>
      <c r="B124">
        <v>19</v>
      </c>
      <c r="C124">
        <v>26</v>
      </c>
      <c r="D124">
        <v>127</v>
      </c>
      <c r="E124">
        <v>0</v>
      </c>
      <c r="F124">
        <v>0</v>
      </c>
      <c r="G124">
        <v>0</v>
      </c>
      <c r="H124">
        <v>127</v>
      </c>
      <c r="I124" s="1">
        <f t="shared" si="1"/>
        <v>1</v>
      </c>
    </row>
    <row r="125" spans="1:9">
      <c r="A125" t="s">
        <v>32</v>
      </c>
      <c r="B125">
        <v>19</v>
      </c>
      <c r="C125">
        <v>27</v>
      </c>
      <c r="D125">
        <v>127</v>
      </c>
      <c r="E125">
        <v>0</v>
      </c>
      <c r="F125">
        <v>0</v>
      </c>
      <c r="G125">
        <v>0</v>
      </c>
      <c r="H125">
        <v>127</v>
      </c>
      <c r="I125" s="1">
        <f t="shared" si="1"/>
        <v>1</v>
      </c>
    </row>
    <row r="126" spans="1:9">
      <c r="A126" t="s">
        <v>32</v>
      </c>
      <c r="B126">
        <v>19</v>
      </c>
      <c r="C126">
        <v>28</v>
      </c>
      <c r="D126">
        <v>127</v>
      </c>
      <c r="E126">
        <v>0</v>
      </c>
      <c r="F126">
        <v>0</v>
      </c>
      <c r="G126">
        <v>0</v>
      </c>
      <c r="H126">
        <v>127</v>
      </c>
      <c r="I126" s="1">
        <f t="shared" si="1"/>
        <v>1</v>
      </c>
    </row>
    <row r="127" spans="1:9">
      <c r="A127" t="s">
        <v>32</v>
      </c>
      <c r="B127">
        <v>20</v>
      </c>
      <c r="C127">
        <v>1</v>
      </c>
      <c r="D127">
        <v>20</v>
      </c>
      <c r="E127">
        <v>0</v>
      </c>
      <c r="F127">
        <v>7</v>
      </c>
      <c r="G127">
        <v>0</v>
      </c>
      <c r="H127">
        <v>101</v>
      </c>
      <c r="I127" s="1">
        <f t="shared" si="1"/>
        <v>0.19801980198019803</v>
      </c>
    </row>
    <row r="128" spans="1:9">
      <c r="A128" t="s">
        <v>32</v>
      </c>
      <c r="B128">
        <v>20</v>
      </c>
      <c r="C128">
        <v>2</v>
      </c>
      <c r="D128">
        <v>23</v>
      </c>
      <c r="E128">
        <v>0</v>
      </c>
      <c r="F128">
        <v>7</v>
      </c>
      <c r="G128">
        <v>0</v>
      </c>
      <c r="H128">
        <v>101</v>
      </c>
      <c r="I128" s="1">
        <f t="shared" si="1"/>
        <v>0.22772277227722773</v>
      </c>
    </row>
    <row r="129" spans="1:9">
      <c r="A129" t="s">
        <v>32</v>
      </c>
      <c r="B129">
        <v>20</v>
      </c>
      <c r="C129">
        <v>3</v>
      </c>
      <c r="D129">
        <v>26</v>
      </c>
      <c r="E129">
        <v>0</v>
      </c>
      <c r="F129">
        <v>6</v>
      </c>
      <c r="G129">
        <v>0</v>
      </c>
      <c r="H129">
        <v>101</v>
      </c>
      <c r="I129" s="1">
        <f t="shared" si="1"/>
        <v>0.25742574257425743</v>
      </c>
    </row>
    <row r="130" spans="1:9">
      <c r="A130" t="s">
        <v>32</v>
      </c>
      <c r="B130">
        <v>20</v>
      </c>
      <c r="C130">
        <v>4</v>
      </c>
      <c r="D130">
        <v>42</v>
      </c>
      <c r="E130">
        <v>0</v>
      </c>
      <c r="F130">
        <v>6</v>
      </c>
      <c r="G130">
        <v>0</v>
      </c>
      <c r="H130">
        <v>101</v>
      </c>
      <c r="I130" s="1">
        <f t="shared" si="1"/>
        <v>0.41584158415841582</v>
      </c>
    </row>
    <row r="131" spans="1:9">
      <c r="A131" t="s">
        <v>32</v>
      </c>
      <c r="B131">
        <v>20</v>
      </c>
      <c r="C131">
        <v>5</v>
      </c>
      <c r="D131">
        <v>42</v>
      </c>
      <c r="E131">
        <v>0</v>
      </c>
      <c r="F131">
        <v>6</v>
      </c>
      <c r="G131">
        <v>0</v>
      </c>
      <c r="H131">
        <v>101</v>
      </c>
      <c r="I131" s="1">
        <f t="shared" ref="I131:I194" si="2">D131/H131</f>
        <v>0.41584158415841582</v>
      </c>
    </row>
    <row r="132" spans="1:9">
      <c r="A132" t="s">
        <v>32</v>
      </c>
      <c r="B132">
        <v>20</v>
      </c>
      <c r="C132">
        <v>6</v>
      </c>
      <c r="D132">
        <v>45</v>
      </c>
      <c r="E132">
        <v>0</v>
      </c>
      <c r="F132">
        <v>9</v>
      </c>
      <c r="G132">
        <v>0</v>
      </c>
      <c r="H132">
        <v>101</v>
      </c>
      <c r="I132" s="1">
        <f t="shared" si="2"/>
        <v>0.44554455445544555</v>
      </c>
    </row>
    <row r="133" spans="1:9">
      <c r="A133" t="s">
        <v>32</v>
      </c>
      <c r="B133">
        <v>20</v>
      </c>
      <c r="C133">
        <v>7</v>
      </c>
      <c r="D133">
        <v>53</v>
      </c>
      <c r="E133">
        <v>0</v>
      </c>
      <c r="F133">
        <v>7</v>
      </c>
      <c r="G133">
        <v>0</v>
      </c>
      <c r="H133">
        <v>101</v>
      </c>
      <c r="I133" s="1">
        <f t="shared" si="2"/>
        <v>0.52475247524752477</v>
      </c>
    </row>
    <row r="134" spans="1:9">
      <c r="A134" t="s">
        <v>32</v>
      </c>
      <c r="B134">
        <v>20</v>
      </c>
      <c r="C134">
        <v>8</v>
      </c>
      <c r="D134">
        <v>53</v>
      </c>
      <c r="E134">
        <v>0</v>
      </c>
      <c r="F134">
        <v>7</v>
      </c>
      <c r="G134">
        <v>0</v>
      </c>
      <c r="H134">
        <v>101</v>
      </c>
      <c r="I134" s="1">
        <f t="shared" si="2"/>
        <v>0.52475247524752477</v>
      </c>
    </row>
    <row r="135" spans="1:9">
      <c r="A135" t="s">
        <v>32</v>
      </c>
      <c r="B135">
        <v>20</v>
      </c>
      <c r="C135">
        <v>9</v>
      </c>
      <c r="D135">
        <v>53</v>
      </c>
      <c r="E135">
        <v>0</v>
      </c>
      <c r="F135">
        <v>7</v>
      </c>
      <c r="G135">
        <v>0</v>
      </c>
      <c r="H135">
        <v>101</v>
      </c>
      <c r="I135" s="1">
        <f t="shared" si="2"/>
        <v>0.52475247524752477</v>
      </c>
    </row>
    <row r="136" spans="1:9">
      <c r="A136" t="s">
        <v>32</v>
      </c>
      <c r="B136">
        <v>20</v>
      </c>
      <c r="C136">
        <v>10</v>
      </c>
      <c r="D136">
        <v>53</v>
      </c>
      <c r="E136">
        <v>0</v>
      </c>
      <c r="F136">
        <v>7</v>
      </c>
      <c r="G136">
        <v>0</v>
      </c>
      <c r="H136">
        <v>101</v>
      </c>
      <c r="I136" s="1">
        <f t="shared" si="2"/>
        <v>0.52475247524752477</v>
      </c>
    </row>
    <row r="137" spans="1:9">
      <c r="A137" t="s">
        <v>32</v>
      </c>
      <c r="B137">
        <v>20</v>
      </c>
      <c r="C137">
        <v>11</v>
      </c>
      <c r="D137">
        <v>53</v>
      </c>
      <c r="E137">
        <v>0</v>
      </c>
      <c r="F137">
        <v>7</v>
      </c>
      <c r="G137">
        <v>0</v>
      </c>
      <c r="H137">
        <v>101</v>
      </c>
      <c r="I137" s="1">
        <f t="shared" si="2"/>
        <v>0.52475247524752477</v>
      </c>
    </row>
    <row r="138" spans="1:9">
      <c r="A138" t="s">
        <v>32</v>
      </c>
      <c r="B138">
        <v>20</v>
      </c>
      <c r="C138">
        <v>12</v>
      </c>
      <c r="D138">
        <v>53</v>
      </c>
      <c r="E138">
        <v>0</v>
      </c>
      <c r="F138">
        <v>7</v>
      </c>
      <c r="G138">
        <v>0</v>
      </c>
      <c r="H138">
        <v>101</v>
      </c>
      <c r="I138" s="1">
        <f t="shared" si="2"/>
        <v>0.52475247524752477</v>
      </c>
    </row>
    <row r="139" spans="1:9">
      <c r="A139" t="s">
        <v>32</v>
      </c>
      <c r="B139">
        <v>20</v>
      </c>
      <c r="C139">
        <v>13</v>
      </c>
      <c r="D139">
        <v>53</v>
      </c>
      <c r="E139">
        <v>0</v>
      </c>
      <c r="F139">
        <v>7</v>
      </c>
      <c r="G139">
        <v>0</v>
      </c>
      <c r="H139">
        <v>101</v>
      </c>
      <c r="I139" s="1">
        <f t="shared" si="2"/>
        <v>0.52475247524752477</v>
      </c>
    </row>
    <row r="140" spans="1:9">
      <c r="A140" t="s">
        <v>32</v>
      </c>
      <c r="B140">
        <v>20</v>
      </c>
      <c r="C140">
        <v>14</v>
      </c>
      <c r="D140">
        <v>71</v>
      </c>
      <c r="E140">
        <v>0</v>
      </c>
      <c r="F140">
        <v>5</v>
      </c>
      <c r="G140">
        <v>0</v>
      </c>
      <c r="H140">
        <v>101</v>
      </c>
      <c r="I140" s="1">
        <f t="shared" si="2"/>
        <v>0.70297029702970293</v>
      </c>
    </row>
    <row r="141" spans="1:9">
      <c r="A141" t="s">
        <v>32</v>
      </c>
      <c r="B141">
        <v>20</v>
      </c>
      <c r="C141">
        <v>15</v>
      </c>
      <c r="D141">
        <v>71</v>
      </c>
      <c r="E141">
        <v>0</v>
      </c>
      <c r="F141">
        <v>5</v>
      </c>
      <c r="G141">
        <v>0</v>
      </c>
      <c r="H141">
        <v>101</v>
      </c>
      <c r="I141" s="1">
        <f t="shared" si="2"/>
        <v>0.70297029702970293</v>
      </c>
    </row>
    <row r="142" spans="1:9">
      <c r="A142" t="s">
        <v>32</v>
      </c>
      <c r="B142">
        <v>20</v>
      </c>
      <c r="C142">
        <v>16</v>
      </c>
      <c r="D142">
        <v>71</v>
      </c>
      <c r="E142">
        <v>0</v>
      </c>
      <c r="F142">
        <v>5</v>
      </c>
      <c r="G142">
        <v>0</v>
      </c>
      <c r="H142">
        <v>101</v>
      </c>
      <c r="I142" s="1">
        <f t="shared" si="2"/>
        <v>0.70297029702970293</v>
      </c>
    </row>
    <row r="143" spans="1:9">
      <c r="A143" t="s">
        <v>32</v>
      </c>
      <c r="B143">
        <v>20</v>
      </c>
      <c r="C143">
        <v>17</v>
      </c>
      <c r="D143">
        <v>71</v>
      </c>
      <c r="E143">
        <v>0</v>
      </c>
      <c r="F143">
        <v>5</v>
      </c>
      <c r="G143">
        <v>0</v>
      </c>
      <c r="H143">
        <v>101</v>
      </c>
      <c r="I143" s="1">
        <f t="shared" si="2"/>
        <v>0.70297029702970293</v>
      </c>
    </row>
    <row r="144" spans="1:9">
      <c r="A144" t="s">
        <v>32</v>
      </c>
      <c r="B144">
        <v>20</v>
      </c>
      <c r="C144">
        <v>18</v>
      </c>
      <c r="D144">
        <v>71</v>
      </c>
      <c r="E144">
        <v>0</v>
      </c>
      <c r="F144">
        <v>5</v>
      </c>
      <c r="G144">
        <v>0</v>
      </c>
      <c r="H144">
        <v>101</v>
      </c>
      <c r="I144" s="1">
        <f t="shared" si="2"/>
        <v>0.70297029702970293</v>
      </c>
    </row>
    <row r="145" spans="1:9">
      <c r="A145" t="s">
        <v>32</v>
      </c>
      <c r="B145">
        <v>20</v>
      </c>
      <c r="C145">
        <v>19</v>
      </c>
      <c r="D145">
        <v>71</v>
      </c>
      <c r="E145">
        <v>0</v>
      </c>
      <c r="F145">
        <v>5</v>
      </c>
      <c r="G145">
        <v>0</v>
      </c>
      <c r="H145">
        <v>101</v>
      </c>
      <c r="I145" s="1">
        <f t="shared" si="2"/>
        <v>0.70297029702970293</v>
      </c>
    </row>
    <row r="146" spans="1:9">
      <c r="A146" t="s">
        <v>32</v>
      </c>
      <c r="B146">
        <v>20</v>
      </c>
      <c r="C146">
        <v>20</v>
      </c>
      <c r="D146">
        <v>71</v>
      </c>
      <c r="E146">
        <v>0</v>
      </c>
      <c r="F146">
        <v>5</v>
      </c>
      <c r="G146">
        <v>0</v>
      </c>
      <c r="H146">
        <v>101</v>
      </c>
      <c r="I146" s="1">
        <f t="shared" si="2"/>
        <v>0.70297029702970293</v>
      </c>
    </row>
    <row r="147" spans="1:9">
      <c r="A147" t="s">
        <v>32</v>
      </c>
      <c r="B147">
        <v>20</v>
      </c>
      <c r="C147">
        <v>21</v>
      </c>
      <c r="D147">
        <v>71</v>
      </c>
      <c r="E147">
        <v>0</v>
      </c>
      <c r="F147">
        <v>5</v>
      </c>
      <c r="G147">
        <v>0</v>
      </c>
      <c r="H147">
        <v>101</v>
      </c>
      <c r="I147" s="1">
        <f t="shared" si="2"/>
        <v>0.70297029702970293</v>
      </c>
    </row>
    <row r="148" spans="1:9">
      <c r="A148" t="s">
        <v>32</v>
      </c>
      <c r="B148">
        <v>20</v>
      </c>
      <c r="C148">
        <v>22</v>
      </c>
      <c r="D148">
        <v>71</v>
      </c>
      <c r="E148">
        <v>0</v>
      </c>
      <c r="F148">
        <v>5</v>
      </c>
      <c r="G148">
        <v>0</v>
      </c>
      <c r="H148">
        <v>101</v>
      </c>
      <c r="I148" s="1">
        <f t="shared" si="2"/>
        <v>0.70297029702970293</v>
      </c>
    </row>
    <row r="149" spans="1:9">
      <c r="A149" t="s">
        <v>32</v>
      </c>
      <c r="B149">
        <v>20</v>
      </c>
      <c r="C149">
        <v>23</v>
      </c>
      <c r="D149">
        <v>101</v>
      </c>
      <c r="E149">
        <v>0</v>
      </c>
      <c r="F149">
        <v>4</v>
      </c>
      <c r="G149">
        <v>0</v>
      </c>
      <c r="H149">
        <v>101</v>
      </c>
      <c r="I149" s="1">
        <f t="shared" si="2"/>
        <v>1</v>
      </c>
    </row>
    <row r="150" spans="1:9">
      <c r="A150" t="s">
        <v>32</v>
      </c>
      <c r="B150">
        <v>20</v>
      </c>
      <c r="C150">
        <v>24</v>
      </c>
      <c r="D150">
        <v>101</v>
      </c>
      <c r="E150">
        <v>0</v>
      </c>
      <c r="F150">
        <v>4</v>
      </c>
      <c r="G150">
        <v>0</v>
      </c>
      <c r="H150">
        <v>101</v>
      </c>
      <c r="I150" s="1">
        <f t="shared" si="2"/>
        <v>1</v>
      </c>
    </row>
    <row r="151" spans="1:9">
      <c r="A151" t="s">
        <v>32</v>
      </c>
      <c r="B151">
        <v>20</v>
      </c>
      <c r="C151">
        <v>25</v>
      </c>
      <c r="D151">
        <v>101</v>
      </c>
      <c r="E151">
        <v>0</v>
      </c>
      <c r="F151">
        <v>4</v>
      </c>
      <c r="G151">
        <v>0</v>
      </c>
      <c r="H151">
        <v>101</v>
      </c>
      <c r="I151" s="1">
        <f t="shared" si="2"/>
        <v>1</v>
      </c>
    </row>
    <row r="152" spans="1:9">
      <c r="A152" t="s">
        <v>32</v>
      </c>
      <c r="B152">
        <v>20</v>
      </c>
      <c r="C152">
        <v>26</v>
      </c>
      <c r="D152">
        <v>101</v>
      </c>
      <c r="E152">
        <v>0</v>
      </c>
      <c r="F152">
        <v>4</v>
      </c>
      <c r="G152">
        <v>0</v>
      </c>
      <c r="H152">
        <v>101</v>
      </c>
      <c r="I152" s="1">
        <f t="shared" si="2"/>
        <v>1</v>
      </c>
    </row>
    <row r="153" spans="1:9">
      <c r="A153" t="s">
        <v>32</v>
      </c>
      <c r="B153">
        <v>20</v>
      </c>
      <c r="C153">
        <v>27</v>
      </c>
      <c r="D153">
        <v>101</v>
      </c>
      <c r="E153">
        <v>0</v>
      </c>
      <c r="F153">
        <v>4</v>
      </c>
      <c r="G153">
        <v>0</v>
      </c>
      <c r="H153">
        <v>101</v>
      </c>
      <c r="I153" s="1">
        <f t="shared" si="2"/>
        <v>1</v>
      </c>
    </row>
    <row r="154" spans="1:9">
      <c r="A154" t="s">
        <v>32</v>
      </c>
      <c r="B154">
        <v>20</v>
      </c>
      <c r="C154">
        <v>28</v>
      </c>
      <c r="D154">
        <v>101</v>
      </c>
      <c r="E154">
        <v>0</v>
      </c>
      <c r="F154">
        <v>4</v>
      </c>
      <c r="G154">
        <v>0</v>
      </c>
      <c r="H154">
        <v>101</v>
      </c>
      <c r="I154" s="1">
        <f t="shared" si="2"/>
        <v>1</v>
      </c>
    </row>
    <row r="155" spans="1:9">
      <c r="A155" t="s">
        <v>32</v>
      </c>
      <c r="B155">
        <v>20</v>
      </c>
      <c r="C155">
        <v>29</v>
      </c>
      <c r="D155">
        <v>101</v>
      </c>
      <c r="E155">
        <v>0</v>
      </c>
      <c r="F155">
        <v>4</v>
      </c>
      <c r="G155">
        <v>0</v>
      </c>
      <c r="H155">
        <v>101</v>
      </c>
      <c r="I155" s="1">
        <f t="shared" si="2"/>
        <v>1</v>
      </c>
    </row>
    <row r="156" spans="1:9">
      <c r="A156" t="s">
        <v>32</v>
      </c>
      <c r="B156">
        <v>20</v>
      </c>
      <c r="C156">
        <v>30</v>
      </c>
      <c r="D156">
        <v>101</v>
      </c>
      <c r="E156">
        <v>0</v>
      </c>
      <c r="F156">
        <v>4</v>
      </c>
      <c r="G156">
        <v>0</v>
      </c>
      <c r="H156">
        <v>101</v>
      </c>
      <c r="I156" s="1">
        <f t="shared" si="2"/>
        <v>1</v>
      </c>
    </row>
    <row r="157" spans="1:9">
      <c r="A157" t="s">
        <v>32</v>
      </c>
      <c r="B157">
        <v>20</v>
      </c>
      <c r="C157">
        <v>31</v>
      </c>
      <c r="D157">
        <v>101</v>
      </c>
      <c r="E157">
        <v>0</v>
      </c>
      <c r="F157">
        <v>4</v>
      </c>
      <c r="G157">
        <v>0</v>
      </c>
      <c r="H157">
        <v>101</v>
      </c>
      <c r="I157" s="1">
        <f t="shared" si="2"/>
        <v>1</v>
      </c>
    </row>
    <row r="158" spans="1:9">
      <c r="A158" t="s">
        <v>32</v>
      </c>
      <c r="B158">
        <v>20</v>
      </c>
      <c r="C158">
        <v>32</v>
      </c>
      <c r="D158">
        <v>101</v>
      </c>
      <c r="E158">
        <v>0</v>
      </c>
      <c r="F158">
        <v>4</v>
      </c>
      <c r="G158">
        <v>0</v>
      </c>
      <c r="H158">
        <v>101</v>
      </c>
      <c r="I158" s="1">
        <f t="shared" si="2"/>
        <v>1</v>
      </c>
    </row>
    <row r="159" spans="1:9">
      <c r="A159" t="s">
        <v>32</v>
      </c>
      <c r="B159">
        <v>20</v>
      </c>
      <c r="C159">
        <v>33</v>
      </c>
      <c r="D159">
        <v>101</v>
      </c>
      <c r="E159">
        <v>0</v>
      </c>
      <c r="F159">
        <v>4</v>
      </c>
      <c r="G159">
        <v>0</v>
      </c>
      <c r="H159" s="5">
        <v>101</v>
      </c>
      <c r="I159" s="1">
        <f t="shared" si="2"/>
        <v>1</v>
      </c>
    </row>
    <row r="160" spans="1:9">
      <c r="A160" t="s">
        <v>142</v>
      </c>
      <c r="B160">
        <v>2</v>
      </c>
      <c r="C160">
        <v>1</v>
      </c>
      <c r="D160">
        <v>5</v>
      </c>
      <c r="E160">
        <v>0</v>
      </c>
      <c r="F160">
        <v>1</v>
      </c>
      <c r="G160">
        <v>0</v>
      </c>
      <c r="H160">
        <v>112</v>
      </c>
      <c r="I160" s="1">
        <f t="shared" si="2"/>
        <v>4.4642857142857144E-2</v>
      </c>
    </row>
    <row r="161" spans="1:9">
      <c r="A161" t="s">
        <v>142</v>
      </c>
      <c r="B161">
        <v>2</v>
      </c>
      <c r="C161">
        <v>2</v>
      </c>
      <c r="D161">
        <v>56</v>
      </c>
      <c r="E161">
        <v>0</v>
      </c>
      <c r="F161">
        <v>12</v>
      </c>
      <c r="G161">
        <v>0</v>
      </c>
      <c r="H161">
        <v>112</v>
      </c>
      <c r="I161" s="1">
        <f t="shared" si="2"/>
        <v>0.5</v>
      </c>
    </row>
    <row r="162" spans="1:9">
      <c r="A162" t="s">
        <v>142</v>
      </c>
      <c r="B162">
        <v>2</v>
      </c>
      <c r="C162">
        <v>3</v>
      </c>
      <c r="D162">
        <v>112</v>
      </c>
      <c r="E162">
        <v>0</v>
      </c>
      <c r="F162">
        <v>0</v>
      </c>
      <c r="G162">
        <v>0</v>
      </c>
      <c r="H162">
        <v>112</v>
      </c>
      <c r="I162" s="1">
        <f t="shared" si="2"/>
        <v>1</v>
      </c>
    </row>
    <row r="163" spans="1:9">
      <c r="A163" t="s">
        <v>142</v>
      </c>
      <c r="B163">
        <v>3</v>
      </c>
      <c r="C163">
        <v>1</v>
      </c>
      <c r="D163">
        <v>41</v>
      </c>
      <c r="E163">
        <v>0</v>
      </c>
      <c r="F163">
        <v>2</v>
      </c>
      <c r="G163">
        <v>0</v>
      </c>
      <c r="H163">
        <v>44</v>
      </c>
      <c r="I163" s="1">
        <f t="shared" si="2"/>
        <v>0.93181818181818177</v>
      </c>
    </row>
    <row r="164" spans="1:9">
      <c r="A164" t="s">
        <v>142</v>
      </c>
      <c r="B164">
        <v>3</v>
      </c>
      <c r="C164">
        <v>2</v>
      </c>
      <c r="D164">
        <v>44</v>
      </c>
      <c r="E164">
        <v>0</v>
      </c>
      <c r="F164">
        <v>0</v>
      </c>
      <c r="G164">
        <v>0</v>
      </c>
      <c r="H164">
        <v>44</v>
      </c>
      <c r="I164" s="1">
        <f t="shared" si="2"/>
        <v>1</v>
      </c>
    </row>
    <row r="165" spans="1:9">
      <c r="A165" t="s">
        <v>142</v>
      </c>
      <c r="B165">
        <v>7</v>
      </c>
      <c r="C165">
        <v>1</v>
      </c>
      <c r="D165">
        <v>42</v>
      </c>
      <c r="E165">
        <v>0</v>
      </c>
      <c r="F165">
        <v>1</v>
      </c>
      <c r="G165">
        <v>0</v>
      </c>
      <c r="H165">
        <v>43</v>
      </c>
      <c r="I165" s="1">
        <f t="shared" si="2"/>
        <v>0.97674418604651159</v>
      </c>
    </row>
    <row r="166" spans="1:9">
      <c r="A166" t="s">
        <v>142</v>
      </c>
      <c r="B166">
        <v>7</v>
      </c>
      <c r="C166">
        <v>2</v>
      </c>
      <c r="D166">
        <v>43</v>
      </c>
      <c r="E166">
        <v>0</v>
      </c>
      <c r="F166">
        <v>0</v>
      </c>
      <c r="G166">
        <v>0</v>
      </c>
      <c r="H166">
        <v>43</v>
      </c>
      <c r="I166" s="1">
        <f t="shared" si="2"/>
        <v>1</v>
      </c>
    </row>
    <row r="167" spans="1:9">
      <c r="A167" t="s">
        <v>142</v>
      </c>
      <c r="B167">
        <v>10</v>
      </c>
      <c r="C167">
        <v>1</v>
      </c>
      <c r="D167">
        <v>47</v>
      </c>
      <c r="E167">
        <v>0</v>
      </c>
      <c r="F167">
        <v>8</v>
      </c>
      <c r="G167">
        <v>0</v>
      </c>
      <c r="H167">
        <v>406</v>
      </c>
      <c r="I167" s="1">
        <f t="shared" si="2"/>
        <v>0.11576354679802955</v>
      </c>
    </row>
    <row r="168" spans="1:9">
      <c r="A168" t="s">
        <v>142</v>
      </c>
      <c r="B168">
        <v>10</v>
      </c>
      <c r="C168">
        <v>2</v>
      </c>
      <c r="D168">
        <v>47</v>
      </c>
      <c r="E168">
        <v>0</v>
      </c>
      <c r="F168">
        <v>8</v>
      </c>
      <c r="G168">
        <v>0</v>
      </c>
      <c r="H168">
        <v>406</v>
      </c>
      <c r="I168" s="1">
        <f t="shared" si="2"/>
        <v>0.11576354679802955</v>
      </c>
    </row>
    <row r="169" spans="1:9">
      <c r="A169" t="s">
        <v>142</v>
      </c>
      <c r="B169">
        <v>10</v>
      </c>
      <c r="C169">
        <v>3</v>
      </c>
      <c r="D169">
        <v>84</v>
      </c>
      <c r="E169">
        <v>0</v>
      </c>
      <c r="F169">
        <v>8</v>
      </c>
      <c r="G169">
        <v>0</v>
      </c>
      <c r="H169">
        <v>406</v>
      </c>
      <c r="I169" s="1">
        <f t="shared" si="2"/>
        <v>0.20689655172413793</v>
      </c>
    </row>
    <row r="170" spans="1:9">
      <c r="A170" t="s">
        <v>142</v>
      </c>
      <c r="B170">
        <v>10</v>
      </c>
      <c r="C170">
        <v>4</v>
      </c>
      <c r="D170">
        <v>84</v>
      </c>
      <c r="E170">
        <v>0</v>
      </c>
      <c r="F170">
        <v>8</v>
      </c>
      <c r="G170">
        <v>0</v>
      </c>
      <c r="H170">
        <v>406</v>
      </c>
      <c r="I170" s="1">
        <f t="shared" si="2"/>
        <v>0.20689655172413793</v>
      </c>
    </row>
    <row r="171" spans="1:9">
      <c r="A171" t="s">
        <v>142</v>
      </c>
      <c r="B171">
        <v>10</v>
      </c>
      <c r="C171">
        <v>5</v>
      </c>
      <c r="D171">
        <v>84</v>
      </c>
      <c r="E171">
        <v>0</v>
      </c>
      <c r="F171">
        <v>8</v>
      </c>
      <c r="G171">
        <v>0</v>
      </c>
      <c r="H171">
        <v>406</v>
      </c>
      <c r="I171" s="1">
        <f t="shared" si="2"/>
        <v>0.20689655172413793</v>
      </c>
    </row>
    <row r="172" spans="1:9">
      <c r="A172" t="s">
        <v>142</v>
      </c>
      <c r="B172">
        <v>10</v>
      </c>
      <c r="C172">
        <v>6</v>
      </c>
      <c r="D172">
        <v>84</v>
      </c>
      <c r="E172">
        <v>0</v>
      </c>
      <c r="F172">
        <v>8</v>
      </c>
      <c r="G172">
        <v>0</v>
      </c>
      <c r="H172">
        <v>406</v>
      </c>
      <c r="I172" s="1">
        <f t="shared" si="2"/>
        <v>0.20689655172413793</v>
      </c>
    </row>
    <row r="173" spans="1:9">
      <c r="A173" t="s">
        <v>142</v>
      </c>
      <c r="B173">
        <v>10</v>
      </c>
      <c r="C173">
        <v>7</v>
      </c>
      <c r="D173">
        <v>90</v>
      </c>
      <c r="E173">
        <v>0</v>
      </c>
      <c r="F173">
        <v>5</v>
      </c>
      <c r="G173">
        <v>0</v>
      </c>
      <c r="H173">
        <v>406</v>
      </c>
      <c r="I173" s="1">
        <f t="shared" si="2"/>
        <v>0.22167487684729065</v>
      </c>
    </row>
    <row r="174" spans="1:9">
      <c r="A174" t="s">
        <v>142</v>
      </c>
      <c r="B174">
        <v>10</v>
      </c>
      <c r="C174">
        <v>8</v>
      </c>
      <c r="D174">
        <v>90</v>
      </c>
      <c r="E174">
        <v>0</v>
      </c>
      <c r="F174">
        <v>5</v>
      </c>
      <c r="G174">
        <v>0</v>
      </c>
      <c r="H174">
        <v>406</v>
      </c>
      <c r="I174" s="1">
        <f t="shared" si="2"/>
        <v>0.22167487684729065</v>
      </c>
    </row>
    <row r="175" spans="1:9">
      <c r="A175" t="s">
        <v>142</v>
      </c>
      <c r="B175">
        <v>10</v>
      </c>
      <c r="C175">
        <v>9</v>
      </c>
      <c r="D175">
        <v>90</v>
      </c>
      <c r="E175">
        <v>0</v>
      </c>
      <c r="F175">
        <v>8</v>
      </c>
      <c r="G175">
        <v>0</v>
      </c>
      <c r="H175">
        <v>406</v>
      </c>
      <c r="I175" s="1">
        <f t="shared" si="2"/>
        <v>0.22167487684729065</v>
      </c>
    </row>
    <row r="176" spans="1:9">
      <c r="A176" t="s">
        <v>142</v>
      </c>
      <c r="B176">
        <v>10</v>
      </c>
      <c r="C176">
        <v>10</v>
      </c>
      <c r="D176">
        <v>90</v>
      </c>
      <c r="E176">
        <v>0</v>
      </c>
      <c r="F176">
        <v>8</v>
      </c>
      <c r="G176">
        <v>0</v>
      </c>
      <c r="H176">
        <v>406</v>
      </c>
      <c r="I176" s="1">
        <f t="shared" si="2"/>
        <v>0.22167487684729065</v>
      </c>
    </row>
    <row r="177" spans="1:9">
      <c r="A177" t="s">
        <v>142</v>
      </c>
      <c r="B177">
        <v>10</v>
      </c>
      <c r="C177">
        <v>11</v>
      </c>
      <c r="D177">
        <v>90</v>
      </c>
      <c r="E177">
        <v>0</v>
      </c>
      <c r="F177">
        <v>8</v>
      </c>
      <c r="G177">
        <v>0</v>
      </c>
      <c r="H177">
        <v>406</v>
      </c>
      <c r="I177" s="1">
        <f t="shared" si="2"/>
        <v>0.22167487684729065</v>
      </c>
    </row>
    <row r="178" spans="1:9">
      <c r="A178" t="s">
        <v>142</v>
      </c>
      <c r="B178">
        <v>10</v>
      </c>
      <c r="C178">
        <v>12</v>
      </c>
      <c r="D178">
        <v>90</v>
      </c>
      <c r="E178">
        <v>0</v>
      </c>
      <c r="F178">
        <v>8</v>
      </c>
      <c r="G178">
        <v>0</v>
      </c>
      <c r="H178">
        <v>406</v>
      </c>
      <c r="I178" s="1">
        <f t="shared" si="2"/>
        <v>0.22167487684729065</v>
      </c>
    </row>
    <row r="179" spans="1:9">
      <c r="A179" t="s">
        <v>142</v>
      </c>
      <c r="B179">
        <v>10</v>
      </c>
      <c r="C179">
        <v>13</v>
      </c>
      <c r="D179">
        <v>90</v>
      </c>
      <c r="E179">
        <v>0</v>
      </c>
      <c r="F179">
        <v>8</v>
      </c>
      <c r="G179">
        <v>0</v>
      </c>
      <c r="H179">
        <v>406</v>
      </c>
      <c r="I179" s="1">
        <f t="shared" si="2"/>
        <v>0.22167487684729065</v>
      </c>
    </row>
    <row r="180" spans="1:9">
      <c r="A180" t="s">
        <v>142</v>
      </c>
      <c r="B180">
        <v>10</v>
      </c>
      <c r="C180">
        <v>14</v>
      </c>
      <c r="D180">
        <v>90</v>
      </c>
      <c r="E180">
        <v>0</v>
      </c>
      <c r="F180">
        <v>8</v>
      </c>
      <c r="G180">
        <v>0</v>
      </c>
      <c r="H180">
        <v>406</v>
      </c>
      <c r="I180" s="1">
        <f t="shared" si="2"/>
        <v>0.22167487684729065</v>
      </c>
    </row>
    <row r="181" spans="1:9">
      <c r="A181" t="s">
        <v>142</v>
      </c>
      <c r="B181">
        <v>10</v>
      </c>
      <c r="C181">
        <v>15</v>
      </c>
      <c r="D181">
        <v>90</v>
      </c>
      <c r="E181">
        <v>0</v>
      </c>
      <c r="F181">
        <v>8</v>
      </c>
      <c r="G181">
        <v>0</v>
      </c>
      <c r="H181">
        <v>406</v>
      </c>
      <c r="I181" s="1">
        <f t="shared" si="2"/>
        <v>0.22167487684729065</v>
      </c>
    </row>
    <row r="182" spans="1:9">
      <c r="A182" t="s">
        <v>142</v>
      </c>
      <c r="B182">
        <v>10</v>
      </c>
      <c r="C182">
        <v>16</v>
      </c>
      <c r="D182">
        <v>90</v>
      </c>
      <c r="E182">
        <v>0</v>
      </c>
      <c r="F182">
        <v>8</v>
      </c>
      <c r="G182">
        <v>0</v>
      </c>
      <c r="H182">
        <v>406</v>
      </c>
      <c r="I182" s="1">
        <f t="shared" si="2"/>
        <v>0.22167487684729065</v>
      </c>
    </row>
    <row r="183" spans="1:9">
      <c r="A183" t="s">
        <v>142</v>
      </c>
      <c r="B183">
        <v>10</v>
      </c>
      <c r="C183">
        <v>17</v>
      </c>
      <c r="D183">
        <v>137</v>
      </c>
      <c r="E183">
        <v>0</v>
      </c>
      <c r="F183">
        <v>7</v>
      </c>
      <c r="G183">
        <v>0</v>
      </c>
      <c r="H183">
        <v>406</v>
      </c>
      <c r="I183" s="1">
        <f t="shared" si="2"/>
        <v>0.33743842364532017</v>
      </c>
    </row>
    <row r="184" spans="1:9">
      <c r="A184" t="s">
        <v>142</v>
      </c>
      <c r="B184">
        <v>10</v>
      </c>
      <c r="C184">
        <v>18</v>
      </c>
      <c r="D184">
        <v>183</v>
      </c>
      <c r="E184">
        <v>0</v>
      </c>
      <c r="F184">
        <v>7</v>
      </c>
      <c r="G184">
        <v>0</v>
      </c>
      <c r="H184">
        <v>406</v>
      </c>
      <c r="I184" s="1">
        <f t="shared" si="2"/>
        <v>0.45073891625615764</v>
      </c>
    </row>
    <row r="185" spans="1:9">
      <c r="A185" t="s">
        <v>142</v>
      </c>
      <c r="B185">
        <v>10</v>
      </c>
      <c r="C185">
        <v>19</v>
      </c>
      <c r="D185">
        <v>238</v>
      </c>
      <c r="E185">
        <v>0</v>
      </c>
      <c r="F185">
        <v>4</v>
      </c>
      <c r="G185">
        <v>0</v>
      </c>
      <c r="H185">
        <v>406</v>
      </c>
      <c r="I185" s="1">
        <f t="shared" si="2"/>
        <v>0.58620689655172409</v>
      </c>
    </row>
    <row r="186" spans="1:9">
      <c r="A186" t="s">
        <v>142</v>
      </c>
      <c r="B186">
        <v>10</v>
      </c>
      <c r="C186">
        <v>20</v>
      </c>
      <c r="D186">
        <v>238</v>
      </c>
      <c r="E186">
        <v>0</v>
      </c>
      <c r="F186">
        <v>4</v>
      </c>
      <c r="G186">
        <v>0</v>
      </c>
      <c r="H186">
        <v>406</v>
      </c>
      <c r="I186" s="1">
        <f t="shared" si="2"/>
        <v>0.58620689655172409</v>
      </c>
    </row>
    <row r="187" spans="1:9">
      <c r="A187" t="s">
        <v>142</v>
      </c>
      <c r="B187">
        <v>10</v>
      </c>
      <c r="C187">
        <v>21</v>
      </c>
      <c r="D187">
        <v>238</v>
      </c>
      <c r="E187">
        <v>0</v>
      </c>
      <c r="F187">
        <v>4</v>
      </c>
      <c r="G187">
        <v>0</v>
      </c>
      <c r="H187">
        <v>406</v>
      </c>
      <c r="I187" s="1">
        <f t="shared" si="2"/>
        <v>0.58620689655172409</v>
      </c>
    </row>
    <row r="188" spans="1:9">
      <c r="A188" t="s">
        <v>142</v>
      </c>
      <c r="B188">
        <v>10</v>
      </c>
      <c r="C188">
        <v>22</v>
      </c>
      <c r="D188">
        <v>238</v>
      </c>
      <c r="E188">
        <v>0</v>
      </c>
      <c r="F188">
        <v>4</v>
      </c>
      <c r="G188">
        <v>0</v>
      </c>
      <c r="H188">
        <v>406</v>
      </c>
      <c r="I188" s="1">
        <f t="shared" si="2"/>
        <v>0.58620689655172409</v>
      </c>
    </row>
    <row r="189" spans="1:9">
      <c r="A189" t="s">
        <v>142</v>
      </c>
      <c r="B189">
        <v>10</v>
      </c>
      <c r="C189">
        <v>23</v>
      </c>
      <c r="D189">
        <v>313</v>
      </c>
      <c r="E189">
        <v>0</v>
      </c>
      <c r="F189">
        <v>2</v>
      </c>
      <c r="G189">
        <v>0</v>
      </c>
      <c r="H189">
        <v>406</v>
      </c>
      <c r="I189" s="1">
        <f t="shared" si="2"/>
        <v>0.77093596059113301</v>
      </c>
    </row>
    <row r="190" spans="1:9">
      <c r="A190" t="s">
        <v>142</v>
      </c>
      <c r="B190">
        <v>10</v>
      </c>
      <c r="C190">
        <v>24</v>
      </c>
      <c r="D190">
        <v>313</v>
      </c>
      <c r="E190">
        <v>0</v>
      </c>
      <c r="F190">
        <v>2</v>
      </c>
      <c r="G190">
        <v>0</v>
      </c>
      <c r="H190">
        <v>406</v>
      </c>
      <c r="I190" s="1">
        <f t="shared" si="2"/>
        <v>0.77093596059113301</v>
      </c>
    </row>
    <row r="191" spans="1:9">
      <c r="A191" t="s">
        <v>142</v>
      </c>
      <c r="B191">
        <v>10</v>
      </c>
      <c r="C191">
        <v>25</v>
      </c>
      <c r="D191">
        <v>313</v>
      </c>
      <c r="E191">
        <v>0</v>
      </c>
      <c r="F191">
        <v>2</v>
      </c>
      <c r="G191">
        <v>0</v>
      </c>
      <c r="H191">
        <v>406</v>
      </c>
      <c r="I191" s="1">
        <f t="shared" si="2"/>
        <v>0.77093596059113301</v>
      </c>
    </row>
    <row r="192" spans="1:9">
      <c r="A192" t="s">
        <v>142</v>
      </c>
      <c r="B192">
        <v>10</v>
      </c>
      <c r="C192">
        <v>26</v>
      </c>
      <c r="D192">
        <v>313</v>
      </c>
      <c r="E192">
        <v>0</v>
      </c>
      <c r="F192">
        <v>2</v>
      </c>
      <c r="G192">
        <v>0</v>
      </c>
      <c r="H192">
        <v>406</v>
      </c>
      <c r="I192" s="1">
        <f t="shared" si="2"/>
        <v>0.77093596059113301</v>
      </c>
    </row>
    <row r="193" spans="1:9">
      <c r="A193" t="s">
        <v>142</v>
      </c>
      <c r="B193">
        <v>10</v>
      </c>
      <c r="C193">
        <v>27</v>
      </c>
      <c r="D193">
        <v>313</v>
      </c>
      <c r="E193">
        <v>0</v>
      </c>
      <c r="F193">
        <v>2</v>
      </c>
      <c r="G193">
        <v>0</v>
      </c>
      <c r="H193">
        <v>406</v>
      </c>
      <c r="I193" s="1">
        <f t="shared" si="2"/>
        <v>0.77093596059113301</v>
      </c>
    </row>
    <row r="194" spans="1:9">
      <c r="A194" t="s">
        <v>142</v>
      </c>
      <c r="B194">
        <v>10</v>
      </c>
      <c r="C194">
        <v>28</v>
      </c>
      <c r="D194">
        <v>313</v>
      </c>
      <c r="E194">
        <v>0</v>
      </c>
      <c r="F194">
        <v>2</v>
      </c>
      <c r="G194">
        <v>0</v>
      </c>
      <c r="H194">
        <v>406</v>
      </c>
      <c r="I194" s="1">
        <f t="shared" si="2"/>
        <v>0.77093596059113301</v>
      </c>
    </row>
    <row r="195" spans="1:9">
      <c r="A195" t="s">
        <v>142</v>
      </c>
      <c r="B195">
        <v>10</v>
      </c>
      <c r="C195">
        <v>29</v>
      </c>
      <c r="D195">
        <v>313</v>
      </c>
      <c r="E195">
        <v>0</v>
      </c>
      <c r="F195">
        <v>2</v>
      </c>
      <c r="G195">
        <v>0</v>
      </c>
      <c r="H195">
        <v>406</v>
      </c>
      <c r="I195" s="1">
        <f t="shared" ref="I195:I258" si="3">D195/H195</f>
        <v>0.77093596059113301</v>
      </c>
    </row>
    <row r="196" spans="1:9">
      <c r="A196" t="s">
        <v>142</v>
      </c>
      <c r="B196">
        <v>10</v>
      </c>
      <c r="C196">
        <v>30</v>
      </c>
      <c r="D196">
        <v>313</v>
      </c>
      <c r="E196">
        <v>0</v>
      </c>
      <c r="F196">
        <v>2</v>
      </c>
      <c r="G196">
        <v>0</v>
      </c>
      <c r="H196">
        <v>406</v>
      </c>
      <c r="I196" s="1">
        <f t="shared" si="3"/>
        <v>0.77093596059113301</v>
      </c>
    </row>
    <row r="197" spans="1:9">
      <c r="A197" t="s">
        <v>142</v>
      </c>
      <c r="B197">
        <v>10</v>
      </c>
      <c r="C197">
        <v>31</v>
      </c>
      <c r="D197">
        <v>406</v>
      </c>
      <c r="E197">
        <v>0</v>
      </c>
      <c r="F197">
        <v>0</v>
      </c>
      <c r="G197">
        <v>0</v>
      </c>
      <c r="H197">
        <v>406</v>
      </c>
      <c r="I197" s="1">
        <f t="shared" si="3"/>
        <v>1</v>
      </c>
    </row>
    <row r="198" spans="1:9">
      <c r="A198" t="s">
        <v>142</v>
      </c>
      <c r="B198">
        <v>10</v>
      </c>
      <c r="C198">
        <v>32</v>
      </c>
      <c r="D198">
        <v>406</v>
      </c>
      <c r="E198">
        <v>0</v>
      </c>
      <c r="F198">
        <v>0</v>
      </c>
      <c r="G198">
        <v>0</v>
      </c>
      <c r="H198">
        <v>406</v>
      </c>
      <c r="I198" s="1">
        <f t="shared" si="3"/>
        <v>1</v>
      </c>
    </row>
    <row r="199" spans="1:9">
      <c r="A199" t="s">
        <v>142</v>
      </c>
      <c r="B199">
        <v>11</v>
      </c>
      <c r="C199">
        <v>1</v>
      </c>
      <c r="D199">
        <v>1</v>
      </c>
      <c r="E199">
        <v>0</v>
      </c>
      <c r="F199">
        <v>1</v>
      </c>
      <c r="G199">
        <v>0</v>
      </c>
      <c r="H199">
        <v>192</v>
      </c>
      <c r="I199" s="1">
        <f t="shared" si="3"/>
        <v>5.208333333333333E-3</v>
      </c>
    </row>
    <row r="200" spans="1:9">
      <c r="A200" t="s">
        <v>142</v>
      </c>
      <c r="B200">
        <v>11</v>
      </c>
      <c r="C200">
        <v>2</v>
      </c>
      <c r="D200">
        <v>74</v>
      </c>
      <c r="E200">
        <v>0</v>
      </c>
      <c r="F200">
        <v>14</v>
      </c>
      <c r="G200">
        <v>0</v>
      </c>
      <c r="H200">
        <v>192</v>
      </c>
      <c r="I200" s="1">
        <f t="shared" si="3"/>
        <v>0.38541666666666669</v>
      </c>
    </row>
    <row r="201" spans="1:9">
      <c r="A201" t="s">
        <v>142</v>
      </c>
      <c r="B201">
        <v>11</v>
      </c>
      <c r="C201">
        <v>3</v>
      </c>
      <c r="D201">
        <v>80</v>
      </c>
      <c r="E201">
        <v>0</v>
      </c>
      <c r="F201">
        <v>11</v>
      </c>
      <c r="G201">
        <v>0</v>
      </c>
      <c r="H201">
        <v>192</v>
      </c>
      <c r="I201" s="1">
        <f t="shared" si="3"/>
        <v>0.41666666666666669</v>
      </c>
    </row>
    <row r="202" spans="1:9">
      <c r="A202" t="s">
        <v>142</v>
      </c>
      <c r="B202">
        <v>11</v>
      </c>
      <c r="C202">
        <v>4</v>
      </c>
      <c r="D202">
        <v>107</v>
      </c>
      <c r="E202">
        <v>0</v>
      </c>
      <c r="F202">
        <v>9</v>
      </c>
      <c r="G202">
        <v>0</v>
      </c>
      <c r="H202">
        <v>192</v>
      </c>
      <c r="I202" s="1">
        <f t="shared" si="3"/>
        <v>0.55729166666666663</v>
      </c>
    </row>
    <row r="203" spans="1:9">
      <c r="A203" t="s">
        <v>142</v>
      </c>
      <c r="B203">
        <v>11</v>
      </c>
      <c r="C203">
        <v>5</v>
      </c>
      <c r="D203">
        <v>134</v>
      </c>
      <c r="E203">
        <v>0</v>
      </c>
      <c r="F203">
        <v>7</v>
      </c>
      <c r="G203">
        <v>0</v>
      </c>
      <c r="H203">
        <v>192</v>
      </c>
      <c r="I203" s="1">
        <f t="shared" si="3"/>
        <v>0.69791666666666663</v>
      </c>
    </row>
    <row r="204" spans="1:9">
      <c r="A204" t="s">
        <v>142</v>
      </c>
      <c r="B204">
        <v>11</v>
      </c>
      <c r="C204">
        <v>6</v>
      </c>
      <c r="D204">
        <v>134</v>
      </c>
      <c r="E204">
        <v>0</v>
      </c>
      <c r="F204">
        <v>7</v>
      </c>
      <c r="G204">
        <v>0</v>
      </c>
      <c r="H204">
        <v>192</v>
      </c>
      <c r="I204" s="1">
        <f t="shared" si="3"/>
        <v>0.69791666666666663</v>
      </c>
    </row>
    <row r="205" spans="1:9">
      <c r="A205" t="s">
        <v>142</v>
      </c>
      <c r="B205">
        <v>11</v>
      </c>
      <c r="C205">
        <v>7</v>
      </c>
      <c r="D205">
        <v>161</v>
      </c>
      <c r="E205">
        <v>0</v>
      </c>
      <c r="F205">
        <v>5</v>
      </c>
      <c r="G205">
        <v>0</v>
      </c>
      <c r="H205">
        <v>192</v>
      </c>
      <c r="I205" s="1">
        <f t="shared" si="3"/>
        <v>0.83854166666666663</v>
      </c>
    </row>
    <row r="206" spans="1:9">
      <c r="A206" t="s">
        <v>142</v>
      </c>
      <c r="B206">
        <v>11</v>
      </c>
      <c r="C206">
        <v>8</v>
      </c>
      <c r="D206">
        <v>161</v>
      </c>
      <c r="E206">
        <v>0</v>
      </c>
      <c r="F206">
        <v>5</v>
      </c>
      <c r="G206">
        <v>0</v>
      </c>
      <c r="H206">
        <v>192</v>
      </c>
      <c r="I206" s="1">
        <f t="shared" si="3"/>
        <v>0.83854166666666663</v>
      </c>
    </row>
    <row r="207" spans="1:9">
      <c r="A207" t="s">
        <v>142</v>
      </c>
      <c r="B207">
        <v>11</v>
      </c>
      <c r="C207">
        <v>9</v>
      </c>
      <c r="D207">
        <v>161</v>
      </c>
      <c r="E207">
        <v>0</v>
      </c>
      <c r="F207">
        <v>5</v>
      </c>
      <c r="G207">
        <v>0</v>
      </c>
      <c r="H207">
        <v>192</v>
      </c>
      <c r="I207" s="1">
        <f t="shared" si="3"/>
        <v>0.83854166666666663</v>
      </c>
    </row>
    <row r="208" spans="1:9">
      <c r="A208" t="s">
        <v>142</v>
      </c>
      <c r="B208">
        <v>11</v>
      </c>
      <c r="C208">
        <v>10</v>
      </c>
      <c r="D208">
        <v>188</v>
      </c>
      <c r="E208">
        <v>0</v>
      </c>
      <c r="F208">
        <v>3</v>
      </c>
      <c r="G208">
        <v>0</v>
      </c>
      <c r="H208">
        <v>192</v>
      </c>
      <c r="I208" s="1">
        <f t="shared" si="3"/>
        <v>0.97916666666666663</v>
      </c>
    </row>
    <row r="209" spans="1:9">
      <c r="A209" t="s">
        <v>142</v>
      </c>
      <c r="B209">
        <v>11</v>
      </c>
      <c r="C209">
        <v>11</v>
      </c>
      <c r="D209">
        <v>188</v>
      </c>
      <c r="E209">
        <v>0</v>
      </c>
      <c r="F209">
        <v>3</v>
      </c>
      <c r="G209">
        <v>0</v>
      </c>
      <c r="H209">
        <v>192</v>
      </c>
      <c r="I209" s="1">
        <f t="shared" si="3"/>
        <v>0.97916666666666663</v>
      </c>
    </row>
    <row r="210" spans="1:9">
      <c r="A210" t="s">
        <v>142</v>
      </c>
      <c r="B210">
        <v>11</v>
      </c>
      <c r="C210">
        <v>12</v>
      </c>
      <c r="D210">
        <v>192</v>
      </c>
      <c r="E210">
        <v>0</v>
      </c>
      <c r="F210">
        <v>0</v>
      </c>
      <c r="G210">
        <v>0</v>
      </c>
      <c r="H210">
        <v>192</v>
      </c>
      <c r="I210" s="1">
        <f t="shared" si="3"/>
        <v>1</v>
      </c>
    </row>
    <row r="211" spans="1:9">
      <c r="A211" t="s">
        <v>142</v>
      </c>
      <c r="B211">
        <v>11</v>
      </c>
      <c r="C211">
        <v>13</v>
      </c>
      <c r="D211">
        <v>192</v>
      </c>
      <c r="E211">
        <v>0</v>
      </c>
      <c r="F211">
        <v>0</v>
      </c>
      <c r="G211">
        <v>0</v>
      </c>
      <c r="H211">
        <v>192</v>
      </c>
      <c r="I211" s="1">
        <f t="shared" si="3"/>
        <v>1</v>
      </c>
    </row>
    <row r="212" spans="1:9">
      <c r="A212" t="s">
        <v>142</v>
      </c>
      <c r="B212">
        <v>12</v>
      </c>
      <c r="C212">
        <v>1</v>
      </c>
      <c r="D212">
        <v>1</v>
      </c>
      <c r="E212">
        <v>0</v>
      </c>
      <c r="F212">
        <v>1</v>
      </c>
      <c r="G212">
        <v>0</v>
      </c>
      <c r="H212">
        <v>118</v>
      </c>
      <c r="I212" s="1">
        <f t="shared" si="3"/>
        <v>8.4745762711864406E-3</v>
      </c>
    </row>
    <row r="213" spans="1:9">
      <c r="A213" t="s">
        <v>142</v>
      </c>
      <c r="B213">
        <v>12</v>
      </c>
      <c r="C213">
        <v>2</v>
      </c>
      <c r="D213">
        <v>62</v>
      </c>
      <c r="E213">
        <v>0</v>
      </c>
      <c r="F213">
        <v>9</v>
      </c>
      <c r="G213">
        <v>0</v>
      </c>
      <c r="H213">
        <v>118</v>
      </c>
      <c r="I213" s="1">
        <f t="shared" si="3"/>
        <v>0.52542372881355937</v>
      </c>
    </row>
    <row r="214" spans="1:9">
      <c r="A214" t="s">
        <v>142</v>
      </c>
      <c r="B214">
        <v>12</v>
      </c>
      <c r="C214">
        <v>3</v>
      </c>
      <c r="D214">
        <v>66</v>
      </c>
      <c r="E214">
        <v>0</v>
      </c>
      <c r="F214">
        <v>9</v>
      </c>
      <c r="G214">
        <v>0</v>
      </c>
      <c r="H214">
        <v>118</v>
      </c>
      <c r="I214" s="1">
        <f t="shared" si="3"/>
        <v>0.55932203389830504</v>
      </c>
    </row>
    <row r="215" spans="1:9">
      <c r="A215" t="s">
        <v>142</v>
      </c>
      <c r="B215">
        <v>12</v>
      </c>
      <c r="C215">
        <v>4</v>
      </c>
      <c r="D215">
        <v>70</v>
      </c>
      <c r="E215">
        <v>0</v>
      </c>
      <c r="F215">
        <v>9</v>
      </c>
      <c r="G215">
        <v>0</v>
      </c>
      <c r="H215">
        <v>118</v>
      </c>
      <c r="I215" s="1">
        <f t="shared" si="3"/>
        <v>0.59322033898305082</v>
      </c>
    </row>
    <row r="216" spans="1:9">
      <c r="A216" t="s">
        <v>142</v>
      </c>
      <c r="B216">
        <v>12</v>
      </c>
      <c r="C216">
        <v>5</v>
      </c>
      <c r="D216">
        <v>84</v>
      </c>
      <c r="E216">
        <v>0</v>
      </c>
      <c r="F216">
        <v>6</v>
      </c>
      <c r="G216">
        <v>0</v>
      </c>
      <c r="H216">
        <v>118</v>
      </c>
      <c r="I216" s="1">
        <f t="shared" si="3"/>
        <v>0.71186440677966101</v>
      </c>
    </row>
    <row r="217" spans="1:9">
      <c r="A217" t="s">
        <v>142</v>
      </c>
      <c r="B217">
        <v>12</v>
      </c>
      <c r="C217">
        <v>6</v>
      </c>
      <c r="D217">
        <v>105</v>
      </c>
      <c r="E217">
        <v>0</v>
      </c>
      <c r="F217">
        <v>3</v>
      </c>
      <c r="G217">
        <v>0</v>
      </c>
      <c r="H217">
        <v>118</v>
      </c>
      <c r="I217" s="1">
        <f t="shared" si="3"/>
        <v>0.88983050847457623</v>
      </c>
    </row>
    <row r="218" spans="1:9">
      <c r="A218" t="s">
        <v>142</v>
      </c>
      <c r="B218">
        <v>12</v>
      </c>
      <c r="C218">
        <v>7</v>
      </c>
      <c r="D218">
        <v>118</v>
      </c>
      <c r="E218">
        <v>0</v>
      </c>
      <c r="F218">
        <v>0</v>
      </c>
      <c r="G218">
        <v>0</v>
      </c>
      <c r="H218">
        <v>118</v>
      </c>
      <c r="I218" s="1">
        <f t="shared" si="3"/>
        <v>1</v>
      </c>
    </row>
    <row r="219" spans="1:9">
      <c r="A219" t="s">
        <v>142</v>
      </c>
      <c r="B219">
        <v>12</v>
      </c>
      <c r="C219">
        <v>8</v>
      </c>
      <c r="D219">
        <v>118</v>
      </c>
      <c r="E219">
        <v>0</v>
      </c>
      <c r="F219">
        <v>0</v>
      </c>
      <c r="G219">
        <v>0</v>
      </c>
      <c r="H219">
        <v>118</v>
      </c>
      <c r="I219" s="1">
        <f t="shared" si="3"/>
        <v>1</v>
      </c>
    </row>
    <row r="220" spans="1:9">
      <c r="A220" t="s">
        <v>142</v>
      </c>
      <c r="B220">
        <v>12</v>
      </c>
      <c r="C220">
        <v>9</v>
      </c>
      <c r="D220">
        <v>118</v>
      </c>
      <c r="E220">
        <v>0</v>
      </c>
      <c r="F220">
        <v>0</v>
      </c>
      <c r="G220">
        <v>0</v>
      </c>
      <c r="H220">
        <v>118</v>
      </c>
      <c r="I220" s="1">
        <f t="shared" si="3"/>
        <v>1</v>
      </c>
    </row>
    <row r="221" spans="1:9">
      <c r="A221" t="s">
        <v>142</v>
      </c>
      <c r="B221">
        <v>12</v>
      </c>
      <c r="C221">
        <v>10</v>
      </c>
      <c r="D221">
        <v>118</v>
      </c>
      <c r="E221">
        <v>0</v>
      </c>
      <c r="F221">
        <v>0</v>
      </c>
      <c r="G221">
        <v>0</v>
      </c>
      <c r="H221">
        <v>118</v>
      </c>
      <c r="I221" s="1">
        <f t="shared" si="3"/>
        <v>1</v>
      </c>
    </row>
    <row r="222" spans="1:9">
      <c r="A222" t="s">
        <v>142</v>
      </c>
      <c r="B222">
        <v>12</v>
      </c>
      <c r="C222">
        <v>11</v>
      </c>
      <c r="D222">
        <v>118</v>
      </c>
      <c r="E222">
        <v>0</v>
      </c>
      <c r="F222">
        <v>0</v>
      </c>
      <c r="G222">
        <v>0</v>
      </c>
      <c r="H222">
        <v>118</v>
      </c>
      <c r="I222" s="1">
        <f t="shared" si="3"/>
        <v>1</v>
      </c>
    </row>
    <row r="223" spans="1:9">
      <c r="A223" t="s">
        <v>142</v>
      </c>
      <c r="B223">
        <v>12</v>
      </c>
      <c r="C223">
        <v>12</v>
      </c>
      <c r="D223">
        <v>118</v>
      </c>
      <c r="E223">
        <v>0</v>
      </c>
      <c r="F223">
        <v>0</v>
      </c>
      <c r="G223">
        <v>0</v>
      </c>
      <c r="H223">
        <v>118</v>
      </c>
      <c r="I223" s="1">
        <f t="shared" si="3"/>
        <v>1</v>
      </c>
    </row>
    <row r="224" spans="1:9">
      <c r="A224" t="s">
        <v>142</v>
      </c>
      <c r="B224">
        <v>12</v>
      </c>
      <c r="C224">
        <v>13</v>
      </c>
      <c r="D224">
        <v>118</v>
      </c>
      <c r="E224">
        <v>0</v>
      </c>
      <c r="F224">
        <v>0</v>
      </c>
      <c r="G224">
        <v>0</v>
      </c>
      <c r="H224">
        <v>118</v>
      </c>
      <c r="I224" s="1">
        <f t="shared" si="3"/>
        <v>1</v>
      </c>
    </row>
    <row r="225" spans="1:9">
      <c r="A225" t="s">
        <v>142</v>
      </c>
      <c r="B225">
        <v>12</v>
      </c>
      <c r="C225">
        <v>14</v>
      </c>
      <c r="D225">
        <v>118</v>
      </c>
      <c r="E225">
        <v>0</v>
      </c>
      <c r="F225">
        <v>0</v>
      </c>
      <c r="G225">
        <v>0</v>
      </c>
      <c r="H225">
        <v>118</v>
      </c>
      <c r="I225" s="1">
        <f t="shared" si="3"/>
        <v>1</v>
      </c>
    </row>
    <row r="226" spans="1:9">
      <c r="A226" t="s">
        <v>142</v>
      </c>
      <c r="B226">
        <v>12</v>
      </c>
      <c r="C226">
        <v>15</v>
      </c>
      <c r="D226">
        <v>118</v>
      </c>
      <c r="E226">
        <v>0</v>
      </c>
      <c r="F226">
        <v>0</v>
      </c>
      <c r="G226">
        <v>0</v>
      </c>
      <c r="H226">
        <v>118</v>
      </c>
      <c r="I226" s="1">
        <f t="shared" si="3"/>
        <v>1</v>
      </c>
    </row>
    <row r="227" spans="1:9">
      <c r="A227" t="s">
        <v>142</v>
      </c>
      <c r="B227">
        <v>12</v>
      </c>
      <c r="C227">
        <v>16</v>
      </c>
      <c r="D227">
        <v>118</v>
      </c>
      <c r="E227">
        <v>0</v>
      </c>
      <c r="F227">
        <v>0</v>
      </c>
      <c r="G227">
        <v>0</v>
      </c>
      <c r="H227">
        <v>118</v>
      </c>
      <c r="I227" s="1">
        <f t="shared" si="3"/>
        <v>1</v>
      </c>
    </row>
    <row r="228" spans="1:9">
      <c r="A228" t="s">
        <v>142</v>
      </c>
      <c r="B228">
        <v>12</v>
      </c>
      <c r="C228">
        <v>17</v>
      </c>
      <c r="D228">
        <v>118</v>
      </c>
      <c r="E228">
        <v>0</v>
      </c>
      <c r="F228">
        <v>0</v>
      </c>
      <c r="G228">
        <v>0</v>
      </c>
      <c r="H228">
        <v>118</v>
      </c>
      <c r="I228" s="1">
        <f t="shared" si="3"/>
        <v>1</v>
      </c>
    </row>
    <row r="229" spans="1:9">
      <c r="A229" t="s">
        <v>206</v>
      </c>
      <c r="B229">
        <v>1</v>
      </c>
      <c r="C229">
        <v>1</v>
      </c>
      <c r="D229">
        <v>18</v>
      </c>
      <c r="E229">
        <v>0</v>
      </c>
      <c r="F229">
        <v>4</v>
      </c>
      <c r="G229">
        <v>0</v>
      </c>
      <c r="H229">
        <v>88</v>
      </c>
      <c r="I229" s="1">
        <f t="shared" si="3"/>
        <v>0.20454545454545456</v>
      </c>
    </row>
    <row r="230" spans="1:9">
      <c r="A230" t="s">
        <v>206</v>
      </c>
      <c r="B230">
        <v>1</v>
      </c>
      <c r="C230">
        <v>2</v>
      </c>
      <c r="D230">
        <v>34</v>
      </c>
      <c r="E230">
        <v>0</v>
      </c>
      <c r="F230">
        <v>4</v>
      </c>
      <c r="G230">
        <v>0</v>
      </c>
      <c r="H230">
        <v>88</v>
      </c>
      <c r="I230" s="1">
        <f t="shared" si="3"/>
        <v>0.38636363636363635</v>
      </c>
    </row>
    <row r="231" spans="1:9">
      <c r="A231" t="s">
        <v>206</v>
      </c>
      <c r="B231">
        <v>1</v>
      </c>
      <c r="C231">
        <v>3</v>
      </c>
      <c r="D231">
        <v>34</v>
      </c>
      <c r="E231">
        <v>0</v>
      </c>
      <c r="F231">
        <v>4</v>
      </c>
      <c r="G231">
        <v>0</v>
      </c>
      <c r="H231">
        <v>88</v>
      </c>
      <c r="I231" s="1">
        <f t="shared" si="3"/>
        <v>0.38636363636363635</v>
      </c>
    </row>
    <row r="232" spans="1:9">
      <c r="A232" t="s">
        <v>206</v>
      </c>
      <c r="B232">
        <v>1</v>
      </c>
      <c r="C232">
        <v>4</v>
      </c>
      <c r="D232">
        <v>34</v>
      </c>
      <c r="E232">
        <v>0</v>
      </c>
      <c r="F232">
        <v>4</v>
      </c>
      <c r="G232">
        <v>0</v>
      </c>
      <c r="H232">
        <v>88</v>
      </c>
      <c r="I232" s="1">
        <f t="shared" si="3"/>
        <v>0.38636363636363635</v>
      </c>
    </row>
    <row r="233" spans="1:9">
      <c r="A233" t="s">
        <v>206</v>
      </c>
      <c r="B233">
        <v>1</v>
      </c>
      <c r="C233">
        <v>5</v>
      </c>
      <c r="D233">
        <v>88</v>
      </c>
      <c r="E233">
        <v>0</v>
      </c>
      <c r="F233">
        <v>0</v>
      </c>
      <c r="G233">
        <v>0</v>
      </c>
      <c r="H233">
        <v>88</v>
      </c>
      <c r="I233" s="1">
        <f t="shared" si="3"/>
        <v>1</v>
      </c>
    </row>
    <row r="234" spans="1:9">
      <c r="A234" t="s">
        <v>206</v>
      </c>
      <c r="B234">
        <v>1</v>
      </c>
      <c r="C234">
        <v>6</v>
      </c>
      <c r="D234">
        <v>88</v>
      </c>
      <c r="E234">
        <v>0</v>
      </c>
      <c r="F234">
        <v>0</v>
      </c>
      <c r="G234">
        <v>0</v>
      </c>
      <c r="H234">
        <v>88</v>
      </c>
      <c r="I234" s="1">
        <f t="shared" si="3"/>
        <v>1</v>
      </c>
    </row>
    <row r="235" spans="1:9">
      <c r="A235" t="s">
        <v>206</v>
      </c>
      <c r="B235">
        <v>1</v>
      </c>
      <c r="C235">
        <v>7</v>
      </c>
      <c r="D235">
        <v>88</v>
      </c>
      <c r="E235">
        <v>0</v>
      </c>
      <c r="F235">
        <v>0</v>
      </c>
      <c r="G235">
        <v>0</v>
      </c>
      <c r="H235">
        <v>88</v>
      </c>
      <c r="I235" s="1">
        <f t="shared" si="3"/>
        <v>1</v>
      </c>
    </row>
    <row r="236" spans="1:9">
      <c r="A236" t="s">
        <v>214</v>
      </c>
      <c r="B236">
        <v>1</v>
      </c>
      <c r="C236">
        <v>1</v>
      </c>
      <c r="D236">
        <v>13</v>
      </c>
      <c r="E236">
        <v>0</v>
      </c>
      <c r="F236">
        <v>3</v>
      </c>
      <c r="G236">
        <v>0</v>
      </c>
      <c r="H236">
        <v>168</v>
      </c>
      <c r="I236" s="1">
        <f t="shared" si="3"/>
        <v>7.7380952380952384E-2</v>
      </c>
    </row>
    <row r="237" spans="1:9">
      <c r="A237" t="s">
        <v>214</v>
      </c>
      <c r="B237">
        <v>1</v>
      </c>
      <c r="C237">
        <v>2</v>
      </c>
      <c r="D237">
        <v>15</v>
      </c>
      <c r="E237">
        <v>0</v>
      </c>
      <c r="F237">
        <v>3</v>
      </c>
      <c r="G237">
        <v>0</v>
      </c>
      <c r="H237">
        <v>168</v>
      </c>
      <c r="I237" s="1">
        <f t="shared" si="3"/>
        <v>8.9285714285714288E-2</v>
      </c>
    </row>
    <row r="238" spans="1:9">
      <c r="A238" t="s">
        <v>214</v>
      </c>
      <c r="B238">
        <v>1</v>
      </c>
      <c r="C238">
        <v>3</v>
      </c>
      <c r="D238">
        <v>21</v>
      </c>
      <c r="E238">
        <v>0</v>
      </c>
      <c r="F238">
        <v>4</v>
      </c>
      <c r="G238">
        <v>0</v>
      </c>
      <c r="H238">
        <v>168</v>
      </c>
      <c r="I238" s="1">
        <f t="shared" si="3"/>
        <v>0.125</v>
      </c>
    </row>
    <row r="239" spans="1:9">
      <c r="A239" t="s">
        <v>214</v>
      </c>
      <c r="B239">
        <v>1</v>
      </c>
      <c r="C239">
        <v>4</v>
      </c>
      <c r="D239">
        <v>23</v>
      </c>
      <c r="E239">
        <v>0</v>
      </c>
      <c r="F239">
        <v>4</v>
      </c>
      <c r="G239">
        <v>0</v>
      </c>
      <c r="H239">
        <v>168</v>
      </c>
      <c r="I239" s="1">
        <f t="shared" si="3"/>
        <v>0.13690476190476192</v>
      </c>
    </row>
    <row r="240" spans="1:9">
      <c r="A240" t="s">
        <v>214</v>
      </c>
      <c r="B240">
        <v>1</v>
      </c>
      <c r="C240">
        <v>5</v>
      </c>
      <c r="D240">
        <v>25</v>
      </c>
      <c r="E240">
        <v>0</v>
      </c>
      <c r="F240">
        <v>4</v>
      </c>
      <c r="G240">
        <v>0</v>
      </c>
      <c r="H240">
        <v>168</v>
      </c>
      <c r="I240" s="1">
        <f t="shared" si="3"/>
        <v>0.14880952380952381</v>
      </c>
    </row>
    <row r="241" spans="1:9">
      <c r="A241" t="s">
        <v>214</v>
      </c>
      <c r="B241">
        <v>1</v>
      </c>
      <c r="C241">
        <v>6</v>
      </c>
      <c r="D241">
        <v>27</v>
      </c>
      <c r="E241">
        <v>0</v>
      </c>
      <c r="F241">
        <v>4</v>
      </c>
      <c r="G241">
        <v>0</v>
      </c>
      <c r="H241">
        <v>168</v>
      </c>
      <c r="I241" s="1">
        <f t="shared" si="3"/>
        <v>0.16071428571428573</v>
      </c>
    </row>
    <row r="242" spans="1:9">
      <c r="A242" t="s">
        <v>214</v>
      </c>
      <c r="B242">
        <v>1</v>
      </c>
      <c r="C242">
        <v>7</v>
      </c>
      <c r="D242">
        <v>29</v>
      </c>
      <c r="E242">
        <v>0</v>
      </c>
      <c r="F242">
        <v>4</v>
      </c>
      <c r="G242">
        <v>0</v>
      </c>
      <c r="H242">
        <v>168</v>
      </c>
      <c r="I242" s="1">
        <f t="shared" si="3"/>
        <v>0.17261904761904762</v>
      </c>
    </row>
    <row r="243" spans="1:9">
      <c r="A243" t="s">
        <v>214</v>
      </c>
      <c r="B243">
        <v>1</v>
      </c>
      <c r="C243">
        <v>8</v>
      </c>
      <c r="D243">
        <v>32</v>
      </c>
      <c r="E243">
        <v>0</v>
      </c>
      <c r="F243">
        <v>5</v>
      </c>
      <c r="G243">
        <v>0</v>
      </c>
      <c r="H243">
        <v>168</v>
      </c>
      <c r="I243" s="1">
        <f t="shared" si="3"/>
        <v>0.19047619047619047</v>
      </c>
    </row>
    <row r="244" spans="1:9">
      <c r="A244" t="s">
        <v>214</v>
      </c>
      <c r="B244">
        <v>1</v>
      </c>
      <c r="C244">
        <v>9</v>
      </c>
      <c r="D244">
        <v>34</v>
      </c>
      <c r="E244">
        <v>0</v>
      </c>
      <c r="F244">
        <v>5</v>
      </c>
      <c r="G244">
        <v>0</v>
      </c>
      <c r="H244">
        <v>168</v>
      </c>
      <c r="I244" s="1">
        <f t="shared" si="3"/>
        <v>0.20238095238095238</v>
      </c>
    </row>
    <row r="245" spans="1:9">
      <c r="A245" t="s">
        <v>214</v>
      </c>
      <c r="B245">
        <v>1</v>
      </c>
      <c r="C245">
        <v>10</v>
      </c>
      <c r="D245">
        <v>35</v>
      </c>
      <c r="E245">
        <v>0</v>
      </c>
      <c r="F245">
        <v>4</v>
      </c>
      <c r="G245">
        <v>0</v>
      </c>
      <c r="H245">
        <v>168</v>
      </c>
      <c r="I245" s="1">
        <f t="shared" si="3"/>
        <v>0.20833333333333334</v>
      </c>
    </row>
    <row r="246" spans="1:9">
      <c r="A246" t="s">
        <v>214</v>
      </c>
      <c r="B246">
        <v>1</v>
      </c>
      <c r="C246">
        <v>11</v>
      </c>
      <c r="D246">
        <v>38</v>
      </c>
      <c r="E246">
        <v>0</v>
      </c>
      <c r="F246">
        <v>5</v>
      </c>
      <c r="G246">
        <v>0</v>
      </c>
      <c r="H246">
        <v>168</v>
      </c>
      <c r="I246" s="1">
        <f t="shared" si="3"/>
        <v>0.22619047619047619</v>
      </c>
    </row>
    <row r="247" spans="1:9">
      <c r="A247" t="s">
        <v>214</v>
      </c>
      <c r="B247">
        <v>1</v>
      </c>
      <c r="C247">
        <v>12</v>
      </c>
      <c r="D247">
        <v>39</v>
      </c>
      <c r="E247">
        <v>0</v>
      </c>
      <c r="F247">
        <v>4</v>
      </c>
      <c r="G247">
        <v>0</v>
      </c>
      <c r="H247">
        <v>168</v>
      </c>
      <c r="I247" s="1">
        <f t="shared" si="3"/>
        <v>0.23214285714285715</v>
      </c>
    </row>
    <row r="248" spans="1:9">
      <c r="A248" t="s">
        <v>214</v>
      </c>
      <c r="B248">
        <v>1</v>
      </c>
      <c r="C248">
        <v>13</v>
      </c>
      <c r="D248">
        <v>41</v>
      </c>
      <c r="E248">
        <v>0</v>
      </c>
      <c r="F248">
        <v>4</v>
      </c>
      <c r="G248">
        <v>0</v>
      </c>
      <c r="H248">
        <v>168</v>
      </c>
      <c r="I248" s="1">
        <f t="shared" si="3"/>
        <v>0.24404761904761904</v>
      </c>
    </row>
    <row r="249" spans="1:9">
      <c r="A249" t="s">
        <v>214</v>
      </c>
      <c r="B249">
        <v>1</v>
      </c>
      <c r="C249">
        <v>14</v>
      </c>
      <c r="D249">
        <v>43</v>
      </c>
      <c r="E249">
        <v>0</v>
      </c>
      <c r="F249">
        <v>3</v>
      </c>
      <c r="G249">
        <v>0</v>
      </c>
      <c r="H249">
        <v>168</v>
      </c>
      <c r="I249" s="1">
        <f t="shared" si="3"/>
        <v>0.25595238095238093</v>
      </c>
    </row>
    <row r="250" spans="1:9">
      <c r="A250" t="s">
        <v>214</v>
      </c>
      <c r="B250">
        <v>1</v>
      </c>
      <c r="C250">
        <v>15</v>
      </c>
      <c r="D250">
        <v>44</v>
      </c>
      <c r="E250">
        <v>0</v>
      </c>
      <c r="F250">
        <v>2</v>
      </c>
      <c r="G250">
        <v>0</v>
      </c>
      <c r="H250">
        <v>168</v>
      </c>
      <c r="I250" s="1">
        <f t="shared" si="3"/>
        <v>0.26190476190476192</v>
      </c>
    </row>
    <row r="251" spans="1:9">
      <c r="A251" t="s">
        <v>214</v>
      </c>
      <c r="B251">
        <v>1</v>
      </c>
      <c r="C251">
        <v>16</v>
      </c>
      <c r="D251">
        <v>168</v>
      </c>
      <c r="E251">
        <v>0</v>
      </c>
      <c r="F251">
        <v>0</v>
      </c>
      <c r="G251">
        <v>0</v>
      </c>
      <c r="H251">
        <v>168</v>
      </c>
      <c r="I251" s="1">
        <f t="shared" si="3"/>
        <v>1</v>
      </c>
    </row>
    <row r="252" spans="1:9">
      <c r="A252" t="s">
        <v>214</v>
      </c>
      <c r="B252">
        <v>3</v>
      </c>
      <c r="C252">
        <v>1</v>
      </c>
      <c r="D252">
        <v>279</v>
      </c>
      <c r="E252">
        <v>0</v>
      </c>
      <c r="F252">
        <v>2</v>
      </c>
      <c r="G252">
        <v>0</v>
      </c>
      <c r="H252">
        <v>332</v>
      </c>
      <c r="I252" s="1">
        <f t="shared" si="3"/>
        <v>0.84036144578313254</v>
      </c>
    </row>
    <row r="253" spans="1:9">
      <c r="A253" t="s">
        <v>214</v>
      </c>
      <c r="B253">
        <v>3</v>
      </c>
      <c r="C253">
        <v>2</v>
      </c>
      <c r="D253">
        <v>331</v>
      </c>
      <c r="E253">
        <v>0</v>
      </c>
      <c r="F253">
        <v>1</v>
      </c>
      <c r="G253">
        <v>0</v>
      </c>
      <c r="H253">
        <v>332</v>
      </c>
      <c r="I253" s="1">
        <f t="shared" si="3"/>
        <v>0.99698795180722888</v>
      </c>
    </row>
    <row r="254" spans="1:9">
      <c r="A254" t="s">
        <v>214</v>
      </c>
      <c r="B254">
        <v>3</v>
      </c>
      <c r="C254">
        <v>3</v>
      </c>
      <c r="D254">
        <v>332</v>
      </c>
      <c r="E254">
        <v>0</v>
      </c>
      <c r="F254">
        <v>0</v>
      </c>
      <c r="G254">
        <v>0</v>
      </c>
      <c r="H254">
        <v>332</v>
      </c>
      <c r="I254" s="1">
        <f t="shared" si="3"/>
        <v>1</v>
      </c>
    </row>
    <row r="255" spans="1:9">
      <c r="A255" t="s">
        <v>214</v>
      </c>
      <c r="B255">
        <v>4</v>
      </c>
      <c r="C255">
        <v>1</v>
      </c>
      <c r="D255">
        <v>112</v>
      </c>
      <c r="E255">
        <v>0</v>
      </c>
      <c r="F255">
        <v>5</v>
      </c>
      <c r="G255">
        <v>0</v>
      </c>
      <c r="H255">
        <f>129</f>
        <v>129</v>
      </c>
      <c r="I255" s="1">
        <f t="shared" si="3"/>
        <v>0.86821705426356588</v>
      </c>
    </row>
    <row r="256" spans="1:9">
      <c r="A256" t="s">
        <v>214</v>
      </c>
      <c r="B256">
        <v>4</v>
      </c>
      <c r="C256">
        <v>2</v>
      </c>
      <c r="D256">
        <v>116</v>
      </c>
      <c r="E256">
        <v>0</v>
      </c>
      <c r="F256">
        <v>3</v>
      </c>
      <c r="G256">
        <v>0</v>
      </c>
      <c r="H256">
        <f>129</f>
        <v>129</v>
      </c>
      <c r="I256" s="1">
        <f t="shared" si="3"/>
        <v>0.89922480620155043</v>
      </c>
    </row>
    <row r="257" spans="1:9">
      <c r="A257" t="s">
        <v>214</v>
      </c>
      <c r="B257">
        <v>4</v>
      </c>
      <c r="C257">
        <v>3</v>
      </c>
      <c r="D257">
        <v>119</v>
      </c>
      <c r="E257">
        <v>0</v>
      </c>
      <c r="F257">
        <v>3</v>
      </c>
      <c r="G257">
        <v>0</v>
      </c>
      <c r="H257">
        <f>129</f>
        <v>129</v>
      </c>
      <c r="I257" s="1">
        <f t="shared" si="3"/>
        <v>0.92248062015503873</v>
      </c>
    </row>
    <row r="258" spans="1:9">
      <c r="A258" t="s">
        <v>214</v>
      </c>
      <c r="B258">
        <v>4</v>
      </c>
      <c r="C258">
        <v>4</v>
      </c>
      <c r="D258">
        <v>119</v>
      </c>
      <c r="E258">
        <v>0</v>
      </c>
      <c r="F258">
        <v>3</v>
      </c>
      <c r="G258">
        <v>0</v>
      </c>
      <c r="H258">
        <f>129</f>
        <v>129</v>
      </c>
      <c r="I258" s="1">
        <f t="shared" si="3"/>
        <v>0.92248062015503873</v>
      </c>
    </row>
    <row r="259" spans="1:9">
      <c r="A259" t="s">
        <v>214</v>
      </c>
      <c r="B259">
        <v>4</v>
      </c>
      <c r="C259">
        <v>5</v>
      </c>
      <c r="D259">
        <v>122</v>
      </c>
      <c r="E259">
        <v>0</v>
      </c>
      <c r="F259">
        <v>2</v>
      </c>
      <c r="G259">
        <v>0</v>
      </c>
      <c r="H259">
        <f>129</f>
        <v>129</v>
      </c>
      <c r="I259" s="1">
        <f t="shared" ref="I259:I322" si="4">D259/H259</f>
        <v>0.94573643410852715</v>
      </c>
    </row>
    <row r="260" spans="1:9">
      <c r="A260" t="s">
        <v>214</v>
      </c>
      <c r="B260">
        <v>4</v>
      </c>
      <c r="C260">
        <v>6</v>
      </c>
      <c r="D260">
        <v>129</v>
      </c>
      <c r="E260">
        <v>0</v>
      </c>
      <c r="F260">
        <v>0</v>
      </c>
      <c r="G260">
        <v>0</v>
      </c>
      <c r="H260">
        <f>129</f>
        <v>129</v>
      </c>
      <c r="I260" s="1">
        <f t="shared" si="4"/>
        <v>1</v>
      </c>
    </row>
    <row r="261" spans="1:9">
      <c r="A261" t="s">
        <v>214</v>
      </c>
      <c r="B261">
        <v>4</v>
      </c>
      <c r="C261">
        <v>7</v>
      </c>
      <c r="D261">
        <v>129</v>
      </c>
      <c r="E261">
        <v>0</v>
      </c>
      <c r="F261">
        <v>0</v>
      </c>
      <c r="G261">
        <v>0</v>
      </c>
      <c r="H261">
        <f>129</f>
        <v>129</v>
      </c>
      <c r="I261" s="1">
        <f t="shared" si="4"/>
        <v>1</v>
      </c>
    </row>
    <row r="262" spans="1:9">
      <c r="A262" t="s">
        <v>214</v>
      </c>
      <c r="B262">
        <v>4</v>
      </c>
      <c r="C262">
        <v>8</v>
      </c>
      <c r="D262">
        <v>129</v>
      </c>
      <c r="E262">
        <v>0</v>
      </c>
      <c r="F262">
        <v>0</v>
      </c>
      <c r="G262">
        <v>0</v>
      </c>
      <c r="H262">
        <f>129</f>
        <v>129</v>
      </c>
      <c r="I262" s="1">
        <f t="shared" si="4"/>
        <v>1</v>
      </c>
    </row>
    <row r="263" spans="1:9">
      <c r="A263" t="s">
        <v>214</v>
      </c>
      <c r="B263">
        <v>4</v>
      </c>
      <c r="C263">
        <v>9</v>
      </c>
      <c r="D263">
        <v>129</v>
      </c>
      <c r="E263">
        <v>0</v>
      </c>
      <c r="F263">
        <v>0</v>
      </c>
      <c r="G263">
        <v>0</v>
      </c>
      <c r="H263">
        <f>129</f>
        <v>129</v>
      </c>
      <c r="I263" s="1">
        <f t="shared" si="4"/>
        <v>1</v>
      </c>
    </row>
    <row r="264" spans="1:9">
      <c r="A264" t="s">
        <v>214</v>
      </c>
      <c r="B264">
        <v>6</v>
      </c>
      <c r="C264">
        <v>1</v>
      </c>
      <c r="D264">
        <v>78</v>
      </c>
      <c r="E264">
        <v>0</v>
      </c>
      <c r="F264">
        <v>3</v>
      </c>
      <c r="G264">
        <v>0</v>
      </c>
      <c r="H264">
        <v>121</v>
      </c>
      <c r="I264" s="1">
        <f t="shared" si="4"/>
        <v>0.64462809917355368</v>
      </c>
    </row>
    <row r="265" spans="1:9">
      <c r="A265" t="s">
        <v>214</v>
      </c>
      <c r="B265">
        <v>6</v>
      </c>
      <c r="C265">
        <v>2</v>
      </c>
      <c r="D265">
        <v>121</v>
      </c>
      <c r="E265">
        <v>0</v>
      </c>
      <c r="F265">
        <v>0</v>
      </c>
      <c r="G265">
        <v>0</v>
      </c>
      <c r="H265">
        <v>121</v>
      </c>
      <c r="I265" s="1">
        <f t="shared" si="4"/>
        <v>1</v>
      </c>
    </row>
    <row r="266" spans="1:9">
      <c r="A266" t="s">
        <v>214</v>
      </c>
      <c r="B266">
        <v>7</v>
      </c>
      <c r="C266">
        <v>1</v>
      </c>
      <c r="D266">
        <v>1</v>
      </c>
      <c r="E266">
        <v>0</v>
      </c>
      <c r="F266">
        <v>1</v>
      </c>
      <c r="G266">
        <v>0</v>
      </c>
      <c r="H266">
        <v>43</v>
      </c>
      <c r="I266" s="1">
        <f t="shared" si="4"/>
        <v>2.3255813953488372E-2</v>
      </c>
    </row>
    <row r="267" spans="1:9">
      <c r="A267" t="s">
        <v>214</v>
      </c>
      <c r="B267">
        <v>7</v>
      </c>
      <c r="C267">
        <v>2</v>
      </c>
      <c r="D267">
        <v>3</v>
      </c>
      <c r="E267">
        <v>0</v>
      </c>
      <c r="F267">
        <v>1</v>
      </c>
      <c r="G267">
        <v>0</v>
      </c>
      <c r="H267">
        <v>43</v>
      </c>
      <c r="I267" s="1">
        <f t="shared" si="4"/>
        <v>6.9767441860465115E-2</v>
      </c>
    </row>
    <row r="268" spans="1:9">
      <c r="A268" t="s">
        <v>214</v>
      </c>
      <c r="B268">
        <v>7</v>
      </c>
      <c r="C268">
        <v>3</v>
      </c>
      <c r="D268">
        <v>6</v>
      </c>
      <c r="E268">
        <v>0</v>
      </c>
      <c r="F268">
        <v>2</v>
      </c>
      <c r="G268">
        <v>0</v>
      </c>
      <c r="H268">
        <v>43</v>
      </c>
      <c r="I268" s="1">
        <f t="shared" si="4"/>
        <v>0.13953488372093023</v>
      </c>
    </row>
    <row r="269" spans="1:9">
      <c r="A269" t="s">
        <v>214</v>
      </c>
      <c r="B269">
        <v>7</v>
      </c>
      <c r="C269">
        <v>4</v>
      </c>
      <c r="D269">
        <v>10</v>
      </c>
      <c r="E269">
        <v>0</v>
      </c>
      <c r="F269">
        <v>4</v>
      </c>
      <c r="G269">
        <v>0</v>
      </c>
      <c r="H269">
        <v>43</v>
      </c>
      <c r="I269" s="1">
        <f t="shared" si="4"/>
        <v>0.23255813953488372</v>
      </c>
    </row>
    <row r="270" spans="1:9">
      <c r="A270" t="s">
        <v>214</v>
      </c>
      <c r="B270">
        <v>7</v>
      </c>
      <c r="C270">
        <v>5</v>
      </c>
      <c r="D270">
        <v>11</v>
      </c>
      <c r="E270">
        <v>0</v>
      </c>
      <c r="F270">
        <v>3</v>
      </c>
      <c r="G270">
        <v>0</v>
      </c>
      <c r="H270">
        <v>43</v>
      </c>
      <c r="I270" s="1">
        <f t="shared" si="4"/>
        <v>0.2558139534883721</v>
      </c>
    </row>
    <row r="271" spans="1:9">
      <c r="A271" t="s">
        <v>214</v>
      </c>
      <c r="B271">
        <v>7</v>
      </c>
      <c r="C271">
        <v>6</v>
      </c>
      <c r="D271">
        <v>41</v>
      </c>
      <c r="E271">
        <v>0</v>
      </c>
      <c r="F271">
        <v>2</v>
      </c>
      <c r="G271">
        <v>0</v>
      </c>
      <c r="H271">
        <v>43</v>
      </c>
      <c r="I271" s="1">
        <f t="shared" si="4"/>
        <v>0.95348837209302328</v>
      </c>
    </row>
    <row r="272" spans="1:9">
      <c r="A272" t="s">
        <v>214</v>
      </c>
      <c r="B272">
        <v>7</v>
      </c>
      <c r="C272">
        <v>7</v>
      </c>
      <c r="D272">
        <v>43</v>
      </c>
      <c r="E272">
        <v>0</v>
      </c>
      <c r="F272">
        <v>0</v>
      </c>
      <c r="G272">
        <v>0</v>
      </c>
      <c r="H272" s="6">
        <v>43</v>
      </c>
      <c r="I272" s="1">
        <f t="shared" si="4"/>
        <v>1</v>
      </c>
    </row>
    <row r="273" spans="1:9">
      <c r="A273" t="s">
        <v>247</v>
      </c>
      <c r="B273">
        <v>3</v>
      </c>
      <c r="C273">
        <v>1</v>
      </c>
      <c r="D273">
        <v>6</v>
      </c>
      <c r="E273">
        <v>0</v>
      </c>
      <c r="F273">
        <v>1</v>
      </c>
      <c r="G273">
        <v>0</v>
      </c>
      <c r="H273">
        <v>62</v>
      </c>
      <c r="I273" s="1">
        <f t="shared" si="4"/>
        <v>9.6774193548387094E-2</v>
      </c>
    </row>
    <row r="274" spans="1:9">
      <c r="A274" t="s">
        <v>247</v>
      </c>
      <c r="B274">
        <v>3</v>
      </c>
      <c r="C274">
        <v>2</v>
      </c>
      <c r="D274">
        <v>46</v>
      </c>
      <c r="E274">
        <v>0</v>
      </c>
      <c r="F274">
        <v>3</v>
      </c>
      <c r="G274">
        <v>0</v>
      </c>
      <c r="H274">
        <v>62</v>
      </c>
      <c r="I274" s="1">
        <f t="shared" si="4"/>
        <v>0.74193548387096775</v>
      </c>
    </row>
    <row r="275" spans="1:9">
      <c r="A275" t="s">
        <v>247</v>
      </c>
      <c r="B275">
        <v>3</v>
      </c>
      <c r="C275">
        <v>3</v>
      </c>
      <c r="D275">
        <v>62</v>
      </c>
      <c r="E275">
        <v>0</v>
      </c>
      <c r="F275">
        <v>0</v>
      </c>
      <c r="G275">
        <v>0</v>
      </c>
      <c r="H275">
        <v>62</v>
      </c>
      <c r="I275" s="1">
        <f t="shared" si="4"/>
        <v>1</v>
      </c>
    </row>
    <row r="276" spans="1:9">
      <c r="A276" t="s">
        <v>247</v>
      </c>
      <c r="B276">
        <v>7</v>
      </c>
      <c r="C276">
        <v>1</v>
      </c>
      <c r="D276">
        <v>3</v>
      </c>
      <c r="E276">
        <v>0</v>
      </c>
      <c r="F276">
        <v>0</v>
      </c>
      <c r="G276">
        <v>0</v>
      </c>
      <c r="H276">
        <v>56</v>
      </c>
      <c r="I276" s="1">
        <f t="shared" si="4"/>
        <v>5.3571428571428568E-2</v>
      </c>
    </row>
    <row r="277" spans="1:9">
      <c r="A277" t="s">
        <v>247</v>
      </c>
      <c r="B277">
        <v>7</v>
      </c>
      <c r="C277">
        <v>2</v>
      </c>
      <c r="D277">
        <v>4</v>
      </c>
      <c r="E277">
        <v>0</v>
      </c>
      <c r="F277">
        <v>1</v>
      </c>
      <c r="G277">
        <v>0</v>
      </c>
      <c r="H277">
        <v>56</v>
      </c>
      <c r="I277" s="1">
        <f t="shared" si="4"/>
        <v>7.1428571428571425E-2</v>
      </c>
    </row>
    <row r="278" spans="1:9">
      <c r="A278" t="s">
        <v>247</v>
      </c>
      <c r="B278">
        <v>7</v>
      </c>
      <c r="C278">
        <v>3</v>
      </c>
      <c r="D278">
        <v>16</v>
      </c>
      <c r="E278">
        <v>0</v>
      </c>
      <c r="F278">
        <v>1</v>
      </c>
      <c r="G278">
        <v>0</v>
      </c>
      <c r="H278">
        <v>56</v>
      </c>
      <c r="I278" s="1">
        <f t="shared" si="4"/>
        <v>0.2857142857142857</v>
      </c>
    </row>
    <row r="279" spans="1:9">
      <c r="A279" t="s">
        <v>247</v>
      </c>
      <c r="B279">
        <v>7</v>
      </c>
      <c r="C279">
        <v>4</v>
      </c>
      <c r="D279">
        <v>27</v>
      </c>
      <c r="E279">
        <v>0</v>
      </c>
      <c r="F279">
        <v>1</v>
      </c>
      <c r="G279">
        <v>0</v>
      </c>
      <c r="H279">
        <v>56</v>
      </c>
      <c r="I279" s="1">
        <f t="shared" si="4"/>
        <v>0.48214285714285715</v>
      </c>
    </row>
    <row r="280" spans="1:9">
      <c r="A280" t="s">
        <v>247</v>
      </c>
      <c r="B280">
        <v>7</v>
      </c>
      <c r="C280">
        <v>5</v>
      </c>
      <c r="D280">
        <v>29</v>
      </c>
      <c r="E280">
        <v>0</v>
      </c>
      <c r="F280">
        <v>1</v>
      </c>
      <c r="G280">
        <v>0</v>
      </c>
      <c r="H280">
        <v>56</v>
      </c>
      <c r="I280" s="1">
        <f t="shared" si="4"/>
        <v>0.5178571428571429</v>
      </c>
    </row>
    <row r="281" spans="1:9">
      <c r="A281" t="s">
        <v>247</v>
      </c>
      <c r="B281">
        <v>7</v>
      </c>
      <c r="C281">
        <v>6</v>
      </c>
      <c r="D281">
        <v>56</v>
      </c>
      <c r="E281">
        <v>0</v>
      </c>
      <c r="F281">
        <v>0</v>
      </c>
      <c r="G281">
        <v>0</v>
      </c>
      <c r="H281">
        <v>56</v>
      </c>
      <c r="I281" s="1">
        <f t="shared" si="4"/>
        <v>1</v>
      </c>
    </row>
    <row r="282" spans="1:9">
      <c r="A282" t="s">
        <v>247</v>
      </c>
      <c r="B282">
        <v>8</v>
      </c>
      <c r="C282">
        <v>1</v>
      </c>
      <c r="D282">
        <v>4</v>
      </c>
      <c r="E282">
        <v>0</v>
      </c>
      <c r="F282">
        <v>1</v>
      </c>
      <c r="G282">
        <v>0</v>
      </c>
      <c r="H282">
        <v>86</v>
      </c>
      <c r="I282" s="1">
        <f t="shared" si="4"/>
        <v>4.6511627906976744E-2</v>
      </c>
    </row>
    <row r="283" spans="1:9">
      <c r="A283" t="s">
        <v>247</v>
      </c>
      <c r="B283">
        <v>8</v>
      </c>
      <c r="C283">
        <v>2</v>
      </c>
      <c r="D283">
        <v>15</v>
      </c>
      <c r="E283">
        <v>0</v>
      </c>
      <c r="F283">
        <v>2</v>
      </c>
      <c r="G283">
        <v>0</v>
      </c>
      <c r="H283">
        <v>86</v>
      </c>
      <c r="I283" s="1">
        <f t="shared" si="4"/>
        <v>0.1744186046511628</v>
      </c>
    </row>
    <row r="284" spans="1:9">
      <c r="A284" t="s">
        <v>247</v>
      </c>
      <c r="B284">
        <v>8</v>
      </c>
      <c r="C284">
        <v>3</v>
      </c>
      <c r="D284">
        <v>19</v>
      </c>
      <c r="E284">
        <v>0</v>
      </c>
      <c r="F284">
        <v>2</v>
      </c>
      <c r="G284">
        <v>0</v>
      </c>
      <c r="H284">
        <v>86</v>
      </c>
      <c r="I284" s="1">
        <f t="shared" si="4"/>
        <v>0.22093023255813954</v>
      </c>
    </row>
    <row r="285" spans="1:9">
      <c r="A285" t="s">
        <v>247</v>
      </c>
      <c r="B285">
        <v>8</v>
      </c>
      <c r="C285">
        <v>4</v>
      </c>
      <c r="D285">
        <v>29</v>
      </c>
      <c r="E285">
        <v>0</v>
      </c>
      <c r="F285">
        <v>2</v>
      </c>
      <c r="G285">
        <v>0</v>
      </c>
      <c r="H285">
        <v>86</v>
      </c>
      <c r="I285" s="1">
        <f t="shared" si="4"/>
        <v>0.33720930232558138</v>
      </c>
    </row>
    <row r="286" spans="1:9">
      <c r="A286" t="s">
        <v>247</v>
      </c>
      <c r="B286">
        <v>8</v>
      </c>
      <c r="C286">
        <v>5</v>
      </c>
      <c r="D286">
        <v>31</v>
      </c>
      <c r="E286">
        <v>0</v>
      </c>
      <c r="F286">
        <v>2</v>
      </c>
      <c r="G286">
        <v>0</v>
      </c>
      <c r="H286">
        <v>86</v>
      </c>
      <c r="I286" s="1">
        <f t="shared" si="4"/>
        <v>0.36046511627906974</v>
      </c>
    </row>
    <row r="287" spans="1:9">
      <c r="A287" t="s">
        <v>247</v>
      </c>
      <c r="B287">
        <v>8</v>
      </c>
      <c r="C287">
        <v>6</v>
      </c>
      <c r="D287">
        <v>65</v>
      </c>
      <c r="E287">
        <v>0</v>
      </c>
      <c r="F287">
        <v>2</v>
      </c>
      <c r="G287">
        <v>0</v>
      </c>
      <c r="H287">
        <v>86</v>
      </c>
      <c r="I287" s="1">
        <f t="shared" si="4"/>
        <v>0.7558139534883721</v>
      </c>
    </row>
    <row r="288" spans="1:9">
      <c r="A288" t="s">
        <v>247</v>
      </c>
      <c r="B288">
        <v>8</v>
      </c>
      <c r="C288">
        <v>7</v>
      </c>
      <c r="D288">
        <v>68</v>
      </c>
      <c r="E288">
        <v>0</v>
      </c>
      <c r="F288">
        <v>2</v>
      </c>
      <c r="G288">
        <v>0</v>
      </c>
      <c r="H288">
        <v>86</v>
      </c>
      <c r="I288" s="1">
        <f t="shared" si="4"/>
        <v>0.79069767441860461</v>
      </c>
    </row>
    <row r="289" spans="1:9">
      <c r="A289" t="s">
        <v>247</v>
      </c>
      <c r="B289">
        <v>8</v>
      </c>
      <c r="C289">
        <v>8</v>
      </c>
      <c r="D289">
        <v>70</v>
      </c>
      <c r="E289">
        <v>0</v>
      </c>
      <c r="F289">
        <v>2</v>
      </c>
      <c r="G289">
        <v>0</v>
      </c>
      <c r="H289">
        <v>86</v>
      </c>
      <c r="I289" s="1">
        <f t="shared" si="4"/>
        <v>0.81395348837209303</v>
      </c>
    </row>
    <row r="290" spans="1:9">
      <c r="A290" t="s">
        <v>247</v>
      </c>
      <c r="B290">
        <v>8</v>
      </c>
      <c r="C290">
        <v>9</v>
      </c>
      <c r="D290">
        <v>75</v>
      </c>
      <c r="E290">
        <v>0</v>
      </c>
      <c r="F290">
        <v>2</v>
      </c>
      <c r="G290">
        <v>0</v>
      </c>
      <c r="H290">
        <v>86</v>
      </c>
      <c r="I290" s="1">
        <f t="shared" si="4"/>
        <v>0.87209302325581395</v>
      </c>
    </row>
    <row r="291" spans="1:9">
      <c r="A291" t="s">
        <v>247</v>
      </c>
      <c r="B291">
        <v>8</v>
      </c>
      <c r="C291">
        <v>10</v>
      </c>
      <c r="D291">
        <v>79</v>
      </c>
      <c r="E291">
        <v>0</v>
      </c>
      <c r="F291">
        <v>2</v>
      </c>
      <c r="G291">
        <v>0</v>
      </c>
      <c r="H291">
        <v>86</v>
      </c>
      <c r="I291" s="1">
        <f t="shared" si="4"/>
        <v>0.91860465116279066</v>
      </c>
    </row>
    <row r="292" spans="1:9">
      <c r="A292" t="s">
        <v>247</v>
      </c>
      <c r="B292">
        <v>8</v>
      </c>
      <c r="C292">
        <v>11</v>
      </c>
      <c r="D292">
        <v>86</v>
      </c>
      <c r="E292">
        <v>0</v>
      </c>
      <c r="F292">
        <v>0</v>
      </c>
      <c r="G292">
        <v>0</v>
      </c>
      <c r="H292">
        <v>86</v>
      </c>
      <c r="I292" s="1">
        <f t="shared" si="4"/>
        <v>1</v>
      </c>
    </row>
    <row r="293" spans="1:9">
      <c r="A293" t="s">
        <v>247</v>
      </c>
      <c r="B293">
        <v>9</v>
      </c>
      <c r="C293">
        <v>1</v>
      </c>
      <c r="D293">
        <v>4</v>
      </c>
      <c r="E293">
        <v>0</v>
      </c>
      <c r="F293">
        <v>1</v>
      </c>
      <c r="G293">
        <v>0</v>
      </c>
      <c r="H293">
        <v>46</v>
      </c>
      <c r="I293" s="1">
        <f t="shared" si="4"/>
        <v>8.6956521739130432E-2</v>
      </c>
    </row>
    <row r="294" spans="1:9">
      <c r="A294" t="s">
        <v>247</v>
      </c>
      <c r="B294">
        <v>9</v>
      </c>
      <c r="C294">
        <v>2</v>
      </c>
      <c r="D294">
        <v>9</v>
      </c>
      <c r="E294">
        <v>0</v>
      </c>
      <c r="F294">
        <v>1</v>
      </c>
      <c r="G294">
        <v>0</v>
      </c>
      <c r="H294">
        <v>46</v>
      </c>
      <c r="I294" s="1">
        <f t="shared" si="4"/>
        <v>0.19565217391304349</v>
      </c>
    </row>
    <row r="295" spans="1:9">
      <c r="A295" t="s">
        <v>247</v>
      </c>
      <c r="B295">
        <v>9</v>
      </c>
      <c r="C295">
        <v>3</v>
      </c>
      <c r="D295">
        <v>19</v>
      </c>
      <c r="E295">
        <v>0</v>
      </c>
      <c r="F295">
        <v>1</v>
      </c>
      <c r="G295">
        <v>0</v>
      </c>
      <c r="H295">
        <v>46</v>
      </c>
      <c r="I295" s="1">
        <f t="shared" si="4"/>
        <v>0.41304347826086957</v>
      </c>
    </row>
    <row r="296" spans="1:9">
      <c r="A296" t="s">
        <v>247</v>
      </c>
      <c r="B296">
        <v>9</v>
      </c>
      <c r="C296">
        <v>4</v>
      </c>
      <c r="D296">
        <v>21</v>
      </c>
      <c r="E296">
        <v>0</v>
      </c>
      <c r="F296">
        <v>1</v>
      </c>
      <c r="G296">
        <v>0</v>
      </c>
      <c r="H296">
        <v>46</v>
      </c>
      <c r="I296" s="1">
        <f t="shared" si="4"/>
        <v>0.45652173913043476</v>
      </c>
    </row>
    <row r="297" spans="1:9">
      <c r="A297" t="s">
        <v>247</v>
      </c>
      <c r="B297">
        <v>9</v>
      </c>
      <c r="C297">
        <v>5</v>
      </c>
      <c r="D297">
        <v>46</v>
      </c>
      <c r="E297">
        <v>0</v>
      </c>
      <c r="F297">
        <v>0</v>
      </c>
      <c r="G297">
        <v>0</v>
      </c>
      <c r="H297">
        <v>46</v>
      </c>
      <c r="I297" s="1">
        <f t="shared" si="4"/>
        <v>1</v>
      </c>
    </row>
    <row r="298" spans="1:9">
      <c r="A298" t="s">
        <v>247</v>
      </c>
      <c r="B298">
        <v>10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30</v>
      </c>
      <c r="I298" s="1">
        <f t="shared" si="4"/>
        <v>3.3333333333333333E-2</v>
      </c>
    </row>
    <row r="299" spans="1:9">
      <c r="A299" t="s">
        <v>247</v>
      </c>
      <c r="B299">
        <v>10</v>
      </c>
      <c r="C299">
        <v>2</v>
      </c>
      <c r="D299">
        <v>6</v>
      </c>
      <c r="E299">
        <v>0</v>
      </c>
      <c r="F299">
        <v>3</v>
      </c>
      <c r="G299">
        <v>0</v>
      </c>
      <c r="H299">
        <v>30</v>
      </c>
      <c r="I299" s="1">
        <f t="shared" si="4"/>
        <v>0.2</v>
      </c>
    </row>
    <row r="300" spans="1:9">
      <c r="A300" t="s">
        <v>247</v>
      </c>
      <c r="B300">
        <v>10</v>
      </c>
      <c r="C300">
        <v>3</v>
      </c>
      <c r="D300">
        <v>12</v>
      </c>
      <c r="E300">
        <v>0</v>
      </c>
      <c r="F300">
        <v>4</v>
      </c>
      <c r="G300">
        <v>0</v>
      </c>
      <c r="H300">
        <v>30</v>
      </c>
      <c r="I300" s="1">
        <f t="shared" si="4"/>
        <v>0.4</v>
      </c>
    </row>
    <row r="301" spans="1:9">
      <c r="A301" t="s">
        <v>247</v>
      </c>
      <c r="B301">
        <v>10</v>
      </c>
      <c r="C301">
        <v>4</v>
      </c>
      <c r="D301">
        <v>13</v>
      </c>
      <c r="E301">
        <v>0</v>
      </c>
      <c r="F301">
        <v>3</v>
      </c>
      <c r="G301">
        <v>0</v>
      </c>
      <c r="H301">
        <v>30</v>
      </c>
      <c r="I301" s="1">
        <f t="shared" si="4"/>
        <v>0.43333333333333335</v>
      </c>
    </row>
    <row r="302" spans="1:9">
      <c r="A302" t="s">
        <v>247</v>
      </c>
      <c r="B302">
        <v>10</v>
      </c>
      <c r="C302">
        <v>5</v>
      </c>
      <c r="D302">
        <v>19</v>
      </c>
      <c r="E302">
        <v>0</v>
      </c>
      <c r="F302">
        <v>4</v>
      </c>
      <c r="G302">
        <v>0</v>
      </c>
      <c r="H302">
        <v>30</v>
      </c>
      <c r="I302" s="1">
        <f t="shared" si="4"/>
        <v>0.6333333333333333</v>
      </c>
    </row>
    <row r="303" spans="1:9">
      <c r="A303" t="s">
        <v>247</v>
      </c>
      <c r="B303">
        <v>10</v>
      </c>
      <c r="C303">
        <v>6</v>
      </c>
      <c r="D303">
        <v>19</v>
      </c>
      <c r="E303">
        <v>0</v>
      </c>
      <c r="F303">
        <v>4</v>
      </c>
      <c r="G303">
        <v>0</v>
      </c>
      <c r="H303">
        <v>30</v>
      </c>
      <c r="I303" s="1">
        <f t="shared" si="4"/>
        <v>0.6333333333333333</v>
      </c>
    </row>
    <row r="304" spans="1:9">
      <c r="A304" t="s">
        <v>247</v>
      </c>
      <c r="B304">
        <v>10</v>
      </c>
      <c r="C304">
        <v>7</v>
      </c>
      <c r="D304">
        <v>20</v>
      </c>
      <c r="E304">
        <v>0</v>
      </c>
      <c r="F304">
        <v>3</v>
      </c>
      <c r="G304">
        <v>0</v>
      </c>
      <c r="H304">
        <v>30</v>
      </c>
      <c r="I304" s="1">
        <f t="shared" si="4"/>
        <v>0.66666666666666663</v>
      </c>
    </row>
    <row r="305" spans="1:9">
      <c r="A305" t="s">
        <v>247</v>
      </c>
      <c r="B305">
        <v>10</v>
      </c>
      <c r="C305">
        <v>8</v>
      </c>
      <c r="D305">
        <v>24</v>
      </c>
      <c r="E305">
        <v>0</v>
      </c>
      <c r="F305">
        <v>3</v>
      </c>
      <c r="G305">
        <v>0</v>
      </c>
      <c r="H305">
        <v>30</v>
      </c>
      <c r="I305" s="1">
        <f t="shared" si="4"/>
        <v>0.8</v>
      </c>
    </row>
    <row r="306" spans="1:9">
      <c r="A306" t="s">
        <v>247</v>
      </c>
      <c r="B306">
        <v>10</v>
      </c>
      <c r="C306">
        <v>9</v>
      </c>
      <c r="D306">
        <v>24</v>
      </c>
      <c r="E306">
        <v>0</v>
      </c>
      <c r="F306">
        <v>3</v>
      </c>
      <c r="G306">
        <v>0</v>
      </c>
      <c r="H306">
        <v>30</v>
      </c>
      <c r="I306" s="1">
        <f t="shared" si="4"/>
        <v>0.8</v>
      </c>
    </row>
    <row r="307" spans="1:9">
      <c r="A307" t="s">
        <v>247</v>
      </c>
      <c r="B307">
        <v>10</v>
      </c>
      <c r="C307">
        <v>10</v>
      </c>
      <c r="D307">
        <v>24</v>
      </c>
      <c r="E307">
        <v>0</v>
      </c>
      <c r="F307">
        <v>3</v>
      </c>
      <c r="G307">
        <v>0</v>
      </c>
      <c r="H307">
        <v>30</v>
      </c>
      <c r="I307" s="1">
        <f t="shared" si="4"/>
        <v>0.8</v>
      </c>
    </row>
    <row r="308" spans="1:9">
      <c r="A308" t="s">
        <v>247</v>
      </c>
      <c r="B308">
        <v>10</v>
      </c>
      <c r="C308">
        <v>11</v>
      </c>
      <c r="D308">
        <v>24</v>
      </c>
      <c r="E308">
        <v>0</v>
      </c>
      <c r="F308">
        <v>3</v>
      </c>
      <c r="G308">
        <v>0</v>
      </c>
      <c r="H308">
        <v>30</v>
      </c>
      <c r="I308" s="1">
        <f t="shared" si="4"/>
        <v>0.8</v>
      </c>
    </row>
    <row r="309" spans="1:9">
      <c r="A309" t="s">
        <v>247</v>
      </c>
      <c r="B309">
        <v>10</v>
      </c>
      <c r="C309">
        <v>12</v>
      </c>
      <c r="D309">
        <v>28</v>
      </c>
      <c r="E309">
        <v>0</v>
      </c>
      <c r="F309">
        <v>2</v>
      </c>
      <c r="G309">
        <v>0</v>
      </c>
      <c r="H309">
        <v>30</v>
      </c>
      <c r="I309" s="1">
        <f t="shared" si="4"/>
        <v>0.93333333333333335</v>
      </c>
    </row>
    <row r="310" spans="1:9">
      <c r="A310" t="s">
        <v>247</v>
      </c>
      <c r="B310">
        <v>10</v>
      </c>
      <c r="C310">
        <v>13</v>
      </c>
      <c r="D310">
        <v>29</v>
      </c>
      <c r="E310">
        <v>0</v>
      </c>
      <c r="F310">
        <v>1</v>
      </c>
      <c r="G310">
        <v>0</v>
      </c>
      <c r="H310">
        <v>30</v>
      </c>
      <c r="I310" s="1">
        <f t="shared" si="4"/>
        <v>0.96666666666666667</v>
      </c>
    </row>
    <row r="311" spans="1:9">
      <c r="A311" t="s">
        <v>247</v>
      </c>
      <c r="B311">
        <v>10</v>
      </c>
      <c r="C311">
        <v>14</v>
      </c>
      <c r="D311">
        <v>30</v>
      </c>
      <c r="E311">
        <v>0</v>
      </c>
      <c r="F311">
        <v>0</v>
      </c>
      <c r="G311">
        <v>0</v>
      </c>
      <c r="H311">
        <v>30</v>
      </c>
      <c r="I311" s="1">
        <f t="shared" si="4"/>
        <v>1</v>
      </c>
    </row>
    <row r="312" spans="1:9">
      <c r="A312" t="s">
        <v>247</v>
      </c>
      <c r="B312">
        <v>10</v>
      </c>
      <c r="C312">
        <v>15</v>
      </c>
      <c r="D312">
        <v>30</v>
      </c>
      <c r="E312">
        <v>0</v>
      </c>
      <c r="F312">
        <v>0</v>
      </c>
      <c r="G312">
        <v>0</v>
      </c>
      <c r="H312">
        <v>30</v>
      </c>
      <c r="I312" s="1">
        <f t="shared" si="4"/>
        <v>1</v>
      </c>
    </row>
    <row r="313" spans="1:9">
      <c r="A313" t="s">
        <v>247</v>
      </c>
      <c r="B313">
        <v>10</v>
      </c>
      <c r="C313">
        <v>16</v>
      </c>
      <c r="D313">
        <v>30</v>
      </c>
      <c r="E313">
        <v>0</v>
      </c>
      <c r="F313">
        <v>0</v>
      </c>
      <c r="G313">
        <v>0</v>
      </c>
      <c r="H313">
        <v>30</v>
      </c>
      <c r="I313" s="1">
        <f t="shared" si="4"/>
        <v>1</v>
      </c>
    </row>
    <row r="314" spans="1:9">
      <c r="A314" t="s">
        <v>247</v>
      </c>
      <c r="B314">
        <v>10</v>
      </c>
      <c r="C314">
        <v>17</v>
      </c>
      <c r="D314">
        <v>30</v>
      </c>
      <c r="E314">
        <v>0</v>
      </c>
      <c r="F314">
        <v>0</v>
      </c>
      <c r="G314">
        <v>0</v>
      </c>
      <c r="H314">
        <v>30</v>
      </c>
      <c r="I314" s="1">
        <f t="shared" si="4"/>
        <v>1</v>
      </c>
    </row>
    <row r="315" spans="1:9">
      <c r="A315" t="s">
        <v>247</v>
      </c>
      <c r="B315">
        <v>10</v>
      </c>
      <c r="C315">
        <v>18</v>
      </c>
      <c r="D315">
        <v>30</v>
      </c>
      <c r="E315">
        <v>0</v>
      </c>
      <c r="F315">
        <v>0</v>
      </c>
      <c r="G315">
        <v>0</v>
      </c>
      <c r="H315">
        <v>30</v>
      </c>
      <c r="I315" s="1">
        <f t="shared" si="4"/>
        <v>1</v>
      </c>
    </row>
    <row r="316" spans="1:9">
      <c r="A316" t="s">
        <v>247</v>
      </c>
      <c r="B316">
        <v>10</v>
      </c>
      <c r="C316">
        <v>19</v>
      </c>
      <c r="D316">
        <v>30</v>
      </c>
      <c r="E316">
        <v>0</v>
      </c>
      <c r="F316">
        <v>0</v>
      </c>
      <c r="G316">
        <v>0</v>
      </c>
      <c r="H316">
        <v>30</v>
      </c>
      <c r="I316" s="1">
        <f t="shared" si="4"/>
        <v>1</v>
      </c>
    </row>
    <row r="317" spans="1:9">
      <c r="A317" t="s">
        <v>247</v>
      </c>
      <c r="B317">
        <v>10</v>
      </c>
      <c r="C317">
        <v>20</v>
      </c>
      <c r="D317">
        <v>30</v>
      </c>
      <c r="E317">
        <v>0</v>
      </c>
      <c r="F317">
        <v>0</v>
      </c>
      <c r="G317">
        <v>0</v>
      </c>
      <c r="H317">
        <v>30</v>
      </c>
      <c r="I317" s="1">
        <f t="shared" si="4"/>
        <v>1</v>
      </c>
    </row>
    <row r="318" spans="1:9">
      <c r="A318" t="s">
        <v>247</v>
      </c>
      <c r="B318">
        <v>10</v>
      </c>
      <c r="C318">
        <v>21</v>
      </c>
      <c r="D318">
        <v>30</v>
      </c>
      <c r="E318">
        <v>0</v>
      </c>
      <c r="F318">
        <v>0</v>
      </c>
      <c r="G318">
        <v>0</v>
      </c>
      <c r="H318">
        <v>30</v>
      </c>
      <c r="I318" s="1">
        <f t="shared" si="4"/>
        <v>1</v>
      </c>
    </row>
    <row r="319" spans="1:9">
      <c r="A319" t="s">
        <v>247</v>
      </c>
      <c r="B319">
        <v>10</v>
      </c>
      <c r="C319">
        <v>22</v>
      </c>
      <c r="D319">
        <v>30</v>
      </c>
      <c r="E319">
        <v>0</v>
      </c>
      <c r="F319">
        <v>0</v>
      </c>
      <c r="G319">
        <v>0</v>
      </c>
      <c r="H319">
        <v>30</v>
      </c>
      <c r="I319" s="1">
        <f t="shared" si="4"/>
        <v>1</v>
      </c>
    </row>
    <row r="320" spans="1:9">
      <c r="A320" t="s">
        <v>247</v>
      </c>
      <c r="B320">
        <v>10</v>
      </c>
      <c r="C320">
        <v>23</v>
      </c>
      <c r="D320">
        <v>30</v>
      </c>
      <c r="E320">
        <v>0</v>
      </c>
      <c r="F320">
        <v>0</v>
      </c>
      <c r="G320">
        <v>0</v>
      </c>
      <c r="H320">
        <v>30</v>
      </c>
      <c r="I320" s="1">
        <f t="shared" si="4"/>
        <v>1</v>
      </c>
    </row>
    <row r="321" spans="1:9">
      <c r="A321" t="s">
        <v>247</v>
      </c>
      <c r="B321">
        <v>10</v>
      </c>
      <c r="C321">
        <v>24</v>
      </c>
      <c r="D321">
        <v>30</v>
      </c>
      <c r="E321">
        <v>0</v>
      </c>
      <c r="F321">
        <v>0</v>
      </c>
      <c r="G321">
        <v>0</v>
      </c>
      <c r="H321">
        <v>30</v>
      </c>
      <c r="I321" s="1">
        <f t="shared" si="4"/>
        <v>1</v>
      </c>
    </row>
    <row r="322" spans="1:9">
      <c r="A322" t="s">
        <v>247</v>
      </c>
      <c r="B322">
        <v>10</v>
      </c>
      <c r="C322">
        <v>25</v>
      </c>
      <c r="D322">
        <v>30</v>
      </c>
      <c r="E322">
        <v>0</v>
      </c>
      <c r="F322">
        <v>0</v>
      </c>
      <c r="G322">
        <v>0</v>
      </c>
      <c r="H322">
        <v>30</v>
      </c>
      <c r="I322" s="1">
        <f t="shared" si="4"/>
        <v>1</v>
      </c>
    </row>
    <row r="323" spans="1:9">
      <c r="A323" t="s">
        <v>247</v>
      </c>
      <c r="B323">
        <v>10</v>
      </c>
      <c r="C323">
        <v>26</v>
      </c>
      <c r="D323">
        <v>30</v>
      </c>
      <c r="E323">
        <v>0</v>
      </c>
      <c r="F323">
        <v>0</v>
      </c>
      <c r="G323">
        <v>0</v>
      </c>
      <c r="H323">
        <v>30</v>
      </c>
      <c r="I323" s="1">
        <f t="shared" ref="I323:I386" si="5">D323/H323</f>
        <v>1</v>
      </c>
    </row>
    <row r="324" spans="1:9">
      <c r="A324" t="s">
        <v>247</v>
      </c>
      <c r="B324">
        <v>10</v>
      </c>
      <c r="C324">
        <v>27</v>
      </c>
      <c r="D324">
        <v>30</v>
      </c>
      <c r="E324">
        <v>0</v>
      </c>
      <c r="F324">
        <v>0</v>
      </c>
      <c r="G324">
        <v>0</v>
      </c>
      <c r="H324">
        <v>30</v>
      </c>
      <c r="I324" s="1">
        <f t="shared" si="5"/>
        <v>1</v>
      </c>
    </row>
    <row r="325" spans="1:9">
      <c r="A325" t="s">
        <v>247</v>
      </c>
      <c r="B325">
        <v>10</v>
      </c>
      <c r="C325">
        <v>28</v>
      </c>
      <c r="D325">
        <v>30</v>
      </c>
      <c r="E325">
        <v>0</v>
      </c>
      <c r="F325">
        <v>0</v>
      </c>
      <c r="G325">
        <v>0</v>
      </c>
      <c r="H325">
        <v>30</v>
      </c>
      <c r="I325" s="1">
        <f t="shared" si="5"/>
        <v>1</v>
      </c>
    </row>
    <row r="326" spans="1:9">
      <c r="A326" t="s">
        <v>247</v>
      </c>
      <c r="B326">
        <v>10</v>
      </c>
      <c r="C326">
        <v>29</v>
      </c>
      <c r="D326">
        <v>30</v>
      </c>
      <c r="E326">
        <v>0</v>
      </c>
      <c r="F326">
        <v>0</v>
      </c>
      <c r="G326">
        <v>0</v>
      </c>
      <c r="H326">
        <v>30</v>
      </c>
      <c r="I326" s="1">
        <f t="shared" si="5"/>
        <v>1</v>
      </c>
    </row>
    <row r="327" spans="1:9">
      <c r="A327" t="s">
        <v>247</v>
      </c>
      <c r="B327">
        <v>10</v>
      </c>
      <c r="C327">
        <v>30</v>
      </c>
      <c r="D327">
        <v>30</v>
      </c>
      <c r="E327">
        <v>0</v>
      </c>
      <c r="F327">
        <v>0</v>
      </c>
      <c r="G327">
        <v>0</v>
      </c>
      <c r="H327">
        <v>30</v>
      </c>
      <c r="I327" s="1">
        <f t="shared" si="5"/>
        <v>1</v>
      </c>
    </row>
    <row r="328" spans="1:9">
      <c r="A328" t="s">
        <v>247</v>
      </c>
      <c r="B328">
        <v>10</v>
      </c>
      <c r="C328">
        <v>31</v>
      </c>
      <c r="D328">
        <v>30</v>
      </c>
      <c r="E328">
        <v>0</v>
      </c>
      <c r="F328">
        <v>0</v>
      </c>
      <c r="G328">
        <v>0</v>
      </c>
      <c r="H328">
        <v>30</v>
      </c>
      <c r="I328" s="1">
        <f t="shared" si="5"/>
        <v>1</v>
      </c>
    </row>
    <row r="329" spans="1:9">
      <c r="A329" t="s">
        <v>247</v>
      </c>
      <c r="B329">
        <v>10</v>
      </c>
      <c r="C329">
        <v>32</v>
      </c>
      <c r="D329">
        <v>30</v>
      </c>
      <c r="E329">
        <v>0</v>
      </c>
      <c r="F329">
        <v>0</v>
      </c>
      <c r="G329">
        <v>0</v>
      </c>
      <c r="H329">
        <v>30</v>
      </c>
      <c r="I329" s="1">
        <f t="shared" si="5"/>
        <v>1</v>
      </c>
    </row>
    <row r="330" spans="1:9">
      <c r="A330" t="s">
        <v>294</v>
      </c>
      <c r="B330">
        <v>3</v>
      </c>
      <c r="C330">
        <v>1</v>
      </c>
      <c r="D330">
        <v>123</v>
      </c>
      <c r="E330">
        <v>0</v>
      </c>
      <c r="F330">
        <v>3</v>
      </c>
      <c r="G330">
        <v>0</v>
      </c>
      <c r="H330">
        <v>139</v>
      </c>
      <c r="I330" s="1">
        <f t="shared" si="5"/>
        <v>0.8848920863309353</v>
      </c>
    </row>
    <row r="331" spans="1:9">
      <c r="A331" t="s">
        <v>294</v>
      </c>
      <c r="B331">
        <v>3</v>
      </c>
      <c r="C331">
        <v>2</v>
      </c>
      <c r="D331">
        <v>139</v>
      </c>
      <c r="E331">
        <v>0</v>
      </c>
      <c r="F331">
        <v>0</v>
      </c>
      <c r="G331">
        <v>0</v>
      </c>
      <c r="H331">
        <v>139</v>
      </c>
      <c r="I331" s="1">
        <f t="shared" si="5"/>
        <v>1</v>
      </c>
    </row>
    <row r="332" spans="1:9">
      <c r="A332" t="s">
        <v>295</v>
      </c>
      <c r="B332">
        <v>2</v>
      </c>
      <c r="C332">
        <v>1</v>
      </c>
      <c r="D332">
        <v>28</v>
      </c>
      <c r="E332">
        <v>0</v>
      </c>
      <c r="F332">
        <v>1</v>
      </c>
      <c r="G332">
        <v>0</v>
      </c>
      <c r="H332">
        <v>112</v>
      </c>
      <c r="I332" s="1">
        <f t="shared" si="5"/>
        <v>0.25</v>
      </c>
    </row>
    <row r="333" spans="1:9">
      <c r="A333" t="s">
        <v>295</v>
      </c>
      <c r="B333">
        <v>2</v>
      </c>
      <c r="C333">
        <v>2</v>
      </c>
      <c r="D333">
        <v>36</v>
      </c>
      <c r="E333">
        <v>0</v>
      </c>
      <c r="F333">
        <v>5</v>
      </c>
      <c r="G333">
        <v>0</v>
      </c>
      <c r="H333">
        <v>112</v>
      </c>
      <c r="I333" s="1">
        <f t="shared" si="5"/>
        <v>0.32142857142857145</v>
      </c>
    </row>
    <row r="334" spans="1:9">
      <c r="A334" t="s">
        <v>295</v>
      </c>
      <c r="B334">
        <v>2</v>
      </c>
      <c r="C334">
        <v>3</v>
      </c>
      <c r="D334">
        <v>40</v>
      </c>
      <c r="E334">
        <v>0</v>
      </c>
      <c r="F334">
        <v>9</v>
      </c>
      <c r="G334">
        <v>0</v>
      </c>
      <c r="H334">
        <v>112</v>
      </c>
      <c r="I334" s="1">
        <f t="shared" si="5"/>
        <v>0.35714285714285715</v>
      </c>
    </row>
    <row r="335" spans="1:9">
      <c r="A335" t="s">
        <v>295</v>
      </c>
      <c r="B335">
        <v>2</v>
      </c>
      <c r="C335">
        <v>4</v>
      </c>
      <c r="D335">
        <v>53</v>
      </c>
      <c r="E335">
        <v>0</v>
      </c>
      <c r="F335">
        <v>7</v>
      </c>
      <c r="G335">
        <v>0</v>
      </c>
      <c r="H335">
        <v>112</v>
      </c>
      <c r="I335" s="1">
        <f t="shared" si="5"/>
        <v>0.4732142857142857</v>
      </c>
    </row>
    <row r="336" spans="1:9">
      <c r="A336" t="s">
        <v>295</v>
      </c>
      <c r="B336">
        <v>2</v>
      </c>
      <c r="C336">
        <v>5</v>
      </c>
      <c r="D336">
        <v>64</v>
      </c>
      <c r="E336">
        <v>0</v>
      </c>
      <c r="F336">
        <v>5</v>
      </c>
      <c r="G336">
        <v>0</v>
      </c>
      <c r="H336">
        <v>112</v>
      </c>
      <c r="I336" s="1">
        <f t="shared" si="5"/>
        <v>0.5714285714285714</v>
      </c>
    </row>
    <row r="337" spans="1:9">
      <c r="A337" t="s">
        <v>295</v>
      </c>
      <c r="B337">
        <v>2</v>
      </c>
      <c r="C337">
        <v>6</v>
      </c>
      <c r="D337">
        <v>75</v>
      </c>
      <c r="E337">
        <v>0</v>
      </c>
      <c r="F337">
        <v>3</v>
      </c>
      <c r="G337">
        <v>0</v>
      </c>
      <c r="H337">
        <v>112</v>
      </c>
      <c r="I337" s="1">
        <f t="shared" si="5"/>
        <v>0.6696428571428571</v>
      </c>
    </row>
    <row r="338" spans="1:9">
      <c r="A338" t="s">
        <v>295</v>
      </c>
      <c r="B338">
        <v>2</v>
      </c>
      <c r="C338">
        <v>7</v>
      </c>
      <c r="D338">
        <v>91</v>
      </c>
      <c r="E338">
        <v>0</v>
      </c>
      <c r="F338">
        <v>1</v>
      </c>
      <c r="G338">
        <v>0</v>
      </c>
      <c r="H338">
        <v>112</v>
      </c>
      <c r="I338" s="1">
        <f t="shared" si="5"/>
        <v>0.8125</v>
      </c>
    </row>
    <row r="339" spans="1:9">
      <c r="A339" t="s">
        <v>295</v>
      </c>
      <c r="B339">
        <v>2</v>
      </c>
      <c r="C339">
        <v>8</v>
      </c>
      <c r="D339">
        <v>112</v>
      </c>
      <c r="E339">
        <v>0</v>
      </c>
      <c r="F339">
        <v>0</v>
      </c>
      <c r="G339">
        <v>0</v>
      </c>
      <c r="H339">
        <v>112</v>
      </c>
      <c r="I339" s="1">
        <f t="shared" si="5"/>
        <v>1</v>
      </c>
    </row>
    <row r="340" spans="1:9">
      <c r="A340" t="s">
        <v>295</v>
      </c>
      <c r="B340">
        <v>3</v>
      </c>
      <c r="C340">
        <v>1</v>
      </c>
      <c r="D340">
        <v>19</v>
      </c>
      <c r="E340">
        <v>0</v>
      </c>
      <c r="F340">
        <v>1</v>
      </c>
      <c r="G340">
        <v>0</v>
      </c>
      <c r="H340">
        <v>175</v>
      </c>
      <c r="I340" s="1">
        <f t="shared" si="5"/>
        <v>0.10857142857142857</v>
      </c>
    </row>
    <row r="341" spans="1:9">
      <c r="A341" t="s">
        <v>295</v>
      </c>
      <c r="B341">
        <v>3</v>
      </c>
      <c r="C341">
        <v>2</v>
      </c>
      <c r="D341">
        <v>28</v>
      </c>
      <c r="E341">
        <v>0</v>
      </c>
      <c r="F341">
        <v>7</v>
      </c>
      <c r="G341">
        <v>0</v>
      </c>
      <c r="H341">
        <v>175</v>
      </c>
      <c r="I341" s="1">
        <f t="shared" si="5"/>
        <v>0.16</v>
      </c>
    </row>
    <row r="342" spans="1:9">
      <c r="A342" t="s">
        <v>295</v>
      </c>
      <c r="B342">
        <v>3</v>
      </c>
      <c r="C342">
        <v>3</v>
      </c>
      <c r="D342">
        <v>63</v>
      </c>
      <c r="E342">
        <v>0</v>
      </c>
      <c r="F342">
        <v>5</v>
      </c>
      <c r="G342">
        <v>0</v>
      </c>
      <c r="H342">
        <v>175</v>
      </c>
      <c r="I342" s="1">
        <f t="shared" si="5"/>
        <v>0.36</v>
      </c>
    </row>
    <row r="343" spans="1:9">
      <c r="A343" t="s">
        <v>295</v>
      </c>
      <c r="B343">
        <v>3</v>
      </c>
      <c r="C343">
        <v>4</v>
      </c>
      <c r="D343">
        <v>98</v>
      </c>
      <c r="E343">
        <v>0</v>
      </c>
      <c r="F343">
        <v>3</v>
      </c>
      <c r="G343">
        <v>0</v>
      </c>
      <c r="H343">
        <v>175</v>
      </c>
      <c r="I343" s="1">
        <f t="shared" si="5"/>
        <v>0.56000000000000005</v>
      </c>
    </row>
    <row r="344" spans="1:9">
      <c r="A344" t="s">
        <v>295</v>
      </c>
      <c r="B344">
        <v>3</v>
      </c>
      <c r="C344">
        <v>5</v>
      </c>
      <c r="D344">
        <v>155</v>
      </c>
      <c r="E344">
        <v>0</v>
      </c>
      <c r="F344">
        <v>1</v>
      </c>
      <c r="G344">
        <v>0</v>
      </c>
      <c r="H344">
        <v>175</v>
      </c>
      <c r="I344" s="1">
        <f t="shared" si="5"/>
        <v>0.88571428571428568</v>
      </c>
    </row>
    <row r="345" spans="1:9">
      <c r="A345" t="s">
        <v>295</v>
      </c>
      <c r="B345">
        <v>3</v>
      </c>
      <c r="C345">
        <v>6</v>
      </c>
      <c r="D345">
        <v>175</v>
      </c>
      <c r="E345">
        <v>0</v>
      </c>
      <c r="F345">
        <v>0</v>
      </c>
      <c r="G345">
        <v>0</v>
      </c>
      <c r="H345">
        <v>175</v>
      </c>
      <c r="I345" s="1">
        <f t="shared" si="5"/>
        <v>1</v>
      </c>
    </row>
    <row r="346" spans="1:9">
      <c r="A346" t="s">
        <v>295</v>
      </c>
      <c r="B346">
        <v>4</v>
      </c>
      <c r="C346">
        <v>1</v>
      </c>
      <c r="D346">
        <v>19</v>
      </c>
      <c r="E346">
        <v>0</v>
      </c>
      <c r="F346">
        <v>1</v>
      </c>
      <c r="G346">
        <v>0</v>
      </c>
      <c r="H346">
        <v>175</v>
      </c>
      <c r="I346" s="1">
        <f t="shared" si="5"/>
        <v>0.10857142857142857</v>
      </c>
    </row>
    <row r="347" spans="1:9">
      <c r="A347" t="s">
        <v>295</v>
      </c>
      <c r="B347">
        <v>4</v>
      </c>
      <c r="C347">
        <v>2</v>
      </c>
      <c r="D347">
        <v>31</v>
      </c>
      <c r="E347">
        <v>0</v>
      </c>
      <c r="F347">
        <v>13</v>
      </c>
      <c r="G347">
        <v>0</v>
      </c>
      <c r="H347">
        <v>272</v>
      </c>
      <c r="I347" s="1">
        <f t="shared" si="5"/>
        <v>0.11397058823529412</v>
      </c>
    </row>
    <row r="348" spans="1:9">
      <c r="A348" t="s">
        <v>295</v>
      </c>
      <c r="B348">
        <v>4</v>
      </c>
      <c r="C348">
        <v>3</v>
      </c>
      <c r="D348">
        <v>66</v>
      </c>
      <c r="E348">
        <v>0</v>
      </c>
      <c r="F348">
        <v>11</v>
      </c>
      <c r="G348">
        <v>0</v>
      </c>
      <c r="H348">
        <v>272</v>
      </c>
      <c r="I348" s="1">
        <f t="shared" si="5"/>
        <v>0.24264705882352941</v>
      </c>
    </row>
    <row r="349" spans="1:9">
      <c r="A349" t="s">
        <v>295</v>
      </c>
      <c r="B349">
        <v>4</v>
      </c>
      <c r="C349">
        <v>4</v>
      </c>
      <c r="D349">
        <v>101</v>
      </c>
      <c r="E349">
        <v>0</v>
      </c>
      <c r="F349">
        <v>9</v>
      </c>
      <c r="G349">
        <v>0</v>
      </c>
      <c r="H349">
        <v>272</v>
      </c>
      <c r="I349" s="1">
        <f t="shared" si="5"/>
        <v>0.37132352941176472</v>
      </c>
    </row>
    <row r="350" spans="1:9">
      <c r="A350" t="s">
        <v>295</v>
      </c>
      <c r="B350">
        <v>4</v>
      </c>
      <c r="C350">
        <v>5</v>
      </c>
      <c r="D350">
        <v>154</v>
      </c>
      <c r="E350">
        <v>0</v>
      </c>
      <c r="F350">
        <v>7</v>
      </c>
      <c r="G350">
        <v>0</v>
      </c>
      <c r="H350">
        <v>272</v>
      </c>
      <c r="I350" s="1">
        <f t="shared" si="5"/>
        <v>0.56617647058823528</v>
      </c>
    </row>
    <row r="351" spans="1:9">
      <c r="A351" t="s">
        <v>295</v>
      </c>
      <c r="B351">
        <v>4</v>
      </c>
      <c r="C351">
        <v>6</v>
      </c>
      <c r="D351">
        <v>175</v>
      </c>
      <c r="E351">
        <v>0</v>
      </c>
      <c r="F351">
        <v>5</v>
      </c>
      <c r="G351">
        <v>0</v>
      </c>
      <c r="H351">
        <v>272</v>
      </c>
      <c r="I351" s="1">
        <f t="shared" si="5"/>
        <v>0.64338235294117652</v>
      </c>
    </row>
    <row r="352" spans="1:9">
      <c r="A352" t="s">
        <v>295</v>
      </c>
      <c r="B352">
        <v>4</v>
      </c>
      <c r="C352">
        <v>7</v>
      </c>
      <c r="D352">
        <v>202</v>
      </c>
      <c r="E352">
        <v>0</v>
      </c>
      <c r="F352">
        <v>3</v>
      </c>
      <c r="G352">
        <v>0</v>
      </c>
      <c r="H352">
        <v>272</v>
      </c>
      <c r="I352" s="1">
        <f t="shared" si="5"/>
        <v>0.74264705882352944</v>
      </c>
    </row>
    <row r="353" spans="1:9">
      <c r="A353" t="s">
        <v>295</v>
      </c>
      <c r="B353">
        <v>4</v>
      </c>
      <c r="C353">
        <v>8</v>
      </c>
      <c r="D353">
        <v>240</v>
      </c>
      <c r="E353">
        <v>0</v>
      </c>
      <c r="F353">
        <v>2</v>
      </c>
      <c r="G353">
        <v>0</v>
      </c>
      <c r="H353">
        <v>272</v>
      </c>
      <c r="I353" s="1">
        <f t="shared" si="5"/>
        <v>0.88235294117647056</v>
      </c>
    </row>
    <row r="354" spans="1:9">
      <c r="A354" t="s">
        <v>295</v>
      </c>
      <c r="B354">
        <v>4</v>
      </c>
      <c r="C354">
        <v>9</v>
      </c>
      <c r="D354">
        <v>272</v>
      </c>
      <c r="E354">
        <v>0</v>
      </c>
      <c r="F354">
        <v>0</v>
      </c>
      <c r="G354">
        <v>0</v>
      </c>
      <c r="H354">
        <v>272</v>
      </c>
      <c r="I354" s="1">
        <f t="shared" si="5"/>
        <v>1</v>
      </c>
    </row>
    <row r="355" spans="1:9">
      <c r="A355" t="s">
        <v>295</v>
      </c>
      <c r="B355">
        <v>5</v>
      </c>
      <c r="C355">
        <v>1</v>
      </c>
      <c r="D355">
        <v>8</v>
      </c>
      <c r="E355">
        <v>0</v>
      </c>
      <c r="F355">
        <v>3</v>
      </c>
      <c r="G355">
        <v>0</v>
      </c>
      <c r="H355">
        <v>22</v>
      </c>
      <c r="I355" s="1">
        <f t="shared" si="5"/>
        <v>0.36363636363636365</v>
      </c>
    </row>
    <row r="356" spans="1:9">
      <c r="A356" t="s">
        <v>295</v>
      </c>
      <c r="B356">
        <v>5</v>
      </c>
      <c r="C356">
        <v>2</v>
      </c>
      <c r="D356">
        <v>12</v>
      </c>
      <c r="E356">
        <v>0</v>
      </c>
      <c r="F356">
        <v>3</v>
      </c>
      <c r="G356">
        <v>0</v>
      </c>
      <c r="H356">
        <v>22</v>
      </c>
      <c r="I356" s="1">
        <f t="shared" si="5"/>
        <v>0.54545454545454541</v>
      </c>
    </row>
    <row r="357" spans="1:9">
      <c r="A357" t="s">
        <v>295</v>
      </c>
      <c r="B357">
        <v>5</v>
      </c>
      <c r="C357">
        <v>3</v>
      </c>
      <c r="D357">
        <v>15</v>
      </c>
      <c r="E357">
        <v>0</v>
      </c>
      <c r="F357">
        <v>2</v>
      </c>
      <c r="G357">
        <v>0</v>
      </c>
      <c r="H357">
        <v>22</v>
      </c>
      <c r="I357" s="1">
        <f t="shared" si="5"/>
        <v>0.68181818181818177</v>
      </c>
    </row>
    <row r="358" spans="1:9">
      <c r="A358" t="s">
        <v>295</v>
      </c>
      <c r="B358">
        <v>5</v>
      </c>
      <c r="C358">
        <v>4</v>
      </c>
      <c r="D358">
        <v>17</v>
      </c>
      <c r="E358">
        <v>0</v>
      </c>
      <c r="F358">
        <v>2</v>
      </c>
      <c r="G358">
        <v>0</v>
      </c>
      <c r="H358">
        <v>22</v>
      </c>
      <c r="I358" s="1">
        <f t="shared" si="5"/>
        <v>0.77272727272727271</v>
      </c>
    </row>
    <row r="359" spans="1:9">
      <c r="A359" t="s">
        <v>295</v>
      </c>
      <c r="B359">
        <v>5</v>
      </c>
      <c r="C359">
        <v>5</v>
      </c>
      <c r="D359">
        <v>19</v>
      </c>
      <c r="E359">
        <v>0</v>
      </c>
      <c r="F359">
        <v>2</v>
      </c>
      <c r="G359">
        <v>0</v>
      </c>
      <c r="H359">
        <v>22</v>
      </c>
      <c r="I359" s="1">
        <f t="shared" si="5"/>
        <v>0.86363636363636365</v>
      </c>
    </row>
    <row r="360" spans="1:9">
      <c r="A360" t="s">
        <v>295</v>
      </c>
      <c r="B360">
        <v>5</v>
      </c>
      <c r="C360">
        <v>6</v>
      </c>
      <c r="D360">
        <v>22</v>
      </c>
      <c r="E360">
        <v>0</v>
      </c>
      <c r="F360">
        <v>0</v>
      </c>
      <c r="G360">
        <v>0</v>
      </c>
      <c r="H360">
        <v>22</v>
      </c>
      <c r="I360" s="1">
        <f t="shared" si="5"/>
        <v>1</v>
      </c>
    </row>
    <row r="361" spans="1:9">
      <c r="A361" t="s">
        <v>295</v>
      </c>
      <c r="B361">
        <v>6</v>
      </c>
      <c r="C361">
        <v>1</v>
      </c>
      <c r="D361">
        <v>3</v>
      </c>
      <c r="E361">
        <v>0</v>
      </c>
      <c r="F361">
        <v>4</v>
      </c>
      <c r="G361">
        <v>0</v>
      </c>
      <c r="H361">
        <v>21</v>
      </c>
      <c r="I361" s="1">
        <f t="shared" si="5"/>
        <v>0.14285714285714285</v>
      </c>
    </row>
    <row r="362" spans="1:9">
      <c r="A362" t="s">
        <v>295</v>
      </c>
      <c r="B362">
        <v>6</v>
      </c>
      <c r="C362">
        <v>2</v>
      </c>
      <c r="D362">
        <v>7</v>
      </c>
      <c r="E362">
        <v>0</v>
      </c>
      <c r="F362">
        <v>4</v>
      </c>
      <c r="G362">
        <v>0</v>
      </c>
      <c r="H362">
        <v>21</v>
      </c>
      <c r="I362" s="1">
        <f t="shared" si="5"/>
        <v>0.33333333333333331</v>
      </c>
    </row>
    <row r="363" spans="1:9">
      <c r="A363" t="s">
        <v>295</v>
      </c>
      <c r="B363">
        <v>6</v>
      </c>
      <c r="C363">
        <v>3</v>
      </c>
      <c r="D363">
        <v>10</v>
      </c>
      <c r="E363">
        <v>0</v>
      </c>
      <c r="F363">
        <v>4</v>
      </c>
      <c r="G363">
        <v>0</v>
      </c>
      <c r="H363">
        <v>21</v>
      </c>
      <c r="I363" s="1">
        <f t="shared" si="5"/>
        <v>0.47619047619047616</v>
      </c>
    </row>
    <row r="364" spans="1:9">
      <c r="A364" t="s">
        <v>295</v>
      </c>
      <c r="B364">
        <v>6</v>
      </c>
      <c r="C364">
        <v>4</v>
      </c>
      <c r="D364">
        <v>14</v>
      </c>
      <c r="E364">
        <v>0</v>
      </c>
      <c r="F364">
        <v>4</v>
      </c>
      <c r="G364">
        <v>0</v>
      </c>
      <c r="H364">
        <v>21</v>
      </c>
      <c r="I364" s="1">
        <f t="shared" si="5"/>
        <v>0.66666666666666663</v>
      </c>
    </row>
    <row r="365" spans="1:9">
      <c r="A365" t="s">
        <v>295</v>
      </c>
      <c r="B365">
        <v>6</v>
      </c>
      <c r="C365">
        <v>5</v>
      </c>
      <c r="D365">
        <v>15</v>
      </c>
      <c r="E365">
        <v>0</v>
      </c>
      <c r="F365">
        <v>3</v>
      </c>
      <c r="G365">
        <v>0</v>
      </c>
      <c r="H365">
        <v>21</v>
      </c>
      <c r="I365" s="1">
        <f t="shared" si="5"/>
        <v>0.7142857142857143</v>
      </c>
    </row>
    <row r="366" spans="1:9">
      <c r="A366" t="s">
        <v>295</v>
      </c>
      <c r="B366">
        <v>6</v>
      </c>
      <c r="C366">
        <v>6</v>
      </c>
      <c r="D366">
        <v>18</v>
      </c>
      <c r="E366">
        <v>0</v>
      </c>
      <c r="F366">
        <v>2</v>
      </c>
      <c r="G366">
        <v>0</v>
      </c>
      <c r="H366">
        <v>21</v>
      </c>
      <c r="I366" s="1">
        <f t="shared" si="5"/>
        <v>0.8571428571428571</v>
      </c>
    </row>
    <row r="367" spans="1:9">
      <c r="A367" t="s">
        <v>295</v>
      </c>
      <c r="B367">
        <v>6</v>
      </c>
      <c r="C367">
        <v>7</v>
      </c>
      <c r="D367">
        <v>21</v>
      </c>
      <c r="E367">
        <v>0</v>
      </c>
      <c r="F367">
        <v>0</v>
      </c>
      <c r="G367">
        <v>0</v>
      </c>
      <c r="H367">
        <v>21</v>
      </c>
      <c r="I367" s="1">
        <f t="shared" si="5"/>
        <v>1</v>
      </c>
    </row>
    <row r="368" spans="1:9">
      <c r="A368" t="s">
        <v>295</v>
      </c>
      <c r="B368">
        <v>6</v>
      </c>
      <c r="C368">
        <v>8</v>
      </c>
      <c r="D368">
        <v>21</v>
      </c>
      <c r="E368">
        <v>0</v>
      </c>
      <c r="F368">
        <v>0</v>
      </c>
      <c r="G368">
        <v>0</v>
      </c>
      <c r="H368">
        <v>21</v>
      </c>
      <c r="I368" s="1">
        <f t="shared" si="5"/>
        <v>1</v>
      </c>
    </row>
    <row r="369" spans="1:9">
      <c r="A369" t="s">
        <v>295</v>
      </c>
      <c r="B369">
        <v>6</v>
      </c>
      <c r="C369">
        <v>9</v>
      </c>
      <c r="D369">
        <v>21</v>
      </c>
      <c r="E369">
        <v>0</v>
      </c>
      <c r="F369">
        <v>0</v>
      </c>
      <c r="G369">
        <v>0</v>
      </c>
      <c r="H369">
        <v>21</v>
      </c>
      <c r="I369" s="1">
        <f t="shared" si="5"/>
        <v>1</v>
      </c>
    </row>
    <row r="370" spans="1:9">
      <c r="A370" t="s">
        <v>295</v>
      </c>
      <c r="B370">
        <v>6</v>
      </c>
      <c r="C370">
        <v>10</v>
      </c>
      <c r="D370">
        <v>21</v>
      </c>
      <c r="E370">
        <v>0</v>
      </c>
      <c r="F370">
        <v>0</v>
      </c>
      <c r="G370">
        <v>0</v>
      </c>
      <c r="H370">
        <v>21</v>
      </c>
      <c r="I370" s="1">
        <f t="shared" si="5"/>
        <v>1</v>
      </c>
    </row>
    <row r="371" spans="1:9">
      <c r="A371" t="s">
        <v>295</v>
      </c>
      <c r="B371">
        <v>7</v>
      </c>
      <c r="C371">
        <v>1</v>
      </c>
      <c r="D371">
        <v>28</v>
      </c>
      <c r="E371">
        <v>0</v>
      </c>
      <c r="F371">
        <v>2</v>
      </c>
      <c r="G371">
        <v>0</v>
      </c>
      <c r="H371">
        <v>120</v>
      </c>
      <c r="I371" s="1">
        <f t="shared" si="5"/>
        <v>0.23333333333333334</v>
      </c>
    </row>
    <row r="372" spans="1:9">
      <c r="A372" t="s">
        <v>295</v>
      </c>
      <c r="B372">
        <v>7</v>
      </c>
      <c r="C372">
        <v>2</v>
      </c>
      <c r="D372">
        <v>32</v>
      </c>
      <c r="E372">
        <v>0</v>
      </c>
      <c r="F372">
        <v>1</v>
      </c>
      <c r="G372">
        <v>0</v>
      </c>
      <c r="H372">
        <v>120</v>
      </c>
      <c r="I372" s="1">
        <f t="shared" si="5"/>
        <v>0.26666666666666666</v>
      </c>
    </row>
    <row r="373" spans="1:9">
      <c r="A373" t="s">
        <v>295</v>
      </c>
      <c r="B373">
        <v>7</v>
      </c>
      <c r="C373">
        <v>3</v>
      </c>
      <c r="D373">
        <v>40</v>
      </c>
      <c r="E373">
        <v>0</v>
      </c>
      <c r="F373">
        <v>5</v>
      </c>
      <c r="G373">
        <v>0</v>
      </c>
      <c r="H373">
        <v>120</v>
      </c>
      <c r="I373" s="1">
        <f t="shared" si="5"/>
        <v>0.33333333333333331</v>
      </c>
    </row>
    <row r="374" spans="1:9">
      <c r="A374" t="s">
        <v>295</v>
      </c>
      <c r="B374">
        <v>7</v>
      </c>
      <c r="C374">
        <v>4</v>
      </c>
      <c r="D374">
        <v>51</v>
      </c>
      <c r="E374">
        <v>0</v>
      </c>
      <c r="F374">
        <v>5</v>
      </c>
      <c r="G374">
        <v>0</v>
      </c>
      <c r="H374">
        <v>120</v>
      </c>
      <c r="I374" s="1">
        <f t="shared" si="5"/>
        <v>0.42499999999999999</v>
      </c>
    </row>
    <row r="375" spans="1:9">
      <c r="A375" t="s">
        <v>295</v>
      </c>
      <c r="B375">
        <v>7</v>
      </c>
      <c r="C375">
        <v>5</v>
      </c>
      <c r="D375">
        <v>55</v>
      </c>
      <c r="E375">
        <v>0</v>
      </c>
      <c r="F375">
        <v>9</v>
      </c>
      <c r="G375">
        <v>0</v>
      </c>
      <c r="H375">
        <v>120</v>
      </c>
      <c r="I375" s="1">
        <f t="shared" si="5"/>
        <v>0.45833333333333331</v>
      </c>
    </row>
    <row r="376" spans="1:9">
      <c r="A376" t="s">
        <v>295</v>
      </c>
      <c r="B376">
        <v>7</v>
      </c>
      <c r="C376">
        <v>6</v>
      </c>
      <c r="D376">
        <v>71</v>
      </c>
      <c r="E376">
        <v>0</v>
      </c>
      <c r="F376">
        <v>7</v>
      </c>
      <c r="G376">
        <v>0</v>
      </c>
      <c r="H376">
        <v>120</v>
      </c>
      <c r="I376" s="1">
        <f t="shared" si="5"/>
        <v>0.59166666666666667</v>
      </c>
    </row>
    <row r="377" spans="1:9">
      <c r="A377" t="s">
        <v>295</v>
      </c>
      <c r="B377">
        <v>7</v>
      </c>
      <c r="C377">
        <v>7</v>
      </c>
      <c r="D377">
        <v>78</v>
      </c>
      <c r="E377">
        <v>0</v>
      </c>
      <c r="F377">
        <v>5</v>
      </c>
      <c r="G377">
        <v>0</v>
      </c>
      <c r="H377">
        <v>120</v>
      </c>
      <c r="I377" s="1">
        <f t="shared" si="5"/>
        <v>0.65</v>
      </c>
    </row>
    <row r="378" spans="1:9">
      <c r="A378" t="s">
        <v>295</v>
      </c>
      <c r="B378">
        <v>7</v>
      </c>
      <c r="C378">
        <v>8</v>
      </c>
      <c r="D378">
        <v>88</v>
      </c>
      <c r="E378">
        <v>0</v>
      </c>
      <c r="F378">
        <v>3</v>
      </c>
      <c r="G378">
        <v>0</v>
      </c>
      <c r="H378">
        <v>120</v>
      </c>
      <c r="I378" s="1">
        <f t="shared" si="5"/>
        <v>0.73333333333333328</v>
      </c>
    </row>
    <row r="379" spans="1:9">
      <c r="A379" t="s">
        <v>295</v>
      </c>
      <c r="B379">
        <v>7</v>
      </c>
      <c r="C379">
        <v>9</v>
      </c>
      <c r="D379">
        <v>102</v>
      </c>
      <c r="E379">
        <v>0</v>
      </c>
      <c r="F379">
        <v>1</v>
      </c>
      <c r="G379">
        <v>0</v>
      </c>
      <c r="H379">
        <v>120</v>
      </c>
      <c r="I379" s="1">
        <f t="shared" si="5"/>
        <v>0.85</v>
      </c>
    </row>
    <row r="380" spans="1:9">
      <c r="A380" t="s">
        <v>295</v>
      </c>
      <c r="B380">
        <v>7</v>
      </c>
      <c r="C380">
        <v>10</v>
      </c>
      <c r="D380">
        <v>120</v>
      </c>
      <c r="E380">
        <v>0</v>
      </c>
      <c r="F380">
        <v>0</v>
      </c>
      <c r="G380">
        <v>0</v>
      </c>
      <c r="H380">
        <v>120</v>
      </c>
      <c r="I380" s="1">
        <f t="shared" si="5"/>
        <v>1</v>
      </c>
    </row>
    <row r="381" spans="1:9">
      <c r="A381" t="s">
        <v>295</v>
      </c>
      <c r="B381">
        <v>8</v>
      </c>
      <c r="C381">
        <v>1</v>
      </c>
      <c r="D381">
        <v>19</v>
      </c>
      <c r="E381">
        <v>0</v>
      </c>
      <c r="F381">
        <v>1</v>
      </c>
      <c r="G381">
        <v>0</v>
      </c>
      <c r="H381">
        <v>162</v>
      </c>
      <c r="I381" s="1">
        <f t="shared" si="5"/>
        <v>0.11728395061728394</v>
      </c>
    </row>
    <row r="382" spans="1:9">
      <c r="A382" t="s">
        <v>295</v>
      </c>
      <c r="B382">
        <v>8</v>
      </c>
      <c r="C382">
        <v>2</v>
      </c>
      <c r="D382">
        <v>28</v>
      </c>
      <c r="E382">
        <v>0</v>
      </c>
      <c r="F382">
        <v>7</v>
      </c>
      <c r="G382">
        <v>0</v>
      </c>
      <c r="H382">
        <v>162</v>
      </c>
      <c r="I382" s="1">
        <f t="shared" si="5"/>
        <v>0.1728395061728395</v>
      </c>
    </row>
    <row r="383" spans="1:9">
      <c r="A383" t="s">
        <v>295</v>
      </c>
      <c r="B383">
        <v>8</v>
      </c>
      <c r="C383">
        <v>3</v>
      </c>
      <c r="D383">
        <v>63</v>
      </c>
      <c r="E383">
        <v>0</v>
      </c>
      <c r="F383">
        <v>5</v>
      </c>
      <c r="G383">
        <v>0</v>
      </c>
      <c r="H383">
        <v>162</v>
      </c>
      <c r="I383" s="1">
        <f t="shared" si="5"/>
        <v>0.3888888888888889</v>
      </c>
    </row>
    <row r="384" spans="1:9">
      <c r="A384" t="s">
        <v>295</v>
      </c>
      <c r="B384">
        <v>8</v>
      </c>
      <c r="C384">
        <v>4</v>
      </c>
      <c r="D384">
        <v>107</v>
      </c>
      <c r="E384">
        <v>0</v>
      </c>
      <c r="F384">
        <v>3</v>
      </c>
      <c r="G384">
        <v>0</v>
      </c>
      <c r="H384">
        <v>162</v>
      </c>
      <c r="I384" s="1">
        <f t="shared" si="5"/>
        <v>0.66049382716049387</v>
      </c>
    </row>
    <row r="385" spans="1:9">
      <c r="A385" t="s">
        <v>295</v>
      </c>
      <c r="B385">
        <v>8</v>
      </c>
      <c r="C385">
        <v>5</v>
      </c>
      <c r="D385">
        <v>140</v>
      </c>
      <c r="E385">
        <v>0</v>
      </c>
      <c r="F385">
        <v>1</v>
      </c>
      <c r="G385">
        <v>0</v>
      </c>
      <c r="H385">
        <v>162</v>
      </c>
      <c r="I385" s="1">
        <f t="shared" si="5"/>
        <v>0.86419753086419748</v>
      </c>
    </row>
    <row r="386" spans="1:9">
      <c r="A386" t="s">
        <v>295</v>
      </c>
      <c r="B386">
        <v>8</v>
      </c>
      <c r="C386">
        <v>6</v>
      </c>
      <c r="D386">
        <v>162</v>
      </c>
      <c r="E386">
        <v>0</v>
      </c>
      <c r="F386">
        <v>0</v>
      </c>
      <c r="G386">
        <v>0</v>
      </c>
      <c r="H386">
        <v>162</v>
      </c>
      <c r="I386" s="1">
        <f t="shared" si="5"/>
        <v>1</v>
      </c>
    </row>
    <row r="387" spans="1:9">
      <c r="A387" t="s">
        <v>295</v>
      </c>
      <c r="B387">
        <v>9</v>
      </c>
      <c r="C387">
        <v>1</v>
      </c>
      <c r="D387">
        <v>19</v>
      </c>
      <c r="E387">
        <v>0</v>
      </c>
      <c r="F387">
        <v>1</v>
      </c>
      <c r="G387">
        <v>0</v>
      </c>
      <c r="H387">
        <v>258</v>
      </c>
      <c r="I387" s="1">
        <f t="shared" ref="I387:I450" si="6">D387/H387</f>
        <v>7.3643410852713184E-2</v>
      </c>
    </row>
    <row r="388" spans="1:9">
      <c r="A388" t="s">
        <v>295</v>
      </c>
      <c r="B388">
        <v>9</v>
      </c>
      <c r="C388">
        <v>2</v>
      </c>
      <c r="D388">
        <v>31</v>
      </c>
      <c r="E388">
        <v>0</v>
      </c>
      <c r="F388">
        <v>13</v>
      </c>
      <c r="G388">
        <v>0</v>
      </c>
      <c r="H388">
        <v>258</v>
      </c>
      <c r="I388" s="1">
        <f t="shared" si="6"/>
        <v>0.12015503875968993</v>
      </c>
    </row>
    <row r="389" spans="1:9">
      <c r="A389" t="s">
        <v>295</v>
      </c>
      <c r="B389">
        <v>9</v>
      </c>
      <c r="C389">
        <v>3</v>
      </c>
      <c r="D389">
        <v>66</v>
      </c>
      <c r="E389">
        <v>0</v>
      </c>
      <c r="F389">
        <v>11</v>
      </c>
      <c r="G389">
        <v>0</v>
      </c>
      <c r="H389">
        <v>258</v>
      </c>
      <c r="I389" s="1">
        <f t="shared" si="6"/>
        <v>0.2558139534883721</v>
      </c>
    </row>
    <row r="390" spans="1:9">
      <c r="A390" t="s">
        <v>295</v>
      </c>
      <c r="B390">
        <v>9</v>
      </c>
      <c r="C390">
        <v>4</v>
      </c>
      <c r="D390">
        <v>110</v>
      </c>
      <c r="E390">
        <v>0</v>
      </c>
      <c r="F390">
        <v>9</v>
      </c>
      <c r="G390">
        <v>0</v>
      </c>
      <c r="H390">
        <v>258</v>
      </c>
      <c r="I390" s="1">
        <f t="shared" si="6"/>
        <v>0.4263565891472868</v>
      </c>
    </row>
    <row r="391" spans="1:9">
      <c r="A391" t="s">
        <v>295</v>
      </c>
      <c r="B391">
        <v>9</v>
      </c>
      <c r="C391">
        <v>5</v>
      </c>
      <c r="D391">
        <v>143</v>
      </c>
      <c r="E391">
        <v>0</v>
      </c>
      <c r="F391">
        <v>7</v>
      </c>
      <c r="G391">
        <v>0</v>
      </c>
      <c r="H391">
        <v>258</v>
      </c>
      <c r="I391" s="1">
        <f t="shared" si="6"/>
        <v>0.55426356589147285</v>
      </c>
    </row>
    <row r="392" spans="1:9">
      <c r="A392" t="s">
        <v>295</v>
      </c>
      <c r="B392">
        <v>9</v>
      </c>
      <c r="C392">
        <v>6</v>
      </c>
      <c r="D392">
        <v>170</v>
      </c>
      <c r="E392">
        <v>0</v>
      </c>
      <c r="F392">
        <v>5</v>
      </c>
      <c r="G392">
        <v>0</v>
      </c>
      <c r="H392">
        <v>258</v>
      </c>
      <c r="I392" s="1">
        <f t="shared" si="6"/>
        <v>0.65891472868217049</v>
      </c>
    </row>
    <row r="393" spans="1:9">
      <c r="A393" t="s">
        <v>295</v>
      </c>
      <c r="B393">
        <v>9</v>
      </c>
      <c r="C393">
        <v>7</v>
      </c>
      <c r="D393">
        <v>201</v>
      </c>
      <c r="E393">
        <v>0</v>
      </c>
      <c r="F393">
        <v>3</v>
      </c>
      <c r="G393">
        <v>0</v>
      </c>
      <c r="H393">
        <v>258</v>
      </c>
      <c r="I393" s="1">
        <f t="shared" si="6"/>
        <v>0.77906976744186052</v>
      </c>
    </row>
    <row r="394" spans="1:9">
      <c r="A394" t="s">
        <v>295</v>
      </c>
      <c r="B394">
        <v>9</v>
      </c>
      <c r="C394">
        <v>8</v>
      </c>
      <c r="D394">
        <v>223</v>
      </c>
      <c r="E394">
        <v>0</v>
      </c>
      <c r="F394">
        <v>1</v>
      </c>
      <c r="G394">
        <v>0</v>
      </c>
      <c r="H394">
        <v>258</v>
      </c>
      <c r="I394" s="1">
        <f t="shared" si="6"/>
        <v>0.86434108527131781</v>
      </c>
    </row>
    <row r="395" spans="1:9">
      <c r="A395" t="s">
        <v>295</v>
      </c>
      <c r="B395">
        <v>9</v>
      </c>
      <c r="C395">
        <v>9</v>
      </c>
      <c r="D395">
        <v>258</v>
      </c>
      <c r="E395">
        <v>0</v>
      </c>
      <c r="F395">
        <v>0</v>
      </c>
      <c r="G395">
        <v>0</v>
      </c>
      <c r="H395">
        <v>258</v>
      </c>
      <c r="I395" s="1">
        <f t="shared" si="6"/>
        <v>1</v>
      </c>
    </row>
    <row r="396" spans="1:9">
      <c r="A396" t="s">
        <v>295</v>
      </c>
      <c r="B396">
        <v>11</v>
      </c>
      <c r="C396">
        <v>1</v>
      </c>
      <c r="D396">
        <v>18</v>
      </c>
      <c r="E396">
        <v>0</v>
      </c>
      <c r="F396">
        <v>1</v>
      </c>
      <c r="G396">
        <v>0</v>
      </c>
      <c r="H396">
        <v>53</v>
      </c>
      <c r="I396" s="1">
        <f t="shared" si="6"/>
        <v>0.33962264150943394</v>
      </c>
    </row>
    <row r="397" spans="1:9">
      <c r="A397" t="s">
        <v>295</v>
      </c>
      <c r="B397">
        <v>11</v>
      </c>
      <c r="C397">
        <v>2</v>
      </c>
      <c r="D397">
        <v>53</v>
      </c>
      <c r="E397">
        <v>0</v>
      </c>
      <c r="F397">
        <v>0</v>
      </c>
      <c r="G397">
        <v>0</v>
      </c>
      <c r="H397">
        <v>53</v>
      </c>
      <c r="I397" s="1">
        <f t="shared" si="6"/>
        <v>1</v>
      </c>
    </row>
    <row r="398" spans="1:9">
      <c r="A398" t="s">
        <v>295</v>
      </c>
      <c r="B398">
        <v>13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737</v>
      </c>
      <c r="I398" s="1">
        <f t="shared" si="6"/>
        <v>1.3568521031207597E-3</v>
      </c>
    </row>
    <row r="399" spans="1:9">
      <c r="A399" t="s">
        <v>295</v>
      </c>
      <c r="B399">
        <v>13</v>
      </c>
      <c r="C399">
        <v>2</v>
      </c>
      <c r="D399">
        <v>4</v>
      </c>
      <c r="E399">
        <v>0</v>
      </c>
      <c r="F399">
        <v>2</v>
      </c>
      <c r="G399">
        <v>0</v>
      </c>
      <c r="H399">
        <v>737</v>
      </c>
      <c r="I399" s="1">
        <f t="shared" si="6"/>
        <v>5.4274084124830389E-3</v>
      </c>
    </row>
    <row r="400" spans="1:9">
      <c r="A400" t="s">
        <v>295</v>
      </c>
      <c r="B400">
        <v>13</v>
      </c>
      <c r="C400">
        <v>3</v>
      </c>
      <c r="D400">
        <v>5</v>
      </c>
      <c r="E400">
        <v>0</v>
      </c>
      <c r="F400">
        <v>1</v>
      </c>
      <c r="G400">
        <v>0</v>
      </c>
      <c r="H400">
        <v>737</v>
      </c>
      <c r="I400" s="1">
        <f t="shared" si="6"/>
        <v>6.7842605156037995E-3</v>
      </c>
    </row>
    <row r="401" spans="1:9">
      <c r="A401" t="s">
        <v>295</v>
      </c>
      <c r="B401">
        <v>13</v>
      </c>
      <c r="C401">
        <v>4</v>
      </c>
      <c r="D401">
        <v>737</v>
      </c>
      <c r="E401">
        <v>0</v>
      </c>
      <c r="F401">
        <v>0</v>
      </c>
      <c r="G401">
        <v>0</v>
      </c>
      <c r="H401">
        <v>737</v>
      </c>
      <c r="I401" s="1">
        <f t="shared" si="6"/>
        <v>1</v>
      </c>
    </row>
    <row r="402" spans="1:9">
      <c r="A402" t="s">
        <v>295</v>
      </c>
      <c r="B402">
        <v>14</v>
      </c>
      <c r="C402">
        <v>1</v>
      </c>
      <c r="D402">
        <v>3</v>
      </c>
      <c r="E402">
        <v>0</v>
      </c>
      <c r="F402">
        <v>3</v>
      </c>
      <c r="G402">
        <v>0</v>
      </c>
      <c r="H402">
        <v>958</v>
      </c>
      <c r="I402" s="1">
        <f t="shared" si="6"/>
        <v>3.1315240083507308E-3</v>
      </c>
    </row>
    <row r="403" spans="1:9">
      <c r="A403" t="s">
        <v>295</v>
      </c>
      <c r="B403">
        <v>14</v>
      </c>
      <c r="C403">
        <v>2</v>
      </c>
      <c r="D403">
        <v>4</v>
      </c>
      <c r="E403">
        <v>0</v>
      </c>
      <c r="F403">
        <v>2</v>
      </c>
      <c r="G403">
        <v>0</v>
      </c>
      <c r="H403">
        <v>958</v>
      </c>
      <c r="I403" s="1">
        <f t="shared" si="6"/>
        <v>4.1753653444676405E-3</v>
      </c>
    </row>
    <row r="404" spans="1:9">
      <c r="A404" t="s">
        <v>295</v>
      </c>
      <c r="B404">
        <v>14</v>
      </c>
      <c r="C404">
        <v>3</v>
      </c>
      <c r="D404">
        <v>5</v>
      </c>
      <c r="E404">
        <v>0</v>
      </c>
      <c r="F404">
        <v>1</v>
      </c>
      <c r="G404">
        <v>0</v>
      </c>
      <c r="H404">
        <v>958</v>
      </c>
      <c r="I404" s="1">
        <f t="shared" si="6"/>
        <v>5.2192066805845511E-3</v>
      </c>
    </row>
    <row r="405" spans="1:9">
      <c r="A405" t="s">
        <v>295</v>
      </c>
      <c r="B405">
        <v>14</v>
      </c>
      <c r="C405">
        <v>4</v>
      </c>
      <c r="D405">
        <v>382</v>
      </c>
      <c r="E405">
        <v>0</v>
      </c>
      <c r="F405">
        <v>5</v>
      </c>
      <c r="G405">
        <v>0</v>
      </c>
      <c r="H405">
        <v>958</v>
      </c>
      <c r="I405" s="1">
        <f t="shared" si="6"/>
        <v>0.39874739039665968</v>
      </c>
    </row>
    <row r="406" spans="1:9">
      <c r="A406" t="s">
        <v>295</v>
      </c>
      <c r="B406">
        <v>14</v>
      </c>
      <c r="C406">
        <v>5</v>
      </c>
      <c r="D406">
        <v>562</v>
      </c>
      <c r="E406">
        <v>0</v>
      </c>
      <c r="F406">
        <v>3</v>
      </c>
      <c r="G406">
        <v>0</v>
      </c>
      <c r="H406">
        <v>958</v>
      </c>
      <c r="I406" s="1">
        <f t="shared" si="6"/>
        <v>0.58663883089770352</v>
      </c>
    </row>
    <row r="407" spans="1:9">
      <c r="A407" t="s">
        <v>295</v>
      </c>
      <c r="B407">
        <v>14</v>
      </c>
      <c r="C407">
        <v>6</v>
      </c>
      <c r="D407">
        <v>563</v>
      </c>
      <c r="E407">
        <v>0</v>
      </c>
      <c r="F407">
        <v>2</v>
      </c>
      <c r="G407">
        <v>0</v>
      </c>
      <c r="H407">
        <v>958</v>
      </c>
      <c r="I407" s="1">
        <f t="shared" si="6"/>
        <v>0.58768267223382042</v>
      </c>
    </row>
    <row r="408" spans="1:9">
      <c r="A408" t="s">
        <v>295</v>
      </c>
      <c r="B408">
        <v>14</v>
      </c>
      <c r="C408">
        <v>7</v>
      </c>
      <c r="D408">
        <v>564</v>
      </c>
      <c r="E408">
        <v>0</v>
      </c>
      <c r="F408">
        <v>1</v>
      </c>
      <c r="G408">
        <v>0</v>
      </c>
      <c r="H408">
        <v>958</v>
      </c>
      <c r="I408" s="1">
        <f t="shared" si="6"/>
        <v>0.58872651356993733</v>
      </c>
    </row>
    <row r="409" spans="1:9">
      <c r="A409" t="s">
        <v>295</v>
      </c>
      <c r="B409">
        <v>14</v>
      </c>
      <c r="C409">
        <v>8</v>
      </c>
      <c r="D409">
        <v>564</v>
      </c>
      <c r="E409">
        <v>0</v>
      </c>
      <c r="F409">
        <v>1</v>
      </c>
      <c r="G409">
        <v>0</v>
      </c>
      <c r="H409">
        <v>958</v>
      </c>
      <c r="I409" s="1">
        <f t="shared" si="6"/>
        <v>0.58872651356993733</v>
      </c>
    </row>
    <row r="410" spans="1:9">
      <c r="A410" t="s">
        <v>295</v>
      </c>
      <c r="B410">
        <v>14</v>
      </c>
      <c r="C410">
        <v>9</v>
      </c>
      <c r="D410">
        <v>564</v>
      </c>
      <c r="E410">
        <v>0</v>
      </c>
      <c r="F410">
        <v>1</v>
      </c>
      <c r="G410">
        <v>0</v>
      </c>
      <c r="H410">
        <v>958</v>
      </c>
      <c r="I410" s="1">
        <f t="shared" si="6"/>
        <v>0.58872651356993733</v>
      </c>
    </row>
    <row r="411" spans="1:9">
      <c r="A411" t="s">
        <v>295</v>
      </c>
      <c r="B411">
        <v>14</v>
      </c>
      <c r="C411">
        <v>10</v>
      </c>
      <c r="D411">
        <v>957</v>
      </c>
      <c r="E411">
        <v>0</v>
      </c>
      <c r="F411">
        <v>1</v>
      </c>
      <c r="G411">
        <v>0</v>
      </c>
      <c r="H411">
        <v>958</v>
      </c>
      <c r="I411" s="1">
        <f t="shared" si="6"/>
        <v>0.9989561586638831</v>
      </c>
    </row>
    <row r="412" spans="1:9">
      <c r="A412" t="s">
        <v>295</v>
      </c>
      <c r="B412">
        <v>14</v>
      </c>
      <c r="C412">
        <v>11</v>
      </c>
      <c r="D412">
        <v>958</v>
      </c>
      <c r="E412">
        <v>0</v>
      </c>
      <c r="F412">
        <v>0</v>
      </c>
      <c r="G412">
        <v>0</v>
      </c>
      <c r="H412">
        <v>958</v>
      </c>
      <c r="I412" s="1">
        <f t="shared" si="6"/>
        <v>1</v>
      </c>
    </row>
    <row r="413" spans="1:9">
      <c r="A413" t="s">
        <v>295</v>
      </c>
      <c r="B413">
        <v>15</v>
      </c>
      <c r="C413">
        <v>1</v>
      </c>
      <c r="D413">
        <v>1</v>
      </c>
      <c r="E413">
        <v>0</v>
      </c>
      <c r="F413">
        <v>1</v>
      </c>
      <c r="G413">
        <v>0</v>
      </c>
      <c r="H413">
        <v>476</v>
      </c>
      <c r="I413" s="1">
        <f t="shared" si="6"/>
        <v>2.1008403361344537E-3</v>
      </c>
    </row>
    <row r="414" spans="1:9">
      <c r="A414" t="s">
        <v>295</v>
      </c>
      <c r="B414">
        <v>15</v>
      </c>
      <c r="C414">
        <v>2</v>
      </c>
      <c r="D414">
        <v>3</v>
      </c>
      <c r="E414">
        <v>0</v>
      </c>
      <c r="F414">
        <v>1</v>
      </c>
      <c r="G414">
        <v>0</v>
      </c>
      <c r="H414">
        <v>476</v>
      </c>
      <c r="I414" s="1">
        <f t="shared" si="6"/>
        <v>6.3025210084033615E-3</v>
      </c>
    </row>
    <row r="415" spans="1:9">
      <c r="A415" t="s">
        <v>295</v>
      </c>
      <c r="B415">
        <v>15</v>
      </c>
      <c r="C415">
        <v>3</v>
      </c>
      <c r="D415">
        <v>5</v>
      </c>
      <c r="E415">
        <v>0</v>
      </c>
      <c r="F415">
        <v>1</v>
      </c>
      <c r="G415">
        <v>0</v>
      </c>
      <c r="H415">
        <v>476</v>
      </c>
      <c r="I415" s="1">
        <f t="shared" si="6"/>
        <v>1.050420168067227E-2</v>
      </c>
    </row>
    <row r="416" spans="1:9">
      <c r="A416" t="s">
        <v>295</v>
      </c>
      <c r="B416">
        <v>15</v>
      </c>
      <c r="C416">
        <v>4</v>
      </c>
      <c r="D416">
        <v>476</v>
      </c>
      <c r="E416">
        <v>0</v>
      </c>
      <c r="F416">
        <v>0</v>
      </c>
      <c r="G416">
        <v>0</v>
      </c>
      <c r="H416">
        <v>476</v>
      </c>
      <c r="I416" s="1">
        <f t="shared" si="6"/>
        <v>1</v>
      </c>
    </row>
    <row r="417" spans="1:9">
      <c r="A417" t="s">
        <v>295</v>
      </c>
      <c r="B417">
        <v>16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607</v>
      </c>
      <c r="I417" s="1">
        <f t="shared" si="6"/>
        <v>1.6474464579901153E-3</v>
      </c>
    </row>
    <row r="418" spans="1:9">
      <c r="A418" t="s">
        <v>295</v>
      </c>
      <c r="B418">
        <v>16</v>
      </c>
      <c r="C418">
        <v>2</v>
      </c>
      <c r="D418">
        <v>3</v>
      </c>
      <c r="E418">
        <v>0</v>
      </c>
      <c r="F418">
        <v>1</v>
      </c>
      <c r="G418">
        <v>0</v>
      </c>
      <c r="H418">
        <v>607</v>
      </c>
      <c r="I418" s="1">
        <f t="shared" si="6"/>
        <v>4.9423393739703456E-3</v>
      </c>
    </row>
    <row r="419" spans="1:9">
      <c r="A419" t="s">
        <v>295</v>
      </c>
      <c r="B419">
        <v>16</v>
      </c>
      <c r="C419">
        <v>3</v>
      </c>
      <c r="D419">
        <v>5</v>
      </c>
      <c r="E419">
        <v>0</v>
      </c>
      <c r="F419">
        <v>1</v>
      </c>
      <c r="G419">
        <v>0</v>
      </c>
      <c r="H419">
        <v>607</v>
      </c>
      <c r="I419" s="1">
        <f t="shared" si="6"/>
        <v>8.2372322899505763E-3</v>
      </c>
    </row>
    <row r="420" spans="1:9">
      <c r="A420" t="s">
        <v>295</v>
      </c>
      <c r="B420">
        <v>16</v>
      </c>
      <c r="C420">
        <v>4</v>
      </c>
      <c r="D420">
        <v>607</v>
      </c>
      <c r="E420">
        <v>0</v>
      </c>
      <c r="F420">
        <v>0</v>
      </c>
      <c r="G420">
        <v>0</v>
      </c>
      <c r="H420">
        <v>607</v>
      </c>
      <c r="I420" s="1">
        <f t="shared" si="6"/>
        <v>1</v>
      </c>
    </row>
    <row r="421" spans="1:9">
      <c r="A421" t="s">
        <v>295</v>
      </c>
      <c r="B421">
        <v>20</v>
      </c>
      <c r="C421">
        <v>1</v>
      </c>
      <c r="D421">
        <v>16</v>
      </c>
      <c r="E421">
        <v>0</v>
      </c>
      <c r="F421">
        <v>2</v>
      </c>
      <c r="G421">
        <v>0</v>
      </c>
      <c r="H421">
        <v>27</v>
      </c>
      <c r="I421" s="1">
        <f t="shared" si="6"/>
        <v>0.59259259259259256</v>
      </c>
    </row>
    <row r="422" spans="1:9">
      <c r="A422" t="s">
        <v>295</v>
      </c>
      <c r="B422">
        <v>20</v>
      </c>
      <c r="C422">
        <v>2</v>
      </c>
      <c r="D422">
        <v>27</v>
      </c>
      <c r="E422">
        <v>0</v>
      </c>
      <c r="F422">
        <v>0</v>
      </c>
      <c r="G422">
        <v>0</v>
      </c>
      <c r="H422">
        <v>27</v>
      </c>
      <c r="I422" s="1">
        <f t="shared" si="6"/>
        <v>1</v>
      </c>
    </row>
    <row r="423" spans="1:9">
      <c r="A423" t="s">
        <v>295</v>
      </c>
      <c r="B423">
        <v>21</v>
      </c>
      <c r="C423">
        <v>1</v>
      </c>
      <c r="D423">
        <v>31</v>
      </c>
      <c r="E423">
        <v>0</v>
      </c>
      <c r="F423">
        <v>2</v>
      </c>
      <c r="G423">
        <v>0</v>
      </c>
      <c r="H423">
        <v>57</v>
      </c>
      <c r="I423" s="1">
        <f t="shared" si="6"/>
        <v>0.54385964912280704</v>
      </c>
    </row>
    <row r="424" spans="1:9">
      <c r="A424" t="s">
        <v>295</v>
      </c>
      <c r="B424">
        <v>21</v>
      </c>
      <c r="C424">
        <v>2</v>
      </c>
      <c r="D424">
        <v>57</v>
      </c>
      <c r="E424">
        <v>0</v>
      </c>
      <c r="F424">
        <v>0</v>
      </c>
      <c r="G424">
        <v>0</v>
      </c>
      <c r="H424">
        <v>57</v>
      </c>
      <c r="I424" s="1">
        <f t="shared" si="6"/>
        <v>1</v>
      </c>
    </row>
    <row r="425" spans="1:9">
      <c r="A425" t="s">
        <v>344</v>
      </c>
      <c r="B425">
        <v>0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10</v>
      </c>
      <c r="I425" s="1">
        <f t="shared" si="6"/>
        <v>0.1</v>
      </c>
    </row>
    <row r="426" spans="1:9">
      <c r="A426" t="s">
        <v>344</v>
      </c>
      <c r="B426">
        <v>0</v>
      </c>
      <c r="C426">
        <v>2</v>
      </c>
      <c r="D426">
        <v>4</v>
      </c>
      <c r="E426">
        <v>0</v>
      </c>
      <c r="F426">
        <v>5</v>
      </c>
      <c r="G426">
        <v>0</v>
      </c>
      <c r="H426">
        <v>10</v>
      </c>
      <c r="I426" s="1">
        <f t="shared" si="6"/>
        <v>0.4</v>
      </c>
    </row>
    <row r="427" spans="1:9">
      <c r="A427" t="s">
        <v>344</v>
      </c>
      <c r="B427">
        <v>0</v>
      </c>
      <c r="C427">
        <v>3</v>
      </c>
      <c r="D427">
        <v>6</v>
      </c>
      <c r="E427">
        <v>0</v>
      </c>
      <c r="F427">
        <v>4</v>
      </c>
      <c r="G427">
        <v>0</v>
      </c>
      <c r="H427">
        <v>10</v>
      </c>
      <c r="I427" s="1">
        <f t="shared" si="6"/>
        <v>0.6</v>
      </c>
    </row>
    <row r="428" spans="1:9">
      <c r="A428" t="s">
        <v>344</v>
      </c>
      <c r="B428">
        <v>0</v>
      </c>
      <c r="C428">
        <v>4</v>
      </c>
      <c r="D428">
        <v>10</v>
      </c>
      <c r="E428">
        <v>0</v>
      </c>
      <c r="F428">
        <v>0</v>
      </c>
      <c r="G428">
        <v>0</v>
      </c>
      <c r="H428">
        <v>10</v>
      </c>
      <c r="I428" s="1">
        <f t="shared" si="6"/>
        <v>1</v>
      </c>
    </row>
    <row r="429" spans="1:9">
      <c r="A429" t="s">
        <v>344</v>
      </c>
      <c r="B429">
        <v>1</v>
      </c>
      <c r="C429">
        <v>1</v>
      </c>
      <c r="D429">
        <v>11</v>
      </c>
      <c r="E429">
        <v>0</v>
      </c>
      <c r="F429">
        <v>8</v>
      </c>
      <c r="G429">
        <v>0</v>
      </c>
      <c r="H429">
        <v>113</v>
      </c>
      <c r="I429" s="1">
        <f t="shared" si="6"/>
        <v>9.7345132743362831E-2</v>
      </c>
    </row>
    <row r="430" spans="1:9">
      <c r="A430" t="s">
        <v>344</v>
      </c>
      <c r="B430">
        <v>1</v>
      </c>
      <c r="C430">
        <v>2</v>
      </c>
      <c r="D430">
        <v>30</v>
      </c>
      <c r="E430">
        <v>0</v>
      </c>
      <c r="F430">
        <v>5</v>
      </c>
      <c r="G430">
        <v>0</v>
      </c>
      <c r="H430">
        <v>113</v>
      </c>
      <c r="I430" s="1">
        <f t="shared" si="6"/>
        <v>0.26548672566371684</v>
      </c>
    </row>
    <row r="431" spans="1:9">
      <c r="A431" t="s">
        <v>344</v>
      </c>
      <c r="B431">
        <v>1</v>
      </c>
      <c r="C431">
        <v>3</v>
      </c>
      <c r="D431">
        <v>58</v>
      </c>
      <c r="E431">
        <v>0</v>
      </c>
      <c r="F431">
        <v>2</v>
      </c>
      <c r="G431">
        <v>0</v>
      </c>
      <c r="H431">
        <v>113</v>
      </c>
      <c r="I431" s="1">
        <f t="shared" si="6"/>
        <v>0.51327433628318586</v>
      </c>
    </row>
    <row r="432" spans="1:9">
      <c r="A432" t="s">
        <v>344</v>
      </c>
      <c r="B432">
        <v>1</v>
      </c>
      <c r="C432">
        <v>4</v>
      </c>
      <c r="D432">
        <v>113</v>
      </c>
      <c r="E432">
        <v>0</v>
      </c>
      <c r="F432">
        <v>0</v>
      </c>
      <c r="G432">
        <v>0</v>
      </c>
      <c r="H432">
        <v>113</v>
      </c>
      <c r="I432" s="1">
        <f t="shared" si="6"/>
        <v>1</v>
      </c>
    </row>
    <row r="433" spans="1:9">
      <c r="A433" t="s">
        <v>348</v>
      </c>
      <c r="B433">
        <v>1</v>
      </c>
      <c r="C433">
        <v>1</v>
      </c>
      <c r="D433">
        <v>10</v>
      </c>
      <c r="E433">
        <v>0</v>
      </c>
      <c r="F433">
        <v>7</v>
      </c>
      <c r="G433">
        <v>0</v>
      </c>
      <c r="H433">
        <v>94</v>
      </c>
      <c r="I433" s="1">
        <f t="shared" si="6"/>
        <v>0.10638297872340426</v>
      </c>
    </row>
    <row r="434" spans="1:9">
      <c r="A434" t="s">
        <v>348</v>
      </c>
      <c r="B434">
        <v>1</v>
      </c>
      <c r="C434">
        <v>2</v>
      </c>
      <c r="D434">
        <v>17</v>
      </c>
      <c r="E434">
        <v>0</v>
      </c>
      <c r="F434">
        <v>8</v>
      </c>
      <c r="G434">
        <v>0</v>
      </c>
      <c r="H434">
        <v>94</v>
      </c>
      <c r="I434" s="1">
        <f t="shared" si="6"/>
        <v>0.18085106382978725</v>
      </c>
    </row>
    <row r="435" spans="1:9">
      <c r="A435" t="s">
        <v>348</v>
      </c>
      <c r="B435">
        <v>1</v>
      </c>
      <c r="C435">
        <v>3</v>
      </c>
      <c r="D435">
        <v>28</v>
      </c>
      <c r="E435">
        <v>0</v>
      </c>
      <c r="F435">
        <v>6</v>
      </c>
      <c r="G435">
        <v>0</v>
      </c>
      <c r="H435">
        <v>94</v>
      </c>
      <c r="I435" s="1">
        <f t="shared" si="6"/>
        <v>0.2978723404255319</v>
      </c>
    </row>
    <row r="436" spans="1:9">
      <c r="A436" t="s">
        <v>348</v>
      </c>
      <c r="B436">
        <v>1</v>
      </c>
      <c r="C436">
        <v>4</v>
      </c>
      <c r="D436">
        <v>41</v>
      </c>
      <c r="E436">
        <v>0</v>
      </c>
      <c r="F436">
        <v>6</v>
      </c>
      <c r="G436">
        <v>0</v>
      </c>
      <c r="H436">
        <v>94</v>
      </c>
      <c r="I436" s="1">
        <f t="shared" si="6"/>
        <v>0.43617021276595747</v>
      </c>
    </row>
    <row r="437" spans="1:9">
      <c r="A437" t="s">
        <v>348</v>
      </c>
      <c r="B437">
        <v>1</v>
      </c>
      <c r="C437">
        <v>5</v>
      </c>
      <c r="D437">
        <v>53</v>
      </c>
      <c r="E437">
        <v>0</v>
      </c>
      <c r="F437">
        <v>4</v>
      </c>
      <c r="G437">
        <v>0</v>
      </c>
      <c r="H437">
        <v>94</v>
      </c>
      <c r="I437" s="1">
        <f t="shared" si="6"/>
        <v>0.56382978723404253</v>
      </c>
    </row>
    <row r="438" spans="1:9">
      <c r="A438" t="s">
        <v>348</v>
      </c>
      <c r="B438">
        <v>1</v>
      </c>
      <c r="C438">
        <v>6</v>
      </c>
      <c r="D438">
        <v>65</v>
      </c>
      <c r="E438">
        <v>0</v>
      </c>
      <c r="F438">
        <v>2</v>
      </c>
      <c r="G438">
        <v>0</v>
      </c>
      <c r="H438">
        <v>94</v>
      </c>
      <c r="I438" s="1">
        <f t="shared" si="6"/>
        <v>0.69148936170212771</v>
      </c>
    </row>
    <row r="439" spans="1:9">
      <c r="A439" t="s">
        <v>348</v>
      </c>
      <c r="B439">
        <v>1</v>
      </c>
      <c r="C439">
        <v>7</v>
      </c>
      <c r="D439">
        <v>80</v>
      </c>
      <c r="E439">
        <v>0</v>
      </c>
      <c r="F439">
        <v>2</v>
      </c>
      <c r="G439">
        <v>0</v>
      </c>
      <c r="H439">
        <v>94</v>
      </c>
      <c r="I439" s="1">
        <f t="shared" si="6"/>
        <v>0.85106382978723405</v>
      </c>
    </row>
    <row r="440" spans="1:9">
      <c r="A440" t="s">
        <v>348</v>
      </c>
      <c r="B440">
        <v>1</v>
      </c>
      <c r="C440">
        <v>8</v>
      </c>
      <c r="D440">
        <v>94</v>
      </c>
      <c r="E440">
        <v>0</v>
      </c>
      <c r="F440">
        <v>0</v>
      </c>
      <c r="G440">
        <v>0</v>
      </c>
      <c r="H440">
        <v>94</v>
      </c>
      <c r="I440" s="1">
        <f t="shared" si="6"/>
        <v>1</v>
      </c>
    </row>
    <row r="441" spans="1:9">
      <c r="A441" t="s">
        <v>354</v>
      </c>
      <c r="B441">
        <v>1</v>
      </c>
      <c r="C441">
        <v>1</v>
      </c>
      <c r="D441">
        <v>36</v>
      </c>
      <c r="E441">
        <v>0</v>
      </c>
      <c r="F441">
        <v>2</v>
      </c>
      <c r="G441">
        <v>0</v>
      </c>
      <c r="H441">
        <v>169</v>
      </c>
      <c r="I441" s="1">
        <f t="shared" si="6"/>
        <v>0.21301775147928995</v>
      </c>
    </row>
    <row r="442" spans="1:9">
      <c r="A442" t="s">
        <v>354</v>
      </c>
      <c r="B442">
        <v>1</v>
      </c>
      <c r="C442">
        <v>2</v>
      </c>
      <c r="D442">
        <v>70</v>
      </c>
      <c r="E442">
        <v>0</v>
      </c>
      <c r="F442">
        <v>4</v>
      </c>
      <c r="G442">
        <v>0</v>
      </c>
      <c r="H442">
        <v>169</v>
      </c>
      <c r="I442" s="1">
        <f t="shared" si="6"/>
        <v>0.41420118343195267</v>
      </c>
    </row>
    <row r="443" spans="1:9">
      <c r="A443" t="s">
        <v>354</v>
      </c>
      <c r="B443">
        <v>1</v>
      </c>
      <c r="C443">
        <v>3</v>
      </c>
      <c r="D443">
        <v>103</v>
      </c>
      <c r="E443">
        <v>0</v>
      </c>
      <c r="F443">
        <v>4</v>
      </c>
      <c r="G443">
        <v>0</v>
      </c>
      <c r="H443">
        <v>169</v>
      </c>
      <c r="I443" s="1">
        <f t="shared" si="6"/>
        <v>0.60946745562130178</v>
      </c>
    </row>
    <row r="444" spans="1:9">
      <c r="A444" t="s">
        <v>354</v>
      </c>
      <c r="B444">
        <v>1</v>
      </c>
      <c r="C444">
        <v>4</v>
      </c>
      <c r="D444">
        <v>135</v>
      </c>
      <c r="E444">
        <v>0</v>
      </c>
      <c r="F444">
        <v>2</v>
      </c>
      <c r="G444">
        <v>0</v>
      </c>
      <c r="H444">
        <v>169</v>
      </c>
      <c r="I444" s="1">
        <f t="shared" si="6"/>
        <v>0.79881656804733725</v>
      </c>
    </row>
    <row r="445" spans="1:9">
      <c r="A445" t="s">
        <v>354</v>
      </c>
      <c r="B445">
        <v>1</v>
      </c>
      <c r="C445">
        <v>5</v>
      </c>
      <c r="D445">
        <v>169</v>
      </c>
      <c r="E445">
        <v>0</v>
      </c>
      <c r="F445">
        <v>0</v>
      </c>
      <c r="G445">
        <v>0</v>
      </c>
      <c r="H445">
        <v>169</v>
      </c>
      <c r="I445" s="1">
        <f t="shared" si="6"/>
        <v>1</v>
      </c>
    </row>
    <row r="446" spans="1:9">
      <c r="A446" t="s">
        <v>358</v>
      </c>
      <c r="B446">
        <v>5</v>
      </c>
      <c r="C446">
        <v>1</v>
      </c>
      <c r="D446">
        <v>39</v>
      </c>
      <c r="E446">
        <v>0</v>
      </c>
      <c r="F446">
        <v>9</v>
      </c>
      <c r="G446">
        <v>0</v>
      </c>
      <c r="H446">
        <v>123</v>
      </c>
      <c r="I446" s="1">
        <f t="shared" si="6"/>
        <v>0.31707317073170732</v>
      </c>
    </row>
    <row r="447" spans="1:9">
      <c r="A447" t="s">
        <v>358</v>
      </c>
      <c r="B447">
        <v>5</v>
      </c>
      <c r="C447">
        <v>2</v>
      </c>
      <c r="D447">
        <v>44</v>
      </c>
      <c r="E447">
        <v>0</v>
      </c>
      <c r="F447">
        <v>9</v>
      </c>
      <c r="G447">
        <v>0</v>
      </c>
      <c r="H447">
        <v>123</v>
      </c>
      <c r="I447" s="1">
        <f t="shared" si="6"/>
        <v>0.35772357723577236</v>
      </c>
    </row>
    <row r="448" spans="1:9">
      <c r="A448" t="s">
        <v>358</v>
      </c>
      <c r="B448">
        <v>5</v>
      </c>
      <c r="C448">
        <v>3</v>
      </c>
      <c r="D448">
        <v>55</v>
      </c>
      <c r="E448">
        <v>0</v>
      </c>
      <c r="F448">
        <v>8</v>
      </c>
      <c r="G448">
        <v>0</v>
      </c>
      <c r="H448">
        <v>123</v>
      </c>
      <c r="I448" s="1">
        <f t="shared" si="6"/>
        <v>0.44715447154471544</v>
      </c>
    </row>
    <row r="449" spans="1:9">
      <c r="A449" t="s">
        <v>358</v>
      </c>
      <c r="B449">
        <v>5</v>
      </c>
      <c r="C449">
        <v>4</v>
      </c>
      <c r="D449">
        <v>71</v>
      </c>
      <c r="E449">
        <v>0</v>
      </c>
      <c r="F449">
        <v>6</v>
      </c>
      <c r="G449">
        <v>0</v>
      </c>
      <c r="H449">
        <v>123</v>
      </c>
      <c r="I449" s="1">
        <f t="shared" si="6"/>
        <v>0.57723577235772361</v>
      </c>
    </row>
    <row r="450" spans="1:9">
      <c r="A450" t="s">
        <v>358</v>
      </c>
      <c r="B450">
        <v>5</v>
      </c>
      <c r="C450">
        <v>5</v>
      </c>
      <c r="D450">
        <v>123</v>
      </c>
      <c r="E450">
        <v>0</v>
      </c>
      <c r="F450">
        <v>4</v>
      </c>
      <c r="G450">
        <v>0</v>
      </c>
      <c r="H450">
        <v>123</v>
      </c>
      <c r="I450" s="1">
        <f t="shared" si="6"/>
        <v>1</v>
      </c>
    </row>
    <row r="451" spans="1:9">
      <c r="A451" t="s">
        <v>358</v>
      </c>
      <c r="B451">
        <v>7</v>
      </c>
      <c r="C451">
        <v>1</v>
      </c>
      <c r="D451">
        <v>10</v>
      </c>
      <c r="E451">
        <v>0</v>
      </c>
      <c r="F451">
        <v>5</v>
      </c>
      <c r="G451">
        <v>0</v>
      </c>
      <c r="H451">
        <v>33</v>
      </c>
      <c r="I451" s="1">
        <f t="shared" ref="I451:I514" si="7">D451/H451</f>
        <v>0.30303030303030304</v>
      </c>
    </row>
    <row r="452" spans="1:9">
      <c r="A452" t="s">
        <v>358</v>
      </c>
      <c r="B452">
        <v>7</v>
      </c>
      <c r="C452">
        <v>2</v>
      </c>
      <c r="D452">
        <v>22</v>
      </c>
      <c r="E452">
        <v>0</v>
      </c>
      <c r="F452">
        <v>3</v>
      </c>
      <c r="G452">
        <v>0</v>
      </c>
      <c r="H452">
        <v>33</v>
      </c>
      <c r="I452" s="1">
        <f t="shared" si="7"/>
        <v>0.66666666666666663</v>
      </c>
    </row>
    <row r="453" spans="1:9">
      <c r="A453" t="s">
        <v>358</v>
      </c>
      <c r="B453">
        <v>7</v>
      </c>
      <c r="C453">
        <v>3</v>
      </c>
      <c r="D453">
        <v>33</v>
      </c>
      <c r="E453">
        <v>0</v>
      </c>
      <c r="F453">
        <v>0</v>
      </c>
      <c r="G453">
        <v>0</v>
      </c>
      <c r="H453">
        <v>33</v>
      </c>
      <c r="I453" s="1">
        <f t="shared" si="7"/>
        <v>1</v>
      </c>
    </row>
    <row r="454" spans="1:9">
      <c r="A454" t="s">
        <v>358</v>
      </c>
      <c r="B454">
        <v>9</v>
      </c>
      <c r="C454">
        <v>1</v>
      </c>
      <c r="D454">
        <v>5</v>
      </c>
      <c r="E454">
        <v>0</v>
      </c>
      <c r="F454">
        <v>4</v>
      </c>
      <c r="G454">
        <v>0</v>
      </c>
      <c r="H454">
        <v>36</v>
      </c>
      <c r="I454" s="1">
        <f t="shared" si="7"/>
        <v>0.1388888888888889</v>
      </c>
    </row>
    <row r="455" spans="1:9">
      <c r="A455" t="s">
        <v>358</v>
      </c>
      <c r="B455">
        <v>9</v>
      </c>
      <c r="C455">
        <v>2</v>
      </c>
      <c r="D455">
        <v>11</v>
      </c>
      <c r="E455">
        <v>0</v>
      </c>
      <c r="F455">
        <v>6</v>
      </c>
      <c r="G455">
        <v>0</v>
      </c>
      <c r="H455">
        <v>36</v>
      </c>
      <c r="I455" s="1">
        <f t="shared" si="7"/>
        <v>0.30555555555555558</v>
      </c>
    </row>
    <row r="456" spans="1:9">
      <c r="A456" t="s">
        <v>358</v>
      </c>
      <c r="B456">
        <v>9</v>
      </c>
      <c r="C456">
        <v>3</v>
      </c>
      <c r="D456">
        <v>12</v>
      </c>
      <c r="E456">
        <v>0</v>
      </c>
      <c r="F456">
        <v>5</v>
      </c>
      <c r="G456">
        <v>0</v>
      </c>
      <c r="H456">
        <v>36</v>
      </c>
      <c r="I456" s="1">
        <f t="shared" si="7"/>
        <v>0.33333333333333331</v>
      </c>
    </row>
    <row r="457" spans="1:9">
      <c r="A457" t="s">
        <v>358</v>
      </c>
      <c r="B457">
        <v>9</v>
      </c>
      <c r="C457">
        <v>4</v>
      </c>
      <c r="D457">
        <v>17</v>
      </c>
      <c r="E457">
        <v>0</v>
      </c>
      <c r="F457">
        <v>5</v>
      </c>
      <c r="G457">
        <v>0</v>
      </c>
      <c r="H457">
        <v>36</v>
      </c>
      <c r="I457" s="1">
        <f t="shared" si="7"/>
        <v>0.47222222222222221</v>
      </c>
    </row>
    <row r="458" spans="1:9">
      <c r="A458" t="s">
        <v>358</v>
      </c>
      <c r="B458">
        <v>9</v>
      </c>
      <c r="C458">
        <v>5</v>
      </c>
      <c r="D458">
        <v>18</v>
      </c>
      <c r="E458">
        <v>0</v>
      </c>
      <c r="F458">
        <v>4</v>
      </c>
      <c r="G458">
        <v>0</v>
      </c>
      <c r="H458">
        <v>36</v>
      </c>
      <c r="I458" s="1">
        <f t="shared" si="7"/>
        <v>0.5</v>
      </c>
    </row>
    <row r="459" spans="1:9">
      <c r="A459" t="s">
        <v>358</v>
      </c>
      <c r="B459">
        <v>9</v>
      </c>
      <c r="C459">
        <v>6</v>
      </c>
      <c r="D459">
        <v>20</v>
      </c>
      <c r="E459">
        <v>0</v>
      </c>
      <c r="F459">
        <v>4</v>
      </c>
      <c r="G459">
        <v>0</v>
      </c>
      <c r="H459">
        <v>36</v>
      </c>
      <c r="I459" s="1">
        <f t="shared" si="7"/>
        <v>0.55555555555555558</v>
      </c>
    </row>
    <row r="460" spans="1:9">
      <c r="A460" t="s">
        <v>358</v>
      </c>
      <c r="B460">
        <v>9</v>
      </c>
      <c r="C460">
        <v>7</v>
      </c>
      <c r="D460">
        <v>20</v>
      </c>
      <c r="E460">
        <v>0</v>
      </c>
      <c r="F460">
        <v>4</v>
      </c>
      <c r="G460">
        <v>0</v>
      </c>
      <c r="H460">
        <v>36</v>
      </c>
      <c r="I460" s="1">
        <f t="shared" si="7"/>
        <v>0.55555555555555558</v>
      </c>
    </row>
    <row r="461" spans="1:9">
      <c r="A461" t="s">
        <v>358</v>
      </c>
      <c r="B461">
        <v>9</v>
      </c>
      <c r="C461">
        <v>8</v>
      </c>
      <c r="D461">
        <v>23</v>
      </c>
      <c r="E461">
        <v>0</v>
      </c>
      <c r="F461">
        <v>3</v>
      </c>
      <c r="G461">
        <v>0</v>
      </c>
      <c r="H461">
        <v>36</v>
      </c>
      <c r="I461" s="1">
        <f t="shared" si="7"/>
        <v>0.63888888888888884</v>
      </c>
    </row>
    <row r="462" spans="1:9">
      <c r="A462" t="s">
        <v>358</v>
      </c>
      <c r="B462">
        <v>9</v>
      </c>
      <c r="C462">
        <v>9</v>
      </c>
      <c r="D462">
        <v>24</v>
      </c>
      <c r="E462">
        <v>0</v>
      </c>
      <c r="F462">
        <v>2</v>
      </c>
      <c r="G462">
        <v>0</v>
      </c>
      <c r="H462">
        <v>36</v>
      </c>
      <c r="I462" s="1">
        <f t="shared" si="7"/>
        <v>0.66666666666666663</v>
      </c>
    </row>
    <row r="463" spans="1:9">
      <c r="A463" t="s">
        <v>358</v>
      </c>
      <c r="B463">
        <v>9</v>
      </c>
      <c r="C463">
        <v>10</v>
      </c>
      <c r="D463">
        <v>24</v>
      </c>
      <c r="E463">
        <v>0</v>
      </c>
      <c r="F463">
        <v>2</v>
      </c>
      <c r="G463">
        <v>0</v>
      </c>
      <c r="H463">
        <v>36</v>
      </c>
      <c r="I463" s="1">
        <f t="shared" si="7"/>
        <v>0.66666666666666663</v>
      </c>
    </row>
    <row r="464" spans="1:9">
      <c r="A464" t="s">
        <v>358</v>
      </c>
      <c r="B464">
        <v>9</v>
      </c>
      <c r="C464">
        <v>11</v>
      </c>
      <c r="D464">
        <v>24</v>
      </c>
      <c r="E464">
        <v>0</v>
      </c>
      <c r="F464">
        <v>2</v>
      </c>
      <c r="G464">
        <v>0</v>
      </c>
      <c r="H464">
        <v>36</v>
      </c>
      <c r="I464" s="1">
        <f t="shared" si="7"/>
        <v>0.66666666666666663</v>
      </c>
    </row>
    <row r="465" spans="1:9">
      <c r="A465" t="s">
        <v>358</v>
      </c>
      <c r="B465">
        <v>9</v>
      </c>
      <c r="C465">
        <v>12</v>
      </c>
      <c r="D465">
        <v>24</v>
      </c>
      <c r="E465">
        <v>0</v>
      </c>
      <c r="F465">
        <v>2</v>
      </c>
      <c r="G465">
        <v>0</v>
      </c>
      <c r="H465">
        <v>36</v>
      </c>
      <c r="I465" s="1">
        <f t="shared" si="7"/>
        <v>0.66666666666666663</v>
      </c>
    </row>
    <row r="466" spans="1:9">
      <c r="A466" t="s">
        <v>358</v>
      </c>
      <c r="B466">
        <v>9</v>
      </c>
      <c r="C466">
        <v>13</v>
      </c>
      <c r="D466">
        <v>24</v>
      </c>
      <c r="E466">
        <v>0</v>
      </c>
      <c r="F466">
        <v>2</v>
      </c>
      <c r="G466">
        <v>0</v>
      </c>
      <c r="H466">
        <v>36</v>
      </c>
      <c r="I466" s="1">
        <f t="shared" si="7"/>
        <v>0.66666666666666663</v>
      </c>
    </row>
    <row r="467" spans="1:9">
      <c r="A467" t="s">
        <v>358</v>
      </c>
      <c r="B467">
        <v>9</v>
      </c>
      <c r="C467">
        <v>14</v>
      </c>
      <c r="D467">
        <v>28</v>
      </c>
      <c r="E467">
        <v>0</v>
      </c>
      <c r="F467">
        <v>3</v>
      </c>
      <c r="G467">
        <v>0</v>
      </c>
      <c r="H467">
        <v>36</v>
      </c>
      <c r="I467" s="1">
        <f t="shared" si="7"/>
        <v>0.77777777777777779</v>
      </c>
    </row>
    <row r="468" spans="1:9">
      <c r="A468" t="s">
        <v>358</v>
      </c>
      <c r="B468">
        <v>9</v>
      </c>
      <c r="C468">
        <v>15</v>
      </c>
      <c r="D468">
        <v>35</v>
      </c>
      <c r="E468">
        <v>0</v>
      </c>
      <c r="F468">
        <v>1</v>
      </c>
      <c r="G468">
        <v>0</v>
      </c>
      <c r="H468">
        <v>36</v>
      </c>
      <c r="I468" s="1">
        <f t="shared" si="7"/>
        <v>0.97222222222222221</v>
      </c>
    </row>
    <row r="469" spans="1:9">
      <c r="A469" t="s">
        <v>358</v>
      </c>
      <c r="B469">
        <v>9</v>
      </c>
      <c r="C469">
        <v>16</v>
      </c>
      <c r="D469">
        <v>35</v>
      </c>
      <c r="E469">
        <v>0</v>
      </c>
      <c r="F469">
        <v>1</v>
      </c>
      <c r="G469">
        <v>0</v>
      </c>
      <c r="H469">
        <v>36</v>
      </c>
      <c r="I469" s="1">
        <f t="shared" si="7"/>
        <v>0.97222222222222221</v>
      </c>
    </row>
    <row r="470" spans="1:9">
      <c r="A470" t="s">
        <v>358</v>
      </c>
      <c r="B470">
        <v>9</v>
      </c>
      <c r="C470">
        <v>17</v>
      </c>
      <c r="D470">
        <v>36</v>
      </c>
      <c r="E470">
        <v>0</v>
      </c>
      <c r="F470">
        <v>0</v>
      </c>
      <c r="G470">
        <v>0</v>
      </c>
      <c r="H470">
        <v>36</v>
      </c>
      <c r="I470" s="1">
        <f t="shared" si="7"/>
        <v>1</v>
      </c>
    </row>
    <row r="471" spans="1:9">
      <c r="A471" t="s">
        <v>358</v>
      </c>
      <c r="B471">
        <v>9</v>
      </c>
      <c r="C471">
        <v>18</v>
      </c>
      <c r="D471">
        <v>36</v>
      </c>
      <c r="E471">
        <v>0</v>
      </c>
      <c r="F471">
        <v>0</v>
      </c>
      <c r="G471">
        <v>0</v>
      </c>
      <c r="H471">
        <v>36</v>
      </c>
      <c r="I471" s="1">
        <f t="shared" si="7"/>
        <v>1</v>
      </c>
    </row>
    <row r="472" spans="1:9">
      <c r="A472" t="s">
        <v>358</v>
      </c>
      <c r="B472">
        <v>10</v>
      </c>
      <c r="C472">
        <v>1</v>
      </c>
      <c r="D472">
        <v>24</v>
      </c>
      <c r="E472">
        <v>0</v>
      </c>
      <c r="F472">
        <v>5</v>
      </c>
      <c r="G472">
        <v>0</v>
      </c>
      <c r="H472">
        <v>30</v>
      </c>
      <c r="I472" s="1">
        <f t="shared" si="7"/>
        <v>0.8</v>
      </c>
    </row>
    <row r="473" spans="1:9">
      <c r="A473" t="s">
        <v>358</v>
      </c>
      <c r="B473">
        <v>10</v>
      </c>
      <c r="C473">
        <v>2</v>
      </c>
      <c r="D473">
        <v>26</v>
      </c>
      <c r="E473">
        <v>0</v>
      </c>
      <c r="F473">
        <v>3</v>
      </c>
      <c r="G473">
        <v>0</v>
      </c>
      <c r="H473">
        <v>30</v>
      </c>
      <c r="I473" s="1">
        <f t="shared" si="7"/>
        <v>0.8666666666666667</v>
      </c>
    </row>
    <row r="474" spans="1:9">
      <c r="A474" t="s">
        <v>358</v>
      </c>
      <c r="B474">
        <v>10</v>
      </c>
      <c r="C474">
        <v>3</v>
      </c>
      <c r="D474">
        <v>30</v>
      </c>
      <c r="E474">
        <v>0</v>
      </c>
      <c r="F474">
        <v>0</v>
      </c>
      <c r="G474">
        <v>0</v>
      </c>
      <c r="H474">
        <v>30</v>
      </c>
      <c r="I474" s="1">
        <f t="shared" si="7"/>
        <v>1</v>
      </c>
    </row>
    <row r="475" spans="1:9">
      <c r="A475" t="s">
        <v>358</v>
      </c>
      <c r="B475">
        <v>10</v>
      </c>
      <c r="C475">
        <v>4</v>
      </c>
      <c r="D475">
        <v>30</v>
      </c>
      <c r="E475">
        <v>0</v>
      </c>
      <c r="F475">
        <v>0</v>
      </c>
      <c r="G475">
        <v>0</v>
      </c>
      <c r="H475">
        <v>30</v>
      </c>
      <c r="I475" s="1">
        <f t="shared" si="7"/>
        <v>1</v>
      </c>
    </row>
    <row r="476" spans="1:9">
      <c r="A476" t="s">
        <v>358</v>
      </c>
      <c r="B476">
        <v>11</v>
      </c>
      <c r="C476">
        <v>1</v>
      </c>
      <c r="D476">
        <v>7</v>
      </c>
      <c r="E476">
        <v>0</v>
      </c>
      <c r="F476">
        <v>3</v>
      </c>
      <c r="G476">
        <v>0</v>
      </c>
      <c r="H476">
        <v>88</v>
      </c>
      <c r="I476" s="1">
        <f t="shared" si="7"/>
        <v>7.9545454545454544E-2</v>
      </c>
    </row>
    <row r="477" spans="1:9">
      <c r="A477" t="s">
        <v>358</v>
      </c>
      <c r="B477">
        <v>11</v>
      </c>
      <c r="C477">
        <v>2</v>
      </c>
      <c r="D477">
        <v>34</v>
      </c>
      <c r="E477">
        <v>0</v>
      </c>
      <c r="F477">
        <v>9</v>
      </c>
      <c r="G477">
        <v>0</v>
      </c>
      <c r="H477">
        <v>88</v>
      </c>
      <c r="I477" s="1">
        <f t="shared" si="7"/>
        <v>0.38636363636363635</v>
      </c>
    </row>
    <row r="478" spans="1:9">
      <c r="A478" t="s">
        <v>358</v>
      </c>
      <c r="B478">
        <v>11</v>
      </c>
      <c r="C478">
        <v>3</v>
      </c>
      <c r="D478">
        <v>43</v>
      </c>
      <c r="E478">
        <v>0</v>
      </c>
      <c r="F478">
        <v>7</v>
      </c>
      <c r="G478">
        <v>0</v>
      </c>
      <c r="H478">
        <v>88</v>
      </c>
      <c r="I478" s="1">
        <f t="shared" si="7"/>
        <v>0.48863636363636365</v>
      </c>
    </row>
    <row r="479" spans="1:9">
      <c r="A479" t="s">
        <v>358</v>
      </c>
      <c r="B479">
        <v>11</v>
      </c>
      <c r="C479">
        <v>4</v>
      </c>
      <c r="D479">
        <v>46</v>
      </c>
      <c r="E479">
        <v>0</v>
      </c>
      <c r="F479">
        <v>5</v>
      </c>
      <c r="G479">
        <v>0</v>
      </c>
      <c r="H479">
        <v>88</v>
      </c>
      <c r="I479" s="1">
        <f t="shared" si="7"/>
        <v>0.52272727272727271</v>
      </c>
    </row>
    <row r="480" spans="1:9">
      <c r="A480" t="s">
        <v>358</v>
      </c>
      <c r="B480">
        <v>11</v>
      </c>
      <c r="C480">
        <v>5</v>
      </c>
      <c r="D480">
        <v>54</v>
      </c>
      <c r="E480">
        <v>0</v>
      </c>
      <c r="F480">
        <v>6</v>
      </c>
      <c r="G480">
        <v>0</v>
      </c>
      <c r="H480">
        <v>88</v>
      </c>
      <c r="I480" s="1">
        <f t="shared" si="7"/>
        <v>0.61363636363636365</v>
      </c>
    </row>
    <row r="481" spans="1:9">
      <c r="A481" t="s">
        <v>358</v>
      </c>
      <c r="B481">
        <v>11</v>
      </c>
      <c r="C481">
        <v>6</v>
      </c>
      <c r="D481">
        <v>54</v>
      </c>
      <c r="E481">
        <v>0</v>
      </c>
      <c r="F481">
        <v>6</v>
      </c>
      <c r="G481">
        <v>0</v>
      </c>
      <c r="H481">
        <v>88</v>
      </c>
      <c r="I481" s="1">
        <f t="shared" si="7"/>
        <v>0.61363636363636365</v>
      </c>
    </row>
    <row r="482" spans="1:9">
      <c r="A482" t="s">
        <v>358</v>
      </c>
      <c r="B482">
        <v>11</v>
      </c>
      <c r="C482">
        <v>7</v>
      </c>
      <c r="D482">
        <v>54</v>
      </c>
      <c r="E482">
        <v>0</v>
      </c>
      <c r="F482">
        <v>6</v>
      </c>
      <c r="G482">
        <v>0</v>
      </c>
      <c r="H482">
        <v>88</v>
      </c>
      <c r="I482" s="1">
        <f t="shared" si="7"/>
        <v>0.61363636363636365</v>
      </c>
    </row>
    <row r="483" spans="1:9">
      <c r="A483" t="s">
        <v>358</v>
      </c>
      <c r="B483">
        <v>11</v>
      </c>
      <c r="C483">
        <v>8</v>
      </c>
      <c r="D483">
        <v>63</v>
      </c>
      <c r="E483">
        <v>0</v>
      </c>
      <c r="F483">
        <v>6</v>
      </c>
      <c r="G483">
        <v>0</v>
      </c>
      <c r="H483">
        <v>88</v>
      </c>
      <c r="I483" s="1">
        <f t="shared" si="7"/>
        <v>0.71590909090909094</v>
      </c>
    </row>
    <row r="484" spans="1:9">
      <c r="A484" t="s">
        <v>358</v>
      </c>
      <c r="B484">
        <v>11</v>
      </c>
      <c r="C484">
        <v>9</v>
      </c>
      <c r="D484">
        <v>68</v>
      </c>
      <c r="E484">
        <v>0</v>
      </c>
      <c r="F484">
        <v>3</v>
      </c>
      <c r="G484">
        <v>0</v>
      </c>
      <c r="H484">
        <v>88</v>
      </c>
      <c r="I484" s="1">
        <f t="shared" si="7"/>
        <v>0.77272727272727271</v>
      </c>
    </row>
    <row r="485" spans="1:9">
      <c r="A485" t="s">
        <v>358</v>
      </c>
      <c r="B485">
        <v>11</v>
      </c>
      <c r="C485">
        <v>10</v>
      </c>
      <c r="D485">
        <v>68</v>
      </c>
      <c r="E485">
        <v>0</v>
      </c>
      <c r="F485">
        <v>3</v>
      </c>
      <c r="G485">
        <v>0</v>
      </c>
      <c r="H485">
        <v>88</v>
      </c>
      <c r="I485" s="1">
        <f t="shared" si="7"/>
        <v>0.77272727272727271</v>
      </c>
    </row>
    <row r="486" spans="1:9">
      <c r="A486" t="s">
        <v>358</v>
      </c>
      <c r="B486">
        <v>11</v>
      </c>
      <c r="C486">
        <v>11</v>
      </c>
      <c r="D486">
        <v>68</v>
      </c>
      <c r="E486">
        <v>0</v>
      </c>
      <c r="F486">
        <v>3</v>
      </c>
      <c r="G486">
        <v>0</v>
      </c>
      <c r="H486">
        <v>88</v>
      </c>
      <c r="I486" s="1">
        <f t="shared" si="7"/>
        <v>0.77272727272727271</v>
      </c>
    </row>
    <row r="487" spans="1:9">
      <c r="A487" t="s">
        <v>358</v>
      </c>
      <c r="B487">
        <v>11</v>
      </c>
      <c r="C487">
        <v>12</v>
      </c>
      <c r="D487">
        <v>68</v>
      </c>
      <c r="E487">
        <v>0</v>
      </c>
      <c r="F487">
        <v>3</v>
      </c>
      <c r="G487">
        <v>0</v>
      </c>
      <c r="H487">
        <v>88</v>
      </c>
      <c r="I487" s="1">
        <f t="shared" si="7"/>
        <v>0.77272727272727271</v>
      </c>
    </row>
    <row r="488" spans="1:9">
      <c r="A488" t="s">
        <v>358</v>
      </c>
      <c r="B488">
        <v>11</v>
      </c>
      <c r="C488">
        <v>13</v>
      </c>
      <c r="D488">
        <v>68</v>
      </c>
      <c r="E488">
        <v>0</v>
      </c>
      <c r="F488">
        <v>3</v>
      </c>
      <c r="G488">
        <v>0</v>
      </c>
      <c r="H488">
        <v>88</v>
      </c>
      <c r="I488" s="1">
        <f t="shared" si="7"/>
        <v>0.77272727272727271</v>
      </c>
    </row>
    <row r="489" spans="1:9">
      <c r="A489" t="s">
        <v>358</v>
      </c>
      <c r="B489">
        <v>11</v>
      </c>
      <c r="C489">
        <v>14</v>
      </c>
      <c r="D489">
        <v>78</v>
      </c>
      <c r="E489">
        <v>0</v>
      </c>
      <c r="F489">
        <v>3</v>
      </c>
      <c r="G489">
        <v>0</v>
      </c>
      <c r="H489">
        <v>88</v>
      </c>
      <c r="I489" s="1">
        <f t="shared" si="7"/>
        <v>0.88636363636363635</v>
      </c>
    </row>
    <row r="490" spans="1:9">
      <c r="A490" t="s">
        <v>358</v>
      </c>
      <c r="B490">
        <v>11</v>
      </c>
      <c r="C490">
        <v>15</v>
      </c>
      <c r="D490">
        <v>88</v>
      </c>
      <c r="E490">
        <v>0</v>
      </c>
      <c r="F490">
        <v>0</v>
      </c>
      <c r="G490">
        <v>0</v>
      </c>
      <c r="H490">
        <v>88</v>
      </c>
      <c r="I490" s="1">
        <f t="shared" si="7"/>
        <v>1</v>
      </c>
    </row>
    <row r="491" spans="1:9">
      <c r="A491" t="s">
        <v>358</v>
      </c>
      <c r="B491">
        <v>11</v>
      </c>
      <c r="C491">
        <v>16</v>
      </c>
      <c r="D491">
        <v>88</v>
      </c>
      <c r="E491">
        <v>0</v>
      </c>
      <c r="F491">
        <v>0</v>
      </c>
      <c r="G491">
        <v>0</v>
      </c>
      <c r="H491">
        <v>88</v>
      </c>
      <c r="I491" s="1">
        <f t="shared" si="7"/>
        <v>1</v>
      </c>
    </row>
    <row r="492" spans="1:9">
      <c r="A492" t="s">
        <v>358</v>
      </c>
      <c r="B492">
        <v>11</v>
      </c>
      <c r="C492">
        <v>17</v>
      </c>
      <c r="D492">
        <v>88</v>
      </c>
      <c r="E492">
        <v>0</v>
      </c>
      <c r="F492">
        <v>0</v>
      </c>
      <c r="G492">
        <v>0</v>
      </c>
      <c r="H492">
        <v>88</v>
      </c>
      <c r="I492" s="1">
        <f t="shared" si="7"/>
        <v>1</v>
      </c>
    </row>
    <row r="493" spans="1:9">
      <c r="A493" t="s">
        <v>358</v>
      </c>
      <c r="B493">
        <v>11</v>
      </c>
      <c r="C493">
        <v>18</v>
      </c>
      <c r="D493">
        <v>88</v>
      </c>
      <c r="E493">
        <v>0</v>
      </c>
      <c r="F493">
        <v>0</v>
      </c>
      <c r="G493">
        <v>0</v>
      </c>
      <c r="H493">
        <v>88</v>
      </c>
      <c r="I493" s="1">
        <f t="shared" si="7"/>
        <v>1</v>
      </c>
    </row>
    <row r="494" spans="1:9">
      <c r="A494" t="s">
        <v>358</v>
      </c>
      <c r="B494">
        <v>11</v>
      </c>
      <c r="C494">
        <v>19</v>
      </c>
      <c r="D494">
        <v>88</v>
      </c>
      <c r="E494">
        <v>0</v>
      </c>
      <c r="F494">
        <v>0</v>
      </c>
      <c r="G494">
        <v>0</v>
      </c>
      <c r="H494">
        <v>88</v>
      </c>
      <c r="I494" s="1">
        <f t="shared" si="7"/>
        <v>1</v>
      </c>
    </row>
    <row r="495" spans="1:9">
      <c r="A495" t="s">
        <v>358</v>
      </c>
      <c r="B495">
        <v>12</v>
      </c>
      <c r="C495">
        <v>1</v>
      </c>
      <c r="D495">
        <v>7</v>
      </c>
      <c r="E495">
        <v>0</v>
      </c>
      <c r="F495">
        <v>3</v>
      </c>
      <c r="G495">
        <v>0</v>
      </c>
      <c r="H495">
        <v>56</v>
      </c>
      <c r="I495" s="1">
        <f t="shared" si="7"/>
        <v>0.125</v>
      </c>
    </row>
    <row r="496" spans="1:9">
      <c r="A496" t="s">
        <v>358</v>
      </c>
      <c r="B496">
        <v>12</v>
      </c>
      <c r="C496">
        <v>2</v>
      </c>
      <c r="D496">
        <v>28</v>
      </c>
      <c r="E496">
        <v>0</v>
      </c>
      <c r="F496">
        <v>7</v>
      </c>
      <c r="G496">
        <v>0</v>
      </c>
      <c r="H496">
        <v>56</v>
      </c>
      <c r="I496" s="1">
        <f t="shared" si="7"/>
        <v>0.5</v>
      </c>
    </row>
    <row r="497" spans="1:9">
      <c r="A497" t="s">
        <v>358</v>
      </c>
      <c r="B497">
        <v>12</v>
      </c>
      <c r="C497">
        <v>3</v>
      </c>
      <c r="D497">
        <v>32</v>
      </c>
      <c r="E497">
        <v>0</v>
      </c>
      <c r="F497">
        <v>4</v>
      </c>
      <c r="G497">
        <v>0</v>
      </c>
      <c r="H497">
        <v>56</v>
      </c>
      <c r="I497" s="1">
        <f t="shared" si="7"/>
        <v>0.5714285714285714</v>
      </c>
    </row>
    <row r="498" spans="1:9">
      <c r="A498" t="s">
        <v>358</v>
      </c>
      <c r="B498">
        <v>12</v>
      </c>
      <c r="C498">
        <v>4</v>
      </c>
      <c r="D498">
        <v>43</v>
      </c>
      <c r="E498">
        <v>0</v>
      </c>
      <c r="F498">
        <v>2</v>
      </c>
      <c r="G498">
        <v>0</v>
      </c>
      <c r="H498">
        <v>56</v>
      </c>
      <c r="I498" s="1">
        <f t="shared" si="7"/>
        <v>0.7678571428571429</v>
      </c>
    </row>
    <row r="499" spans="1:9">
      <c r="A499" t="s">
        <v>358</v>
      </c>
      <c r="B499">
        <v>12</v>
      </c>
      <c r="C499">
        <v>5</v>
      </c>
      <c r="D499">
        <v>43</v>
      </c>
      <c r="E499">
        <v>0</v>
      </c>
      <c r="F499">
        <v>2</v>
      </c>
      <c r="G499">
        <v>0</v>
      </c>
      <c r="H499">
        <v>56</v>
      </c>
      <c r="I499" s="1">
        <f t="shared" si="7"/>
        <v>0.7678571428571429</v>
      </c>
    </row>
    <row r="500" spans="1:9">
      <c r="A500" t="s">
        <v>358</v>
      </c>
      <c r="B500">
        <v>12</v>
      </c>
      <c r="C500">
        <v>6</v>
      </c>
      <c r="D500">
        <v>50</v>
      </c>
      <c r="E500">
        <v>0</v>
      </c>
      <c r="F500">
        <v>3</v>
      </c>
      <c r="G500">
        <v>0</v>
      </c>
      <c r="H500">
        <v>56</v>
      </c>
      <c r="I500" s="1">
        <f t="shared" si="7"/>
        <v>0.8928571428571429</v>
      </c>
    </row>
    <row r="501" spans="1:9">
      <c r="A501" t="s">
        <v>358</v>
      </c>
      <c r="B501">
        <v>12</v>
      </c>
      <c r="C501">
        <v>7</v>
      </c>
      <c r="D501">
        <v>56</v>
      </c>
      <c r="E501">
        <v>0</v>
      </c>
      <c r="F501">
        <v>0</v>
      </c>
      <c r="G501">
        <v>0</v>
      </c>
      <c r="H501">
        <v>56</v>
      </c>
      <c r="I501" s="1">
        <f t="shared" si="7"/>
        <v>1</v>
      </c>
    </row>
    <row r="502" spans="1:9">
      <c r="A502" t="s">
        <v>358</v>
      </c>
      <c r="B502">
        <v>12</v>
      </c>
      <c r="C502">
        <v>8</v>
      </c>
      <c r="D502">
        <v>56</v>
      </c>
      <c r="E502">
        <v>0</v>
      </c>
      <c r="F502">
        <v>0</v>
      </c>
      <c r="G502">
        <v>0</v>
      </c>
      <c r="H502">
        <v>56</v>
      </c>
      <c r="I502" s="1">
        <f t="shared" si="7"/>
        <v>1</v>
      </c>
    </row>
    <row r="503" spans="1:9">
      <c r="A503" t="s">
        <v>358</v>
      </c>
      <c r="B503">
        <v>12</v>
      </c>
      <c r="C503">
        <v>9</v>
      </c>
      <c r="D503">
        <v>56</v>
      </c>
      <c r="E503">
        <v>0</v>
      </c>
      <c r="F503">
        <v>0</v>
      </c>
      <c r="G503">
        <v>0</v>
      </c>
      <c r="H503">
        <v>56</v>
      </c>
      <c r="I503" s="1">
        <f t="shared" si="7"/>
        <v>1</v>
      </c>
    </row>
    <row r="504" spans="1:9">
      <c r="A504" t="s">
        <v>358</v>
      </c>
      <c r="B504">
        <v>13</v>
      </c>
      <c r="C504">
        <v>1</v>
      </c>
      <c r="D504">
        <v>3</v>
      </c>
      <c r="E504">
        <v>0</v>
      </c>
      <c r="F504">
        <v>1</v>
      </c>
      <c r="G504">
        <v>0</v>
      </c>
      <c r="H504">
        <v>7</v>
      </c>
      <c r="I504" s="1">
        <f t="shared" si="7"/>
        <v>0.42857142857142855</v>
      </c>
    </row>
    <row r="505" spans="1:9">
      <c r="A505" t="s">
        <v>358</v>
      </c>
      <c r="B505">
        <v>13</v>
      </c>
      <c r="C505">
        <v>2</v>
      </c>
      <c r="D505">
        <v>7</v>
      </c>
      <c r="E505">
        <v>0</v>
      </c>
      <c r="F505">
        <v>0</v>
      </c>
      <c r="G505">
        <v>0</v>
      </c>
      <c r="H505">
        <v>7</v>
      </c>
      <c r="I505" s="1">
        <f t="shared" si="7"/>
        <v>1</v>
      </c>
    </row>
    <row r="506" spans="1:9">
      <c r="A506" t="s">
        <v>405</v>
      </c>
      <c r="B506">
        <v>2</v>
      </c>
      <c r="C506">
        <v>1</v>
      </c>
      <c r="D506">
        <v>25</v>
      </c>
      <c r="E506">
        <v>0</v>
      </c>
      <c r="F506">
        <v>3</v>
      </c>
      <c r="G506">
        <v>0</v>
      </c>
      <c r="H506">
        <v>71</v>
      </c>
      <c r="I506" s="1">
        <f t="shared" si="7"/>
        <v>0.352112676056338</v>
      </c>
    </row>
    <row r="507" spans="1:9">
      <c r="A507" t="s">
        <v>405</v>
      </c>
      <c r="B507">
        <v>2</v>
      </c>
      <c r="C507">
        <v>2</v>
      </c>
      <c r="D507">
        <v>50</v>
      </c>
      <c r="E507">
        <v>0</v>
      </c>
      <c r="F507">
        <v>2</v>
      </c>
      <c r="G507">
        <v>0</v>
      </c>
      <c r="H507">
        <v>71</v>
      </c>
      <c r="I507" s="1">
        <f t="shared" si="7"/>
        <v>0.70422535211267601</v>
      </c>
    </row>
    <row r="508" spans="1:9">
      <c r="A508" t="s">
        <v>405</v>
      </c>
      <c r="B508">
        <v>2</v>
      </c>
      <c r="C508">
        <v>3</v>
      </c>
      <c r="D508">
        <v>71</v>
      </c>
      <c r="E508">
        <v>0</v>
      </c>
      <c r="F508">
        <v>0</v>
      </c>
      <c r="G508">
        <v>0</v>
      </c>
      <c r="H508">
        <v>71</v>
      </c>
      <c r="I508" s="1">
        <f t="shared" si="7"/>
        <v>1</v>
      </c>
    </row>
    <row r="509" spans="1:9">
      <c r="A509" t="s">
        <v>405</v>
      </c>
      <c r="B509">
        <v>6</v>
      </c>
      <c r="C509">
        <v>1</v>
      </c>
      <c r="D509">
        <v>21</v>
      </c>
      <c r="E509">
        <v>0</v>
      </c>
      <c r="F509">
        <v>4</v>
      </c>
      <c r="G509">
        <v>0</v>
      </c>
      <c r="H509">
        <v>31</v>
      </c>
      <c r="I509" s="1">
        <f t="shared" si="7"/>
        <v>0.67741935483870963</v>
      </c>
    </row>
    <row r="510" spans="1:9">
      <c r="A510" t="s">
        <v>405</v>
      </c>
      <c r="B510">
        <v>6</v>
      </c>
      <c r="C510">
        <v>2</v>
      </c>
      <c r="D510">
        <v>23</v>
      </c>
      <c r="E510">
        <v>0</v>
      </c>
      <c r="F510">
        <v>2</v>
      </c>
      <c r="G510">
        <v>0</v>
      </c>
      <c r="H510">
        <v>31</v>
      </c>
      <c r="I510" s="1">
        <f t="shared" si="7"/>
        <v>0.74193548387096775</v>
      </c>
    </row>
    <row r="511" spans="1:9">
      <c r="A511" t="s">
        <v>405</v>
      </c>
      <c r="B511">
        <v>6</v>
      </c>
      <c r="C511">
        <v>3</v>
      </c>
      <c r="D511">
        <v>30</v>
      </c>
      <c r="E511">
        <v>0</v>
      </c>
      <c r="F511">
        <v>1</v>
      </c>
      <c r="G511">
        <v>0</v>
      </c>
      <c r="H511">
        <v>31</v>
      </c>
      <c r="I511" s="1">
        <f t="shared" si="7"/>
        <v>0.967741935483871</v>
      </c>
    </row>
    <row r="512" spans="1:9">
      <c r="A512" t="s">
        <v>405</v>
      </c>
      <c r="B512">
        <v>6</v>
      </c>
      <c r="C512">
        <v>4</v>
      </c>
      <c r="D512">
        <v>30</v>
      </c>
      <c r="E512">
        <v>0</v>
      </c>
      <c r="F512">
        <v>1</v>
      </c>
      <c r="G512">
        <v>0</v>
      </c>
      <c r="H512">
        <v>31</v>
      </c>
      <c r="I512" s="1">
        <f t="shared" si="7"/>
        <v>0.967741935483871</v>
      </c>
    </row>
    <row r="513" spans="1:9">
      <c r="A513" t="s">
        <v>405</v>
      </c>
      <c r="B513">
        <v>6</v>
      </c>
      <c r="C513">
        <v>5</v>
      </c>
      <c r="D513">
        <v>31</v>
      </c>
      <c r="E513">
        <v>0</v>
      </c>
      <c r="F513">
        <v>0</v>
      </c>
      <c r="G513">
        <v>0</v>
      </c>
      <c r="H513">
        <v>31</v>
      </c>
      <c r="I513" s="1">
        <f t="shared" si="7"/>
        <v>1</v>
      </c>
    </row>
    <row r="514" spans="1:9">
      <c r="A514" t="s">
        <v>405</v>
      </c>
      <c r="B514">
        <v>6</v>
      </c>
      <c r="C514">
        <v>6</v>
      </c>
      <c r="D514">
        <v>31</v>
      </c>
      <c r="E514">
        <v>0</v>
      </c>
      <c r="F514">
        <v>0</v>
      </c>
      <c r="G514">
        <v>0</v>
      </c>
      <c r="H514">
        <v>31</v>
      </c>
      <c r="I514" s="1">
        <f t="shared" si="7"/>
        <v>1</v>
      </c>
    </row>
    <row r="515" spans="1:9">
      <c r="A515" t="s">
        <v>405</v>
      </c>
      <c r="B515">
        <v>8</v>
      </c>
      <c r="C515">
        <v>1</v>
      </c>
      <c r="D515">
        <v>26</v>
      </c>
      <c r="E515">
        <v>0</v>
      </c>
      <c r="F515">
        <v>2</v>
      </c>
      <c r="G515">
        <v>0</v>
      </c>
      <c r="H515">
        <v>29</v>
      </c>
      <c r="I515" s="1">
        <f t="shared" ref="I515:I516" si="8">D515/H515</f>
        <v>0.89655172413793105</v>
      </c>
    </row>
    <row r="516" spans="1:9">
      <c r="A516" t="s">
        <v>405</v>
      </c>
      <c r="B516">
        <v>8</v>
      </c>
      <c r="C516">
        <v>2</v>
      </c>
      <c r="D516">
        <v>29</v>
      </c>
      <c r="E516">
        <v>0</v>
      </c>
      <c r="F516">
        <v>0</v>
      </c>
      <c r="G516">
        <v>0</v>
      </c>
      <c r="H516">
        <v>29</v>
      </c>
      <c r="I516" s="1">
        <f t="shared" si="8"/>
        <v>1</v>
      </c>
    </row>
    <row r="517" spans="1:9">
      <c r="A517" t="s">
        <v>4</v>
      </c>
      <c r="B517">
        <v>1</v>
      </c>
      <c r="C517">
        <v>1</v>
      </c>
      <c r="D517">
        <v>50</v>
      </c>
      <c r="E517">
        <v>0</v>
      </c>
      <c r="F517">
        <v>1</v>
      </c>
      <c r="G517">
        <v>0</v>
      </c>
    </row>
    <row r="518" spans="1:9">
      <c r="A518" t="s">
        <v>4</v>
      </c>
      <c r="B518">
        <v>1</v>
      </c>
      <c r="C518">
        <v>2</v>
      </c>
      <c r="D518">
        <v>50</v>
      </c>
      <c r="E518">
        <v>0</v>
      </c>
      <c r="F518">
        <v>1</v>
      </c>
      <c r="G518">
        <v>0</v>
      </c>
    </row>
    <row r="519" spans="1:9">
      <c r="A519" t="s">
        <v>4</v>
      </c>
      <c r="B519">
        <v>1</v>
      </c>
      <c r="C519">
        <v>3</v>
      </c>
      <c r="D519">
        <v>51</v>
      </c>
      <c r="E519">
        <v>0</v>
      </c>
      <c r="F519">
        <v>0</v>
      </c>
      <c r="G519">
        <v>0</v>
      </c>
    </row>
    <row r="520" spans="1:9">
      <c r="A520" t="s">
        <v>4</v>
      </c>
      <c r="B520">
        <v>1</v>
      </c>
      <c r="C520">
        <v>4</v>
      </c>
      <c r="D520">
        <v>51</v>
      </c>
      <c r="E520">
        <v>0</v>
      </c>
      <c r="F520">
        <v>0</v>
      </c>
      <c r="G520">
        <v>0</v>
      </c>
    </row>
    <row r="521" spans="1:9">
      <c r="A521" t="s">
        <v>4</v>
      </c>
      <c r="B521">
        <v>2</v>
      </c>
      <c r="C521">
        <v>1</v>
      </c>
      <c r="D521">
        <v>13</v>
      </c>
      <c r="E521">
        <v>0</v>
      </c>
      <c r="F521">
        <v>0</v>
      </c>
      <c r="G521">
        <v>0</v>
      </c>
    </row>
    <row r="522" spans="1:9">
      <c r="A522" t="s">
        <v>4</v>
      </c>
      <c r="B522">
        <v>2</v>
      </c>
      <c r="C522">
        <v>2</v>
      </c>
      <c r="D522">
        <v>22</v>
      </c>
      <c r="E522">
        <v>0</v>
      </c>
      <c r="F522">
        <v>0</v>
      </c>
      <c r="G522">
        <v>0</v>
      </c>
    </row>
    <row r="523" spans="1:9">
      <c r="A523" t="s">
        <v>4</v>
      </c>
      <c r="B523">
        <v>2</v>
      </c>
      <c r="C523">
        <v>3</v>
      </c>
      <c r="D523">
        <v>22</v>
      </c>
      <c r="E523">
        <v>0</v>
      </c>
      <c r="F523">
        <v>0</v>
      </c>
      <c r="G523">
        <v>0</v>
      </c>
    </row>
    <row r="524" spans="1:9">
      <c r="A524" t="s">
        <v>4</v>
      </c>
      <c r="B524">
        <v>2</v>
      </c>
      <c r="C524">
        <v>4</v>
      </c>
      <c r="D524">
        <v>29</v>
      </c>
      <c r="E524">
        <v>0</v>
      </c>
      <c r="F524">
        <v>0</v>
      </c>
      <c r="G524">
        <v>0</v>
      </c>
    </row>
    <row r="525" spans="1:9">
      <c r="A525" t="s">
        <v>4</v>
      </c>
      <c r="B525">
        <v>2</v>
      </c>
      <c r="C525">
        <v>5</v>
      </c>
      <c r="D525">
        <v>29</v>
      </c>
      <c r="E525">
        <v>0</v>
      </c>
      <c r="F525">
        <v>0</v>
      </c>
      <c r="G525">
        <v>0</v>
      </c>
    </row>
    <row r="526" spans="1:9">
      <c r="A526" t="s">
        <v>4</v>
      </c>
      <c r="B526">
        <v>2</v>
      </c>
      <c r="C526">
        <v>6</v>
      </c>
      <c r="D526">
        <v>33</v>
      </c>
      <c r="E526">
        <v>0</v>
      </c>
      <c r="F526">
        <v>0</v>
      </c>
      <c r="G526">
        <v>0</v>
      </c>
    </row>
    <row r="527" spans="1:9">
      <c r="A527" t="s">
        <v>4</v>
      </c>
      <c r="B527">
        <v>2</v>
      </c>
      <c r="C527">
        <v>7</v>
      </c>
      <c r="D527">
        <v>33</v>
      </c>
      <c r="E527">
        <v>0</v>
      </c>
      <c r="F527">
        <v>0</v>
      </c>
      <c r="G527">
        <v>0</v>
      </c>
    </row>
    <row r="528" spans="1:9">
      <c r="A528" t="s">
        <v>4</v>
      </c>
      <c r="B528">
        <v>2</v>
      </c>
      <c r="C528">
        <v>8</v>
      </c>
      <c r="D528">
        <v>33</v>
      </c>
      <c r="E528">
        <v>0</v>
      </c>
      <c r="F528">
        <v>0</v>
      </c>
      <c r="G528">
        <v>0</v>
      </c>
    </row>
    <row r="529" spans="1:7">
      <c r="A529" t="s">
        <v>4</v>
      </c>
      <c r="B529">
        <v>2</v>
      </c>
      <c r="C529">
        <v>9</v>
      </c>
      <c r="D529">
        <v>33</v>
      </c>
      <c r="E529">
        <v>0</v>
      </c>
      <c r="F529">
        <v>0</v>
      </c>
      <c r="G529">
        <v>0</v>
      </c>
    </row>
    <row r="530" spans="1:7">
      <c r="A530" t="s">
        <v>4</v>
      </c>
      <c r="B530">
        <v>2</v>
      </c>
      <c r="C530">
        <v>10</v>
      </c>
      <c r="D530">
        <v>33</v>
      </c>
      <c r="E530">
        <v>0</v>
      </c>
      <c r="F530">
        <v>0</v>
      </c>
      <c r="G530">
        <v>0</v>
      </c>
    </row>
    <row r="531" spans="1:7">
      <c r="A531" t="s">
        <v>4</v>
      </c>
      <c r="B531">
        <v>2</v>
      </c>
      <c r="C531">
        <v>11</v>
      </c>
      <c r="D531">
        <v>33</v>
      </c>
      <c r="E531">
        <v>0</v>
      </c>
      <c r="F531">
        <v>0</v>
      </c>
      <c r="G531">
        <v>0</v>
      </c>
    </row>
    <row r="532" spans="1:7">
      <c r="A532" t="s">
        <v>4</v>
      </c>
      <c r="B532">
        <v>2</v>
      </c>
      <c r="C532">
        <v>12</v>
      </c>
      <c r="D532">
        <v>33</v>
      </c>
      <c r="E532">
        <v>0</v>
      </c>
      <c r="F532">
        <v>0</v>
      </c>
      <c r="G532">
        <v>0</v>
      </c>
    </row>
    <row r="533" spans="1:7">
      <c r="A533" t="s">
        <v>4</v>
      </c>
      <c r="B533">
        <v>2</v>
      </c>
      <c r="C533">
        <v>13</v>
      </c>
      <c r="D533">
        <v>33</v>
      </c>
      <c r="E533">
        <v>0</v>
      </c>
      <c r="F533">
        <v>0</v>
      </c>
      <c r="G533">
        <v>0</v>
      </c>
    </row>
    <row r="534" spans="1:7">
      <c r="A534" t="s">
        <v>4</v>
      </c>
      <c r="B534">
        <v>2</v>
      </c>
      <c r="C534">
        <v>14</v>
      </c>
      <c r="D534">
        <v>33</v>
      </c>
      <c r="E534">
        <v>0</v>
      </c>
      <c r="F534">
        <v>0</v>
      </c>
      <c r="G534">
        <v>0</v>
      </c>
    </row>
    <row r="535" spans="1:7">
      <c r="A535" t="s">
        <v>4</v>
      </c>
      <c r="B535">
        <v>2</v>
      </c>
      <c r="C535">
        <v>15</v>
      </c>
      <c r="D535">
        <v>33</v>
      </c>
      <c r="E535">
        <v>0</v>
      </c>
      <c r="F535">
        <v>0</v>
      </c>
      <c r="G535">
        <v>0</v>
      </c>
    </row>
    <row r="536" spans="1:7">
      <c r="A536" t="s">
        <v>4</v>
      </c>
      <c r="B536">
        <v>6</v>
      </c>
      <c r="C536">
        <v>1</v>
      </c>
      <c r="D536">
        <v>3</v>
      </c>
      <c r="E536">
        <v>0</v>
      </c>
      <c r="F536">
        <v>0</v>
      </c>
      <c r="G536">
        <v>0</v>
      </c>
    </row>
    <row r="537" spans="1:7">
      <c r="A537" t="s">
        <v>4</v>
      </c>
      <c r="B537">
        <v>6</v>
      </c>
      <c r="C537">
        <v>2</v>
      </c>
      <c r="D537">
        <v>6</v>
      </c>
      <c r="E537">
        <v>0</v>
      </c>
      <c r="F537">
        <v>0</v>
      </c>
      <c r="G537">
        <v>0</v>
      </c>
    </row>
    <row r="538" spans="1:7">
      <c r="A538" t="s">
        <v>4</v>
      </c>
      <c r="B538">
        <v>6</v>
      </c>
      <c r="C538">
        <v>3</v>
      </c>
      <c r="D538">
        <v>13</v>
      </c>
      <c r="E538">
        <v>0</v>
      </c>
      <c r="F538">
        <v>0</v>
      </c>
      <c r="G538">
        <v>0</v>
      </c>
    </row>
    <row r="539" spans="1:7">
      <c r="A539" t="s">
        <v>4</v>
      </c>
      <c r="B539">
        <v>6</v>
      </c>
      <c r="C539">
        <v>4</v>
      </c>
      <c r="D539">
        <v>18</v>
      </c>
      <c r="E539">
        <v>0</v>
      </c>
      <c r="F539">
        <v>0</v>
      </c>
      <c r="G539">
        <v>0</v>
      </c>
    </row>
    <row r="540" spans="1:7">
      <c r="A540" t="s">
        <v>4</v>
      </c>
      <c r="B540">
        <v>6</v>
      </c>
      <c r="C540">
        <v>5</v>
      </c>
      <c r="D540">
        <v>18</v>
      </c>
      <c r="E540">
        <v>0</v>
      </c>
      <c r="F540">
        <v>0</v>
      </c>
      <c r="G540">
        <v>0</v>
      </c>
    </row>
    <row r="541" spans="1:7">
      <c r="A541" t="s">
        <v>4</v>
      </c>
      <c r="B541">
        <v>9</v>
      </c>
      <c r="C541">
        <v>1</v>
      </c>
      <c r="D541">
        <v>3</v>
      </c>
      <c r="E541">
        <v>0</v>
      </c>
      <c r="F541">
        <v>0</v>
      </c>
      <c r="G541">
        <v>0</v>
      </c>
    </row>
    <row r="542" spans="1:7">
      <c r="A542" t="s">
        <v>4</v>
      </c>
      <c r="B542">
        <v>9</v>
      </c>
      <c r="C542">
        <v>2</v>
      </c>
      <c r="D542">
        <v>3</v>
      </c>
      <c r="E542">
        <v>0</v>
      </c>
      <c r="F542">
        <v>0</v>
      </c>
      <c r="G542">
        <v>0</v>
      </c>
    </row>
    <row r="543" spans="1:7">
      <c r="A543" t="s">
        <v>4</v>
      </c>
      <c r="B543">
        <v>9</v>
      </c>
      <c r="C543">
        <v>3</v>
      </c>
      <c r="D543">
        <v>3</v>
      </c>
      <c r="E543">
        <v>0</v>
      </c>
      <c r="F543">
        <v>0</v>
      </c>
      <c r="G543">
        <v>0</v>
      </c>
    </row>
    <row r="544" spans="1:7">
      <c r="A544" t="s">
        <v>4</v>
      </c>
      <c r="B544">
        <v>9</v>
      </c>
      <c r="C544">
        <v>4</v>
      </c>
      <c r="D544">
        <v>7</v>
      </c>
      <c r="E544">
        <v>0</v>
      </c>
      <c r="F544">
        <v>0</v>
      </c>
      <c r="G544">
        <v>0</v>
      </c>
    </row>
    <row r="545" spans="1:7">
      <c r="A545" t="s">
        <v>4</v>
      </c>
      <c r="B545">
        <v>9</v>
      </c>
      <c r="C545">
        <v>5</v>
      </c>
      <c r="D545">
        <v>11</v>
      </c>
      <c r="E545">
        <v>0</v>
      </c>
      <c r="F545">
        <v>0</v>
      </c>
      <c r="G545">
        <v>0</v>
      </c>
    </row>
    <row r="546" spans="1:7">
      <c r="A546" t="s">
        <v>4</v>
      </c>
      <c r="B546">
        <v>9</v>
      </c>
      <c r="C546">
        <v>6</v>
      </c>
      <c r="D546">
        <v>23</v>
      </c>
      <c r="E546">
        <v>0</v>
      </c>
      <c r="F546">
        <v>2</v>
      </c>
      <c r="G546">
        <v>0</v>
      </c>
    </row>
    <row r="547" spans="1:7">
      <c r="A547" t="s">
        <v>4</v>
      </c>
      <c r="B547">
        <v>9</v>
      </c>
      <c r="C547">
        <v>7</v>
      </c>
      <c r="D547">
        <v>35</v>
      </c>
      <c r="E547">
        <v>0</v>
      </c>
      <c r="F547">
        <v>1</v>
      </c>
      <c r="G547">
        <v>0</v>
      </c>
    </row>
    <row r="548" spans="1:7">
      <c r="A548" t="s">
        <v>4</v>
      </c>
      <c r="B548">
        <v>9</v>
      </c>
      <c r="C548">
        <v>8</v>
      </c>
      <c r="D548">
        <v>42</v>
      </c>
      <c r="E548">
        <v>0</v>
      </c>
      <c r="F548">
        <v>1</v>
      </c>
      <c r="G548">
        <v>0</v>
      </c>
    </row>
    <row r="549" spans="1:7">
      <c r="A549" t="s">
        <v>4</v>
      </c>
      <c r="B549">
        <v>9</v>
      </c>
      <c r="C549">
        <v>9</v>
      </c>
      <c r="D549">
        <v>46</v>
      </c>
      <c r="E549">
        <v>0</v>
      </c>
      <c r="F549">
        <v>0</v>
      </c>
      <c r="G549">
        <v>0</v>
      </c>
    </row>
    <row r="550" spans="1:7">
      <c r="A550" t="s">
        <v>4</v>
      </c>
      <c r="B550">
        <v>9</v>
      </c>
      <c r="C550">
        <v>10</v>
      </c>
      <c r="D550">
        <v>46</v>
      </c>
      <c r="E550">
        <v>0</v>
      </c>
      <c r="F550">
        <v>0</v>
      </c>
      <c r="G550">
        <v>0</v>
      </c>
    </row>
    <row r="551" spans="1:7">
      <c r="A551" t="s">
        <v>32</v>
      </c>
      <c r="B551">
        <v>2</v>
      </c>
      <c r="C551">
        <v>1</v>
      </c>
      <c r="D551">
        <v>8</v>
      </c>
      <c r="E551">
        <v>0</v>
      </c>
      <c r="F551">
        <v>0</v>
      </c>
      <c r="G551">
        <v>0</v>
      </c>
    </row>
    <row r="552" spans="1:7">
      <c r="A552" t="s">
        <v>32</v>
      </c>
      <c r="B552">
        <v>2</v>
      </c>
      <c r="C552">
        <v>2</v>
      </c>
      <c r="D552">
        <v>20</v>
      </c>
      <c r="E552">
        <v>0</v>
      </c>
      <c r="F552">
        <v>0</v>
      </c>
      <c r="G552">
        <v>0</v>
      </c>
    </row>
    <row r="553" spans="1:7">
      <c r="A553" t="s">
        <v>32</v>
      </c>
      <c r="B553">
        <v>2</v>
      </c>
      <c r="C553">
        <v>3</v>
      </c>
      <c r="D553">
        <v>31</v>
      </c>
      <c r="E553">
        <v>0</v>
      </c>
      <c r="F553">
        <v>0</v>
      </c>
      <c r="G553">
        <v>0</v>
      </c>
    </row>
    <row r="554" spans="1:7">
      <c r="A554" t="s">
        <v>32</v>
      </c>
      <c r="B554">
        <v>2</v>
      </c>
      <c r="C554">
        <v>4</v>
      </c>
      <c r="D554">
        <v>31</v>
      </c>
      <c r="E554">
        <v>0</v>
      </c>
      <c r="F554">
        <v>0</v>
      </c>
      <c r="G554">
        <v>0</v>
      </c>
    </row>
    <row r="555" spans="1:7">
      <c r="A555" t="s">
        <v>32</v>
      </c>
      <c r="B555">
        <v>4</v>
      </c>
      <c r="C555">
        <v>1</v>
      </c>
      <c r="D555">
        <v>8</v>
      </c>
      <c r="E555">
        <v>0</v>
      </c>
      <c r="F555">
        <v>0</v>
      </c>
      <c r="G555">
        <v>0</v>
      </c>
    </row>
    <row r="556" spans="1:7">
      <c r="A556" t="s">
        <v>32</v>
      </c>
      <c r="B556">
        <v>4</v>
      </c>
      <c r="C556">
        <v>2</v>
      </c>
      <c r="D556">
        <v>23</v>
      </c>
      <c r="E556">
        <v>0</v>
      </c>
      <c r="F556">
        <v>1</v>
      </c>
      <c r="G556">
        <v>0</v>
      </c>
    </row>
    <row r="557" spans="1:7">
      <c r="A557" t="s">
        <v>32</v>
      </c>
      <c r="B557">
        <v>4</v>
      </c>
      <c r="C557">
        <v>3</v>
      </c>
      <c r="D557">
        <v>31</v>
      </c>
      <c r="E557">
        <v>0</v>
      </c>
      <c r="F557">
        <v>0</v>
      </c>
      <c r="G557">
        <v>0</v>
      </c>
    </row>
    <row r="558" spans="1:7">
      <c r="A558" t="s">
        <v>32</v>
      </c>
      <c r="B558">
        <v>4</v>
      </c>
      <c r="C558">
        <v>4</v>
      </c>
      <c r="D558">
        <v>31</v>
      </c>
      <c r="E558">
        <v>0</v>
      </c>
      <c r="F558">
        <v>0</v>
      </c>
      <c r="G558">
        <v>0</v>
      </c>
    </row>
    <row r="559" spans="1:7">
      <c r="A559" t="s">
        <v>32</v>
      </c>
      <c r="B559">
        <v>13</v>
      </c>
      <c r="C559">
        <v>1</v>
      </c>
      <c r="D559">
        <v>2</v>
      </c>
      <c r="E559">
        <v>0</v>
      </c>
      <c r="F559">
        <v>0</v>
      </c>
      <c r="G559">
        <v>0</v>
      </c>
    </row>
    <row r="560" spans="1:7">
      <c r="A560" t="s">
        <v>32</v>
      </c>
      <c r="B560">
        <v>13</v>
      </c>
      <c r="C560">
        <v>2</v>
      </c>
      <c r="D560">
        <v>4</v>
      </c>
      <c r="E560">
        <v>0</v>
      </c>
      <c r="F560">
        <v>0</v>
      </c>
      <c r="G560">
        <v>0</v>
      </c>
    </row>
    <row r="561" spans="1:7">
      <c r="A561" t="s">
        <v>32</v>
      </c>
      <c r="B561">
        <v>13</v>
      </c>
      <c r="C561">
        <v>3</v>
      </c>
      <c r="D561">
        <v>6</v>
      </c>
      <c r="E561">
        <v>0</v>
      </c>
      <c r="F561">
        <v>0</v>
      </c>
      <c r="G561">
        <v>0</v>
      </c>
    </row>
    <row r="562" spans="1:7">
      <c r="A562" t="s">
        <v>32</v>
      </c>
      <c r="B562">
        <v>13</v>
      </c>
      <c r="C562">
        <v>4</v>
      </c>
      <c r="D562">
        <v>8</v>
      </c>
      <c r="E562">
        <v>0</v>
      </c>
      <c r="F562">
        <v>0</v>
      </c>
      <c r="G562">
        <v>0</v>
      </c>
    </row>
    <row r="563" spans="1:7">
      <c r="A563" t="s">
        <v>32</v>
      </c>
      <c r="B563">
        <v>13</v>
      </c>
      <c r="C563">
        <v>5</v>
      </c>
      <c r="D563">
        <v>8</v>
      </c>
      <c r="E563">
        <v>0</v>
      </c>
      <c r="F563">
        <v>0</v>
      </c>
      <c r="G563">
        <v>0</v>
      </c>
    </row>
    <row r="564" spans="1:7">
      <c r="A564" t="s">
        <v>32</v>
      </c>
      <c r="B564">
        <v>16</v>
      </c>
      <c r="C564">
        <v>1</v>
      </c>
      <c r="D564">
        <v>3</v>
      </c>
      <c r="E564">
        <v>0</v>
      </c>
      <c r="F564">
        <v>0</v>
      </c>
      <c r="G564">
        <v>0</v>
      </c>
    </row>
    <row r="565" spans="1:7">
      <c r="A565" t="s">
        <v>32</v>
      </c>
      <c r="B565">
        <v>16</v>
      </c>
      <c r="C565">
        <v>2</v>
      </c>
      <c r="D565">
        <v>7</v>
      </c>
      <c r="E565">
        <v>0</v>
      </c>
      <c r="F565">
        <v>0</v>
      </c>
      <c r="G565">
        <v>0</v>
      </c>
    </row>
    <row r="566" spans="1:7">
      <c r="A566" t="s">
        <v>32</v>
      </c>
      <c r="B566">
        <v>16</v>
      </c>
      <c r="C566">
        <v>3</v>
      </c>
      <c r="D566">
        <v>150</v>
      </c>
      <c r="E566">
        <v>0</v>
      </c>
      <c r="F566">
        <v>0</v>
      </c>
      <c r="G566">
        <v>0</v>
      </c>
    </row>
    <row r="567" spans="1:7">
      <c r="A567" t="s">
        <v>32</v>
      </c>
      <c r="B567">
        <v>16</v>
      </c>
      <c r="C567">
        <v>4</v>
      </c>
      <c r="D567">
        <v>183</v>
      </c>
      <c r="E567">
        <v>0</v>
      </c>
      <c r="F567">
        <v>0</v>
      </c>
      <c r="G567">
        <v>0</v>
      </c>
    </row>
    <row r="568" spans="1:7">
      <c r="A568" t="s">
        <v>32</v>
      </c>
      <c r="B568">
        <v>18</v>
      </c>
      <c r="C568">
        <v>1</v>
      </c>
      <c r="D568">
        <v>4</v>
      </c>
      <c r="E568">
        <v>0</v>
      </c>
      <c r="F568">
        <v>0</v>
      </c>
      <c r="G568">
        <v>0</v>
      </c>
    </row>
    <row r="569" spans="1:7">
      <c r="A569" t="s">
        <v>32</v>
      </c>
      <c r="B569">
        <v>18</v>
      </c>
      <c r="C569">
        <v>2</v>
      </c>
      <c r="D569">
        <v>7</v>
      </c>
      <c r="E569">
        <v>0</v>
      </c>
      <c r="F569">
        <v>0</v>
      </c>
      <c r="G569">
        <v>0</v>
      </c>
    </row>
    <row r="570" spans="1:7">
      <c r="A570" t="s">
        <v>32</v>
      </c>
      <c r="B570">
        <v>18</v>
      </c>
      <c r="C570">
        <v>3</v>
      </c>
      <c r="D570">
        <v>18</v>
      </c>
      <c r="E570">
        <v>0</v>
      </c>
      <c r="F570">
        <v>0</v>
      </c>
      <c r="G570">
        <v>0</v>
      </c>
    </row>
    <row r="571" spans="1:7">
      <c r="A571" t="s">
        <v>32</v>
      </c>
      <c r="B571">
        <v>18</v>
      </c>
      <c r="C571">
        <v>4</v>
      </c>
      <c r="D571">
        <v>24</v>
      </c>
      <c r="E571">
        <v>0</v>
      </c>
      <c r="F571">
        <v>0</v>
      </c>
      <c r="G571">
        <v>0</v>
      </c>
    </row>
    <row r="572" spans="1:7">
      <c r="A572" t="s">
        <v>32</v>
      </c>
      <c r="B572">
        <v>18</v>
      </c>
      <c r="C572">
        <v>5</v>
      </c>
      <c r="D572">
        <v>38</v>
      </c>
      <c r="E572">
        <v>0</v>
      </c>
      <c r="F572">
        <v>2</v>
      </c>
      <c r="G572">
        <v>0</v>
      </c>
    </row>
    <row r="573" spans="1:7">
      <c r="A573" t="s">
        <v>32</v>
      </c>
      <c r="B573">
        <v>18</v>
      </c>
      <c r="C573">
        <v>6</v>
      </c>
      <c r="D573">
        <v>41</v>
      </c>
      <c r="E573">
        <v>0</v>
      </c>
      <c r="F573">
        <v>2</v>
      </c>
      <c r="G573">
        <v>0</v>
      </c>
    </row>
    <row r="574" spans="1:7">
      <c r="A574" t="s">
        <v>32</v>
      </c>
      <c r="B574">
        <v>18</v>
      </c>
      <c r="C574">
        <v>7</v>
      </c>
      <c r="D574">
        <v>44</v>
      </c>
      <c r="E574">
        <v>0</v>
      </c>
      <c r="F574">
        <v>2</v>
      </c>
      <c r="G574">
        <v>0</v>
      </c>
    </row>
    <row r="575" spans="1:7">
      <c r="A575" t="s">
        <v>32</v>
      </c>
      <c r="B575">
        <v>18</v>
      </c>
      <c r="C575">
        <v>8</v>
      </c>
      <c r="D575">
        <v>47</v>
      </c>
      <c r="E575">
        <v>0</v>
      </c>
      <c r="F575">
        <v>2</v>
      </c>
      <c r="G575">
        <v>0</v>
      </c>
    </row>
    <row r="576" spans="1:7">
      <c r="A576" t="s">
        <v>32</v>
      </c>
      <c r="B576">
        <v>18</v>
      </c>
      <c r="C576">
        <v>9</v>
      </c>
      <c r="D576">
        <v>50</v>
      </c>
      <c r="E576">
        <v>0</v>
      </c>
      <c r="F576">
        <v>1</v>
      </c>
      <c r="G576">
        <v>0</v>
      </c>
    </row>
    <row r="577" spans="1:7">
      <c r="A577" t="s">
        <v>32</v>
      </c>
      <c r="B577">
        <v>18</v>
      </c>
      <c r="C577">
        <v>10</v>
      </c>
      <c r="D577">
        <v>54</v>
      </c>
      <c r="E577">
        <v>0</v>
      </c>
      <c r="F577">
        <v>1</v>
      </c>
      <c r="G577">
        <v>0</v>
      </c>
    </row>
    <row r="578" spans="1:7">
      <c r="A578" t="s">
        <v>32</v>
      </c>
      <c r="B578">
        <v>18</v>
      </c>
      <c r="C578">
        <v>11</v>
      </c>
      <c r="D578">
        <v>54</v>
      </c>
      <c r="E578">
        <v>0</v>
      </c>
      <c r="F578">
        <v>1</v>
      </c>
      <c r="G578">
        <v>0</v>
      </c>
    </row>
    <row r="579" spans="1:7">
      <c r="A579" t="s">
        <v>32</v>
      </c>
      <c r="B579">
        <v>18</v>
      </c>
      <c r="C579">
        <v>12</v>
      </c>
      <c r="D579">
        <v>54</v>
      </c>
      <c r="E579">
        <v>0</v>
      </c>
      <c r="F579">
        <v>1</v>
      </c>
      <c r="G579">
        <v>0</v>
      </c>
    </row>
    <row r="580" spans="1:7">
      <c r="A580" t="s">
        <v>32</v>
      </c>
      <c r="B580">
        <v>18</v>
      </c>
      <c r="C580">
        <v>13</v>
      </c>
      <c r="D580">
        <v>54</v>
      </c>
      <c r="E580">
        <v>0</v>
      </c>
      <c r="F580">
        <v>1</v>
      </c>
      <c r="G580">
        <v>0</v>
      </c>
    </row>
    <row r="581" spans="1:7">
      <c r="A581" t="s">
        <v>32</v>
      </c>
      <c r="B581">
        <v>18</v>
      </c>
      <c r="C581">
        <v>14</v>
      </c>
      <c r="D581">
        <v>54</v>
      </c>
      <c r="E581">
        <v>0</v>
      </c>
      <c r="F581">
        <v>1</v>
      </c>
      <c r="G581">
        <v>0</v>
      </c>
    </row>
    <row r="582" spans="1:7">
      <c r="A582" t="s">
        <v>32</v>
      </c>
      <c r="B582">
        <v>18</v>
      </c>
      <c r="C582">
        <v>15</v>
      </c>
      <c r="D582">
        <v>54</v>
      </c>
      <c r="E582">
        <v>0</v>
      </c>
      <c r="F582">
        <v>1</v>
      </c>
      <c r="G582">
        <v>0</v>
      </c>
    </row>
    <row r="583" spans="1:7">
      <c r="A583" t="s">
        <v>32</v>
      </c>
      <c r="B583">
        <v>18</v>
      </c>
      <c r="C583">
        <v>16</v>
      </c>
      <c r="D583">
        <v>54</v>
      </c>
      <c r="E583">
        <v>0</v>
      </c>
      <c r="F583">
        <v>1</v>
      </c>
      <c r="G583">
        <v>0</v>
      </c>
    </row>
    <row r="584" spans="1:7">
      <c r="A584" t="s">
        <v>32</v>
      </c>
      <c r="B584">
        <v>18</v>
      </c>
      <c r="C584">
        <v>17</v>
      </c>
      <c r="D584">
        <v>54</v>
      </c>
      <c r="E584">
        <v>0</v>
      </c>
      <c r="F584">
        <v>1</v>
      </c>
      <c r="G584">
        <v>0</v>
      </c>
    </row>
    <row r="585" spans="1:7">
      <c r="A585" t="s">
        <v>32</v>
      </c>
      <c r="B585">
        <v>18</v>
      </c>
      <c r="C585">
        <v>18</v>
      </c>
      <c r="D585">
        <v>54</v>
      </c>
      <c r="E585">
        <v>0</v>
      </c>
      <c r="F585">
        <v>1</v>
      </c>
      <c r="G585">
        <v>0</v>
      </c>
    </row>
    <row r="586" spans="1:7">
      <c r="A586" t="s">
        <v>32</v>
      </c>
      <c r="B586">
        <v>18</v>
      </c>
      <c r="C586">
        <v>19</v>
      </c>
      <c r="D586">
        <v>68</v>
      </c>
      <c r="E586">
        <v>0</v>
      </c>
      <c r="F586">
        <v>6</v>
      </c>
      <c r="G586">
        <v>0</v>
      </c>
    </row>
    <row r="587" spans="1:7">
      <c r="A587" t="s">
        <v>32</v>
      </c>
      <c r="B587">
        <v>18</v>
      </c>
      <c r="C587">
        <v>20</v>
      </c>
      <c r="D587">
        <v>86</v>
      </c>
      <c r="E587">
        <v>0</v>
      </c>
      <c r="F587">
        <v>6</v>
      </c>
      <c r="G587">
        <v>0</v>
      </c>
    </row>
    <row r="588" spans="1:7">
      <c r="A588" t="s">
        <v>32</v>
      </c>
      <c r="B588">
        <v>18</v>
      </c>
      <c r="C588">
        <v>21</v>
      </c>
      <c r="D588">
        <v>86</v>
      </c>
      <c r="E588">
        <v>0</v>
      </c>
      <c r="F588">
        <v>6</v>
      </c>
      <c r="G588">
        <v>0</v>
      </c>
    </row>
    <row r="589" spans="1:7">
      <c r="A589" t="s">
        <v>32</v>
      </c>
      <c r="B589">
        <v>18</v>
      </c>
      <c r="C589">
        <v>22</v>
      </c>
      <c r="D589">
        <v>91</v>
      </c>
      <c r="E589">
        <v>0</v>
      </c>
      <c r="F589">
        <v>7</v>
      </c>
      <c r="G589">
        <v>0</v>
      </c>
    </row>
    <row r="590" spans="1:7">
      <c r="A590" t="s">
        <v>32</v>
      </c>
      <c r="B590">
        <v>18</v>
      </c>
      <c r="C590">
        <v>23</v>
      </c>
      <c r="D590">
        <v>103</v>
      </c>
      <c r="E590">
        <v>0</v>
      </c>
      <c r="F590">
        <v>6</v>
      </c>
      <c r="G590">
        <v>0</v>
      </c>
    </row>
    <row r="591" spans="1:7">
      <c r="A591" t="s">
        <v>32</v>
      </c>
      <c r="B591">
        <v>18</v>
      </c>
      <c r="C591">
        <v>24</v>
      </c>
      <c r="D591">
        <v>103</v>
      </c>
      <c r="E591">
        <v>0</v>
      </c>
      <c r="F591">
        <v>6</v>
      </c>
      <c r="G591">
        <v>0</v>
      </c>
    </row>
    <row r="592" spans="1:7">
      <c r="A592" t="s">
        <v>32</v>
      </c>
      <c r="B592">
        <v>18</v>
      </c>
      <c r="C592">
        <v>25</v>
      </c>
      <c r="D592">
        <v>103</v>
      </c>
      <c r="E592">
        <v>0</v>
      </c>
      <c r="F592">
        <v>6</v>
      </c>
      <c r="G592">
        <v>0</v>
      </c>
    </row>
    <row r="593" spans="1:7">
      <c r="A593" t="s">
        <v>32</v>
      </c>
      <c r="B593">
        <v>18</v>
      </c>
      <c r="C593">
        <v>26</v>
      </c>
      <c r="D593">
        <v>103</v>
      </c>
      <c r="E593">
        <v>0</v>
      </c>
      <c r="F593">
        <v>6</v>
      </c>
      <c r="G593">
        <v>0</v>
      </c>
    </row>
    <row r="594" spans="1:7">
      <c r="A594" t="s">
        <v>32</v>
      </c>
      <c r="B594">
        <v>18</v>
      </c>
      <c r="C594">
        <v>27</v>
      </c>
      <c r="D594">
        <v>103</v>
      </c>
      <c r="E594">
        <v>0</v>
      </c>
      <c r="F594">
        <v>6</v>
      </c>
      <c r="G594">
        <v>0</v>
      </c>
    </row>
    <row r="595" spans="1:7">
      <c r="A595" t="s">
        <v>32</v>
      </c>
      <c r="B595">
        <v>18</v>
      </c>
      <c r="C595">
        <v>28</v>
      </c>
      <c r="D595">
        <v>108</v>
      </c>
      <c r="E595">
        <v>0</v>
      </c>
      <c r="F595">
        <v>7</v>
      </c>
      <c r="G595">
        <v>0</v>
      </c>
    </row>
    <row r="596" spans="1:7">
      <c r="A596" t="s">
        <v>32</v>
      </c>
      <c r="B596">
        <v>18</v>
      </c>
      <c r="C596">
        <v>29</v>
      </c>
      <c r="D596">
        <v>108</v>
      </c>
      <c r="E596">
        <v>0</v>
      </c>
      <c r="F596">
        <v>7</v>
      </c>
      <c r="G596">
        <v>0</v>
      </c>
    </row>
    <row r="597" spans="1:7">
      <c r="A597" t="s">
        <v>32</v>
      </c>
      <c r="B597">
        <v>18</v>
      </c>
      <c r="C597">
        <v>30</v>
      </c>
      <c r="D597">
        <v>108</v>
      </c>
      <c r="E597">
        <v>0</v>
      </c>
      <c r="F597">
        <v>7</v>
      </c>
      <c r="G597">
        <v>0</v>
      </c>
    </row>
    <row r="598" spans="1:7">
      <c r="A598" t="s">
        <v>32</v>
      </c>
      <c r="B598">
        <v>18</v>
      </c>
      <c r="C598">
        <v>31</v>
      </c>
      <c r="D598">
        <v>108</v>
      </c>
      <c r="E598">
        <v>0</v>
      </c>
      <c r="F598">
        <v>7</v>
      </c>
      <c r="G598">
        <v>0</v>
      </c>
    </row>
    <row r="599" spans="1:7">
      <c r="A599" t="s">
        <v>32</v>
      </c>
      <c r="B599">
        <v>18</v>
      </c>
      <c r="C599">
        <v>32</v>
      </c>
      <c r="D599">
        <v>108</v>
      </c>
      <c r="E599">
        <v>0</v>
      </c>
      <c r="F599">
        <v>7</v>
      </c>
      <c r="G599">
        <v>0</v>
      </c>
    </row>
    <row r="600" spans="1:7">
      <c r="A600" t="s">
        <v>32</v>
      </c>
      <c r="B600">
        <v>18</v>
      </c>
      <c r="C600">
        <v>33</v>
      </c>
      <c r="D600">
        <v>108</v>
      </c>
      <c r="E600">
        <v>0</v>
      </c>
      <c r="F600">
        <v>7</v>
      </c>
      <c r="G600">
        <v>0</v>
      </c>
    </row>
    <row r="601" spans="1:7">
      <c r="A601" t="s">
        <v>32</v>
      </c>
      <c r="B601">
        <v>18</v>
      </c>
      <c r="C601">
        <v>34</v>
      </c>
      <c r="D601">
        <v>108</v>
      </c>
      <c r="E601">
        <v>0</v>
      </c>
      <c r="F601">
        <v>7</v>
      </c>
      <c r="G601">
        <v>0</v>
      </c>
    </row>
    <row r="602" spans="1:7">
      <c r="A602" t="s">
        <v>32</v>
      </c>
      <c r="B602">
        <v>18</v>
      </c>
      <c r="C602">
        <v>35</v>
      </c>
      <c r="D602">
        <v>108</v>
      </c>
      <c r="E602">
        <v>0</v>
      </c>
      <c r="F602">
        <v>7</v>
      </c>
      <c r="G602">
        <v>0</v>
      </c>
    </row>
    <row r="603" spans="1:7">
      <c r="A603" t="s">
        <v>32</v>
      </c>
      <c r="B603">
        <v>18</v>
      </c>
      <c r="C603">
        <v>36</v>
      </c>
      <c r="D603">
        <v>108</v>
      </c>
      <c r="E603">
        <v>0</v>
      </c>
      <c r="F603">
        <v>7</v>
      </c>
      <c r="G603">
        <v>0</v>
      </c>
    </row>
    <row r="604" spans="1:7">
      <c r="A604" t="s">
        <v>32</v>
      </c>
      <c r="B604">
        <v>18</v>
      </c>
      <c r="C604">
        <v>37</v>
      </c>
      <c r="D604">
        <v>108</v>
      </c>
      <c r="E604">
        <v>0</v>
      </c>
      <c r="F604">
        <v>7</v>
      </c>
      <c r="G604">
        <v>0</v>
      </c>
    </row>
    <row r="605" spans="1:7">
      <c r="A605" t="s">
        <v>32</v>
      </c>
      <c r="B605">
        <v>18</v>
      </c>
      <c r="C605">
        <v>38</v>
      </c>
      <c r="D605">
        <v>108</v>
      </c>
      <c r="E605">
        <v>0</v>
      </c>
      <c r="F605">
        <v>7</v>
      </c>
      <c r="G605">
        <v>0</v>
      </c>
    </row>
    <row r="606" spans="1:7">
      <c r="A606" t="s">
        <v>32</v>
      </c>
      <c r="B606">
        <v>18</v>
      </c>
      <c r="C606">
        <v>39</v>
      </c>
      <c r="D606">
        <v>108</v>
      </c>
      <c r="E606">
        <v>0</v>
      </c>
      <c r="F606">
        <v>7</v>
      </c>
      <c r="G606">
        <v>0</v>
      </c>
    </row>
    <row r="607" spans="1:7">
      <c r="A607" t="s">
        <v>32</v>
      </c>
      <c r="B607">
        <v>18</v>
      </c>
      <c r="C607">
        <v>40</v>
      </c>
      <c r="D607">
        <v>141</v>
      </c>
      <c r="E607">
        <v>0</v>
      </c>
      <c r="F607">
        <v>0</v>
      </c>
      <c r="G607">
        <v>0</v>
      </c>
    </row>
    <row r="608" spans="1:7">
      <c r="A608" t="s">
        <v>32</v>
      </c>
      <c r="B608">
        <v>18</v>
      </c>
      <c r="C608">
        <v>41</v>
      </c>
      <c r="D608">
        <v>141</v>
      </c>
      <c r="E608">
        <v>0</v>
      </c>
      <c r="F608">
        <v>0</v>
      </c>
      <c r="G608">
        <v>0</v>
      </c>
    </row>
    <row r="609" spans="1:7">
      <c r="A609" t="s">
        <v>32</v>
      </c>
      <c r="B609">
        <v>18</v>
      </c>
      <c r="C609">
        <v>42</v>
      </c>
      <c r="D609">
        <v>141</v>
      </c>
      <c r="E609">
        <v>0</v>
      </c>
      <c r="F609">
        <v>0</v>
      </c>
      <c r="G609">
        <v>0</v>
      </c>
    </row>
    <row r="610" spans="1:7">
      <c r="A610" t="s">
        <v>32</v>
      </c>
      <c r="B610">
        <v>18</v>
      </c>
      <c r="C610">
        <v>43</v>
      </c>
      <c r="D610">
        <v>141</v>
      </c>
      <c r="E610">
        <v>0</v>
      </c>
      <c r="F610">
        <v>0</v>
      </c>
      <c r="G610">
        <v>0</v>
      </c>
    </row>
    <row r="611" spans="1:7">
      <c r="A611" t="s">
        <v>32</v>
      </c>
      <c r="B611">
        <v>18</v>
      </c>
      <c r="C611">
        <v>44</v>
      </c>
      <c r="D611">
        <v>141</v>
      </c>
      <c r="E611">
        <v>0</v>
      </c>
      <c r="F611">
        <v>0</v>
      </c>
      <c r="G611">
        <v>0</v>
      </c>
    </row>
    <row r="612" spans="1:7">
      <c r="A612" t="s">
        <v>32</v>
      </c>
      <c r="B612">
        <v>18</v>
      </c>
      <c r="C612">
        <v>45</v>
      </c>
      <c r="D612">
        <v>141</v>
      </c>
      <c r="E612">
        <v>0</v>
      </c>
      <c r="F612">
        <v>0</v>
      </c>
      <c r="G612">
        <v>0</v>
      </c>
    </row>
    <row r="613" spans="1:7">
      <c r="A613" t="s">
        <v>32</v>
      </c>
      <c r="B613">
        <v>18</v>
      </c>
      <c r="C613">
        <v>46</v>
      </c>
      <c r="D613">
        <v>141</v>
      </c>
      <c r="E613">
        <v>0</v>
      </c>
      <c r="F613">
        <v>0</v>
      </c>
      <c r="G613">
        <v>0</v>
      </c>
    </row>
    <row r="614" spans="1:7">
      <c r="A614" t="s">
        <v>32</v>
      </c>
      <c r="B614">
        <v>19</v>
      </c>
      <c r="C614">
        <v>1</v>
      </c>
      <c r="D614">
        <v>4</v>
      </c>
      <c r="E614">
        <v>0</v>
      </c>
      <c r="F614">
        <v>0</v>
      </c>
      <c r="G614">
        <v>0</v>
      </c>
    </row>
    <row r="615" spans="1:7">
      <c r="A615" t="s">
        <v>32</v>
      </c>
      <c r="B615">
        <v>19</v>
      </c>
      <c r="C615">
        <v>2</v>
      </c>
      <c r="D615">
        <v>7</v>
      </c>
      <c r="E615">
        <v>0</v>
      </c>
      <c r="F615">
        <v>0</v>
      </c>
      <c r="G615">
        <v>0</v>
      </c>
    </row>
    <row r="616" spans="1:7">
      <c r="A616" t="s">
        <v>32</v>
      </c>
      <c r="B616">
        <v>19</v>
      </c>
      <c r="C616">
        <v>3</v>
      </c>
      <c r="D616">
        <v>84</v>
      </c>
      <c r="E616">
        <v>0</v>
      </c>
      <c r="F616">
        <v>8</v>
      </c>
      <c r="G616">
        <v>0</v>
      </c>
    </row>
    <row r="617" spans="1:7">
      <c r="A617" t="s">
        <v>32</v>
      </c>
      <c r="B617">
        <v>19</v>
      </c>
      <c r="C617">
        <v>4</v>
      </c>
      <c r="D617">
        <v>89</v>
      </c>
      <c r="E617">
        <v>0</v>
      </c>
      <c r="F617">
        <v>9</v>
      </c>
      <c r="G617">
        <v>0</v>
      </c>
    </row>
    <row r="618" spans="1:7">
      <c r="A618" t="s">
        <v>32</v>
      </c>
      <c r="B618">
        <v>19</v>
      </c>
      <c r="C618">
        <v>5</v>
      </c>
      <c r="D618">
        <v>94</v>
      </c>
      <c r="E618">
        <v>0</v>
      </c>
      <c r="F618">
        <v>10</v>
      </c>
      <c r="G618">
        <v>0</v>
      </c>
    </row>
    <row r="619" spans="1:7">
      <c r="A619" t="s">
        <v>32</v>
      </c>
      <c r="B619">
        <v>19</v>
      </c>
      <c r="C619">
        <v>6</v>
      </c>
      <c r="D619">
        <v>125</v>
      </c>
      <c r="E619">
        <v>0</v>
      </c>
      <c r="F619">
        <v>2</v>
      </c>
      <c r="G619">
        <v>0</v>
      </c>
    </row>
    <row r="620" spans="1:7">
      <c r="A620" t="s">
        <v>32</v>
      </c>
      <c r="B620">
        <v>19</v>
      </c>
      <c r="C620">
        <v>7</v>
      </c>
      <c r="D620">
        <v>126</v>
      </c>
      <c r="E620">
        <v>0</v>
      </c>
      <c r="F620">
        <v>1</v>
      </c>
      <c r="G620">
        <v>0</v>
      </c>
    </row>
    <row r="621" spans="1:7">
      <c r="A621" t="s">
        <v>32</v>
      </c>
      <c r="B621">
        <v>19</v>
      </c>
      <c r="C621">
        <v>8</v>
      </c>
      <c r="D621">
        <v>127</v>
      </c>
      <c r="E621">
        <v>0</v>
      </c>
      <c r="F621">
        <v>0</v>
      </c>
      <c r="G621">
        <v>0</v>
      </c>
    </row>
    <row r="622" spans="1:7">
      <c r="A622" t="s">
        <v>32</v>
      </c>
      <c r="B622">
        <v>19</v>
      </c>
      <c r="C622">
        <v>9</v>
      </c>
      <c r="D622">
        <v>127</v>
      </c>
      <c r="E622">
        <v>0</v>
      </c>
      <c r="F622">
        <v>0</v>
      </c>
      <c r="G622">
        <v>0</v>
      </c>
    </row>
    <row r="623" spans="1:7">
      <c r="A623" t="s">
        <v>32</v>
      </c>
      <c r="B623">
        <v>19</v>
      </c>
      <c r="C623">
        <v>10</v>
      </c>
      <c r="D623">
        <v>127</v>
      </c>
      <c r="E623">
        <v>0</v>
      </c>
      <c r="F623">
        <v>0</v>
      </c>
      <c r="G623">
        <v>0</v>
      </c>
    </row>
    <row r="624" spans="1:7">
      <c r="A624" t="s">
        <v>32</v>
      </c>
      <c r="B624">
        <v>19</v>
      </c>
      <c r="C624">
        <v>11</v>
      </c>
      <c r="D624">
        <v>127</v>
      </c>
      <c r="E624">
        <v>0</v>
      </c>
      <c r="F624">
        <v>0</v>
      </c>
      <c r="G624">
        <v>0</v>
      </c>
    </row>
    <row r="625" spans="1:7">
      <c r="A625" t="s">
        <v>32</v>
      </c>
      <c r="B625">
        <v>19</v>
      </c>
      <c r="C625">
        <v>12</v>
      </c>
      <c r="D625">
        <v>127</v>
      </c>
      <c r="E625">
        <v>0</v>
      </c>
      <c r="F625">
        <v>0</v>
      </c>
      <c r="G625">
        <v>0</v>
      </c>
    </row>
    <row r="626" spans="1:7">
      <c r="A626" t="s">
        <v>32</v>
      </c>
      <c r="B626">
        <v>19</v>
      </c>
      <c r="C626">
        <v>13</v>
      </c>
      <c r="D626">
        <v>127</v>
      </c>
      <c r="E626">
        <v>0</v>
      </c>
      <c r="F626">
        <v>0</v>
      </c>
      <c r="G626">
        <v>0</v>
      </c>
    </row>
    <row r="627" spans="1:7">
      <c r="A627" t="s">
        <v>32</v>
      </c>
      <c r="B627">
        <v>19</v>
      </c>
      <c r="C627">
        <v>14</v>
      </c>
      <c r="D627">
        <v>127</v>
      </c>
      <c r="E627">
        <v>0</v>
      </c>
      <c r="F627">
        <v>0</v>
      </c>
      <c r="G627">
        <v>0</v>
      </c>
    </row>
    <row r="628" spans="1:7">
      <c r="A628" t="s">
        <v>32</v>
      </c>
      <c r="B628">
        <v>19</v>
      </c>
      <c r="C628">
        <v>15</v>
      </c>
      <c r="D628">
        <v>127</v>
      </c>
      <c r="E628">
        <v>0</v>
      </c>
      <c r="F628">
        <v>0</v>
      </c>
      <c r="G628">
        <v>0</v>
      </c>
    </row>
    <row r="629" spans="1:7">
      <c r="A629" t="s">
        <v>32</v>
      </c>
      <c r="B629">
        <v>19</v>
      </c>
      <c r="C629">
        <v>16</v>
      </c>
      <c r="D629">
        <v>127</v>
      </c>
      <c r="E629">
        <v>0</v>
      </c>
      <c r="F629">
        <v>0</v>
      </c>
      <c r="G629">
        <v>0</v>
      </c>
    </row>
    <row r="630" spans="1:7">
      <c r="A630" t="s">
        <v>32</v>
      </c>
      <c r="B630">
        <v>19</v>
      </c>
      <c r="C630">
        <v>17</v>
      </c>
      <c r="D630">
        <v>127</v>
      </c>
      <c r="E630">
        <v>0</v>
      </c>
      <c r="F630">
        <v>0</v>
      </c>
      <c r="G630">
        <v>0</v>
      </c>
    </row>
    <row r="631" spans="1:7">
      <c r="A631" t="s">
        <v>32</v>
      </c>
      <c r="B631">
        <v>19</v>
      </c>
      <c r="C631">
        <v>18</v>
      </c>
      <c r="D631">
        <v>127</v>
      </c>
      <c r="E631">
        <v>0</v>
      </c>
      <c r="F631">
        <v>0</v>
      </c>
      <c r="G631">
        <v>0</v>
      </c>
    </row>
    <row r="632" spans="1:7">
      <c r="A632" t="s">
        <v>32</v>
      </c>
      <c r="B632">
        <v>19</v>
      </c>
      <c r="C632">
        <v>19</v>
      </c>
      <c r="D632">
        <v>127</v>
      </c>
      <c r="E632">
        <v>0</v>
      </c>
      <c r="F632">
        <v>0</v>
      </c>
      <c r="G632">
        <v>0</v>
      </c>
    </row>
    <row r="633" spans="1:7">
      <c r="A633" t="s">
        <v>32</v>
      </c>
      <c r="B633">
        <v>19</v>
      </c>
      <c r="C633">
        <v>20</v>
      </c>
      <c r="D633">
        <v>127</v>
      </c>
      <c r="E633">
        <v>0</v>
      </c>
      <c r="F633">
        <v>0</v>
      </c>
      <c r="G633">
        <v>0</v>
      </c>
    </row>
    <row r="634" spans="1:7">
      <c r="A634" t="s">
        <v>32</v>
      </c>
      <c r="B634">
        <v>19</v>
      </c>
      <c r="C634">
        <v>21</v>
      </c>
      <c r="D634">
        <v>127</v>
      </c>
      <c r="E634">
        <v>0</v>
      </c>
      <c r="F634">
        <v>0</v>
      </c>
      <c r="G634">
        <v>0</v>
      </c>
    </row>
    <row r="635" spans="1:7">
      <c r="A635" t="s">
        <v>32</v>
      </c>
      <c r="B635">
        <v>19</v>
      </c>
      <c r="C635">
        <v>22</v>
      </c>
      <c r="D635">
        <v>127</v>
      </c>
      <c r="E635">
        <v>0</v>
      </c>
      <c r="F635">
        <v>0</v>
      </c>
      <c r="G635">
        <v>0</v>
      </c>
    </row>
    <row r="636" spans="1:7">
      <c r="A636" t="s">
        <v>32</v>
      </c>
      <c r="B636">
        <v>19</v>
      </c>
      <c r="C636">
        <v>23</v>
      </c>
      <c r="D636">
        <v>127</v>
      </c>
      <c r="E636">
        <v>0</v>
      </c>
      <c r="F636">
        <v>0</v>
      </c>
      <c r="G636">
        <v>0</v>
      </c>
    </row>
    <row r="637" spans="1:7">
      <c r="A637" t="s">
        <v>32</v>
      </c>
      <c r="B637">
        <v>19</v>
      </c>
      <c r="C637">
        <v>24</v>
      </c>
      <c r="D637">
        <v>127</v>
      </c>
      <c r="E637">
        <v>0</v>
      </c>
      <c r="F637">
        <v>0</v>
      </c>
      <c r="G637">
        <v>0</v>
      </c>
    </row>
    <row r="638" spans="1:7">
      <c r="A638" t="s">
        <v>32</v>
      </c>
      <c r="B638">
        <v>19</v>
      </c>
      <c r="C638">
        <v>25</v>
      </c>
      <c r="D638">
        <v>127</v>
      </c>
      <c r="E638">
        <v>0</v>
      </c>
      <c r="F638">
        <v>0</v>
      </c>
      <c r="G638">
        <v>0</v>
      </c>
    </row>
    <row r="639" spans="1:7">
      <c r="A639" t="s">
        <v>32</v>
      </c>
      <c r="B639">
        <v>19</v>
      </c>
      <c r="C639">
        <v>26</v>
      </c>
      <c r="D639">
        <v>127</v>
      </c>
      <c r="E639">
        <v>0</v>
      </c>
      <c r="F639">
        <v>0</v>
      </c>
      <c r="G639">
        <v>0</v>
      </c>
    </row>
    <row r="640" spans="1:7">
      <c r="A640" t="s">
        <v>32</v>
      </c>
      <c r="B640">
        <v>19</v>
      </c>
      <c r="C640">
        <v>27</v>
      </c>
      <c r="D640">
        <v>127</v>
      </c>
      <c r="E640">
        <v>0</v>
      </c>
      <c r="F640">
        <v>0</v>
      </c>
      <c r="G640">
        <v>0</v>
      </c>
    </row>
    <row r="641" spans="1:7">
      <c r="A641" t="s">
        <v>32</v>
      </c>
      <c r="B641">
        <v>19</v>
      </c>
      <c r="C641">
        <v>28</v>
      </c>
      <c r="D641">
        <v>127</v>
      </c>
      <c r="E641">
        <v>0</v>
      </c>
      <c r="F641">
        <v>0</v>
      </c>
      <c r="G641">
        <v>0</v>
      </c>
    </row>
    <row r="642" spans="1:7">
      <c r="A642" t="s">
        <v>32</v>
      </c>
      <c r="B642">
        <v>20</v>
      </c>
      <c r="C642">
        <v>1</v>
      </c>
      <c r="D642">
        <v>24</v>
      </c>
      <c r="E642">
        <v>0</v>
      </c>
      <c r="F642">
        <v>3</v>
      </c>
      <c r="G642">
        <v>0</v>
      </c>
    </row>
    <row r="643" spans="1:7">
      <c r="A643" t="s">
        <v>32</v>
      </c>
      <c r="B643">
        <v>20</v>
      </c>
      <c r="C643">
        <v>2</v>
      </c>
      <c r="D643">
        <v>27</v>
      </c>
      <c r="E643">
        <v>0</v>
      </c>
      <c r="F643">
        <v>3</v>
      </c>
      <c r="G643">
        <v>0</v>
      </c>
    </row>
    <row r="644" spans="1:7">
      <c r="A644" t="s">
        <v>32</v>
      </c>
      <c r="B644">
        <v>20</v>
      </c>
      <c r="C644">
        <v>3</v>
      </c>
      <c r="D644">
        <v>30</v>
      </c>
      <c r="E644">
        <v>0</v>
      </c>
      <c r="F644">
        <v>2</v>
      </c>
      <c r="G644">
        <v>0</v>
      </c>
    </row>
    <row r="645" spans="1:7">
      <c r="A645" t="s">
        <v>32</v>
      </c>
      <c r="B645">
        <v>20</v>
      </c>
      <c r="C645">
        <v>4</v>
      </c>
      <c r="D645">
        <v>33</v>
      </c>
      <c r="E645">
        <v>0</v>
      </c>
      <c r="F645">
        <v>5</v>
      </c>
      <c r="G645">
        <v>0</v>
      </c>
    </row>
    <row r="646" spans="1:7">
      <c r="A646" t="s">
        <v>32</v>
      </c>
      <c r="B646">
        <v>20</v>
      </c>
      <c r="C646">
        <v>5</v>
      </c>
      <c r="D646">
        <v>48</v>
      </c>
      <c r="E646">
        <v>0</v>
      </c>
      <c r="F646">
        <v>6</v>
      </c>
      <c r="G646">
        <v>0</v>
      </c>
    </row>
    <row r="647" spans="1:7">
      <c r="A647" t="s">
        <v>32</v>
      </c>
      <c r="B647">
        <v>20</v>
      </c>
      <c r="C647">
        <v>6</v>
      </c>
      <c r="D647">
        <v>48</v>
      </c>
      <c r="E647">
        <v>0</v>
      </c>
      <c r="F647">
        <v>6</v>
      </c>
      <c r="G647">
        <v>0</v>
      </c>
    </row>
    <row r="648" spans="1:7">
      <c r="A648" t="s">
        <v>32</v>
      </c>
      <c r="B648">
        <v>20</v>
      </c>
      <c r="C648">
        <v>7</v>
      </c>
      <c r="D648">
        <v>55</v>
      </c>
      <c r="E648">
        <v>0</v>
      </c>
      <c r="F648">
        <v>5</v>
      </c>
      <c r="G648">
        <v>0</v>
      </c>
    </row>
    <row r="649" spans="1:7">
      <c r="A649" t="s">
        <v>32</v>
      </c>
      <c r="B649">
        <v>20</v>
      </c>
      <c r="C649">
        <v>8</v>
      </c>
      <c r="D649">
        <v>55</v>
      </c>
      <c r="E649">
        <v>0</v>
      </c>
      <c r="F649">
        <v>5</v>
      </c>
      <c r="G649">
        <v>0</v>
      </c>
    </row>
    <row r="650" spans="1:7">
      <c r="A650" t="s">
        <v>32</v>
      </c>
      <c r="B650">
        <v>20</v>
      </c>
      <c r="C650">
        <v>9</v>
      </c>
      <c r="D650">
        <v>55</v>
      </c>
      <c r="E650">
        <v>0</v>
      </c>
      <c r="F650">
        <v>5</v>
      </c>
      <c r="G650">
        <v>0</v>
      </c>
    </row>
    <row r="651" spans="1:7">
      <c r="A651" t="s">
        <v>32</v>
      </c>
      <c r="B651">
        <v>20</v>
      </c>
      <c r="C651">
        <v>10</v>
      </c>
      <c r="D651">
        <v>55</v>
      </c>
      <c r="E651">
        <v>0</v>
      </c>
      <c r="F651">
        <v>5</v>
      </c>
      <c r="G651">
        <v>0</v>
      </c>
    </row>
    <row r="652" spans="1:7">
      <c r="A652" t="s">
        <v>32</v>
      </c>
      <c r="B652">
        <v>20</v>
      </c>
      <c r="C652">
        <v>11</v>
      </c>
      <c r="D652">
        <v>55</v>
      </c>
      <c r="E652">
        <v>0</v>
      </c>
      <c r="F652">
        <v>5</v>
      </c>
      <c r="G652">
        <v>0</v>
      </c>
    </row>
    <row r="653" spans="1:7">
      <c r="A653" t="s">
        <v>32</v>
      </c>
      <c r="B653">
        <v>20</v>
      </c>
      <c r="C653">
        <v>12</v>
      </c>
      <c r="D653">
        <v>55</v>
      </c>
      <c r="E653">
        <v>0</v>
      </c>
      <c r="F653">
        <v>5</v>
      </c>
      <c r="G653">
        <v>0</v>
      </c>
    </row>
    <row r="654" spans="1:7">
      <c r="A654" t="s">
        <v>32</v>
      </c>
      <c r="B654">
        <v>20</v>
      </c>
      <c r="C654">
        <v>13</v>
      </c>
      <c r="D654">
        <v>55</v>
      </c>
      <c r="E654">
        <v>0</v>
      </c>
      <c r="F654">
        <v>5</v>
      </c>
      <c r="G654">
        <v>0</v>
      </c>
    </row>
    <row r="655" spans="1:7">
      <c r="A655" t="s">
        <v>32</v>
      </c>
      <c r="B655">
        <v>20</v>
      </c>
      <c r="C655">
        <v>14</v>
      </c>
      <c r="D655">
        <v>72</v>
      </c>
      <c r="E655">
        <v>0</v>
      </c>
      <c r="F655">
        <v>4</v>
      </c>
      <c r="G655">
        <v>0</v>
      </c>
    </row>
    <row r="656" spans="1:7">
      <c r="A656" t="s">
        <v>32</v>
      </c>
      <c r="B656">
        <v>20</v>
      </c>
      <c r="C656">
        <v>15</v>
      </c>
      <c r="D656">
        <v>72</v>
      </c>
      <c r="E656">
        <v>0</v>
      </c>
      <c r="F656">
        <v>4</v>
      </c>
      <c r="G656">
        <v>0</v>
      </c>
    </row>
    <row r="657" spans="1:7">
      <c r="A657" t="s">
        <v>32</v>
      </c>
      <c r="B657">
        <v>20</v>
      </c>
      <c r="C657">
        <v>16</v>
      </c>
      <c r="D657">
        <v>72</v>
      </c>
      <c r="E657">
        <v>0</v>
      </c>
      <c r="F657">
        <v>4</v>
      </c>
      <c r="G657">
        <v>0</v>
      </c>
    </row>
    <row r="658" spans="1:7">
      <c r="A658" t="s">
        <v>32</v>
      </c>
      <c r="B658">
        <v>20</v>
      </c>
      <c r="C658">
        <v>17</v>
      </c>
      <c r="D658">
        <v>72</v>
      </c>
      <c r="E658">
        <v>0</v>
      </c>
      <c r="F658">
        <v>4</v>
      </c>
      <c r="G658">
        <v>0</v>
      </c>
    </row>
    <row r="659" spans="1:7">
      <c r="A659" t="s">
        <v>32</v>
      </c>
      <c r="B659">
        <v>20</v>
      </c>
      <c r="C659">
        <v>18</v>
      </c>
      <c r="D659">
        <v>72</v>
      </c>
      <c r="E659">
        <v>0</v>
      </c>
      <c r="F659">
        <v>4</v>
      </c>
      <c r="G659">
        <v>0</v>
      </c>
    </row>
    <row r="660" spans="1:7">
      <c r="A660" t="s">
        <v>32</v>
      </c>
      <c r="B660">
        <v>20</v>
      </c>
      <c r="C660">
        <v>19</v>
      </c>
      <c r="D660">
        <v>72</v>
      </c>
      <c r="E660">
        <v>0</v>
      </c>
      <c r="F660">
        <v>4</v>
      </c>
      <c r="G660">
        <v>0</v>
      </c>
    </row>
    <row r="661" spans="1:7">
      <c r="A661" t="s">
        <v>32</v>
      </c>
      <c r="B661">
        <v>20</v>
      </c>
      <c r="C661">
        <v>20</v>
      </c>
      <c r="D661">
        <v>72</v>
      </c>
      <c r="E661">
        <v>0</v>
      </c>
      <c r="F661">
        <v>4</v>
      </c>
      <c r="G661">
        <v>0</v>
      </c>
    </row>
    <row r="662" spans="1:7">
      <c r="A662" t="s">
        <v>32</v>
      </c>
      <c r="B662">
        <v>20</v>
      </c>
      <c r="C662">
        <v>21</v>
      </c>
      <c r="D662">
        <v>72</v>
      </c>
      <c r="E662">
        <v>0</v>
      </c>
      <c r="F662">
        <v>4</v>
      </c>
      <c r="G662">
        <v>0</v>
      </c>
    </row>
    <row r="663" spans="1:7">
      <c r="A663" t="s">
        <v>32</v>
      </c>
      <c r="B663">
        <v>20</v>
      </c>
      <c r="C663">
        <v>22</v>
      </c>
      <c r="D663">
        <v>72</v>
      </c>
      <c r="E663">
        <v>0</v>
      </c>
      <c r="F663">
        <v>4</v>
      </c>
      <c r="G663">
        <v>0</v>
      </c>
    </row>
    <row r="664" spans="1:7">
      <c r="A664" t="s">
        <v>32</v>
      </c>
      <c r="B664">
        <v>20</v>
      </c>
      <c r="C664">
        <v>23</v>
      </c>
      <c r="D664">
        <v>101</v>
      </c>
      <c r="E664">
        <v>0</v>
      </c>
      <c r="F664">
        <v>4</v>
      </c>
      <c r="G664">
        <v>0</v>
      </c>
    </row>
    <row r="665" spans="1:7">
      <c r="A665" t="s">
        <v>32</v>
      </c>
      <c r="B665">
        <v>20</v>
      </c>
      <c r="C665">
        <v>24</v>
      </c>
      <c r="D665">
        <v>101</v>
      </c>
      <c r="E665">
        <v>0</v>
      </c>
      <c r="F665">
        <v>4</v>
      </c>
      <c r="G665">
        <v>0</v>
      </c>
    </row>
    <row r="666" spans="1:7">
      <c r="A666" t="s">
        <v>32</v>
      </c>
      <c r="B666">
        <v>20</v>
      </c>
      <c r="C666">
        <v>25</v>
      </c>
      <c r="D666">
        <v>101</v>
      </c>
      <c r="E666">
        <v>0</v>
      </c>
      <c r="F666">
        <v>4</v>
      </c>
      <c r="G666">
        <v>0</v>
      </c>
    </row>
    <row r="667" spans="1:7">
      <c r="A667" t="s">
        <v>32</v>
      </c>
      <c r="B667">
        <v>20</v>
      </c>
      <c r="C667">
        <v>26</v>
      </c>
      <c r="D667">
        <v>101</v>
      </c>
      <c r="E667">
        <v>0</v>
      </c>
      <c r="F667">
        <v>4</v>
      </c>
      <c r="G667">
        <v>0</v>
      </c>
    </row>
    <row r="668" spans="1:7">
      <c r="A668" t="s">
        <v>32</v>
      </c>
      <c r="B668">
        <v>20</v>
      </c>
      <c r="C668">
        <v>27</v>
      </c>
      <c r="D668">
        <v>101</v>
      </c>
      <c r="E668">
        <v>0</v>
      </c>
      <c r="F668">
        <v>4</v>
      </c>
      <c r="G668">
        <v>0</v>
      </c>
    </row>
    <row r="669" spans="1:7">
      <c r="A669" t="s">
        <v>32</v>
      </c>
      <c r="B669">
        <v>20</v>
      </c>
      <c r="C669">
        <v>28</v>
      </c>
      <c r="D669">
        <v>101</v>
      </c>
      <c r="E669">
        <v>0</v>
      </c>
      <c r="F669">
        <v>4</v>
      </c>
      <c r="G669">
        <v>0</v>
      </c>
    </row>
    <row r="670" spans="1:7">
      <c r="A670" t="s">
        <v>32</v>
      </c>
      <c r="B670">
        <v>20</v>
      </c>
      <c r="C670">
        <v>29</v>
      </c>
      <c r="D670">
        <v>101</v>
      </c>
      <c r="E670">
        <v>0</v>
      </c>
      <c r="F670">
        <v>4</v>
      </c>
      <c r="G670">
        <v>0</v>
      </c>
    </row>
    <row r="671" spans="1:7">
      <c r="A671" t="s">
        <v>32</v>
      </c>
      <c r="B671">
        <v>20</v>
      </c>
      <c r="C671">
        <v>30</v>
      </c>
      <c r="D671">
        <v>101</v>
      </c>
      <c r="E671">
        <v>0</v>
      </c>
      <c r="F671">
        <v>4</v>
      </c>
      <c r="G671">
        <v>0</v>
      </c>
    </row>
    <row r="672" spans="1:7">
      <c r="A672" t="s">
        <v>32</v>
      </c>
      <c r="B672">
        <v>20</v>
      </c>
      <c r="C672">
        <v>31</v>
      </c>
      <c r="D672">
        <v>101</v>
      </c>
      <c r="E672">
        <v>0</v>
      </c>
      <c r="F672">
        <v>4</v>
      </c>
      <c r="G672">
        <v>0</v>
      </c>
    </row>
    <row r="673" spans="1:7">
      <c r="A673" t="s">
        <v>32</v>
      </c>
      <c r="B673">
        <v>20</v>
      </c>
      <c r="C673">
        <v>32</v>
      </c>
      <c r="D673">
        <v>101</v>
      </c>
      <c r="E673">
        <v>0</v>
      </c>
      <c r="F673">
        <v>4</v>
      </c>
      <c r="G673">
        <v>0</v>
      </c>
    </row>
    <row r="674" spans="1:7">
      <c r="A674" t="s">
        <v>32</v>
      </c>
      <c r="B674">
        <v>20</v>
      </c>
      <c r="C674">
        <v>33</v>
      </c>
      <c r="D674">
        <v>101</v>
      </c>
      <c r="E674">
        <v>0</v>
      </c>
      <c r="F674">
        <v>4</v>
      </c>
      <c r="G674">
        <v>0</v>
      </c>
    </row>
    <row r="675" spans="1:7">
      <c r="A675" t="s">
        <v>142</v>
      </c>
      <c r="B675">
        <v>2</v>
      </c>
      <c r="C675">
        <v>1</v>
      </c>
      <c r="D675">
        <v>6</v>
      </c>
      <c r="E675">
        <v>0</v>
      </c>
      <c r="F675">
        <v>0</v>
      </c>
      <c r="G675">
        <v>0</v>
      </c>
    </row>
    <row r="676" spans="1:7">
      <c r="A676" t="s">
        <v>142</v>
      </c>
      <c r="B676">
        <v>2</v>
      </c>
      <c r="C676">
        <v>2</v>
      </c>
      <c r="D676">
        <v>57</v>
      </c>
      <c r="E676">
        <v>0</v>
      </c>
      <c r="F676">
        <v>11</v>
      </c>
      <c r="G676">
        <v>0</v>
      </c>
    </row>
    <row r="677" spans="1:7">
      <c r="A677" t="s">
        <v>142</v>
      </c>
      <c r="B677">
        <v>2</v>
      </c>
      <c r="C677">
        <v>3</v>
      </c>
      <c r="D677">
        <v>112</v>
      </c>
      <c r="E677">
        <v>0</v>
      </c>
      <c r="F677">
        <v>0</v>
      </c>
      <c r="G677">
        <v>0</v>
      </c>
    </row>
    <row r="678" spans="1:7">
      <c r="A678" t="s">
        <v>142</v>
      </c>
      <c r="B678">
        <v>3</v>
      </c>
      <c r="C678">
        <v>1</v>
      </c>
      <c r="D678">
        <v>42</v>
      </c>
      <c r="E678">
        <v>0</v>
      </c>
      <c r="F678">
        <v>1</v>
      </c>
      <c r="G678">
        <v>0</v>
      </c>
    </row>
    <row r="679" spans="1:7">
      <c r="A679" t="s">
        <v>142</v>
      </c>
      <c r="B679">
        <v>3</v>
      </c>
      <c r="C679">
        <v>2</v>
      </c>
      <c r="D679">
        <v>44</v>
      </c>
      <c r="E679">
        <v>0</v>
      </c>
      <c r="F679">
        <v>0</v>
      </c>
      <c r="G679">
        <v>0</v>
      </c>
    </row>
    <row r="680" spans="1:7">
      <c r="A680" t="s">
        <v>142</v>
      </c>
      <c r="B680">
        <v>7</v>
      </c>
      <c r="C680">
        <v>1</v>
      </c>
      <c r="D680">
        <v>41</v>
      </c>
      <c r="E680">
        <v>0</v>
      </c>
      <c r="F680">
        <v>1</v>
      </c>
      <c r="G680">
        <v>0</v>
      </c>
    </row>
    <row r="681" spans="1:7">
      <c r="A681" t="s">
        <v>142</v>
      </c>
      <c r="B681">
        <v>7</v>
      </c>
      <c r="C681">
        <v>2</v>
      </c>
      <c r="D681">
        <v>43</v>
      </c>
      <c r="E681">
        <v>0</v>
      </c>
      <c r="F681">
        <v>0</v>
      </c>
      <c r="G681">
        <v>0</v>
      </c>
    </row>
    <row r="682" spans="1:7">
      <c r="A682" t="s">
        <v>142</v>
      </c>
      <c r="B682">
        <v>10</v>
      </c>
      <c r="C682">
        <v>1</v>
      </c>
      <c r="D682">
        <v>68</v>
      </c>
      <c r="E682">
        <v>0</v>
      </c>
      <c r="F682">
        <v>5</v>
      </c>
      <c r="G682">
        <v>0</v>
      </c>
    </row>
    <row r="683" spans="1:7">
      <c r="A683" t="s">
        <v>142</v>
      </c>
      <c r="B683">
        <v>10</v>
      </c>
      <c r="C683">
        <v>2</v>
      </c>
      <c r="D683">
        <v>72</v>
      </c>
      <c r="E683">
        <v>0</v>
      </c>
      <c r="F683">
        <v>4</v>
      </c>
      <c r="G683">
        <v>0</v>
      </c>
    </row>
    <row r="684" spans="1:7">
      <c r="A684" t="s">
        <v>142</v>
      </c>
      <c r="B684">
        <v>10</v>
      </c>
      <c r="C684">
        <v>3</v>
      </c>
      <c r="D684">
        <v>111</v>
      </c>
      <c r="E684">
        <v>0</v>
      </c>
      <c r="F684">
        <v>2</v>
      </c>
      <c r="G684">
        <v>0</v>
      </c>
    </row>
    <row r="685" spans="1:7">
      <c r="A685" t="s">
        <v>142</v>
      </c>
      <c r="B685">
        <v>10</v>
      </c>
      <c r="C685">
        <v>4</v>
      </c>
      <c r="D685">
        <v>148</v>
      </c>
      <c r="E685">
        <v>0</v>
      </c>
      <c r="F685">
        <v>2</v>
      </c>
      <c r="G685">
        <v>0</v>
      </c>
    </row>
    <row r="686" spans="1:7">
      <c r="A686" t="s">
        <v>142</v>
      </c>
      <c r="B686">
        <v>10</v>
      </c>
      <c r="C686">
        <v>5</v>
      </c>
      <c r="D686">
        <v>148</v>
      </c>
      <c r="E686">
        <v>0</v>
      </c>
      <c r="F686">
        <v>2</v>
      </c>
      <c r="G686">
        <v>0</v>
      </c>
    </row>
    <row r="687" spans="1:7">
      <c r="A687" t="s">
        <v>142</v>
      </c>
      <c r="B687">
        <v>10</v>
      </c>
      <c r="C687">
        <v>6</v>
      </c>
      <c r="D687">
        <v>148</v>
      </c>
      <c r="E687">
        <v>0</v>
      </c>
      <c r="F687">
        <v>2</v>
      </c>
      <c r="G687">
        <v>0</v>
      </c>
    </row>
    <row r="688" spans="1:7">
      <c r="A688" t="s">
        <v>142</v>
      </c>
      <c r="B688">
        <v>10</v>
      </c>
      <c r="C688">
        <v>7</v>
      </c>
      <c r="D688">
        <v>194</v>
      </c>
      <c r="E688">
        <v>0</v>
      </c>
      <c r="F688">
        <v>2</v>
      </c>
      <c r="G688">
        <v>0</v>
      </c>
    </row>
    <row r="689" spans="1:7">
      <c r="A689" t="s">
        <v>142</v>
      </c>
      <c r="B689">
        <v>10</v>
      </c>
      <c r="C689">
        <v>8</v>
      </c>
      <c r="D689">
        <v>240</v>
      </c>
      <c r="E689">
        <v>0</v>
      </c>
      <c r="F689">
        <v>2</v>
      </c>
      <c r="G689">
        <v>0</v>
      </c>
    </row>
    <row r="690" spans="1:7">
      <c r="A690" t="s">
        <v>142</v>
      </c>
      <c r="B690">
        <v>10</v>
      </c>
      <c r="C690">
        <v>9</v>
      </c>
      <c r="D690">
        <v>240</v>
      </c>
      <c r="E690">
        <v>0</v>
      </c>
      <c r="F690">
        <v>2</v>
      </c>
      <c r="G690">
        <v>0</v>
      </c>
    </row>
    <row r="691" spans="1:7">
      <c r="A691" t="s">
        <v>142</v>
      </c>
      <c r="B691">
        <v>10</v>
      </c>
      <c r="C691">
        <v>10</v>
      </c>
      <c r="D691">
        <v>240</v>
      </c>
      <c r="E691">
        <v>0</v>
      </c>
      <c r="F691">
        <v>2</v>
      </c>
      <c r="G691">
        <v>0</v>
      </c>
    </row>
    <row r="692" spans="1:7">
      <c r="A692" t="s">
        <v>142</v>
      </c>
      <c r="B692">
        <v>10</v>
      </c>
      <c r="C692">
        <v>11</v>
      </c>
      <c r="D692">
        <v>314</v>
      </c>
      <c r="E692">
        <v>0</v>
      </c>
      <c r="F692">
        <v>1</v>
      </c>
      <c r="G692">
        <v>0</v>
      </c>
    </row>
    <row r="693" spans="1:7">
      <c r="A693" t="s">
        <v>142</v>
      </c>
      <c r="B693">
        <v>10</v>
      </c>
      <c r="C693">
        <v>12</v>
      </c>
      <c r="D693">
        <v>314</v>
      </c>
      <c r="E693">
        <v>0</v>
      </c>
      <c r="F693">
        <v>1</v>
      </c>
      <c r="G693">
        <v>0</v>
      </c>
    </row>
    <row r="694" spans="1:7">
      <c r="A694" t="s">
        <v>142</v>
      </c>
      <c r="B694">
        <v>10</v>
      </c>
      <c r="C694">
        <v>13</v>
      </c>
      <c r="D694">
        <v>314</v>
      </c>
      <c r="E694">
        <v>0</v>
      </c>
      <c r="F694">
        <v>1</v>
      </c>
      <c r="G694">
        <v>0</v>
      </c>
    </row>
    <row r="695" spans="1:7">
      <c r="A695" t="s">
        <v>142</v>
      </c>
      <c r="B695">
        <v>10</v>
      </c>
      <c r="C695">
        <v>14</v>
      </c>
      <c r="D695">
        <v>314</v>
      </c>
      <c r="E695">
        <v>0</v>
      </c>
      <c r="F695">
        <v>1</v>
      </c>
      <c r="G695">
        <v>0</v>
      </c>
    </row>
    <row r="696" spans="1:7">
      <c r="A696" t="s">
        <v>142</v>
      </c>
      <c r="B696">
        <v>10</v>
      </c>
      <c r="C696">
        <v>15</v>
      </c>
      <c r="D696">
        <v>314</v>
      </c>
      <c r="E696">
        <v>0</v>
      </c>
      <c r="F696">
        <v>1</v>
      </c>
      <c r="G696">
        <v>0</v>
      </c>
    </row>
    <row r="697" spans="1:7">
      <c r="A697" t="s">
        <v>142</v>
      </c>
      <c r="B697">
        <v>10</v>
      </c>
      <c r="C697">
        <v>16</v>
      </c>
      <c r="D697">
        <v>314</v>
      </c>
      <c r="E697">
        <v>0</v>
      </c>
      <c r="F697">
        <v>1</v>
      </c>
      <c r="G697">
        <v>0</v>
      </c>
    </row>
    <row r="698" spans="1:7">
      <c r="A698" t="s">
        <v>142</v>
      </c>
      <c r="B698">
        <v>10</v>
      </c>
      <c r="C698">
        <v>17</v>
      </c>
      <c r="D698">
        <v>314</v>
      </c>
      <c r="E698">
        <v>0</v>
      </c>
      <c r="F698">
        <v>1</v>
      </c>
      <c r="G698">
        <v>0</v>
      </c>
    </row>
    <row r="699" spans="1:7">
      <c r="A699" t="s">
        <v>142</v>
      </c>
      <c r="B699">
        <v>10</v>
      </c>
      <c r="C699">
        <v>18</v>
      </c>
      <c r="D699">
        <v>314</v>
      </c>
      <c r="E699">
        <v>0</v>
      </c>
      <c r="F699">
        <v>1</v>
      </c>
      <c r="G699">
        <v>0</v>
      </c>
    </row>
    <row r="700" spans="1:7">
      <c r="A700" t="s">
        <v>142</v>
      </c>
      <c r="B700">
        <v>10</v>
      </c>
      <c r="C700">
        <v>19</v>
      </c>
      <c r="D700">
        <v>314</v>
      </c>
      <c r="E700">
        <v>0</v>
      </c>
      <c r="F700">
        <v>1</v>
      </c>
      <c r="G700">
        <v>0</v>
      </c>
    </row>
    <row r="701" spans="1:7">
      <c r="A701" t="s">
        <v>142</v>
      </c>
      <c r="B701">
        <v>10</v>
      </c>
      <c r="C701">
        <v>20</v>
      </c>
      <c r="D701">
        <v>314</v>
      </c>
      <c r="E701">
        <v>0</v>
      </c>
      <c r="F701">
        <v>1</v>
      </c>
      <c r="G701">
        <v>0</v>
      </c>
    </row>
    <row r="702" spans="1:7">
      <c r="A702" t="s">
        <v>142</v>
      </c>
      <c r="B702">
        <v>10</v>
      </c>
      <c r="C702">
        <v>21</v>
      </c>
      <c r="D702">
        <v>406</v>
      </c>
      <c r="E702">
        <v>0</v>
      </c>
      <c r="F702">
        <v>0</v>
      </c>
      <c r="G702">
        <v>0</v>
      </c>
    </row>
    <row r="703" spans="1:7">
      <c r="A703" t="s">
        <v>142</v>
      </c>
      <c r="B703">
        <v>10</v>
      </c>
      <c r="C703">
        <v>22</v>
      </c>
      <c r="D703">
        <v>406</v>
      </c>
      <c r="E703">
        <v>0</v>
      </c>
      <c r="F703">
        <v>0</v>
      </c>
      <c r="G703">
        <v>0</v>
      </c>
    </row>
    <row r="704" spans="1:7">
      <c r="A704" t="s">
        <v>142</v>
      </c>
      <c r="B704">
        <v>10</v>
      </c>
      <c r="C704">
        <v>23</v>
      </c>
      <c r="D704">
        <v>406</v>
      </c>
      <c r="E704">
        <v>0</v>
      </c>
      <c r="F704">
        <v>0</v>
      </c>
      <c r="G704">
        <v>0</v>
      </c>
    </row>
    <row r="705" spans="1:7">
      <c r="A705" t="s">
        <v>142</v>
      </c>
      <c r="B705">
        <v>10</v>
      </c>
      <c r="C705">
        <v>24</v>
      </c>
      <c r="D705">
        <v>406</v>
      </c>
      <c r="E705">
        <v>0</v>
      </c>
      <c r="F705">
        <v>0</v>
      </c>
      <c r="G705">
        <v>0</v>
      </c>
    </row>
    <row r="706" spans="1:7">
      <c r="A706" t="s">
        <v>142</v>
      </c>
      <c r="B706">
        <v>10</v>
      </c>
      <c r="C706">
        <v>25</v>
      </c>
      <c r="D706">
        <v>406</v>
      </c>
      <c r="E706">
        <v>0</v>
      </c>
      <c r="F706">
        <v>0</v>
      </c>
      <c r="G706">
        <v>0</v>
      </c>
    </row>
    <row r="707" spans="1:7">
      <c r="A707" t="s">
        <v>142</v>
      </c>
      <c r="B707">
        <v>10</v>
      </c>
      <c r="C707">
        <v>26</v>
      </c>
      <c r="D707">
        <v>406</v>
      </c>
      <c r="E707">
        <v>0</v>
      </c>
      <c r="F707">
        <v>0</v>
      </c>
      <c r="G707">
        <v>0</v>
      </c>
    </row>
    <row r="708" spans="1:7">
      <c r="A708" t="s">
        <v>142</v>
      </c>
      <c r="B708">
        <v>10</v>
      </c>
      <c r="C708">
        <v>27</v>
      </c>
      <c r="D708">
        <v>406</v>
      </c>
      <c r="E708">
        <v>0</v>
      </c>
      <c r="F708">
        <v>0</v>
      </c>
      <c r="G708">
        <v>0</v>
      </c>
    </row>
    <row r="709" spans="1:7">
      <c r="A709" t="s">
        <v>142</v>
      </c>
      <c r="B709">
        <v>10</v>
      </c>
      <c r="C709">
        <v>28</v>
      </c>
      <c r="D709">
        <v>406</v>
      </c>
      <c r="E709">
        <v>0</v>
      </c>
      <c r="F709">
        <v>0</v>
      </c>
      <c r="G709">
        <v>0</v>
      </c>
    </row>
    <row r="710" spans="1:7">
      <c r="A710" t="s">
        <v>142</v>
      </c>
      <c r="B710">
        <v>10</v>
      </c>
      <c r="C710">
        <v>29</v>
      </c>
      <c r="D710">
        <v>406</v>
      </c>
      <c r="E710">
        <v>0</v>
      </c>
      <c r="F710">
        <v>0</v>
      </c>
      <c r="G710">
        <v>0</v>
      </c>
    </row>
    <row r="711" spans="1:7">
      <c r="A711" t="s">
        <v>142</v>
      </c>
      <c r="B711">
        <v>10</v>
      </c>
      <c r="C711">
        <v>30</v>
      </c>
      <c r="D711">
        <v>406</v>
      </c>
      <c r="E711">
        <v>0</v>
      </c>
      <c r="F711">
        <v>0</v>
      </c>
      <c r="G711">
        <v>0</v>
      </c>
    </row>
    <row r="712" spans="1:7">
      <c r="A712" t="s">
        <v>142</v>
      </c>
      <c r="B712">
        <v>10</v>
      </c>
      <c r="C712">
        <v>31</v>
      </c>
      <c r="D712">
        <v>406</v>
      </c>
      <c r="E712">
        <v>0</v>
      </c>
      <c r="F712">
        <v>0</v>
      </c>
      <c r="G712">
        <v>0</v>
      </c>
    </row>
    <row r="713" spans="1:7">
      <c r="A713" t="s">
        <v>142</v>
      </c>
      <c r="B713">
        <v>10</v>
      </c>
      <c r="C713">
        <v>32</v>
      </c>
      <c r="D713">
        <v>406</v>
      </c>
      <c r="E713">
        <v>0</v>
      </c>
      <c r="F713">
        <v>0</v>
      </c>
      <c r="G713">
        <v>0</v>
      </c>
    </row>
    <row r="714" spans="1:7">
      <c r="A714" t="s">
        <v>142</v>
      </c>
      <c r="B714">
        <v>11</v>
      </c>
      <c r="C714">
        <v>1</v>
      </c>
      <c r="D714">
        <v>2</v>
      </c>
      <c r="E714">
        <v>0</v>
      </c>
      <c r="F714">
        <v>0</v>
      </c>
      <c r="G714">
        <v>0</v>
      </c>
    </row>
    <row r="715" spans="1:7">
      <c r="A715" t="s">
        <v>142</v>
      </c>
      <c r="B715">
        <v>11</v>
      </c>
      <c r="C715">
        <v>2</v>
      </c>
      <c r="D715">
        <v>81</v>
      </c>
      <c r="E715">
        <v>0</v>
      </c>
      <c r="F715">
        <v>7</v>
      </c>
      <c r="G715">
        <v>0</v>
      </c>
    </row>
    <row r="716" spans="1:7">
      <c r="A716" t="s">
        <v>142</v>
      </c>
      <c r="B716">
        <v>11</v>
      </c>
      <c r="C716">
        <v>3</v>
      </c>
      <c r="D716">
        <v>85</v>
      </c>
      <c r="E716">
        <v>0</v>
      </c>
      <c r="F716">
        <v>6</v>
      </c>
      <c r="G716">
        <v>0</v>
      </c>
    </row>
    <row r="717" spans="1:7">
      <c r="A717" t="s">
        <v>142</v>
      </c>
      <c r="B717">
        <v>11</v>
      </c>
      <c r="C717">
        <v>4</v>
      </c>
      <c r="D717">
        <v>111</v>
      </c>
      <c r="E717">
        <v>0</v>
      </c>
      <c r="F717">
        <v>5</v>
      </c>
      <c r="G717">
        <v>0</v>
      </c>
    </row>
    <row r="718" spans="1:7">
      <c r="A718" t="s">
        <v>142</v>
      </c>
      <c r="B718">
        <v>11</v>
      </c>
      <c r="C718">
        <v>5</v>
      </c>
      <c r="D718">
        <v>137</v>
      </c>
      <c r="E718">
        <v>0</v>
      </c>
      <c r="F718">
        <v>4</v>
      </c>
      <c r="G718">
        <v>0</v>
      </c>
    </row>
    <row r="719" spans="1:7">
      <c r="A719" t="s">
        <v>142</v>
      </c>
      <c r="B719">
        <v>11</v>
      </c>
      <c r="C719">
        <v>6</v>
      </c>
      <c r="D719">
        <v>137</v>
      </c>
      <c r="E719">
        <v>0</v>
      </c>
      <c r="F719">
        <v>4</v>
      </c>
      <c r="G719">
        <v>0</v>
      </c>
    </row>
    <row r="720" spans="1:7">
      <c r="A720" t="s">
        <v>142</v>
      </c>
      <c r="B720">
        <v>11</v>
      </c>
      <c r="C720">
        <v>7</v>
      </c>
      <c r="D720">
        <v>163</v>
      </c>
      <c r="E720">
        <v>0</v>
      </c>
      <c r="F720">
        <v>3</v>
      </c>
      <c r="G720">
        <v>0</v>
      </c>
    </row>
    <row r="721" spans="1:7">
      <c r="A721" t="s">
        <v>142</v>
      </c>
      <c r="B721">
        <v>11</v>
      </c>
      <c r="C721">
        <v>8</v>
      </c>
      <c r="D721">
        <v>189</v>
      </c>
      <c r="E721">
        <v>0</v>
      </c>
      <c r="F721">
        <v>2</v>
      </c>
      <c r="G721">
        <v>0</v>
      </c>
    </row>
    <row r="722" spans="1:7">
      <c r="A722" t="s">
        <v>142</v>
      </c>
      <c r="B722">
        <v>11</v>
      </c>
      <c r="C722">
        <v>9</v>
      </c>
      <c r="D722">
        <v>189</v>
      </c>
      <c r="E722">
        <v>0</v>
      </c>
      <c r="F722">
        <v>2</v>
      </c>
      <c r="G722">
        <v>0</v>
      </c>
    </row>
    <row r="723" spans="1:7">
      <c r="A723" t="s">
        <v>142</v>
      </c>
      <c r="B723">
        <v>11</v>
      </c>
      <c r="C723">
        <v>10</v>
      </c>
      <c r="D723">
        <v>189</v>
      </c>
      <c r="E723">
        <v>0</v>
      </c>
      <c r="F723">
        <v>2</v>
      </c>
      <c r="G723">
        <v>0</v>
      </c>
    </row>
    <row r="724" spans="1:7">
      <c r="A724" t="s">
        <v>142</v>
      </c>
      <c r="B724">
        <v>11</v>
      </c>
      <c r="C724">
        <v>11</v>
      </c>
      <c r="D724">
        <v>189</v>
      </c>
      <c r="E724">
        <v>0</v>
      </c>
      <c r="F724">
        <v>2</v>
      </c>
      <c r="G724">
        <v>0</v>
      </c>
    </row>
    <row r="725" spans="1:7">
      <c r="A725" t="s">
        <v>142</v>
      </c>
      <c r="B725">
        <v>11</v>
      </c>
      <c r="C725">
        <v>12</v>
      </c>
      <c r="D725">
        <v>192</v>
      </c>
      <c r="E725">
        <v>0</v>
      </c>
      <c r="F725">
        <v>0</v>
      </c>
      <c r="G725">
        <v>0</v>
      </c>
    </row>
    <row r="726" spans="1:7">
      <c r="A726" t="s">
        <v>142</v>
      </c>
      <c r="B726">
        <v>11</v>
      </c>
      <c r="C726">
        <v>13</v>
      </c>
      <c r="D726">
        <v>192</v>
      </c>
      <c r="E726">
        <v>0</v>
      </c>
      <c r="F726">
        <v>0</v>
      </c>
      <c r="G726">
        <v>0</v>
      </c>
    </row>
    <row r="727" spans="1:7">
      <c r="A727" t="s">
        <v>142</v>
      </c>
      <c r="B727">
        <v>12</v>
      </c>
      <c r="C727">
        <v>1</v>
      </c>
      <c r="D727">
        <v>2</v>
      </c>
      <c r="E727">
        <v>0</v>
      </c>
      <c r="F727">
        <v>0</v>
      </c>
      <c r="G727">
        <v>0</v>
      </c>
    </row>
    <row r="728" spans="1:7">
      <c r="A728" t="s">
        <v>142</v>
      </c>
      <c r="B728">
        <v>12</v>
      </c>
      <c r="C728">
        <v>2</v>
      </c>
      <c r="D728">
        <v>68</v>
      </c>
      <c r="E728">
        <v>0</v>
      </c>
      <c r="F728">
        <v>3</v>
      </c>
      <c r="G728">
        <v>0</v>
      </c>
    </row>
    <row r="729" spans="1:7">
      <c r="A729" t="s">
        <v>142</v>
      </c>
      <c r="B729">
        <v>12</v>
      </c>
      <c r="C729">
        <v>3</v>
      </c>
      <c r="D729">
        <v>72</v>
      </c>
      <c r="E729">
        <v>0</v>
      </c>
      <c r="F729">
        <v>3</v>
      </c>
      <c r="G729">
        <v>0</v>
      </c>
    </row>
    <row r="730" spans="1:7">
      <c r="A730" t="s">
        <v>142</v>
      </c>
      <c r="B730">
        <v>12</v>
      </c>
      <c r="C730">
        <v>4</v>
      </c>
      <c r="D730">
        <v>76</v>
      </c>
      <c r="E730">
        <v>0</v>
      </c>
      <c r="F730">
        <v>3</v>
      </c>
      <c r="G730">
        <v>0</v>
      </c>
    </row>
    <row r="731" spans="1:7">
      <c r="A731" t="s">
        <v>142</v>
      </c>
      <c r="B731">
        <v>12</v>
      </c>
      <c r="C731">
        <v>5</v>
      </c>
      <c r="D731">
        <v>88</v>
      </c>
      <c r="E731">
        <v>0</v>
      </c>
      <c r="F731">
        <v>2</v>
      </c>
      <c r="G731">
        <v>0</v>
      </c>
    </row>
    <row r="732" spans="1:7">
      <c r="A732" t="s">
        <v>142</v>
      </c>
      <c r="B732">
        <v>12</v>
      </c>
      <c r="C732">
        <v>6</v>
      </c>
      <c r="D732">
        <v>107</v>
      </c>
      <c r="E732">
        <v>0</v>
      </c>
      <c r="F732">
        <v>1</v>
      </c>
      <c r="G732">
        <v>0</v>
      </c>
    </row>
    <row r="733" spans="1:7">
      <c r="A733" t="s">
        <v>142</v>
      </c>
      <c r="B733">
        <v>12</v>
      </c>
      <c r="C733">
        <v>7</v>
      </c>
      <c r="D733">
        <v>118</v>
      </c>
      <c r="E733">
        <v>0</v>
      </c>
      <c r="F733">
        <v>0</v>
      </c>
      <c r="G733">
        <v>0</v>
      </c>
    </row>
    <row r="734" spans="1:7">
      <c r="A734" t="s">
        <v>142</v>
      </c>
      <c r="B734">
        <v>12</v>
      </c>
      <c r="C734">
        <v>8</v>
      </c>
      <c r="D734">
        <v>118</v>
      </c>
      <c r="E734">
        <v>0</v>
      </c>
      <c r="F734">
        <v>0</v>
      </c>
      <c r="G734">
        <v>0</v>
      </c>
    </row>
    <row r="735" spans="1:7">
      <c r="A735" t="s">
        <v>142</v>
      </c>
      <c r="B735">
        <v>12</v>
      </c>
      <c r="C735">
        <v>9</v>
      </c>
      <c r="D735">
        <v>118</v>
      </c>
      <c r="E735">
        <v>0</v>
      </c>
      <c r="F735">
        <v>0</v>
      </c>
      <c r="G735">
        <v>0</v>
      </c>
    </row>
    <row r="736" spans="1:7">
      <c r="A736" t="s">
        <v>142</v>
      </c>
      <c r="B736">
        <v>12</v>
      </c>
      <c r="C736">
        <v>10</v>
      </c>
      <c r="D736">
        <v>118</v>
      </c>
      <c r="E736">
        <v>0</v>
      </c>
      <c r="F736">
        <v>0</v>
      </c>
      <c r="G736">
        <v>0</v>
      </c>
    </row>
    <row r="737" spans="1:7">
      <c r="A737" t="s">
        <v>142</v>
      </c>
      <c r="B737">
        <v>12</v>
      </c>
      <c r="C737">
        <v>11</v>
      </c>
      <c r="D737">
        <v>118</v>
      </c>
      <c r="E737">
        <v>0</v>
      </c>
      <c r="F737">
        <v>0</v>
      </c>
      <c r="G737">
        <v>0</v>
      </c>
    </row>
    <row r="738" spans="1:7">
      <c r="A738" t="s">
        <v>142</v>
      </c>
      <c r="B738">
        <v>12</v>
      </c>
      <c r="C738">
        <v>12</v>
      </c>
      <c r="D738">
        <v>118</v>
      </c>
      <c r="E738">
        <v>0</v>
      </c>
      <c r="F738">
        <v>0</v>
      </c>
      <c r="G738">
        <v>0</v>
      </c>
    </row>
    <row r="739" spans="1:7">
      <c r="A739" t="s">
        <v>142</v>
      </c>
      <c r="B739">
        <v>12</v>
      </c>
      <c r="C739">
        <v>13</v>
      </c>
      <c r="D739">
        <v>118</v>
      </c>
      <c r="E739">
        <v>0</v>
      </c>
      <c r="F739">
        <v>0</v>
      </c>
      <c r="G739">
        <v>0</v>
      </c>
    </row>
    <row r="740" spans="1:7">
      <c r="A740" t="s">
        <v>142</v>
      </c>
      <c r="B740">
        <v>12</v>
      </c>
      <c r="C740">
        <v>14</v>
      </c>
      <c r="D740">
        <v>118</v>
      </c>
      <c r="E740">
        <v>0</v>
      </c>
      <c r="F740">
        <v>0</v>
      </c>
      <c r="G740">
        <v>0</v>
      </c>
    </row>
    <row r="741" spans="1:7">
      <c r="A741" t="s">
        <v>142</v>
      </c>
      <c r="B741">
        <v>12</v>
      </c>
      <c r="C741">
        <v>15</v>
      </c>
      <c r="D741">
        <v>118</v>
      </c>
      <c r="E741">
        <v>0</v>
      </c>
      <c r="F741">
        <v>0</v>
      </c>
      <c r="G741">
        <v>0</v>
      </c>
    </row>
    <row r="742" spans="1:7">
      <c r="A742" t="s">
        <v>142</v>
      </c>
      <c r="B742">
        <v>12</v>
      </c>
      <c r="C742">
        <v>16</v>
      </c>
      <c r="D742">
        <v>118</v>
      </c>
      <c r="E742">
        <v>0</v>
      </c>
      <c r="F742">
        <v>0</v>
      </c>
      <c r="G742">
        <v>0</v>
      </c>
    </row>
    <row r="743" spans="1:7">
      <c r="A743" t="s">
        <v>142</v>
      </c>
      <c r="B743">
        <v>12</v>
      </c>
      <c r="C743">
        <v>17</v>
      </c>
      <c r="D743">
        <v>118</v>
      </c>
      <c r="E743">
        <v>0</v>
      </c>
      <c r="F743">
        <v>0</v>
      </c>
      <c r="G743">
        <v>0</v>
      </c>
    </row>
    <row r="744" spans="1:7">
      <c r="A744" t="s">
        <v>206</v>
      </c>
      <c r="B744">
        <v>1</v>
      </c>
      <c r="C744">
        <v>1</v>
      </c>
      <c r="D744">
        <v>20</v>
      </c>
      <c r="E744">
        <v>0</v>
      </c>
      <c r="F744">
        <v>2</v>
      </c>
      <c r="G744">
        <v>0</v>
      </c>
    </row>
    <row r="745" spans="1:7">
      <c r="A745" t="s">
        <v>206</v>
      </c>
      <c r="B745">
        <v>1</v>
      </c>
      <c r="C745">
        <v>2</v>
      </c>
      <c r="D745">
        <v>36</v>
      </c>
      <c r="E745">
        <v>0</v>
      </c>
      <c r="F745">
        <v>2</v>
      </c>
      <c r="G745">
        <v>0</v>
      </c>
    </row>
    <row r="746" spans="1:7">
      <c r="A746" t="s">
        <v>206</v>
      </c>
      <c r="B746">
        <v>1</v>
      </c>
      <c r="C746">
        <v>3</v>
      </c>
      <c r="D746">
        <v>36</v>
      </c>
      <c r="E746">
        <v>0</v>
      </c>
      <c r="F746">
        <v>2</v>
      </c>
      <c r="G746">
        <v>0</v>
      </c>
    </row>
    <row r="747" spans="1:7">
      <c r="A747" t="s">
        <v>206</v>
      </c>
      <c r="B747">
        <v>1</v>
      </c>
      <c r="C747">
        <v>4</v>
      </c>
      <c r="D747">
        <v>36</v>
      </c>
      <c r="E747">
        <v>0</v>
      </c>
      <c r="F747">
        <v>2</v>
      </c>
      <c r="G747">
        <v>0</v>
      </c>
    </row>
    <row r="748" spans="1:7">
      <c r="A748" t="s">
        <v>206</v>
      </c>
      <c r="B748">
        <v>1</v>
      </c>
      <c r="C748">
        <v>5</v>
      </c>
      <c r="D748">
        <v>88</v>
      </c>
      <c r="E748">
        <v>0</v>
      </c>
      <c r="F748">
        <v>0</v>
      </c>
      <c r="G748">
        <v>0</v>
      </c>
    </row>
    <row r="749" spans="1:7">
      <c r="A749" t="s">
        <v>206</v>
      </c>
      <c r="B749">
        <v>1</v>
      </c>
      <c r="C749">
        <v>6</v>
      </c>
      <c r="D749">
        <v>88</v>
      </c>
      <c r="E749">
        <v>0</v>
      </c>
      <c r="F749">
        <v>0</v>
      </c>
      <c r="G749">
        <v>0</v>
      </c>
    </row>
    <row r="750" spans="1:7">
      <c r="A750" t="s">
        <v>206</v>
      </c>
      <c r="B750">
        <v>1</v>
      </c>
      <c r="C750">
        <v>7</v>
      </c>
      <c r="D750">
        <v>88</v>
      </c>
      <c r="E750">
        <v>0</v>
      </c>
      <c r="F750">
        <v>0</v>
      </c>
      <c r="G750">
        <v>0</v>
      </c>
    </row>
    <row r="751" spans="1:7">
      <c r="A751" t="s">
        <v>214</v>
      </c>
      <c r="B751">
        <v>1</v>
      </c>
      <c r="C751">
        <v>1</v>
      </c>
      <c r="D751">
        <v>15</v>
      </c>
      <c r="E751">
        <v>0</v>
      </c>
      <c r="F751">
        <v>1</v>
      </c>
      <c r="G751">
        <v>0</v>
      </c>
    </row>
    <row r="752" spans="1:7">
      <c r="A752" t="s">
        <v>214</v>
      </c>
      <c r="B752">
        <v>1</v>
      </c>
      <c r="C752">
        <v>2</v>
      </c>
      <c r="D752">
        <v>17</v>
      </c>
      <c r="E752">
        <v>0</v>
      </c>
      <c r="F752">
        <v>1</v>
      </c>
      <c r="G752">
        <v>0</v>
      </c>
    </row>
    <row r="753" spans="1:7">
      <c r="A753" t="s">
        <v>214</v>
      </c>
      <c r="B753">
        <v>1</v>
      </c>
      <c r="C753">
        <v>3</v>
      </c>
      <c r="D753">
        <v>23</v>
      </c>
      <c r="E753">
        <v>0</v>
      </c>
      <c r="F753">
        <v>2</v>
      </c>
      <c r="G753">
        <v>0</v>
      </c>
    </row>
    <row r="754" spans="1:7">
      <c r="A754" t="s">
        <v>214</v>
      </c>
      <c r="B754">
        <v>1</v>
      </c>
      <c r="C754">
        <v>4</v>
      </c>
      <c r="D754">
        <v>25</v>
      </c>
      <c r="E754">
        <v>0</v>
      </c>
      <c r="F754">
        <v>2</v>
      </c>
      <c r="G754">
        <v>0</v>
      </c>
    </row>
    <row r="755" spans="1:7">
      <c r="A755" t="s">
        <v>214</v>
      </c>
      <c r="B755">
        <v>1</v>
      </c>
      <c r="C755">
        <v>5</v>
      </c>
      <c r="D755">
        <v>27</v>
      </c>
      <c r="E755">
        <v>0</v>
      </c>
      <c r="F755">
        <v>2</v>
      </c>
      <c r="G755">
        <v>0</v>
      </c>
    </row>
    <row r="756" spans="1:7">
      <c r="A756" t="s">
        <v>214</v>
      </c>
      <c r="B756">
        <v>1</v>
      </c>
      <c r="C756">
        <v>6</v>
      </c>
      <c r="D756">
        <v>29</v>
      </c>
      <c r="E756">
        <v>0</v>
      </c>
      <c r="F756">
        <v>2</v>
      </c>
      <c r="G756">
        <v>0</v>
      </c>
    </row>
    <row r="757" spans="1:7">
      <c r="A757" t="s">
        <v>214</v>
      </c>
      <c r="B757">
        <v>1</v>
      </c>
      <c r="C757">
        <v>7</v>
      </c>
      <c r="D757">
        <v>31</v>
      </c>
      <c r="E757">
        <v>0</v>
      </c>
      <c r="F757">
        <v>2</v>
      </c>
      <c r="G757">
        <v>0</v>
      </c>
    </row>
    <row r="758" spans="1:7">
      <c r="A758" t="s">
        <v>214</v>
      </c>
      <c r="B758">
        <v>1</v>
      </c>
      <c r="C758">
        <v>8</v>
      </c>
      <c r="D758">
        <v>33</v>
      </c>
      <c r="E758">
        <v>0</v>
      </c>
      <c r="F758">
        <v>2</v>
      </c>
      <c r="G758">
        <v>0</v>
      </c>
    </row>
    <row r="759" spans="1:7">
      <c r="A759" t="s">
        <v>214</v>
      </c>
      <c r="B759">
        <v>1</v>
      </c>
      <c r="C759">
        <v>9</v>
      </c>
      <c r="D759">
        <v>37</v>
      </c>
      <c r="E759">
        <v>0</v>
      </c>
      <c r="F759">
        <v>2</v>
      </c>
      <c r="G759">
        <v>0</v>
      </c>
    </row>
    <row r="760" spans="1:7">
      <c r="A760" t="s">
        <v>214</v>
      </c>
      <c r="B760">
        <v>1</v>
      </c>
      <c r="C760">
        <v>10</v>
      </c>
      <c r="D760">
        <v>37</v>
      </c>
      <c r="E760">
        <v>0</v>
      </c>
      <c r="F760">
        <v>2</v>
      </c>
      <c r="G760">
        <v>0</v>
      </c>
    </row>
    <row r="761" spans="1:7">
      <c r="A761" t="s">
        <v>214</v>
      </c>
      <c r="B761">
        <v>1</v>
      </c>
      <c r="C761">
        <v>11</v>
      </c>
      <c r="D761">
        <v>39</v>
      </c>
      <c r="E761">
        <v>0</v>
      </c>
      <c r="F761">
        <v>2</v>
      </c>
      <c r="G761">
        <v>0</v>
      </c>
    </row>
    <row r="762" spans="1:7">
      <c r="A762" t="s">
        <v>214</v>
      </c>
      <c r="B762">
        <v>1</v>
      </c>
      <c r="C762">
        <v>12</v>
      </c>
      <c r="D762">
        <v>41</v>
      </c>
      <c r="E762">
        <v>0</v>
      </c>
      <c r="F762">
        <v>2</v>
      </c>
      <c r="G762">
        <v>0</v>
      </c>
    </row>
    <row r="763" spans="1:7">
      <c r="A763" t="s">
        <v>214</v>
      </c>
      <c r="B763">
        <v>1</v>
      </c>
      <c r="C763">
        <v>13</v>
      </c>
      <c r="D763">
        <v>43</v>
      </c>
      <c r="E763">
        <v>0</v>
      </c>
      <c r="F763">
        <v>2</v>
      </c>
      <c r="G763">
        <v>0</v>
      </c>
    </row>
    <row r="764" spans="1:7">
      <c r="A764" t="s">
        <v>214</v>
      </c>
      <c r="B764">
        <v>1</v>
      </c>
      <c r="C764">
        <v>14</v>
      </c>
      <c r="D764">
        <v>45</v>
      </c>
      <c r="E764">
        <v>0</v>
      </c>
      <c r="F764">
        <v>1</v>
      </c>
      <c r="G764">
        <v>0</v>
      </c>
    </row>
    <row r="765" spans="1:7">
      <c r="A765" t="s">
        <v>214</v>
      </c>
      <c r="B765">
        <v>1</v>
      </c>
      <c r="C765">
        <v>15</v>
      </c>
      <c r="D765">
        <v>45</v>
      </c>
      <c r="E765">
        <v>0</v>
      </c>
      <c r="F765">
        <v>1</v>
      </c>
      <c r="G765">
        <v>0</v>
      </c>
    </row>
    <row r="766" spans="1:7">
      <c r="A766" t="s">
        <v>214</v>
      </c>
      <c r="B766">
        <v>1</v>
      </c>
      <c r="C766">
        <v>16</v>
      </c>
      <c r="D766">
        <v>168</v>
      </c>
      <c r="E766">
        <v>0</v>
      </c>
      <c r="F766">
        <v>0</v>
      </c>
      <c r="G766">
        <v>0</v>
      </c>
    </row>
    <row r="767" spans="1:7">
      <c r="A767" t="s">
        <v>214</v>
      </c>
      <c r="B767">
        <v>3</v>
      </c>
      <c r="C767">
        <v>1</v>
      </c>
      <c r="D767">
        <v>281</v>
      </c>
      <c r="E767">
        <v>0</v>
      </c>
      <c r="F767">
        <v>0</v>
      </c>
      <c r="G767">
        <v>0</v>
      </c>
    </row>
    <row r="768" spans="1:7">
      <c r="A768" t="s">
        <v>214</v>
      </c>
      <c r="B768">
        <v>3</v>
      </c>
      <c r="C768">
        <v>2</v>
      </c>
      <c r="D768">
        <v>332</v>
      </c>
      <c r="E768">
        <v>0</v>
      </c>
      <c r="F768">
        <v>0</v>
      </c>
      <c r="G768">
        <v>0</v>
      </c>
    </row>
    <row r="769" spans="1:7">
      <c r="A769" t="s">
        <v>214</v>
      </c>
      <c r="B769">
        <v>3</v>
      </c>
      <c r="C769">
        <v>3</v>
      </c>
      <c r="D769">
        <v>332</v>
      </c>
      <c r="E769">
        <v>0</v>
      </c>
      <c r="F769">
        <v>0</v>
      </c>
      <c r="G769">
        <v>0</v>
      </c>
    </row>
    <row r="770" spans="1:7">
      <c r="A770" t="s">
        <v>214</v>
      </c>
      <c r="B770">
        <v>4</v>
      </c>
      <c r="C770">
        <v>1</v>
      </c>
      <c r="D770">
        <v>113</v>
      </c>
      <c r="E770">
        <v>0</v>
      </c>
      <c r="F770">
        <v>2</v>
      </c>
      <c r="G770">
        <v>0</v>
      </c>
    </row>
    <row r="771" spans="1:7">
      <c r="A771" t="s">
        <v>214</v>
      </c>
      <c r="B771">
        <v>4</v>
      </c>
      <c r="C771">
        <v>2</v>
      </c>
      <c r="D771">
        <v>118</v>
      </c>
      <c r="E771">
        <v>0</v>
      </c>
      <c r="F771">
        <v>1</v>
      </c>
      <c r="G771">
        <v>0</v>
      </c>
    </row>
    <row r="772" spans="1:7">
      <c r="A772" t="s">
        <v>214</v>
      </c>
      <c r="B772">
        <v>4</v>
      </c>
      <c r="C772">
        <v>3</v>
      </c>
      <c r="D772">
        <v>120</v>
      </c>
      <c r="E772">
        <v>0</v>
      </c>
      <c r="F772">
        <v>1</v>
      </c>
      <c r="G772">
        <v>0</v>
      </c>
    </row>
    <row r="773" spans="1:7">
      <c r="A773" t="s">
        <v>214</v>
      </c>
      <c r="B773">
        <v>4</v>
      </c>
      <c r="C773">
        <v>4</v>
      </c>
      <c r="D773">
        <v>123</v>
      </c>
      <c r="E773">
        <v>0</v>
      </c>
      <c r="F773">
        <v>1</v>
      </c>
      <c r="G773">
        <v>0</v>
      </c>
    </row>
    <row r="774" spans="1:7">
      <c r="A774" t="s">
        <v>214</v>
      </c>
      <c r="B774">
        <v>4</v>
      </c>
      <c r="C774">
        <v>5</v>
      </c>
      <c r="D774">
        <v>123</v>
      </c>
      <c r="E774">
        <v>0</v>
      </c>
      <c r="F774">
        <v>1</v>
      </c>
      <c r="G774">
        <v>0</v>
      </c>
    </row>
    <row r="775" spans="1:7">
      <c r="A775" t="s">
        <v>214</v>
      </c>
      <c r="B775">
        <v>4</v>
      </c>
      <c r="C775">
        <v>6</v>
      </c>
      <c r="D775">
        <v>123</v>
      </c>
      <c r="E775">
        <v>0</v>
      </c>
      <c r="F775">
        <v>1</v>
      </c>
      <c r="G775">
        <v>0</v>
      </c>
    </row>
    <row r="776" spans="1:7">
      <c r="A776" t="s">
        <v>214</v>
      </c>
      <c r="B776">
        <v>4</v>
      </c>
      <c r="C776">
        <v>7</v>
      </c>
      <c r="D776">
        <v>129</v>
      </c>
      <c r="E776">
        <v>0</v>
      </c>
      <c r="F776">
        <v>0</v>
      </c>
      <c r="G776">
        <v>0</v>
      </c>
    </row>
    <row r="777" spans="1:7">
      <c r="A777" t="s">
        <v>214</v>
      </c>
      <c r="B777">
        <v>4</v>
      </c>
      <c r="C777">
        <v>8</v>
      </c>
      <c r="D777">
        <v>129</v>
      </c>
      <c r="E777">
        <v>0</v>
      </c>
      <c r="F777">
        <v>0</v>
      </c>
      <c r="G777">
        <v>0</v>
      </c>
    </row>
    <row r="778" spans="1:7">
      <c r="A778" t="s">
        <v>214</v>
      </c>
      <c r="B778">
        <v>4</v>
      </c>
      <c r="C778">
        <v>9</v>
      </c>
      <c r="D778">
        <v>129</v>
      </c>
      <c r="E778">
        <v>0</v>
      </c>
      <c r="F778">
        <v>0</v>
      </c>
      <c r="G778">
        <v>0</v>
      </c>
    </row>
    <row r="779" spans="1:7">
      <c r="A779" t="s">
        <v>214</v>
      </c>
      <c r="B779">
        <v>6</v>
      </c>
      <c r="C779">
        <v>1</v>
      </c>
      <c r="D779">
        <v>80</v>
      </c>
      <c r="E779">
        <v>0</v>
      </c>
      <c r="F779">
        <v>1</v>
      </c>
      <c r="G779">
        <v>0</v>
      </c>
    </row>
    <row r="780" spans="1:7">
      <c r="A780" t="s">
        <v>214</v>
      </c>
      <c r="B780">
        <v>6</v>
      </c>
      <c r="C780">
        <v>2</v>
      </c>
      <c r="D780">
        <v>121</v>
      </c>
      <c r="E780">
        <v>0</v>
      </c>
      <c r="F780">
        <v>0</v>
      </c>
      <c r="G780">
        <v>0</v>
      </c>
    </row>
    <row r="781" spans="1:7">
      <c r="A781" t="s">
        <v>214</v>
      </c>
      <c r="B781">
        <v>7</v>
      </c>
      <c r="C781">
        <v>1</v>
      </c>
      <c r="D781">
        <v>2</v>
      </c>
      <c r="E781">
        <v>0</v>
      </c>
      <c r="F781">
        <v>0</v>
      </c>
      <c r="G781">
        <v>0</v>
      </c>
    </row>
    <row r="782" spans="1:7">
      <c r="A782" t="s">
        <v>214</v>
      </c>
      <c r="B782">
        <v>7</v>
      </c>
      <c r="C782">
        <v>2</v>
      </c>
      <c r="D782">
        <v>4</v>
      </c>
      <c r="E782">
        <v>0</v>
      </c>
      <c r="F782">
        <v>0</v>
      </c>
      <c r="G782">
        <v>0</v>
      </c>
    </row>
    <row r="783" spans="1:7">
      <c r="A783" t="s">
        <v>214</v>
      </c>
      <c r="B783">
        <v>7</v>
      </c>
      <c r="C783">
        <v>3</v>
      </c>
      <c r="D783">
        <v>6</v>
      </c>
      <c r="E783">
        <v>0</v>
      </c>
      <c r="F783">
        <v>0</v>
      </c>
      <c r="G783">
        <v>0</v>
      </c>
    </row>
    <row r="784" spans="1:7">
      <c r="A784" t="s">
        <v>214</v>
      </c>
      <c r="B784">
        <v>7</v>
      </c>
      <c r="C784">
        <v>4</v>
      </c>
      <c r="D784">
        <v>8</v>
      </c>
      <c r="E784">
        <v>0</v>
      </c>
      <c r="F784">
        <v>0</v>
      </c>
      <c r="G784">
        <v>0</v>
      </c>
    </row>
    <row r="785" spans="1:7">
      <c r="A785" t="s">
        <v>214</v>
      </c>
      <c r="B785">
        <v>7</v>
      </c>
      <c r="C785">
        <v>5</v>
      </c>
      <c r="D785">
        <v>14</v>
      </c>
      <c r="E785">
        <v>0</v>
      </c>
      <c r="F785">
        <v>0</v>
      </c>
      <c r="G785">
        <v>0</v>
      </c>
    </row>
    <row r="786" spans="1:7">
      <c r="A786" t="s">
        <v>214</v>
      </c>
      <c r="B786">
        <v>7</v>
      </c>
      <c r="C786">
        <v>6</v>
      </c>
      <c r="D786">
        <v>43</v>
      </c>
      <c r="E786">
        <v>0</v>
      </c>
      <c r="F786">
        <v>0</v>
      </c>
      <c r="G786">
        <v>0</v>
      </c>
    </row>
    <row r="787" spans="1:7">
      <c r="A787" t="s">
        <v>214</v>
      </c>
      <c r="B787">
        <v>7</v>
      </c>
      <c r="C787">
        <v>7</v>
      </c>
      <c r="D787">
        <v>43</v>
      </c>
      <c r="E787">
        <v>0</v>
      </c>
      <c r="F787">
        <v>0</v>
      </c>
      <c r="G787">
        <v>0</v>
      </c>
    </row>
    <row r="788" spans="1:7">
      <c r="A788" t="s">
        <v>247</v>
      </c>
      <c r="B788">
        <v>3</v>
      </c>
      <c r="C788">
        <v>1</v>
      </c>
      <c r="D788">
        <v>7</v>
      </c>
      <c r="E788">
        <v>0</v>
      </c>
      <c r="F788">
        <v>0</v>
      </c>
      <c r="G788">
        <v>0</v>
      </c>
    </row>
    <row r="789" spans="1:7">
      <c r="A789" t="s">
        <v>247</v>
      </c>
      <c r="B789">
        <v>3</v>
      </c>
      <c r="C789">
        <v>2</v>
      </c>
      <c r="D789">
        <v>48</v>
      </c>
      <c r="E789">
        <v>0</v>
      </c>
      <c r="F789">
        <v>1</v>
      </c>
      <c r="G789">
        <v>0</v>
      </c>
    </row>
    <row r="790" spans="1:7">
      <c r="A790" t="s">
        <v>247</v>
      </c>
      <c r="B790">
        <v>3</v>
      </c>
      <c r="C790">
        <v>3</v>
      </c>
      <c r="D790">
        <v>62</v>
      </c>
      <c r="E790">
        <v>0</v>
      </c>
      <c r="F790">
        <v>0</v>
      </c>
      <c r="G790">
        <v>0</v>
      </c>
    </row>
    <row r="791" spans="1:7">
      <c r="A791" t="s">
        <v>247</v>
      </c>
      <c r="B791">
        <v>7</v>
      </c>
      <c r="C791">
        <v>1</v>
      </c>
      <c r="D791">
        <v>3</v>
      </c>
      <c r="E791">
        <v>0</v>
      </c>
      <c r="F791">
        <v>0</v>
      </c>
      <c r="G791">
        <v>0</v>
      </c>
    </row>
    <row r="792" spans="1:7">
      <c r="A792" t="s">
        <v>247</v>
      </c>
      <c r="B792">
        <v>7</v>
      </c>
      <c r="C792">
        <v>2</v>
      </c>
      <c r="D792">
        <v>5</v>
      </c>
      <c r="E792">
        <v>0</v>
      </c>
      <c r="F792">
        <v>0</v>
      </c>
      <c r="G792">
        <v>0</v>
      </c>
    </row>
    <row r="793" spans="1:7">
      <c r="A793" t="s">
        <v>247</v>
      </c>
      <c r="B793">
        <v>7</v>
      </c>
      <c r="C793">
        <v>3</v>
      </c>
      <c r="D793">
        <v>17</v>
      </c>
      <c r="E793">
        <v>0</v>
      </c>
      <c r="F793">
        <v>0</v>
      </c>
      <c r="G793">
        <v>0</v>
      </c>
    </row>
    <row r="794" spans="1:7">
      <c r="A794" t="s">
        <v>247</v>
      </c>
      <c r="B794">
        <v>7</v>
      </c>
      <c r="C794">
        <v>4</v>
      </c>
      <c r="D794">
        <v>30</v>
      </c>
      <c r="E794">
        <v>0</v>
      </c>
      <c r="F794">
        <v>0</v>
      </c>
      <c r="G794">
        <v>0</v>
      </c>
    </row>
    <row r="795" spans="1:7">
      <c r="A795" t="s">
        <v>247</v>
      </c>
      <c r="B795">
        <v>7</v>
      </c>
      <c r="C795">
        <v>5</v>
      </c>
      <c r="D795">
        <v>30</v>
      </c>
      <c r="E795">
        <v>0</v>
      </c>
      <c r="F795">
        <v>0</v>
      </c>
      <c r="G795">
        <v>0</v>
      </c>
    </row>
    <row r="796" spans="1:7">
      <c r="A796" t="s">
        <v>247</v>
      </c>
      <c r="B796">
        <v>7</v>
      </c>
      <c r="C796">
        <v>6</v>
      </c>
      <c r="D796">
        <v>56</v>
      </c>
      <c r="E796">
        <v>0</v>
      </c>
      <c r="F796">
        <v>0</v>
      </c>
      <c r="G796">
        <v>0</v>
      </c>
    </row>
    <row r="797" spans="1:7">
      <c r="A797" t="s">
        <v>247</v>
      </c>
      <c r="B797">
        <v>8</v>
      </c>
      <c r="C797">
        <v>1</v>
      </c>
      <c r="D797">
        <v>5</v>
      </c>
      <c r="E797">
        <v>0</v>
      </c>
      <c r="F797">
        <v>0</v>
      </c>
      <c r="G797">
        <v>0</v>
      </c>
    </row>
    <row r="798" spans="1:7">
      <c r="A798" t="s">
        <v>247</v>
      </c>
      <c r="B798">
        <v>8</v>
      </c>
      <c r="C798">
        <v>2</v>
      </c>
      <c r="D798">
        <v>17</v>
      </c>
      <c r="E798">
        <v>0</v>
      </c>
      <c r="F798">
        <v>0</v>
      </c>
      <c r="G798">
        <v>0</v>
      </c>
    </row>
    <row r="799" spans="1:7">
      <c r="A799" t="s">
        <v>247</v>
      </c>
      <c r="B799">
        <v>8</v>
      </c>
      <c r="C799">
        <v>3</v>
      </c>
      <c r="D799">
        <v>20</v>
      </c>
      <c r="E799">
        <v>0</v>
      </c>
      <c r="F799">
        <v>1</v>
      </c>
      <c r="G799">
        <v>0</v>
      </c>
    </row>
    <row r="800" spans="1:7">
      <c r="A800" t="s">
        <v>247</v>
      </c>
      <c r="B800">
        <v>8</v>
      </c>
      <c r="C800">
        <v>4</v>
      </c>
      <c r="D800">
        <v>30</v>
      </c>
      <c r="E800">
        <v>0</v>
      </c>
      <c r="F800">
        <v>1</v>
      </c>
      <c r="G800">
        <v>0</v>
      </c>
    </row>
    <row r="801" spans="1:7">
      <c r="A801" t="s">
        <v>247</v>
      </c>
      <c r="B801">
        <v>8</v>
      </c>
      <c r="C801">
        <v>5</v>
      </c>
      <c r="D801">
        <v>32</v>
      </c>
      <c r="E801">
        <v>0</v>
      </c>
      <c r="F801">
        <v>1</v>
      </c>
      <c r="G801">
        <v>0</v>
      </c>
    </row>
    <row r="802" spans="1:7">
      <c r="A802" t="s">
        <v>247</v>
      </c>
      <c r="B802">
        <v>8</v>
      </c>
      <c r="C802">
        <v>6</v>
      </c>
      <c r="D802">
        <v>66</v>
      </c>
      <c r="E802">
        <v>0</v>
      </c>
      <c r="F802">
        <v>1</v>
      </c>
      <c r="G802">
        <v>0</v>
      </c>
    </row>
    <row r="803" spans="1:7">
      <c r="A803" t="s">
        <v>247</v>
      </c>
      <c r="B803">
        <v>8</v>
      </c>
      <c r="C803">
        <v>7</v>
      </c>
      <c r="D803">
        <v>69</v>
      </c>
      <c r="E803">
        <v>0</v>
      </c>
      <c r="F803">
        <v>1</v>
      </c>
      <c r="G803">
        <v>0</v>
      </c>
    </row>
    <row r="804" spans="1:7">
      <c r="A804" t="s">
        <v>247</v>
      </c>
      <c r="B804">
        <v>8</v>
      </c>
      <c r="C804">
        <v>8</v>
      </c>
      <c r="D804">
        <v>71</v>
      </c>
      <c r="E804">
        <v>0</v>
      </c>
      <c r="F804">
        <v>1</v>
      </c>
      <c r="G804">
        <v>0</v>
      </c>
    </row>
    <row r="805" spans="1:7">
      <c r="A805" t="s">
        <v>247</v>
      </c>
      <c r="B805">
        <v>8</v>
      </c>
      <c r="C805">
        <v>9</v>
      </c>
      <c r="D805">
        <v>76</v>
      </c>
      <c r="E805">
        <v>0</v>
      </c>
      <c r="F805">
        <v>1</v>
      </c>
      <c r="G805">
        <v>0</v>
      </c>
    </row>
    <row r="806" spans="1:7">
      <c r="A806" t="s">
        <v>247</v>
      </c>
      <c r="B806">
        <v>8</v>
      </c>
      <c r="C806">
        <v>10</v>
      </c>
      <c r="D806">
        <v>80</v>
      </c>
      <c r="E806">
        <v>0</v>
      </c>
      <c r="F806">
        <v>1</v>
      </c>
      <c r="G806">
        <v>0</v>
      </c>
    </row>
    <row r="807" spans="1:7">
      <c r="A807" t="s">
        <v>247</v>
      </c>
      <c r="B807">
        <v>8</v>
      </c>
      <c r="C807">
        <v>11</v>
      </c>
      <c r="D807">
        <v>86</v>
      </c>
      <c r="E807">
        <v>0</v>
      </c>
      <c r="F807">
        <v>0</v>
      </c>
      <c r="G807">
        <v>0</v>
      </c>
    </row>
    <row r="808" spans="1:7">
      <c r="A808" t="s">
        <v>247</v>
      </c>
      <c r="B808">
        <v>9</v>
      </c>
      <c r="C808">
        <v>1</v>
      </c>
      <c r="D808">
        <v>5</v>
      </c>
      <c r="E808">
        <v>0</v>
      </c>
      <c r="F808">
        <v>0</v>
      </c>
      <c r="G808">
        <v>0</v>
      </c>
    </row>
    <row r="809" spans="1:7">
      <c r="A809" t="s">
        <v>247</v>
      </c>
      <c r="B809">
        <v>9</v>
      </c>
      <c r="C809">
        <v>2</v>
      </c>
      <c r="D809">
        <v>10</v>
      </c>
      <c r="E809">
        <v>0</v>
      </c>
      <c r="F809">
        <v>0</v>
      </c>
      <c r="G809">
        <v>0</v>
      </c>
    </row>
    <row r="810" spans="1:7">
      <c r="A810" t="s">
        <v>247</v>
      </c>
      <c r="B810">
        <v>9</v>
      </c>
      <c r="C810">
        <v>3</v>
      </c>
      <c r="D810">
        <v>20</v>
      </c>
      <c r="E810">
        <v>0</v>
      </c>
      <c r="F810">
        <v>0</v>
      </c>
      <c r="G810">
        <v>0</v>
      </c>
    </row>
    <row r="811" spans="1:7">
      <c r="A811" t="s">
        <v>247</v>
      </c>
      <c r="B811">
        <v>9</v>
      </c>
      <c r="C811">
        <v>4</v>
      </c>
      <c r="D811">
        <v>22</v>
      </c>
      <c r="E811">
        <v>0</v>
      </c>
      <c r="F811">
        <v>0</v>
      </c>
      <c r="G811">
        <v>0</v>
      </c>
    </row>
    <row r="812" spans="1:7">
      <c r="A812" t="s">
        <v>247</v>
      </c>
      <c r="B812">
        <v>9</v>
      </c>
      <c r="C812">
        <v>5</v>
      </c>
      <c r="D812">
        <v>46</v>
      </c>
      <c r="E812">
        <v>0</v>
      </c>
      <c r="F812">
        <v>0</v>
      </c>
      <c r="G812">
        <v>0</v>
      </c>
    </row>
    <row r="813" spans="1:7">
      <c r="A813" t="s">
        <v>247</v>
      </c>
      <c r="B813">
        <v>10</v>
      </c>
      <c r="C813">
        <v>1</v>
      </c>
      <c r="D813">
        <v>2</v>
      </c>
      <c r="E813">
        <v>0</v>
      </c>
      <c r="F813">
        <v>0</v>
      </c>
      <c r="G813">
        <v>0</v>
      </c>
    </row>
    <row r="814" spans="1:7">
      <c r="A814" t="s">
        <v>247</v>
      </c>
      <c r="B814">
        <v>10</v>
      </c>
      <c r="C814">
        <v>2</v>
      </c>
      <c r="D814">
        <v>9</v>
      </c>
      <c r="E814">
        <v>0</v>
      </c>
      <c r="F814">
        <v>0</v>
      </c>
      <c r="G814">
        <v>0</v>
      </c>
    </row>
    <row r="815" spans="1:7">
      <c r="A815" t="s">
        <v>247</v>
      </c>
      <c r="B815">
        <v>10</v>
      </c>
      <c r="C815">
        <v>3</v>
      </c>
      <c r="D815">
        <v>16</v>
      </c>
      <c r="E815">
        <v>0</v>
      </c>
      <c r="F815">
        <v>0</v>
      </c>
      <c r="G815">
        <v>0</v>
      </c>
    </row>
    <row r="816" spans="1:7">
      <c r="A816" t="s">
        <v>247</v>
      </c>
      <c r="B816">
        <v>10</v>
      </c>
      <c r="C816">
        <v>4</v>
      </c>
      <c r="D816">
        <v>16</v>
      </c>
      <c r="E816">
        <v>0</v>
      </c>
      <c r="F816">
        <v>0</v>
      </c>
      <c r="G816">
        <v>0</v>
      </c>
    </row>
    <row r="817" spans="1:7">
      <c r="A817" t="s">
        <v>247</v>
      </c>
      <c r="B817">
        <v>10</v>
      </c>
      <c r="C817">
        <v>5</v>
      </c>
      <c r="D817">
        <v>23</v>
      </c>
      <c r="E817">
        <v>0</v>
      </c>
      <c r="F817">
        <v>0</v>
      </c>
      <c r="G817">
        <v>0</v>
      </c>
    </row>
    <row r="818" spans="1:7">
      <c r="A818" t="s">
        <v>247</v>
      </c>
      <c r="B818">
        <v>10</v>
      </c>
      <c r="C818">
        <v>6</v>
      </c>
      <c r="D818">
        <v>23</v>
      </c>
      <c r="E818">
        <v>0</v>
      </c>
      <c r="F818">
        <v>0</v>
      </c>
      <c r="G818">
        <v>0</v>
      </c>
    </row>
    <row r="819" spans="1:7">
      <c r="A819" t="s">
        <v>247</v>
      </c>
      <c r="B819">
        <v>10</v>
      </c>
      <c r="C819">
        <v>7</v>
      </c>
      <c r="D819">
        <v>23</v>
      </c>
      <c r="E819">
        <v>0</v>
      </c>
      <c r="F819">
        <v>0</v>
      </c>
      <c r="G819">
        <v>0</v>
      </c>
    </row>
    <row r="820" spans="1:7">
      <c r="A820" t="s">
        <v>247</v>
      </c>
      <c r="B820">
        <v>10</v>
      </c>
      <c r="C820">
        <v>8</v>
      </c>
      <c r="D820">
        <v>27</v>
      </c>
      <c r="E820">
        <v>0</v>
      </c>
      <c r="F820">
        <v>0</v>
      </c>
      <c r="G820">
        <v>0</v>
      </c>
    </row>
    <row r="821" spans="1:7">
      <c r="A821" t="s">
        <v>247</v>
      </c>
      <c r="B821">
        <v>10</v>
      </c>
      <c r="C821">
        <v>9</v>
      </c>
      <c r="D821">
        <v>27</v>
      </c>
      <c r="E821">
        <v>0</v>
      </c>
      <c r="F821">
        <v>0</v>
      </c>
      <c r="G821">
        <v>0</v>
      </c>
    </row>
    <row r="822" spans="1:7">
      <c r="A822" t="s">
        <v>247</v>
      </c>
      <c r="B822">
        <v>10</v>
      </c>
      <c r="C822">
        <v>10</v>
      </c>
      <c r="D822">
        <v>27</v>
      </c>
      <c r="E822">
        <v>0</v>
      </c>
      <c r="F822">
        <v>0</v>
      </c>
      <c r="G822">
        <v>0</v>
      </c>
    </row>
    <row r="823" spans="1:7">
      <c r="A823" t="s">
        <v>247</v>
      </c>
      <c r="B823">
        <v>10</v>
      </c>
      <c r="C823">
        <v>11</v>
      </c>
      <c r="D823">
        <v>30</v>
      </c>
      <c r="E823">
        <v>0</v>
      </c>
      <c r="F823">
        <v>0</v>
      </c>
      <c r="G823">
        <v>0</v>
      </c>
    </row>
    <row r="824" spans="1:7">
      <c r="A824" t="s">
        <v>247</v>
      </c>
      <c r="B824">
        <v>10</v>
      </c>
      <c r="C824">
        <v>12</v>
      </c>
      <c r="D824">
        <v>30</v>
      </c>
      <c r="E824">
        <v>0</v>
      </c>
      <c r="F824">
        <v>0</v>
      </c>
      <c r="G824">
        <v>0</v>
      </c>
    </row>
    <row r="825" spans="1:7">
      <c r="A825" t="s">
        <v>247</v>
      </c>
      <c r="B825">
        <v>10</v>
      </c>
      <c r="C825">
        <v>13</v>
      </c>
      <c r="D825">
        <v>30</v>
      </c>
      <c r="E825">
        <v>0</v>
      </c>
      <c r="F825">
        <v>0</v>
      </c>
      <c r="G825">
        <v>0</v>
      </c>
    </row>
    <row r="826" spans="1:7">
      <c r="A826" t="s">
        <v>247</v>
      </c>
      <c r="B826">
        <v>10</v>
      </c>
      <c r="C826">
        <v>14</v>
      </c>
      <c r="D826">
        <v>30</v>
      </c>
      <c r="E826">
        <v>0</v>
      </c>
      <c r="F826">
        <v>0</v>
      </c>
      <c r="G826">
        <v>0</v>
      </c>
    </row>
    <row r="827" spans="1:7">
      <c r="A827" t="s">
        <v>247</v>
      </c>
      <c r="B827">
        <v>10</v>
      </c>
      <c r="C827">
        <v>15</v>
      </c>
      <c r="D827">
        <v>30</v>
      </c>
      <c r="E827">
        <v>0</v>
      </c>
      <c r="F827">
        <v>0</v>
      </c>
      <c r="G827">
        <v>0</v>
      </c>
    </row>
    <row r="828" spans="1:7">
      <c r="A828" t="s">
        <v>247</v>
      </c>
      <c r="B828">
        <v>10</v>
      </c>
      <c r="C828">
        <v>16</v>
      </c>
      <c r="D828">
        <v>30</v>
      </c>
      <c r="E828">
        <v>0</v>
      </c>
      <c r="F828">
        <v>0</v>
      </c>
      <c r="G828">
        <v>0</v>
      </c>
    </row>
    <row r="829" spans="1:7">
      <c r="A829" t="s">
        <v>247</v>
      </c>
      <c r="B829">
        <v>10</v>
      </c>
      <c r="C829">
        <v>17</v>
      </c>
      <c r="D829">
        <v>30</v>
      </c>
      <c r="E829">
        <v>0</v>
      </c>
      <c r="F829">
        <v>0</v>
      </c>
      <c r="G829">
        <v>0</v>
      </c>
    </row>
    <row r="830" spans="1:7">
      <c r="A830" t="s">
        <v>247</v>
      </c>
      <c r="B830">
        <v>10</v>
      </c>
      <c r="C830">
        <v>18</v>
      </c>
      <c r="D830">
        <v>30</v>
      </c>
      <c r="E830">
        <v>0</v>
      </c>
      <c r="F830">
        <v>0</v>
      </c>
      <c r="G830">
        <v>0</v>
      </c>
    </row>
    <row r="831" spans="1:7">
      <c r="A831" t="s">
        <v>247</v>
      </c>
      <c r="B831">
        <v>10</v>
      </c>
      <c r="C831">
        <v>19</v>
      </c>
      <c r="D831">
        <v>30</v>
      </c>
      <c r="E831">
        <v>0</v>
      </c>
      <c r="F831">
        <v>0</v>
      </c>
      <c r="G831">
        <v>0</v>
      </c>
    </row>
    <row r="832" spans="1:7">
      <c r="A832" t="s">
        <v>247</v>
      </c>
      <c r="B832">
        <v>10</v>
      </c>
      <c r="C832">
        <v>20</v>
      </c>
      <c r="D832">
        <v>30</v>
      </c>
      <c r="E832">
        <v>0</v>
      </c>
      <c r="F832">
        <v>0</v>
      </c>
      <c r="G832">
        <v>0</v>
      </c>
    </row>
    <row r="833" spans="1:7">
      <c r="A833" t="s">
        <v>247</v>
      </c>
      <c r="B833">
        <v>10</v>
      </c>
      <c r="C833">
        <v>21</v>
      </c>
      <c r="D833">
        <v>30</v>
      </c>
      <c r="E833">
        <v>0</v>
      </c>
      <c r="F833">
        <v>0</v>
      </c>
      <c r="G833">
        <v>0</v>
      </c>
    </row>
    <row r="834" spans="1:7">
      <c r="A834" t="s">
        <v>247</v>
      </c>
      <c r="B834">
        <v>10</v>
      </c>
      <c r="C834">
        <v>22</v>
      </c>
      <c r="D834">
        <v>30</v>
      </c>
      <c r="E834">
        <v>0</v>
      </c>
      <c r="F834">
        <v>0</v>
      </c>
      <c r="G834">
        <v>0</v>
      </c>
    </row>
    <row r="835" spans="1:7">
      <c r="A835" t="s">
        <v>247</v>
      </c>
      <c r="B835">
        <v>10</v>
      </c>
      <c r="C835">
        <v>23</v>
      </c>
      <c r="D835">
        <v>30</v>
      </c>
      <c r="E835">
        <v>0</v>
      </c>
      <c r="F835">
        <v>0</v>
      </c>
      <c r="G835">
        <v>0</v>
      </c>
    </row>
    <row r="836" spans="1:7">
      <c r="A836" t="s">
        <v>247</v>
      </c>
      <c r="B836">
        <v>10</v>
      </c>
      <c r="C836">
        <v>24</v>
      </c>
      <c r="D836">
        <v>30</v>
      </c>
      <c r="E836">
        <v>0</v>
      </c>
      <c r="F836">
        <v>0</v>
      </c>
      <c r="G836">
        <v>0</v>
      </c>
    </row>
    <row r="837" spans="1:7">
      <c r="A837" t="s">
        <v>247</v>
      </c>
      <c r="B837">
        <v>10</v>
      </c>
      <c r="C837">
        <v>25</v>
      </c>
      <c r="D837">
        <v>30</v>
      </c>
      <c r="E837">
        <v>0</v>
      </c>
      <c r="F837">
        <v>0</v>
      </c>
      <c r="G837">
        <v>0</v>
      </c>
    </row>
    <row r="838" spans="1:7">
      <c r="A838" t="s">
        <v>247</v>
      </c>
      <c r="B838">
        <v>10</v>
      </c>
      <c r="C838">
        <v>26</v>
      </c>
      <c r="D838">
        <v>30</v>
      </c>
      <c r="E838">
        <v>0</v>
      </c>
      <c r="F838">
        <v>0</v>
      </c>
      <c r="G838">
        <v>0</v>
      </c>
    </row>
    <row r="839" spans="1:7">
      <c r="A839" t="s">
        <v>247</v>
      </c>
      <c r="B839">
        <v>10</v>
      </c>
      <c r="C839">
        <v>27</v>
      </c>
      <c r="D839">
        <v>30</v>
      </c>
      <c r="E839">
        <v>0</v>
      </c>
      <c r="F839">
        <v>0</v>
      </c>
      <c r="G839">
        <v>0</v>
      </c>
    </row>
    <row r="840" spans="1:7">
      <c r="A840" t="s">
        <v>247</v>
      </c>
      <c r="B840">
        <v>10</v>
      </c>
      <c r="C840">
        <v>28</v>
      </c>
      <c r="D840">
        <v>30</v>
      </c>
      <c r="E840">
        <v>0</v>
      </c>
      <c r="F840">
        <v>0</v>
      </c>
      <c r="G840">
        <v>0</v>
      </c>
    </row>
    <row r="841" spans="1:7">
      <c r="A841" t="s">
        <v>247</v>
      </c>
      <c r="B841">
        <v>10</v>
      </c>
      <c r="C841">
        <v>29</v>
      </c>
      <c r="D841">
        <v>30</v>
      </c>
      <c r="E841">
        <v>0</v>
      </c>
      <c r="F841">
        <v>0</v>
      </c>
      <c r="G841">
        <v>0</v>
      </c>
    </row>
    <row r="842" spans="1:7">
      <c r="A842" t="s">
        <v>247</v>
      </c>
      <c r="B842">
        <v>10</v>
      </c>
      <c r="C842">
        <v>30</v>
      </c>
      <c r="D842">
        <v>30</v>
      </c>
      <c r="E842">
        <v>0</v>
      </c>
      <c r="F842">
        <v>0</v>
      </c>
      <c r="G842">
        <v>0</v>
      </c>
    </row>
    <row r="843" spans="1:7">
      <c r="A843" t="s">
        <v>247</v>
      </c>
      <c r="B843">
        <v>10</v>
      </c>
      <c r="C843">
        <v>31</v>
      </c>
      <c r="D843">
        <v>30</v>
      </c>
      <c r="E843">
        <v>0</v>
      </c>
      <c r="F843">
        <v>0</v>
      </c>
      <c r="G843">
        <v>0</v>
      </c>
    </row>
    <row r="844" spans="1:7">
      <c r="A844" t="s">
        <v>247</v>
      </c>
      <c r="B844">
        <v>10</v>
      </c>
      <c r="C844">
        <v>32</v>
      </c>
      <c r="D844">
        <v>30</v>
      </c>
      <c r="E844">
        <v>0</v>
      </c>
      <c r="F844">
        <v>0</v>
      </c>
      <c r="G844">
        <v>0</v>
      </c>
    </row>
    <row r="845" spans="1:7">
      <c r="A845" t="s">
        <v>294</v>
      </c>
      <c r="B845">
        <v>3</v>
      </c>
      <c r="C845">
        <v>1</v>
      </c>
      <c r="D845">
        <v>125</v>
      </c>
      <c r="E845">
        <v>0</v>
      </c>
      <c r="F845">
        <v>1</v>
      </c>
      <c r="G845">
        <v>0</v>
      </c>
    </row>
    <row r="846" spans="1:7">
      <c r="A846" t="s">
        <v>294</v>
      </c>
      <c r="B846">
        <v>3</v>
      </c>
      <c r="C846">
        <v>2</v>
      </c>
      <c r="D846">
        <v>139</v>
      </c>
      <c r="E846">
        <v>0</v>
      </c>
      <c r="F846">
        <v>0</v>
      </c>
      <c r="G846">
        <v>0</v>
      </c>
    </row>
    <row r="847" spans="1:7">
      <c r="A847" t="s">
        <v>295</v>
      </c>
      <c r="B847">
        <v>2</v>
      </c>
      <c r="C847">
        <v>1</v>
      </c>
      <c r="D847">
        <v>29</v>
      </c>
      <c r="E847">
        <v>0</v>
      </c>
      <c r="F847">
        <v>0</v>
      </c>
      <c r="G847">
        <v>0</v>
      </c>
    </row>
    <row r="848" spans="1:7">
      <c r="A848" t="s">
        <v>295</v>
      </c>
      <c r="B848">
        <v>2</v>
      </c>
      <c r="C848">
        <v>2</v>
      </c>
      <c r="D848">
        <v>39</v>
      </c>
      <c r="E848">
        <v>0</v>
      </c>
      <c r="F848">
        <v>2</v>
      </c>
      <c r="G848">
        <v>0</v>
      </c>
    </row>
    <row r="849" spans="1:7">
      <c r="A849" t="s">
        <v>295</v>
      </c>
      <c r="B849">
        <v>2</v>
      </c>
      <c r="C849">
        <v>3</v>
      </c>
      <c r="D849">
        <v>45</v>
      </c>
      <c r="E849">
        <v>0</v>
      </c>
      <c r="F849">
        <v>4</v>
      </c>
      <c r="G849">
        <v>0</v>
      </c>
    </row>
    <row r="850" spans="1:7">
      <c r="A850" t="s">
        <v>295</v>
      </c>
      <c r="B850">
        <v>2</v>
      </c>
      <c r="C850">
        <v>4</v>
      </c>
      <c r="D850">
        <v>57</v>
      </c>
      <c r="E850">
        <v>0</v>
      </c>
      <c r="F850">
        <v>3</v>
      </c>
      <c r="G850">
        <v>0</v>
      </c>
    </row>
    <row r="851" spans="1:7">
      <c r="A851" t="s">
        <v>295</v>
      </c>
      <c r="B851">
        <v>2</v>
      </c>
      <c r="C851">
        <v>5</v>
      </c>
      <c r="D851">
        <v>67</v>
      </c>
      <c r="E851">
        <v>0</v>
      </c>
      <c r="F851">
        <v>2</v>
      </c>
      <c r="G851">
        <v>0</v>
      </c>
    </row>
    <row r="852" spans="1:7">
      <c r="A852" t="s">
        <v>295</v>
      </c>
      <c r="B852">
        <v>2</v>
      </c>
      <c r="C852">
        <v>6</v>
      </c>
      <c r="D852">
        <v>77</v>
      </c>
      <c r="E852">
        <v>0</v>
      </c>
      <c r="F852">
        <v>1</v>
      </c>
      <c r="G852">
        <v>0</v>
      </c>
    </row>
    <row r="853" spans="1:7">
      <c r="A853" t="s">
        <v>295</v>
      </c>
      <c r="B853">
        <v>2</v>
      </c>
      <c r="C853">
        <v>7</v>
      </c>
      <c r="D853">
        <v>92</v>
      </c>
      <c r="E853">
        <v>0</v>
      </c>
      <c r="F853">
        <v>0</v>
      </c>
      <c r="G853">
        <v>0</v>
      </c>
    </row>
    <row r="854" spans="1:7">
      <c r="A854" t="s">
        <v>295</v>
      </c>
      <c r="B854">
        <v>2</v>
      </c>
      <c r="C854">
        <v>8</v>
      </c>
      <c r="D854">
        <v>112</v>
      </c>
      <c r="E854">
        <v>0</v>
      </c>
      <c r="F854">
        <v>0</v>
      </c>
      <c r="G854">
        <v>0</v>
      </c>
    </row>
    <row r="855" spans="1:7">
      <c r="A855" t="s">
        <v>295</v>
      </c>
      <c r="B855">
        <v>3</v>
      </c>
      <c r="C855">
        <v>1</v>
      </c>
      <c r="D855">
        <v>20</v>
      </c>
      <c r="E855">
        <v>0</v>
      </c>
      <c r="F855">
        <v>0</v>
      </c>
      <c r="G855">
        <v>0</v>
      </c>
    </row>
    <row r="856" spans="1:7">
      <c r="A856" t="s">
        <v>295</v>
      </c>
      <c r="B856">
        <v>3</v>
      </c>
      <c r="C856">
        <v>2</v>
      </c>
      <c r="D856">
        <v>32</v>
      </c>
      <c r="E856">
        <v>0</v>
      </c>
      <c r="F856">
        <v>3</v>
      </c>
      <c r="G856">
        <v>0</v>
      </c>
    </row>
    <row r="857" spans="1:7">
      <c r="A857" t="s">
        <v>295</v>
      </c>
      <c r="B857">
        <v>3</v>
      </c>
      <c r="C857">
        <v>3</v>
      </c>
      <c r="D857">
        <v>66</v>
      </c>
      <c r="E857">
        <v>0</v>
      </c>
      <c r="F857">
        <v>2</v>
      </c>
      <c r="G857">
        <v>0</v>
      </c>
    </row>
    <row r="858" spans="1:7">
      <c r="A858" t="s">
        <v>295</v>
      </c>
      <c r="B858">
        <v>3</v>
      </c>
      <c r="C858">
        <v>4</v>
      </c>
      <c r="D858">
        <v>100</v>
      </c>
      <c r="E858">
        <v>0</v>
      </c>
      <c r="F858">
        <v>1</v>
      </c>
      <c r="G858">
        <v>0</v>
      </c>
    </row>
    <row r="859" spans="1:7">
      <c r="A859" t="s">
        <v>295</v>
      </c>
      <c r="B859">
        <v>3</v>
      </c>
      <c r="C859">
        <v>5</v>
      </c>
      <c r="D859">
        <v>156</v>
      </c>
      <c r="E859">
        <v>0</v>
      </c>
      <c r="F859">
        <v>0</v>
      </c>
      <c r="G859">
        <v>0</v>
      </c>
    </row>
    <row r="860" spans="1:7">
      <c r="A860" t="s">
        <v>295</v>
      </c>
      <c r="B860">
        <v>3</v>
      </c>
      <c r="C860">
        <v>6</v>
      </c>
      <c r="D860">
        <v>175</v>
      </c>
      <c r="E860">
        <v>0</v>
      </c>
      <c r="F860">
        <v>0</v>
      </c>
      <c r="G860">
        <v>0</v>
      </c>
    </row>
    <row r="861" spans="1:7">
      <c r="A861" t="s">
        <v>295</v>
      </c>
      <c r="B861">
        <v>4</v>
      </c>
      <c r="C861">
        <v>1</v>
      </c>
      <c r="D861">
        <v>20</v>
      </c>
      <c r="E861">
        <v>0</v>
      </c>
      <c r="F861">
        <v>0</v>
      </c>
      <c r="G861">
        <v>0</v>
      </c>
    </row>
    <row r="862" spans="1:7">
      <c r="A862" t="s">
        <v>295</v>
      </c>
      <c r="B862">
        <v>4</v>
      </c>
      <c r="C862">
        <v>2</v>
      </c>
      <c r="D862">
        <v>38</v>
      </c>
      <c r="E862">
        <v>0</v>
      </c>
      <c r="F862">
        <v>6</v>
      </c>
      <c r="G862">
        <v>0</v>
      </c>
    </row>
    <row r="863" spans="1:7">
      <c r="A863" t="s">
        <v>295</v>
      </c>
      <c r="B863">
        <v>4</v>
      </c>
      <c r="C863">
        <v>3</v>
      </c>
      <c r="D863">
        <v>72</v>
      </c>
      <c r="E863">
        <v>0</v>
      </c>
      <c r="F863">
        <v>5</v>
      </c>
      <c r="G863">
        <v>0</v>
      </c>
    </row>
    <row r="864" spans="1:7">
      <c r="A864" t="s">
        <v>295</v>
      </c>
      <c r="B864">
        <v>4</v>
      </c>
      <c r="C864">
        <v>4</v>
      </c>
      <c r="D864">
        <v>106</v>
      </c>
      <c r="E864">
        <v>0</v>
      </c>
      <c r="F864">
        <v>4</v>
      </c>
      <c r="G864">
        <v>0</v>
      </c>
    </row>
    <row r="865" spans="1:7">
      <c r="A865" t="s">
        <v>295</v>
      </c>
      <c r="B865">
        <v>4</v>
      </c>
      <c r="C865">
        <v>5</v>
      </c>
      <c r="D865">
        <v>158</v>
      </c>
      <c r="E865">
        <v>0</v>
      </c>
      <c r="F865">
        <v>3</v>
      </c>
      <c r="G865">
        <v>0</v>
      </c>
    </row>
    <row r="866" spans="1:7">
      <c r="A866" t="s">
        <v>295</v>
      </c>
      <c r="B866">
        <v>4</v>
      </c>
      <c r="C866">
        <v>6</v>
      </c>
      <c r="D866">
        <v>178</v>
      </c>
      <c r="E866">
        <v>0</v>
      </c>
      <c r="F866">
        <v>2</v>
      </c>
      <c r="G866">
        <v>0</v>
      </c>
    </row>
    <row r="867" spans="1:7">
      <c r="A867" t="s">
        <v>295</v>
      </c>
      <c r="B867">
        <v>4</v>
      </c>
      <c r="C867">
        <v>7</v>
      </c>
      <c r="D867">
        <v>204</v>
      </c>
      <c r="E867">
        <v>0</v>
      </c>
      <c r="F867">
        <v>1</v>
      </c>
      <c r="G867">
        <v>0</v>
      </c>
    </row>
    <row r="868" spans="1:7">
      <c r="A868" t="s">
        <v>295</v>
      </c>
      <c r="B868">
        <v>4</v>
      </c>
      <c r="C868">
        <v>8</v>
      </c>
      <c r="D868">
        <v>235</v>
      </c>
      <c r="E868">
        <v>0</v>
      </c>
      <c r="F868">
        <v>0</v>
      </c>
      <c r="G868">
        <v>0</v>
      </c>
    </row>
    <row r="869" spans="1:7">
      <c r="A869" t="s">
        <v>295</v>
      </c>
      <c r="B869">
        <v>4</v>
      </c>
      <c r="C869">
        <v>9</v>
      </c>
      <c r="D869">
        <v>272</v>
      </c>
      <c r="E869">
        <v>0</v>
      </c>
      <c r="F869">
        <v>0</v>
      </c>
      <c r="G869">
        <v>0</v>
      </c>
    </row>
    <row r="870" spans="1:7">
      <c r="A870" t="s">
        <v>295</v>
      </c>
      <c r="B870">
        <v>5</v>
      </c>
      <c r="C870">
        <v>1</v>
      </c>
      <c r="D870">
        <v>10</v>
      </c>
      <c r="E870">
        <v>0</v>
      </c>
      <c r="F870">
        <v>1</v>
      </c>
      <c r="G870">
        <v>0</v>
      </c>
    </row>
    <row r="871" spans="1:7">
      <c r="A871" t="s">
        <v>295</v>
      </c>
      <c r="B871">
        <v>5</v>
      </c>
      <c r="C871">
        <v>2</v>
      </c>
      <c r="D871">
        <v>14</v>
      </c>
      <c r="E871">
        <v>0</v>
      </c>
      <c r="F871">
        <v>1</v>
      </c>
      <c r="G871">
        <v>0</v>
      </c>
    </row>
    <row r="872" spans="1:7">
      <c r="A872" t="s">
        <v>295</v>
      </c>
      <c r="B872">
        <v>5</v>
      </c>
      <c r="C872">
        <v>3</v>
      </c>
      <c r="D872">
        <v>16</v>
      </c>
      <c r="E872">
        <v>0</v>
      </c>
      <c r="F872">
        <v>1</v>
      </c>
      <c r="G872">
        <v>0</v>
      </c>
    </row>
    <row r="873" spans="1:7">
      <c r="A873" t="s">
        <v>295</v>
      </c>
      <c r="B873">
        <v>5</v>
      </c>
      <c r="C873">
        <v>4</v>
      </c>
      <c r="D873">
        <v>18</v>
      </c>
      <c r="E873">
        <v>0</v>
      </c>
      <c r="F873">
        <v>1</v>
      </c>
      <c r="G873">
        <v>0</v>
      </c>
    </row>
    <row r="874" spans="1:7">
      <c r="A874" t="s">
        <v>295</v>
      </c>
      <c r="B874">
        <v>5</v>
      </c>
      <c r="C874">
        <v>5</v>
      </c>
      <c r="D874">
        <v>20</v>
      </c>
      <c r="E874">
        <v>0</v>
      </c>
      <c r="F874">
        <v>1</v>
      </c>
      <c r="G874">
        <v>0</v>
      </c>
    </row>
    <row r="875" spans="1:7">
      <c r="A875" t="s">
        <v>295</v>
      </c>
      <c r="B875">
        <v>5</v>
      </c>
      <c r="C875">
        <v>6</v>
      </c>
      <c r="D875">
        <v>22</v>
      </c>
      <c r="E875">
        <v>0</v>
      </c>
      <c r="F875">
        <v>0</v>
      </c>
      <c r="G875">
        <v>0</v>
      </c>
    </row>
    <row r="876" spans="1:7">
      <c r="A876" t="s">
        <v>295</v>
      </c>
      <c r="B876">
        <v>6</v>
      </c>
      <c r="C876">
        <v>1</v>
      </c>
      <c r="D876">
        <v>4</v>
      </c>
      <c r="E876">
        <v>0</v>
      </c>
      <c r="F876">
        <v>3</v>
      </c>
      <c r="G876">
        <v>0</v>
      </c>
    </row>
    <row r="877" spans="1:7">
      <c r="A877" t="s">
        <v>295</v>
      </c>
      <c r="B877">
        <v>6</v>
      </c>
      <c r="C877">
        <v>2</v>
      </c>
      <c r="D877">
        <v>10</v>
      </c>
      <c r="E877">
        <v>0</v>
      </c>
      <c r="F877">
        <v>1</v>
      </c>
      <c r="G877">
        <v>0</v>
      </c>
    </row>
    <row r="878" spans="1:7">
      <c r="A878" t="s">
        <v>295</v>
      </c>
      <c r="B878">
        <v>6</v>
      </c>
      <c r="C878">
        <v>3</v>
      </c>
      <c r="D878">
        <v>14</v>
      </c>
      <c r="E878">
        <v>0</v>
      </c>
      <c r="F878">
        <v>1</v>
      </c>
      <c r="G878">
        <v>0</v>
      </c>
    </row>
    <row r="879" spans="1:7">
      <c r="A879" t="s">
        <v>295</v>
      </c>
      <c r="B879">
        <v>6</v>
      </c>
      <c r="C879">
        <v>4</v>
      </c>
      <c r="D879">
        <v>17</v>
      </c>
      <c r="E879">
        <v>0</v>
      </c>
      <c r="F879">
        <v>1</v>
      </c>
      <c r="G879">
        <v>0</v>
      </c>
    </row>
    <row r="880" spans="1:7">
      <c r="A880" t="s">
        <v>295</v>
      </c>
      <c r="B880">
        <v>6</v>
      </c>
      <c r="C880">
        <v>5</v>
      </c>
      <c r="D880">
        <v>19</v>
      </c>
      <c r="E880">
        <v>0</v>
      </c>
      <c r="F880">
        <v>1</v>
      </c>
      <c r="G880">
        <v>0</v>
      </c>
    </row>
    <row r="881" spans="1:7">
      <c r="A881" t="s">
        <v>295</v>
      </c>
      <c r="B881">
        <v>6</v>
      </c>
      <c r="C881">
        <v>6</v>
      </c>
      <c r="D881">
        <v>21</v>
      </c>
      <c r="E881">
        <v>0</v>
      </c>
      <c r="F881">
        <v>0</v>
      </c>
      <c r="G881">
        <v>0</v>
      </c>
    </row>
    <row r="882" spans="1:7">
      <c r="A882" t="s">
        <v>295</v>
      </c>
      <c r="B882">
        <v>6</v>
      </c>
      <c r="C882">
        <v>7</v>
      </c>
      <c r="D882">
        <v>21</v>
      </c>
      <c r="E882">
        <v>0</v>
      </c>
      <c r="F882">
        <v>0</v>
      </c>
      <c r="G882">
        <v>0</v>
      </c>
    </row>
    <row r="883" spans="1:7">
      <c r="A883" t="s">
        <v>295</v>
      </c>
      <c r="B883">
        <v>6</v>
      </c>
      <c r="C883">
        <v>8</v>
      </c>
      <c r="D883">
        <v>21</v>
      </c>
      <c r="E883">
        <v>0</v>
      </c>
      <c r="F883">
        <v>0</v>
      </c>
      <c r="G883">
        <v>0</v>
      </c>
    </row>
    <row r="884" spans="1:7">
      <c r="A884" t="s">
        <v>295</v>
      </c>
      <c r="B884">
        <v>6</v>
      </c>
      <c r="C884">
        <v>9</v>
      </c>
      <c r="D884">
        <v>21</v>
      </c>
      <c r="E884">
        <v>0</v>
      </c>
      <c r="F884">
        <v>0</v>
      </c>
      <c r="G884">
        <v>0</v>
      </c>
    </row>
    <row r="885" spans="1:7">
      <c r="A885" t="s">
        <v>295</v>
      </c>
      <c r="B885">
        <v>6</v>
      </c>
      <c r="C885">
        <v>10</v>
      </c>
      <c r="D885">
        <v>21</v>
      </c>
      <c r="E885">
        <v>0</v>
      </c>
      <c r="F885">
        <v>0</v>
      </c>
      <c r="G885">
        <v>0</v>
      </c>
    </row>
    <row r="886" spans="1:7">
      <c r="A886" t="s">
        <v>295</v>
      </c>
      <c r="B886">
        <v>7</v>
      </c>
      <c r="C886">
        <v>1</v>
      </c>
      <c r="D886">
        <v>31</v>
      </c>
      <c r="E886">
        <v>0</v>
      </c>
      <c r="F886">
        <v>1</v>
      </c>
      <c r="G886">
        <v>0</v>
      </c>
    </row>
    <row r="887" spans="1:7">
      <c r="A887" t="s">
        <v>295</v>
      </c>
      <c r="B887">
        <v>7</v>
      </c>
      <c r="C887">
        <v>2</v>
      </c>
      <c r="D887">
        <v>33</v>
      </c>
      <c r="E887">
        <v>0</v>
      </c>
      <c r="F887">
        <v>0</v>
      </c>
      <c r="G887">
        <v>0</v>
      </c>
    </row>
    <row r="888" spans="1:7">
      <c r="A888" t="s">
        <v>295</v>
      </c>
      <c r="B888">
        <v>7</v>
      </c>
      <c r="C888">
        <v>3</v>
      </c>
      <c r="D888">
        <v>43</v>
      </c>
      <c r="E888">
        <v>0</v>
      </c>
      <c r="F888">
        <v>2</v>
      </c>
      <c r="G888">
        <v>0</v>
      </c>
    </row>
    <row r="889" spans="1:7">
      <c r="A889" t="s">
        <v>295</v>
      </c>
      <c r="B889">
        <v>7</v>
      </c>
      <c r="C889">
        <v>4</v>
      </c>
      <c r="D889">
        <v>49</v>
      </c>
      <c r="E889">
        <v>0</v>
      </c>
      <c r="F889">
        <v>4</v>
      </c>
      <c r="G889">
        <v>0</v>
      </c>
    </row>
    <row r="890" spans="1:7">
      <c r="A890" t="s">
        <v>295</v>
      </c>
      <c r="B890">
        <v>7</v>
      </c>
      <c r="C890">
        <v>5</v>
      </c>
      <c r="D890">
        <v>60</v>
      </c>
      <c r="E890">
        <v>0</v>
      </c>
      <c r="F890">
        <v>4</v>
      </c>
      <c r="G890">
        <v>0</v>
      </c>
    </row>
    <row r="891" spans="1:7">
      <c r="A891" t="s">
        <v>295</v>
      </c>
      <c r="B891">
        <v>7</v>
      </c>
      <c r="C891">
        <v>6</v>
      </c>
      <c r="D891">
        <v>75</v>
      </c>
      <c r="E891">
        <v>0</v>
      </c>
      <c r="F891">
        <v>3</v>
      </c>
      <c r="G891">
        <v>0</v>
      </c>
    </row>
    <row r="892" spans="1:7">
      <c r="A892" t="s">
        <v>295</v>
      </c>
      <c r="B892">
        <v>7</v>
      </c>
      <c r="C892">
        <v>7</v>
      </c>
      <c r="D892">
        <v>81</v>
      </c>
      <c r="E892">
        <v>0</v>
      </c>
      <c r="F892">
        <v>2</v>
      </c>
      <c r="G892">
        <v>0</v>
      </c>
    </row>
    <row r="893" spans="1:7">
      <c r="A893" t="s">
        <v>295</v>
      </c>
      <c r="B893">
        <v>7</v>
      </c>
      <c r="C893">
        <v>8</v>
      </c>
      <c r="D893">
        <v>90</v>
      </c>
      <c r="E893">
        <v>0</v>
      </c>
      <c r="F893">
        <v>1</v>
      </c>
      <c r="G893">
        <v>0</v>
      </c>
    </row>
    <row r="894" spans="1:7">
      <c r="A894" t="s">
        <v>295</v>
      </c>
      <c r="B894">
        <v>7</v>
      </c>
      <c r="C894">
        <v>9</v>
      </c>
      <c r="D894">
        <v>103</v>
      </c>
      <c r="E894">
        <v>0</v>
      </c>
      <c r="F894">
        <v>0</v>
      </c>
      <c r="G894">
        <v>0</v>
      </c>
    </row>
    <row r="895" spans="1:7">
      <c r="A895" t="s">
        <v>295</v>
      </c>
      <c r="B895">
        <v>7</v>
      </c>
      <c r="C895">
        <v>10</v>
      </c>
      <c r="D895">
        <v>120</v>
      </c>
      <c r="E895">
        <v>0</v>
      </c>
      <c r="F895">
        <v>0</v>
      </c>
      <c r="G895">
        <v>0</v>
      </c>
    </row>
    <row r="896" spans="1:7">
      <c r="A896" t="s">
        <v>295</v>
      </c>
      <c r="B896">
        <v>8</v>
      </c>
      <c r="C896">
        <v>1</v>
      </c>
      <c r="D896">
        <v>20</v>
      </c>
      <c r="E896">
        <v>0</v>
      </c>
      <c r="F896">
        <v>0</v>
      </c>
      <c r="G896">
        <v>0</v>
      </c>
    </row>
    <row r="897" spans="1:7">
      <c r="A897" t="s">
        <v>295</v>
      </c>
      <c r="B897">
        <v>8</v>
      </c>
      <c r="C897">
        <v>2</v>
      </c>
      <c r="D897">
        <v>32</v>
      </c>
      <c r="E897">
        <v>0</v>
      </c>
      <c r="F897">
        <v>3</v>
      </c>
      <c r="G897">
        <v>0</v>
      </c>
    </row>
    <row r="898" spans="1:7">
      <c r="A898" t="s">
        <v>295</v>
      </c>
      <c r="B898">
        <v>8</v>
      </c>
      <c r="C898">
        <v>3</v>
      </c>
      <c r="D898">
        <v>75</v>
      </c>
      <c r="E898">
        <v>0</v>
      </c>
      <c r="F898">
        <v>2</v>
      </c>
      <c r="G898">
        <v>0</v>
      </c>
    </row>
    <row r="899" spans="1:7">
      <c r="A899" t="s">
        <v>295</v>
      </c>
      <c r="B899">
        <v>8</v>
      </c>
      <c r="C899">
        <v>4</v>
      </c>
      <c r="D899">
        <v>109</v>
      </c>
      <c r="E899">
        <v>0</v>
      </c>
      <c r="F899">
        <v>1</v>
      </c>
      <c r="G899">
        <v>0</v>
      </c>
    </row>
    <row r="900" spans="1:7">
      <c r="A900" t="s">
        <v>295</v>
      </c>
      <c r="B900">
        <v>8</v>
      </c>
      <c r="C900">
        <v>5</v>
      </c>
      <c r="D900">
        <v>141</v>
      </c>
      <c r="E900">
        <v>0</v>
      </c>
      <c r="F900">
        <v>0</v>
      </c>
      <c r="G900">
        <v>0</v>
      </c>
    </row>
    <row r="901" spans="1:7">
      <c r="A901" t="s">
        <v>295</v>
      </c>
      <c r="B901">
        <v>8</v>
      </c>
      <c r="C901">
        <v>6</v>
      </c>
      <c r="D901">
        <v>162</v>
      </c>
      <c r="E901">
        <v>0</v>
      </c>
      <c r="F901">
        <v>0</v>
      </c>
      <c r="G901">
        <v>0</v>
      </c>
    </row>
    <row r="902" spans="1:7">
      <c r="A902" t="s">
        <v>295</v>
      </c>
      <c r="B902">
        <v>9</v>
      </c>
      <c r="C902">
        <v>1</v>
      </c>
      <c r="D902">
        <v>20</v>
      </c>
      <c r="E902">
        <v>0</v>
      </c>
      <c r="F902">
        <v>0</v>
      </c>
      <c r="G902">
        <v>0</v>
      </c>
    </row>
    <row r="903" spans="1:7">
      <c r="A903" t="s">
        <v>295</v>
      </c>
      <c r="B903">
        <v>9</v>
      </c>
      <c r="C903">
        <v>2</v>
      </c>
      <c r="D903">
        <v>38</v>
      </c>
      <c r="E903">
        <v>0</v>
      </c>
      <c r="F903">
        <v>6</v>
      </c>
      <c r="G903">
        <v>0</v>
      </c>
    </row>
    <row r="904" spans="1:7">
      <c r="A904" t="s">
        <v>295</v>
      </c>
      <c r="B904">
        <v>9</v>
      </c>
      <c r="C904">
        <v>3</v>
      </c>
      <c r="D904">
        <v>72</v>
      </c>
      <c r="E904">
        <v>0</v>
      </c>
      <c r="F904">
        <v>5</v>
      </c>
      <c r="G904">
        <v>0</v>
      </c>
    </row>
    <row r="905" spans="1:7">
      <c r="A905" t="s">
        <v>295</v>
      </c>
      <c r="B905">
        <v>9</v>
      </c>
      <c r="C905">
        <v>4</v>
      </c>
      <c r="D905">
        <v>104</v>
      </c>
      <c r="E905">
        <v>0</v>
      </c>
      <c r="F905">
        <v>4</v>
      </c>
      <c r="G905">
        <v>0</v>
      </c>
    </row>
    <row r="906" spans="1:7">
      <c r="A906" t="s">
        <v>295</v>
      </c>
      <c r="B906">
        <v>9</v>
      </c>
      <c r="C906">
        <v>5</v>
      </c>
      <c r="D906">
        <v>147</v>
      </c>
      <c r="E906">
        <v>0</v>
      </c>
      <c r="F906">
        <v>3</v>
      </c>
      <c r="G906">
        <v>0</v>
      </c>
    </row>
    <row r="907" spans="1:7">
      <c r="A907" t="s">
        <v>295</v>
      </c>
      <c r="B907">
        <v>9</v>
      </c>
      <c r="C907">
        <v>6</v>
      </c>
      <c r="D907">
        <v>168</v>
      </c>
      <c r="E907">
        <v>0</v>
      </c>
      <c r="F907">
        <v>2</v>
      </c>
      <c r="G907">
        <v>0</v>
      </c>
    </row>
    <row r="908" spans="1:7">
      <c r="A908" t="s">
        <v>295</v>
      </c>
      <c r="B908">
        <v>9</v>
      </c>
      <c r="C908">
        <v>7</v>
      </c>
      <c r="D908">
        <v>194</v>
      </c>
      <c r="E908">
        <v>0</v>
      </c>
      <c r="F908">
        <v>1</v>
      </c>
      <c r="G908">
        <v>0</v>
      </c>
    </row>
    <row r="909" spans="1:7">
      <c r="A909" t="s">
        <v>295</v>
      </c>
      <c r="B909">
        <v>9</v>
      </c>
      <c r="C909">
        <v>8</v>
      </c>
      <c r="D909">
        <v>224</v>
      </c>
      <c r="E909">
        <v>0</v>
      </c>
      <c r="F909">
        <v>0</v>
      </c>
      <c r="G909">
        <v>0</v>
      </c>
    </row>
    <row r="910" spans="1:7">
      <c r="A910" t="s">
        <v>295</v>
      </c>
      <c r="B910">
        <v>9</v>
      </c>
      <c r="C910">
        <v>9</v>
      </c>
      <c r="D910">
        <v>258</v>
      </c>
      <c r="E910">
        <v>0</v>
      </c>
      <c r="F910">
        <v>0</v>
      </c>
      <c r="G910">
        <v>0</v>
      </c>
    </row>
    <row r="911" spans="1:7">
      <c r="A911" t="s">
        <v>295</v>
      </c>
      <c r="B911">
        <v>11</v>
      </c>
      <c r="C911">
        <v>1</v>
      </c>
      <c r="D911">
        <v>19</v>
      </c>
      <c r="E911">
        <v>0</v>
      </c>
      <c r="F911">
        <v>0</v>
      </c>
      <c r="G911">
        <v>0</v>
      </c>
    </row>
    <row r="912" spans="1:7">
      <c r="A912" t="s">
        <v>295</v>
      </c>
      <c r="B912">
        <v>11</v>
      </c>
      <c r="C912">
        <v>2</v>
      </c>
      <c r="D912">
        <v>53</v>
      </c>
      <c r="E912">
        <v>0</v>
      </c>
      <c r="F912">
        <v>0</v>
      </c>
      <c r="G912">
        <v>0</v>
      </c>
    </row>
    <row r="913" spans="1:7">
      <c r="A913" t="s">
        <v>295</v>
      </c>
      <c r="B913">
        <v>13</v>
      </c>
      <c r="C913">
        <v>1</v>
      </c>
      <c r="D913">
        <v>2</v>
      </c>
      <c r="E913">
        <v>0</v>
      </c>
      <c r="F913">
        <v>0</v>
      </c>
      <c r="G913">
        <v>0</v>
      </c>
    </row>
    <row r="914" spans="1:7">
      <c r="A914" t="s">
        <v>295</v>
      </c>
      <c r="B914">
        <v>13</v>
      </c>
      <c r="C914">
        <v>2</v>
      </c>
      <c r="D914">
        <v>4</v>
      </c>
      <c r="E914">
        <v>0</v>
      </c>
      <c r="F914">
        <v>0</v>
      </c>
      <c r="G914">
        <v>0</v>
      </c>
    </row>
    <row r="915" spans="1:7">
      <c r="A915" t="s">
        <v>295</v>
      </c>
      <c r="B915">
        <v>13</v>
      </c>
      <c r="C915">
        <v>3</v>
      </c>
      <c r="D915">
        <v>6</v>
      </c>
      <c r="E915">
        <v>0</v>
      </c>
      <c r="F915">
        <v>0</v>
      </c>
      <c r="G915">
        <v>0</v>
      </c>
    </row>
    <row r="916" spans="1:7">
      <c r="A916" t="s">
        <v>295</v>
      </c>
      <c r="B916">
        <v>13</v>
      </c>
      <c r="C916">
        <v>4</v>
      </c>
      <c r="D916">
        <v>737</v>
      </c>
      <c r="E916">
        <v>0</v>
      </c>
      <c r="F916">
        <v>0</v>
      </c>
      <c r="G916">
        <v>0</v>
      </c>
    </row>
    <row r="917" spans="1:7">
      <c r="A917" t="s">
        <v>295</v>
      </c>
      <c r="B917">
        <v>14</v>
      </c>
      <c r="C917">
        <v>1</v>
      </c>
      <c r="D917">
        <v>2</v>
      </c>
      <c r="E917">
        <v>0</v>
      </c>
      <c r="F917">
        <v>0</v>
      </c>
      <c r="G917">
        <v>0</v>
      </c>
    </row>
    <row r="918" spans="1:7">
      <c r="A918" t="s">
        <v>295</v>
      </c>
      <c r="B918">
        <v>14</v>
      </c>
      <c r="C918">
        <v>2</v>
      </c>
      <c r="D918">
        <v>6</v>
      </c>
      <c r="E918">
        <v>0</v>
      </c>
      <c r="F918">
        <v>0</v>
      </c>
      <c r="G918">
        <v>0</v>
      </c>
    </row>
    <row r="919" spans="1:7">
      <c r="A919" t="s">
        <v>295</v>
      </c>
      <c r="B919">
        <v>14</v>
      </c>
      <c r="C919">
        <v>3</v>
      </c>
      <c r="D919">
        <v>6</v>
      </c>
      <c r="E919">
        <v>0</v>
      </c>
      <c r="F919">
        <v>0</v>
      </c>
      <c r="G919">
        <v>0</v>
      </c>
    </row>
    <row r="920" spans="1:7">
      <c r="A920" t="s">
        <v>295</v>
      </c>
      <c r="B920">
        <v>14</v>
      </c>
      <c r="C920">
        <v>4</v>
      </c>
      <c r="D920">
        <v>385</v>
      </c>
      <c r="E920">
        <v>0</v>
      </c>
      <c r="F920">
        <v>1</v>
      </c>
      <c r="G920">
        <v>0</v>
      </c>
    </row>
    <row r="921" spans="1:7">
      <c r="A921" t="s">
        <v>295</v>
      </c>
      <c r="B921">
        <v>14</v>
      </c>
      <c r="C921">
        <v>5</v>
      </c>
      <c r="D921">
        <v>387</v>
      </c>
      <c r="E921">
        <v>0</v>
      </c>
      <c r="F921">
        <v>0</v>
      </c>
      <c r="G921">
        <v>0</v>
      </c>
    </row>
    <row r="922" spans="1:7">
      <c r="A922" t="s">
        <v>295</v>
      </c>
      <c r="B922">
        <v>14</v>
      </c>
      <c r="C922">
        <v>6</v>
      </c>
      <c r="D922">
        <v>565</v>
      </c>
      <c r="E922">
        <v>0</v>
      </c>
      <c r="F922">
        <v>0</v>
      </c>
      <c r="G922">
        <v>0</v>
      </c>
    </row>
    <row r="923" spans="1:7">
      <c r="A923" t="s">
        <v>295</v>
      </c>
      <c r="B923">
        <v>14</v>
      </c>
      <c r="C923">
        <v>7</v>
      </c>
      <c r="D923">
        <v>565</v>
      </c>
      <c r="E923">
        <v>0</v>
      </c>
      <c r="F923">
        <v>0</v>
      </c>
      <c r="G923">
        <v>0</v>
      </c>
    </row>
    <row r="924" spans="1:7">
      <c r="A924" t="s">
        <v>295</v>
      </c>
      <c r="B924">
        <v>14</v>
      </c>
      <c r="C924">
        <v>8</v>
      </c>
      <c r="D924">
        <v>565</v>
      </c>
      <c r="E924">
        <v>0</v>
      </c>
      <c r="F924">
        <v>0</v>
      </c>
      <c r="G924">
        <v>0</v>
      </c>
    </row>
    <row r="925" spans="1:7">
      <c r="A925" t="s">
        <v>295</v>
      </c>
      <c r="B925">
        <v>14</v>
      </c>
      <c r="C925">
        <v>9</v>
      </c>
      <c r="D925">
        <v>565</v>
      </c>
      <c r="E925">
        <v>0</v>
      </c>
      <c r="F925">
        <v>0</v>
      </c>
      <c r="G925">
        <v>0</v>
      </c>
    </row>
    <row r="926" spans="1:7">
      <c r="A926" t="s">
        <v>295</v>
      </c>
      <c r="B926">
        <v>14</v>
      </c>
      <c r="C926">
        <v>10</v>
      </c>
      <c r="D926">
        <v>958</v>
      </c>
      <c r="E926">
        <v>0</v>
      </c>
      <c r="F926">
        <v>0</v>
      </c>
      <c r="G926">
        <v>0</v>
      </c>
    </row>
    <row r="927" spans="1:7">
      <c r="A927" t="s">
        <v>295</v>
      </c>
      <c r="B927">
        <v>14</v>
      </c>
      <c r="C927">
        <v>11</v>
      </c>
      <c r="D927">
        <v>958</v>
      </c>
      <c r="E927">
        <v>0</v>
      </c>
      <c r="F927">
        <v>0</v>
      </c>
      <c r="G927">
        <v>0</v>
      </c>
    </row>
    <row r="928" spans="1:7">
      <c r="A928" t="s">
        <v>295</v>
      </c>
      <c r="B928">
        <v>15</v>
      </c>
      <c r="C928">
        <v>1</v>
      </c>
      <c r="D928">
        <v>2</v>
      </c>
      <c r="E928">
        <v>0</v>
      </c>
      <c r="F928">
        <v>0</v>
      </c>
      <c r="G928">
        <v>0</v>
      </c>
    </row>
    <row r="929" spans="1:7">
      <c r="A929" t="s">
        <v>295</v>
      </c>
      <c r="B929">
        <v>15</v>
      </c>
      <c r="C929">
        <v>2</v>
      </c>
      <c r="D929">
        <v>4</v>
      </c>
      <c r="E929">
        <v>0</v>
      </c>
      <c r="F929">
        <v>0</v>
      </c>
      <c r="G929">
        <v>0</v>
      </c>
    </row>
    <row r="930" spans="1:7">
      <c r="A930" t="s">
        <v>295</v>
      </c>
      <c r="B930">
        <v>15</v>
      </c>
      <c r="C930">
        <v>3</v>
      </c>
      <c r="D930">
        <v>6</v>
      </c>
      <c r="E930">
        <v>0</v>
      </c>
      <c r="F930">
        <v>0</v>
      </c>
      <c r="G930">
        <v>0</v>
      </c>
    </row>
    <row r="931" spans="1:7">
      <c r="A931" t="s">
        <v>295</v>
      </c>
      <c r="B931">
        <v>15</v>
      </c>
      <c r="C931">
        <v>4</v>
      </c>
      <c r="D931">
        <v>476</v>
      </c>
      <c r="E931">
        <v>0</v>
      </c>
      <c r="F931">
        <v>0</v>
      </c>
      <c r="G931">
        <v>0</v>
      </c>
    </row>
    <row r="932" spans="1:7">
      <c r="A932" t="s">
        <v>295</v>
      </c>
      <c r="B932">
        <v>16</v>
      </c>
      <c r="C932">
        <v>1</v>
      </c>
      <c r="D932">
        <v>2</v>
      </c>
      <c r="E932">
        <v>0</v>
      </c>
      <c r="F932">
        <v>0</v>
      </c>
      <c r="G932">
        <v>0</v>
      </c>
    </row>
    <row r="933" spans="1:7">
      <c r="A933" t="s">
        <v>295</v>
      </c>
      <c r="B933">
        <v>16</v>
      </c>
      <c r="C933">
        <v>2</v>
      </c>
      <c r="D933">
        <v>4</v>
      </c>
      <c r="E933">
        <v>0</v>
      </c>
      <c r="F933">
        <v>0</v>
      </c>
      <c r="G933">
        <v>0</v>
      </c>
    </row>
    <row r="934" spans="1:7">
      <c r="A934" t="s">
        <v>295</v>
      </c>
      <c r="B934">
        <v>16</v>
      </c>
      <c r="C934">
        <v>3</v>
      </c>
      <c r="D934">
        <v>6</v>
      </c>
      <c r="E934">
        <v>0</v>
      </c>
      <c r="F934">
        <v>0</v>
      </c>
      <c r="G934">
        <v>0</v>
      </c>
    </row>
    <row r="935" spans="1:7">
      <c r="A935" t="s">
        <v>295</v>
      </c>
      <c r="B935">
        <v>16</v>
      </c>
      <c r="C935">
        <v>4</v>
      </c>
      <c r="D935">
        <v>607</v>
      </c>
      <c r="E935">
        <v>0</v>
      </c>
      <c r="F935">
        <v>0</v>
      </c>
      <c r="G935">
        <v>0</v>
      </c>
    </row>
    <row r="936" spans="1:7">
      <c r="A936" t="s">
        <v>295</v>
      </c>
      <c r="B936">
        <v>20</v>
      </c>
      <c r="C936">
        <v>1</v>
      </c>
      <c r="D936">
        <v>17</v>
      </c>
      <c r="E936">
        <v>0</v>
      </c>
      <c r="F936">
        <v>1</v>
      </c>
      <c r="G936">
        <v>0</v>
      </c>
    </row>
    <row r="937" spans="1:7">
      <c r="A937" t="s">
        <v>295</v>
      </c>
      <c r="B937">
        <v>20</v>
      </c>
      <c r="C937">
        <v>2</v>
      </c>
      <c r="D937">
        <v>27</v>
      </c>
      <c r="E937">
        <v>0</v>
      </c>
      <c r="F937">
        <v>0</v>
      </c>
      <c r="G937">
        <v>0</v>
      </c>
    </row>
    <row r="938" spans="1:7">
      <c r="A938" t="s">
        <v>295</v>
      </c>
      <c r="B938">
        <v>21</v>
      </c>
      <c r="C938">
        <v>1</v>
      </c>
      <c r="D938">
        <v>32</v>
      </c>
      <c r="E938">
        <v>0</v>
      </c>
      <c r="F938">
        <v>1</v>
      </c>
      <c r="G938">
        <v>0</v>
      </c>
    </row>
    <row r="939" spans="1:7">
      <c r="A939" t="s">
        <v>295</v>
      </c>
      <c r="B939">
        <v>21</v>
      </c>
      <c r="C939">
        <v>2</v>
      </c>
      <c r="D939">
        <v>57</v>
      </c>
      <c r="E939">
        <v>0</v>
      </c>
      <c r="F939">
        <v>0</v>
      </c>
      <c r="G939">
        <v>0</v>
      </c>
    </row>
    <row r="940" spans="1:7">
      <c r="A940" t="s">
        <v>344</v>
      </c>
      <c r="B940">
        <v>0</v>
      </c>
      <c r="C940">
        <v>1</v>
      </c>
      <c r="D940">
        <v>2</v>
      </c>
      <c r="E940">
        <v>0</v>
      </c>
      <c r="F940">
        <v>0</v>
      </c>
      <c r="G940">
        <v>0</v>
      </c>
    </row>
    <row r="941" spans="1:7">
      <c r="A941" t="s">
        <v>344</v>
      </c>
      <c r="B941">
        <v>0</v>
      </c>
      <c r="C941">
        <v>2</v>
      </c>
      <c r="D941">
        <v>5</v>
      </c>
      <c r="E941">
        <v>0</v>
      </c>
      <c r="F941">
        <v>4</v>
      </c>
      <c r="G941">
        <v>0</v>
      </c>
    </row>
    <row r="942" spans="1:7">
      <c r="A942" t="s">
        <v>344</v>
      </c>
      <c r="B942">
        <v>0</v>
      </c>
      <c r="C942">
        <v>3</v>
      </c>
      <c r="D942">
        <v>7</v>
      </c>
      <c r="E942">
        <v>0</v>
      </c>
      <c r="F942">
        <v>3</v>
      </c>
      <c r="G942">
        <v>0</v>
      </c>
    </row>
    <row r="943" spans="1:7">
      <c r="A943" t="s">
        <v>344</v>
      </c>
      <c r="B943">
        <v>0</v>
      </c>
      <c r="C943">
        <v>4</v>
      </c>
      <c r="D943">
        <v>10</v>
      </c>
      <c r="E943">
        <v>0</v>
      </c>
      <c r="F943">
        <v>0</v>
      </c>
      <c r="G943">
        <v>0</v>
      </c>
    </row>
    <row r="944" spans="1:7">
      <c r="A944" t="s">
        <v>344</v>
      </c>
      <c r="B944">
        <v>1</v>
      </c>
      <c r="C944">
        <v>1</v>
      </c>
      <c r="D944">
        <v>17</v>
      </c>
      <c r="E944">
        <v>0</v>
      </c>
      <c r="F944">
        <v>2</v>
      </c>
      <c r="G944">
        <v>0</v>
      </c>
    </row>
    <row r="945" spans="1:7">
      <c r="A945" t="s">
        <v>344</v>
      </c>
      <c r="B945">
        <v>1</v>
      </c>
      <c r="C945">
        <v>2</v>
      </c>
      <c r="D945">
        <v>34</v>
      </c>
      <c r="E945">
        <v>0</v>
      </c>
      <c r="F945">
        <v>1</v>
      </c>
      <c r="G945">
        <v>0</v>
      </c>
    </row>
    <row r="946" spans="1:7">
      <c r="A946" t="s">
        <v>344</v>
      </c>
      <c r="B946">
        <v>1</v>
      </c>
      <c r="C946">
        <v>3</v>
      </c>
      <c r="D946">
        <v>60</v>
      </c>
      <c r="E946">
        <v>0</v>
      </c>
      <c r="F946">
        <v>0</v>
      </c>
      <c r="G946">
        <v>0</v>
      </c>
    </row>
    <row r="947" spans="1:7">
      <c r="A947" t="s">
        <v>344</v>
      </c>
      <c r="B947">
        <v>1</v>
      </c>
      <c r="C947">
        <v>4</v>
      </c>
      <c r="D947">
        <v>113</v>
      </c>
      <c r="E947">
        <v>0</v>
      </c>
      <c r="F947">
        <v>0</v>
      </c>
      <c r="G947">
        <v>0</v>
      </c>
    </row>
    <row r="948" spans="1:7">
      <c r="A948" t="s">
        <v>348</v>
      </c>
      <c r="B948">
        <v>1</v>
      </c>
      <c r="C948">
        <v>1</v>
      </c>
      <c r="D948">
        <v>14</v>
      </c>
      <c r="E948">
        <v>0</v>
      </c>
      <c r="F948">
        <v>3</v>
      </c>
      <c r="G948">
        <v>0</v>
      </c>
    </row>
    <row r="949" spans="1:7">
      <c r="A949" t="s">
        <v>348</v>
      </c>
      <c r="B949">
        <v>1</v>
      </c>
      <c r="C949">
        <v>2</v>
      </c>
      <c r="D949">
        <v>21</v>
      </c>
      <c r="E949">
        <v>0</v>
      </c>
      <c r="F949">
        <v>4</v>
      </c>
      <c r="G949">
        <v>0</v>
      </c>
    </row>
    <row r="950" spans="1:7">
      <c r="A950" t="s">
        <v>348</v>
      </c>
      <c r="B950">
        <v>1</v>
      </c>
      <c r="C950">
        <v>3</v>
      </c>
      <c r="D950">
        <v>34</v>
      </c>
      <c r="E950">
        <v>0</v>
      </c>
      <c r="F950">
        <v>4</v>
      </c>
      <c r="G950">
        <v>0</v>
      </c>
    </row>
    <row r="951" spans="1:7">
      <c r="A951" t="s">
        <v>348</v>
      </c>
      <c r="B951">
        <v>1</v>
      </c>
      <c r="C951">
        <v>4</v>
      </c>
      <c r="D951">
        <v>44</v>
      </c>
      <c r="E951">
        <v>0</v>
      </c>
      <c r="F951">
        <v>3</v>
      </c>
      <c r="G951">
        <v>0</v>
      </c>
    </row>
    <row r="952" spans="1:7">
      <c r="A952" t="s">
        <v>348</v>
      </c>
      <c r="B952">
        <v>1</v>
      </c>
      <c r="C952">
        <v>5</v>
      </c>
      <c r="D952">
        <v>55</v>
      </c>
      <c r="E952">
        <v>0</v>
      </c>
      <c r="F952">
        <v>2</v>
      </c>
      <c r="G952">
        <v>0</v>
      </c>
    </row>
    <row r="953" spans="1:7">
      <c r="A953" t="s">
        <v>348</v>
      </c>
      <c r="B953">
        <v>1</v>
      </c>
      <c r="C953">
        <v>6</v>
      </c>
      <c r="D953">
        <v>66</v>
      </c>
      <c r="E953">
        <v>0</v>
      </c>
      <c r="F953">
        <v>1</v>
      </c>
      <c r="G953">
        <v>0</v>
      </c>
    </row>
    <row r="954" spans="1:7">
      <c r="A954" t="s">
        <v>348</v>
      </c>
      <c r="B954">
        <v>1</v>
      </c>
      <c r="C954">
        <v>7</v>
      </c>
      <c r="D954">
        <v>81</v>
      </c>
      <c r="E954">
        <v>0</v>
      </c>
      <c r="F954">
        <v>1</v>
      </c>
      <c r="G954">
        <v>0</v>
      </c>
    </row>
    <row r="955" spans="1:7">
      <c r="A955" t="s">
        <v>348</v>
      </c>
      <c r="B955">
        <v>1</v>
      </c>
      <c r="C955">
        <v>8</v>
      </c>
      <c r="D955">
        <v>94</v>
      </c>
      <c r="E955">
        <v>0</v>
      </c>
      <c r="F955">
        <v>0</v>
      </c>
      <c r="G955">
        <v>0</v>
      </c>
    </row>
    <row r="956" spans="1:7">
      <c r="A956" t="s">
        <v>354</v>
      </c>
      <c r="B956">
        <v>1</v>
      </c>
      <c r="C956">
        <v>1</v>
      </c>
      <c r="D956">
        <v>37</v>
      </c>
      <c r="E956">
        <v>0</v>
      </c>
      <c r="F956">
        <v>1</v>
      </c>
      <c r="G956">
        <v>0</v>
      </c>
    </row>
    <row r="957" spans="1:7">
      <c r="A957" t="s">
        <v>354</v>
      </c>
      <c r="B957">
        <v>1</v>
      </c>
      <c r="C957">
        <v>2</v>
      </c>
      <c r="D957">
        <v>70</v>
      </c>
      <c r="E957">
        <v>0</v>
      </c>
      <c r="F957">
        <v>1</v>
      </c>
      <c r="G957">
        <v>0</v>
      </c>
    </row>
    <row r="958" spans="1:7">
      <c r="A958" t="s">
        <v>354</v>
      </c>
      <c r="B958">
        <v>1</v>
      </c>
      <c r="C958">
        <v>3</v>
      </c>
      <c r="D958">
        <v>103</v>
      </c>
      <c r="E958">
        <v>0</v>
      </c>
      <c r="F958">
        <v>1</v>
      </c>
      <c r="G958">
        <v>0</v>
      </c>
    </row>
    <row r="959" spans="1:7">
      <c r="A959" t="s">
        <v>354</v>
      </c>
      <c r="B959">
        <v>1</v>
      </c>
      <c r="C959">
        <v>4</v>
      </c>
      <c r="D959">
        <v>136</v>
      </c>
      <c r="E959">
        <v>0</v>
      </c>
      <c r="F959">
        <v>1</v>
      </c>
      <c r="G959">
        <v>0</v>
      </c>
    </row>
    <row r="960" spans="1:7">
      <c r="A960" t="s">
        <v>354</v>
      </c>
      <c r="B960">
        <v>1</v>
      </c>
      <c r="C960">
        <v>5</v>
      </c>
      <c r="D960">
        <v>169</v>
      </c>
      <c r="E960">
        <v>0</v>
      </c>
      <c r="F960">
        <v>0</v>
      </c>
      <c r="G960">
        <v>0</v>
      </c>
    </row>
    <row r="961" spans="1:7">
      <c r="A961" t="s">
        <v>358</v>
      </c>
      <c r="B961">
        <v>5</v>
      </c>
      <c r="C961">
        <v>1</v>
      </c>
      <c r="D961">
        <v>43</v>
      </c>
      <c r="E961">
        <v>0</v>
      </c>
      <c r="F961">
        <v>5</v>
      </c>
      <c r="G961">
        <v>0</v>
      </c>
    </row>
    <row r="962" spans="1:7">
      <c r="A962" t="s">
        <v>358</v>
      </c>
      <c r="B962">
        <v>5</v>
      </c>
      <c r="C962">
        <v>2</v>
      </c>
      <c r="D962">
        <v>47</v>
      </c>
      <c r="E962">
        <v>0</v>
      </c>
      <c r="F962">
        <v>6</v>
      </c>
      <c r="G962">
        <v>0</v>
      </c>
    </row>
    <row r="963" spans="1:7">
      <c r="A963" t="s">
        <v>358</v>
      </c>
      <c r="B963">
        <v>5</v>
      </c>
      <c r="C963">
        <v>3</v>
      </c>
      <c r="D963">
        <v>57</v>
      </c>
      <c r="E963">
        <v>0</v>
      </c>
      <c r="F963">
        <v>6</v>
      </c>
      <c r="G963">
        <v>0</v>
      </c>
    </row>
    <row r="964" spans="1:7">
      <c r="A964" t="s">
        <v>358</v>
      </c>
      <c r="B964">
        <v>5</v>
      </c>
      <c r="C964">
        <v>4</v>
      </c>
      <c r="D964">
        <v>72</v>
      </c>
      <c r="E964">
        <v>0</v>
      </c>
      <c r="F964">
        <v>5</v>
      </c>
      <c r="G964">
        <v>0</v>
      </c>
    </row>
    <row r="965" spans="1:7">
      <c r="A965" t="s">
        <v>358</v>
      </c>
      <c r="B965">
        <v>5</v>
      </c>
      <c r="C965">
        <v>5</v>
      </c>
      <c r="D965">
        <v>123</v>
      </c>
      <c r="E965">
        <v>0</v>
      </c>
      <c r="F965">
        <v>4</v>
      </c>
      <c r="G965">
        <v>0</v>
      </c>
    </row>
    <row r="966" spans="1:7">
      <c r="A966" t="s">
        <v>358</v>
      </c>
      <c r="B966">
        <v>7</v>
      </c>
      <c r="C966">
        <v>1</v>
      </c>
      <c r="D966">
        <v>12</v>
      </c>
      <c r="E966">
        <v>0</v>
      </c>
      <c r="F966">
        <v>3</v>
      </c>
      <c r="G966">
        <v>0</v>
      </c>
    </row>
    <row r="967" spans="1:7">
      <c r="A967" t="s">
        <v>358</v>
      </c>
      <c r="B967">
        <v>7</v>
      </c>
      <c r="C967">
        <v>2</v>
      </c>
      <c r="D967">
        <v>23</v>
      </c>
      <c r="E967">
        <v>0</v>
      </c>
      <c r="F967">
        <v>2</v>
      </c>
      <c r="G967">
        <v>0</v>
      </c>
    </row>
    <row r="968" spans="1:7">
      <c r="A968" t="s">
        <v>358</v>
      </c>
      <c r="B968">
        <v>7</v>
      </c>
      <c r="C968">
        <v>3</v>
      </c>
      <c r="D968">
        <v>33</v>
      </c>
      <c r="E968">
        <v>0</v>
      </c>
      <c r="F968">
        <v>0</v>
      </c>
      <c r="G968">
        <v>0</v>
      </c>
    </row>
    <row r="969" spans="1:7">
      <c r="A969" t="s">
        <v>358</v>
      </c>
      <c r="B969">
        <v>9</v>
      </c>
      <c r="C969">
        <v>1</v>
      </c>
      <c r="D969">
        <v>8</v>
      </c>
      <c r="E969">
        <v>0</v>
      </c>
      <c r="F969">
        <v>1</v>
      </c>
      <c r="G969">
        <v>0</v>
      </c>
    </row>
    <row r="970" spans="1:7">
      <c r="A970" t="s">
        <v>358</v>
      </c>
      <c r="B970">
        <v>9</v>
      </c>
      <c r="C970">
        <v>2</v>
      </c>
      <c r="D970">
        <v>15</v>
      </c>
      <c r="E970">
        <v>0</v>
      </c>
      <c r="F970">
        <v>2</v>
      </c>
      <c r="G970">
        <v>0</v>
      </c>
    </row>
    <row r="971" spans="1:7">
      <c r="A971" t="s">
        <v>358</v>
      </c>
      <c r="B971">
        <v>9</v>
      </c>
      <c r="C971">
        <v>3</v>
      </c>
      <c r="D971">
        <v>15</v>
      </c>
      <c r="E971">
        <v>0</v>
      </c>
      <c r="F971">
        <v>2</v>
      </c>
      <c r="G971">
        <v>0</v>
      </c>
    </row>
    <row r="972" spans="1:7">
      <c r="A972" t="s">
        <v>358</v>
      </c>
      <c r="B972">
        <v>9</v>
      </c>
      <c r="C972">
        <v>4</v>
      </c>
      <c r="D972">
        <v>20</v>
      </c>
      <c r="E972">
        <v>0</v>
      </c>
      <c r="F972">
        <v>2</v>
      </c>
      <c r="G972">
        <v>0</v>
      </c>
    </row>
    <row r="973" spans="1:7">
      <c r="A973" t="s">
        <v>358</v>
      </c>
      <c r="B973">
        <v>9</v>
      </c>
      <c r="C973">
        <v>5</v>
      </c>
      <c r="D973">
        <v>20</v>
      </c>
      <c r="E973">
        <v>0</v>
      </c>
      <c r="F973">
        <v>2</v>
      </c>
      <c r="G973">
        <v>0</v>
      </c>
    </row>
    <row r="974" spans="1:7">
      <c r="A974" t="s">
        <v>358</v>
      </c>
      <c r="B974">
        <v>9</v>
      </c>
      <c r="C974">
        <v>6</v>
      </c>
      <c r="D974">
        <v>25</v>
      </c>
      <c r="E974">
        <v>0</v>
      </c>
      <c r="F974">
        <v>1</v>
      </c>
      <c r="G974">
        <v>0</v>
      </c>
    </row>
    <row r="975" spans="1:7">
      <c r="A975" t="s">
        <v>358</v>
      </c>
      <c r="B975">
        <v>9</v>
      </c>
      <c r="C975">
        <v>7</v>
      </c>
      <c r="D975">
        <v>25</v>
      </c>
      <c r="E975">
        <v>0</v>
      </c>
      <c r="F975">
        <v>1</v>
      </c>
      <c r="G975">
        <v>0</v>
      </c>
    </row>
    <row r="976" spans="1:7">
      <c r="A976" t="s">
        <v>358</v>
      </c>
      <c r="B976">
        <v>9</v>
      </c>
      <c r="C976">
        <v>8</v>
      </c>
      <c r="D976">
        <v>25</v>
      </c>
      <c r="E976">
        <v>0</v>
      </c>
      <c r="F976">
        <v>1</v>
      </c>
      <c r="G976">
        <v>0</v>
      </c>
    </row>
    <row r="977" spans="1:7">
      <c r="A977" t="s">
        <v>358</v>
      </c>
      <c r="B977">
        <v>9</v>
      </c>
      <c r="C977">
        <v>9</v>
      </c>
      <c r="D977">
        <v>25</v>
      </c>
      <c r="E977">
        <v>0</v>
      </c>
      <c r="F977">
        <v>1</v>
      </c>
      <c r="G977">
        <v>0</v>
      </c>
    </row>
    <row r="978" spans="1:7">
      <c r="A978" t="s">
        <v>358</v>
      </c>
      <c r="B978">
        <v>9</v>
      </c>
      <c r="C978">
        <v>10</v>
      </c>
      <c r="D978">
        <v>25</v>
      </c>
      <c r="E978">
        <v>0</v>
      </c>
      <c r="F978">
        <v>1</v>
      </c>
      <c r="G978">
        <v>0</v>
      </c>
    </row>
    <row r="979" spans="1:7">
      <c r="A979" t="s">
        <v>358</v>
      </c>
      <c r="B979">
        <v>9</v>
      </c>
      <c r="C979">
        <v>11</v>
      </c>
      <c r="D979">
        <v>25</v>
      </c>
      <c r="E979">
        <v>0</v>
      </c>
      <c r="F979">
        <v>1</v>
      </c>
      <c r="G979">
        <v>0</v>
      </c>
    </row>
    <row r="980" spans="1:7">
      <c r="A980" t="s">
        <v>358</v>
      </c>
      <c r="B980">
        <v>9</v>
      </c>
      <c r="C980">
        <v>12</v>
      </c>
      <c r="D980">
        <v>30</v>
      </c>
      <c r="E980">
        <v>0</v>
      </c>
      <c r="F980">
        <v>1</v>
      </c>
      <c r="G980">
        <v>0</v>
      </c>
    </row>
    <row r="981" spans="1:7">
      <c r="A981" t="s">
        <v>358</v>
      </c>
      <c r="B981">
        <v>9</v>
      </c>
      <c r="C981">
        <v>13</v>
      </c>
      <c r="D981">
        <v>30</v>
      </c>
      <c r="E981">
        <v>0</v>
      </c>
      <c r="F981">
        <v>1</v>
      </c>
      <c r="G981">
        <v>0</v>
      </c>
    </row>
    <row r="982" spans="1:7">
      <c r="A982" t="s">
        <v>358</v>
      </c>
      <c r="B982">
        <v>9</v>
      </c>
      <c r="C982">
        <v>14</v>
      </c>
      <c r="D982">
        <v>30</v>
      </c>
      <c r="E982">
        <v>0</v>
      </c>
      <c r="F982">
        <v>1</v>
      </c>
      <c r="G982">
        <v>0</v>
      </c>
    </row>
    <row r="983" spans="1:7">
      <c r="A983" t="s">
        <v>358</v>
      </c>
      <c r="B983">
        <v>9</v>
      </c>
      <c r="C983">
        <v>15</v>
      </c>
      <c r="D983">
        <v>36</v>
      </c>
      <c r="E983">
        <v>0</v>
      </c>
      <c r="F983">
        <v>0</v>
      </c>
      <c r="G983">
        <v>0</v>
      </c>
    </row>
    <row r="984" spans="1:7">
      <c r="A984" t="s">
        <v>358</v>
      </c>
      <c r="B984">
        <v>9</v>
      </c>
      <c r="C984">
        <v>16</v>
      </c>
      <c r="D984">
        <v>36</v>
      </c>
      <c r="E984">
        <v>0</v>
      </c>
      <c r="F984">
        <v>0</v>
      </c>
      <c r="G984">
        <v>0</v>
      </c>
    </row>
    <row r="985" spans="1:7">
      <c r="A985" t="s">
        <v>358</v>
      </c>
      <c r="B985">
        <v>9</v>
      </c>
      <c r="C985">
        <v>17</v>
      </c>
      <c r="D985">
        <v>36</v>
      </c>
      <c r="E985">
        <v>0</v>
      </c>
      <c r="F985">
        <v>0</v>
      </c>
      <c r="G985">
        <v>0</v>
      </c>
    </row>
    <row r="986" spans="1:7">
      <c r="A986" t="s">
        <v>358</v>
      </c>
      <c r="B986">
        <v>9</v>
      </c>
      <c r="C986">
        <v>18</v>
      </c>
      <c r="D986">
        <v>36</v>
      </c>
      <c r="E986">
        <v>0</v>
      </c>
      <c r="F986">
        <v>0</v>
      </c>
      <c r="G986">
        <v>0</v>
      </c>
    </row>
    <row r="987" spans="1:7">
      <c r="A987" t="s">
        <v>358</v>
      </c>
      <c r="B987">
        <v>10</v>
      </c>
      <c r="C987">
        <v>1</v>
      </c>
      <c r="D987">
        <v>26</v>
      </c>
      <c r="E987">
        <v>0</v>
      </c>
      <c r="F987">
        <v>3</v>
      </c>
      <c r="G987">
        <v>0</v>
      </c>
    </row>
    <row r="988" spans="1:7">
      <c r="A988" t="s">
        <v>358</v>
      </c>
      <c r="B988">
        <v>10</v>
      </c>
      <c r="C988">
        <v>2</v>
      </c>
      <c r="D988">
        <v>27</v>
      </c>
      <c r="E988">
        <v>0</v>
      </c>
      <c r="F988">
        <v>2</v>
      </c>
      <c r="G988">
        <v>0</v>
      </c>
    </row>
    <row r="989" spans="1:7">
      <c r="A989" t="s">
        <v>358</v>
      </c>
      <c r="B989">
        <v>10</v>
      </c>
      <c r="C989">
        <v>3</v>
      </c>
      <c r="D989">
        <v>30</v>
      </c>
      <c r="E989">
        <v>0</v>
      </c>
      <c r="F989">
        <v>0</v>
      </c>
      <c r="G989">
        <v>0</v>
      </c>
    </row>
    <row r="990" spans="1:7">
      <c r="A990" t="s">
        <v>358</v>
      </c>
      <c r="B990">
        <v>10</v>
      </c>
      <c r="C990">
        <v>4</v>
      </c>
      <c r="D990">
        <v>30</v>
      </c>
      <c r="E990">
        <v>0</v>
      </c>
      <c r="F990">
        <v>0</v>
      </c>
      <c r="G990">
        <v>0</v>
      </c>
    </row>
    <row r="991" spans="1:7">
      <c r="A991" t="s">
        <v>358</v>
      </c>
      <c r="B991">
        <v>11</v>
      </c>
      <c r="C991">
        <v>1</v>
      </c>
      <c r="D991">
        <v>9</v>
      </c>
      <c r="E991">
        <v>0</v>
      </c>
      <c r="F991">
        <v>1</v>
      </c>
      <c r="G991">
        <v>0</v>
      </c>
    </row>
    <row r="992" spans="1:7">
      <c r="A992" t="s">
        <v>358</v>
      </c>
      <c r="B992">
        <v>11</v>
      </c>
      <c r="C992">
        <v>2</v>
      </c>
      <c r="D992">
        <v>39</v>
      </c>
      <c r="E992">
        <v>0</v>
      </c>
      <c r="F992">
        <v>4</v>
      </c>
      <c r="G992">
        <v>0</v>
      </c>
    </row>
    <row r="993" spans="1:7">
      <c r="A993" t="s">
        <v>358</v>
      </c>
      <c r="B993">
        <v>11</v>
      </c>
      <c r="C993">
        <v>3</v>
      </c>
      <c r="D993">
        <v>41</v>
      </c>
      <c r="E993">
        <v>0</v>
      </c>
      <c r="F993">
        <v>3</v>
      </c>
      <c r="G993">
        <v>0</v>
      </c>
    </row>
    <row r="994" spans="1:7">
      <c r="A994" t="s">
        <v>358</v>
      </c>
      <c r="B994">
        <v>11</v>
      </c>
      <c r="C994">
        <v>4</v>
      </c>
      <c r="D994">
        <v>49</v>
      </c>
      <c r="E994">
        <v>0</v>
      </c>
      <c r="F994">
        <v>2</v>
      </c>
      <c r="G994">
        <v>0</v>
      </c>
    </row>
    <row r="995" spans="1:7">
      <c r="A995" t="s">
        <v>358</v>
      </c>
      <c r="B995">
        <v>11</v>
      </c>
      <c r="C995">
        <v>5</v>
      </c>
      <c r="D995">
        <v>58</v>
      </c>
      <c r="E995">
        <v>0</v>
      </c>
      <c r="F995">
        <v>2</v>
      </c>
      <c r="G995">
        <v>0</v>
      </c>
    </row>
    <row r="996" spans="1:7">
      <c r="A996" t="s">
        <v>358</v>
      </c>
      <c r="B996">
        <v>11</v>
      </c>
      <c r="C996">
        <v>6</v>
      </c>
      <c r="D996">
        <v>58</v>
      </c>
      <c r="E996">
        <v>0</v>
      </c>
      <c r="F996">
        <v>2</v>
      </c>
      <c r="G996">
        <v>0</v>
      </c>
    </row>
    <row r="997" spans="1:7">
      <c r="A997" t="s">
        <v>358</v>
      </c>
      <c r="B997">
        <v>11</v>
      </c>
      <c r="C997">
        <v>7</v>
      </c>
      <c r="D997">
        <v>58</v>
      </c>
      <c r="E997">
        <v>0</v>
      </c>
      <c r="F997">
        <v>2</v>
      </c>
      <c r="G997">
        <v>0</v>
      </c>
    </row>
    <row r="998" spans="1:7">
      <c r="A998" t="s">
        <v>358</v>
      </c>
      <c r="B998">
        <v>11</v>
      </c>
      <c r="C998">
        <v>8</v>
      </c>
      <c r="D998">
        <v>66</v>
      </c>
      <c r="E998">
        <v>0</v>
      </c>
      <c r="F998">
        <v>2</v>
      </c>
      <c r="G998">
        <v>0</v>
      </c>
    </row>
    <row r="999" spans="1:7">
      <c r="A999" t="s">
        <v>358</v>
      </c>
      <c r="B999">
        <v>11</v>
      </c>
      <c r="C999">
        <v>9</v>
      </c>
      <c r="D999">
        <v>70</v>
      </c>
      <c r="E999">
        <v>0</v>
      </c>
      <c r="F999">
        <v>1</v>
      </c>
      <c r="G999">
        <v>0</v>
      </c>
    </row>
    <row r="1000" spans="1:7">
      <c r="A1000" t="s">
        <v>358</v>
      </c>
      <c r="B1000">
        <v>11</v>
      </c>
      <c r="C1000">
        <v>10</v>
      </c>
      <c r="D1000">
        <v>70</v>
      </c>
      <c r="E1000">
        <v>0</v>
      </c>
      <c r="F1000">
        <v>1</v>
      </c>
      <c r="G1000">
        <v>0</v>
      </c>
    </row>
    <row r="1001" spans="1:7">
      <c r="A1001" t="s">
        <v>358</v>
      </c>
      <c r="B1001">
        <v>11</v>
      </c>
      <c r="C1001">
        <v>11</v>
      </c>
      <c r="D1001">
        <v>70</v>
      </c>
      <c r="E1001">
        <v>0</v>
      </c>
      <c r="F1001">
        <v>1</v>
      </c>
      <c r="G1001">
        <v>0</v>
      </c>
    </row>
    <row r="1002" spans="1:7">
      <c r="A1002" t="s">
        <v>358</v>
      </c>
      <c r="B1002">
        <v>11</v>
      </c>
      <c r="C1002">
        <v>12</v>
      </c>
      <c r="D1002">
        <v>70</v>
      </c>
      <c r="E1002">
        <v>0</v>
      </c>
      <c r="F1002">
        <v>1</v>
      </c>
      <c r="G1002">
        <v>0</v>
      </c>
    </row>
    <row r="1003" spans="1:7">
      <c r="A1003" t="s">
        <v>358</v>
      </c>
      <c r="B1003">
        <v>11</v>
      </c>
      <c r="C1003">
        <v>13</v>
      </c>
      <c r="D1003">
        <v>80</v>
      </c>
      <c r="E1003">
        <v>0</v>
      </c>
      <c r="F1003">
        <v>1</v>
      </c>
      <c r="G1003">
        <v>0</v>
      </c>
    </row>
    <row r="1004" spans="1:7">
      <c r="A1004" t="s">
        <v>358</v>
      </c>
      <c r="B1004">
        <v>11</v>
      </c>
      <c r="C1004">
        <v>14</v>
      </c>
      <c r="D1004">
        <v>80</v>
      </c>
      <c r="E1004">
        <v>0</v>
      </c>
      <c r="F1004">
        <v>1</v>
      </c>
      <c r="G1004">
        <v>0</v>
      </c>
    </row>
    <row r="1005" spans="1:7">
      <c r="A1005" t="s">
        <v>358</v>
      </c>
      <c r="B1005">
        <v>11</v>
      </c>
      <c r="C1005">
        <v>15</v>
      </c>
      <c r="D1005">
        <v>88</v>
      </c>
      <c r="E1005">
        <v>0</v>
      </c>
      <c r="F1005">
        <v>0</v>
      </c>
      <c r="G1005">
        <v>0</v>
      </c>
    </row>
    <row r="1006" spans="1:7">
      <c r="A1006" t="s">
        <v>358</v>
      </c>
      <c r="B1006">
        <v>11</v>
      </c>
      <c r="C1006">
        <v>16</v>
      </c>
      <c r="D1006">
        <v>88</v>
      </c>
      <c r="E1006">
        <v>0</v>
      </c>
      <c r="F1006">
        <v>0</v>
      </c>
      <c r="G1006">
        <v>0</v>
      </c>
    </row>
    <row r="1007" spans="1:7">
      <c r="A1007" t="s">
        <v>358</v>
      </c>
      <c r="B1007">
        <v>11</v>
      </c>
      <c r="C1007">
        <v>17</v>
      </c>
      <c r="D1007">
        <v>88</v>
      </c>
      <c r="E1007">
        <v>0</v>
      </c>
      <c r="F1007">
        <v>0</v>
      </c>
      <c r="G1007">
        <v>0</v>
      </c>
    </row>
    <row r="1008" spans="1:7">
      <c r="A1008" t="s">
        <v>358</v>
      </c>
      <c r="B1008">
        <v>11</v>
      </c>
      <c r="C1008">
        <v>18</v>
      </c>
      <c r="D1008">
        <v>88</v>
      </c>
      <c r="E1008">
        <v>0</v>
      </c>
      <c r="F1008">
        <v>0</v>
      </c>
      <c r="G1008">
        <v>0</v>
      </c>
    </row>
    <row r="1009" spans="1:7">
      <c r="A1009" t="s">
        <v>358</v>
      </c>
      <c r="B1009">
        <v>11</v>
      </c>
      <c r="C1009">
        <v>19</v>
      </c>
      <c r="D1009">
        <v>88</v>
      </c>
      <c r="E1009">
        <v>0</v>
      </c>
      <c r="F1009">
        <v>0</v>
      </c>
      <c r="G1009">
        <v>0</v>
      </c>
    </row>
    <row r="1010" spans="1:7">
      <c r="A1010" t="s">
        <v>358</v>
      </c>
      <c r="B1010">
        <v>12</v>
      </c>
      <c r="C1010">
        <v>1</v>
      </c>
      <c r="D1010">
        <v>9</v>
      </c>
      <c r="E1010">
        <v>0</v>
      </c>
      <c r="F1010">
        <v>1</v>
      </c>
      <c r="G1010">
        <v>0</v>
      </c>
    </row>
    <row r="1011" spans="1:7">
      <c r="A1011" t="s">
        <v>358</v>
      </c>
      <c r="B1011">
        <v>12</v>
      </c>
      <c r="C1011">
        <v>2</v>
      </c>
      <c r="D1011">
        <v>32</v>
      </c>
      <c r="E1011">
        <v>0</v>
      </c>
      <c r="F1011">
        <v>3</v>
      </c>
      <c r="G1011">
        <v>0</v>
      </c>
    </row>
    <row r="1012" spans="1:7">
      <c r="A1012" t="s">
        <v>358</v>
      </c>
      <c r="B1012">
        <v>12</v>
      </c>
      <c r="C1012">
        <v>3</v>
      </c>
      <c r="D1012">
        <v>34</v>
      </c>
      <c r="E1012">
        <v>0</v>
      </c>
      <c r="F1012">
        <v>2</v>
      </c>
      <c r="G1012">
        <v>0</v>
      </c>
    </row>
    <row r="1013" spans="1:7">
      <c r="A1013" t="s">
        <v>358</v>
      </c>
      <c r="B1013">
        <v>12</v>
      </c>
      <c r="C1013">
        <v>4</v>
      </c>
      <c r="D1013">
        <v>44</v>
      </c>
      <c r="E1013">
        <v>0</v>
      </c>
      <c r="F1013">
        <v>1</v>
      </c>
      <c r="G1013">
        <v>0</v>
      </c>
    </row>
    <row r="1014" spans="1:7">
      <c r="A1014" t="s">
        <v>358</v>
      </c>
      <c r="B1014">
        <v>12</v>
      </c>
      <c r="C1014">
        <v>5</v>
      </c>
      <c r="D1014">
        <v>44</v>
      </c>
      <c r="E1014">
        <v>0</v>
      </c>
      <c r="F1014">
        <v>1</v>
      </c>
      <c r="G1014">
        <v>0</v>
      </c>
    </row>
    <row r="1015" spans="1:7">
      <c r="A1015" t="s">
        <v>358</v>
      </c>
      <c r="B1015">
        <v>12</v>
      </c>
      <c r="C1015">
        <v>6</v>
      </c>
      <c r="D1015">
        <v>52</v>
      </c>
      <c r="E1015">
        <v>0</v>
      </c>
      <c r="F1015">
        <v>1</v>
      </c>
      <c r="G1015">
        <v>0</v>
      </c>
    </row>
    <row r="1016" spans="1:7">
      <c r="A1016" t="s">
        <v>358</v>
      </c>
      <c r="B1016">
        <v>12</v>
      </c>
      <c r="C1016">
        <v>7</v>
      </c>
      <c r="D1016">
        <v>56</v>
      </c>
      <c r="E1016">
        <v>0</v>
      </c>
      <c r="F1016">
        <v>0</v>
      </c>
      <c r="G1016">
        <v>0</v>
      </c>
    </row>
    <row r="1017" spans="1:7">
      <c r="A1017" t="s">
        <v>358</v>
      </c>
      <c r="B1017">
        <v>12</v>
      </c>
      <c r="C1017">
        <v>8</v>
      </c>
      <c r="D1017">
        <v>56</v>
      </c>
      <c r="E1017">
        <v>0</v>
      </c>
      <c r="F1017">
        <v>0</v>
      </c>
      <c r="G1017">
        <v>0</v>
      </c>
    </row>
    <row r="1018" spans="1:7">
      <c r="A1018" t="s">
        <v>358</v>
      </c>
      <c r="B1018">
        <v>12</v>
      </c>
      <c r="C1018">
        <v>9</v>
      </c>
      <c r="D1018">
        <v>56</v>
      </c>
      <c r="E1018">
        <v>0</v>
      </c>
      <c r="F1018">
        <v>0</v>
      </c>
      <c r="G1018">
        <v>0</v>
      </c>
    </row>
    <row r="1019" spans="1:7">
      <c r="A1019" t="s">
        <v>358</v>
      </c>
      <c r="B1019">
        <v>13</v>
      </c>
      <c r="C1019">
        <v>1</v>
      </c>
      <c r="D1019">
        <v>4</v>
      </c>
      <c r="E1019">
        <v>0</v>
      </c>
      <c r="F1019">
        <v>0</v>
      </c>
      <c r="G1019">
        <v>0</v>
      </c>
    </row>
    <row r="1020" spans="1:7">
      <c r="A1020" t="s">
        <v>358</v>
      </c>
      <c r="B1020">
        <v>13</v>
      </c>
      <c r="C1020">
        <v>2</v>
      </c>
      <c r="D1020">
        <v>7</v>
      </c>
      <c r="E1020">
        <v>0</v>
      </c>
      <c r="F1020">
        <v>0</v>
      </c>
      <c r="G1020">
        <v>0</v>
      </c>
    </row>
    <row r="1021" spans="1:7">
      <c r="A1021" t="s">
        <v>405</v>
      </c>
      <c r="B1021">
        <v>2</v>
      </c>
      <c r="C1021">
        <v>1</v>
      </c>
      <c r="D1021">
        <v>27</v>
      </c>
      <c r="E1021">
        <v>0</v>
      </c>
      <c r="F1021">
        <v>1</v>
      </c>
      <c r="G1021">
        <v>0</v>
      </c>
    </row>
    <row r="1022" spans="1:7">
      <c r="A1022" t="s">
        <v>405</v>
      </c>
      <c r="B1022">
        <v>2</v>
      </c>
      <c r="C1022">
        <v>2</v>
      </c>
      <c r="D1022">
        <v>51</v>
      </c>
      <c r="E1022">
        <v>0</v>
      </c>
      <c r="F1022">
        <v>1</v>
      </c>
      <c r="G1022">
        <v>0</v>
      </c>
    </row>
    <row r="1023" spans="1:7">
      <c r="A1023" t="s">
        <v>405</v>
      </c>
      <c r="B1023">
        <v>2</v>
      </c>
      <c r="C1023">
        <v>3</v>
      </c>
      <c r="D1023">
        <v>71</v>
      </c>
      <c r="E1023">
        <v>0</v>
      </c>
      <c r="F1023">
        <v>0</v>
      </c>
      <c r="G1023">
        <v>0</v>
      </c>
    </row>
    <row r="1024" spans="1:7">
      <c r="A1024" t="s">
        <v>405</v>
      </c>
      <c r="B1024">
        <v>6</v>
      </c>
      <c r="C1024">
        <v>1</v>
      </c>
      <c r="D1024">
        <v>23</v>
      </c>
      <c r="E1024">
        <v>0</v>
      </c>
      <c r="F1024">
        <v>1</v>
      </c>
      <c r="G1024">
        <v>1</v>
      </c>
    </row>
    <row r="1025" spans="1:7">
      <c r="A1025" t="s">
        <v>405</v>
      </c>
      <c r="B1025">
        <v>6</v>
      </c>
      <c r="C1025">
        <v>2</v>
      </c>
      <c r="D1025">
        <v>24</v>
      </c>
      <c r="E1025">
        <v>0</v>
      </c>
      <c r="F1025">
        <v>1</v>
      </c>
      <c r="G1025">
        <v>0</v>
      </c>
    </row>
    <row r="1026" spans="1:7">
      <c r="A1026" t="s">
        <v>405</v>
      </c>
      <c r="B1026">
        <v>6</v>
      </c>
      <c r="C1026">
        <v>3</v>
      </c>
      <c r="D1026">
        <v>31</v>
      </c>
      <c r="E1026">
        <v>0</v>
      </c>
      <c r="F1026">
        <v>0</v>
      </c>
      <c r="G1026">
        <v>0</v>
      </c>
    </row>
    <row r="1027" spans="1:7">
      <c r="A1027" t="s">
        <v>405</v>
      </c>
      <c r="B1027">
        <v>6</v>
      </c>
      <c r="C1027">
        <v>4</v>
      </c>
      <c r="D1027">
        <v>31</v>
      </c>
      <c r="E1027">
        <v>0</v>
      </c>
      <c r="F1027">
        <v>0</v>
      </c>
      <c r="G1027">
        <v>0</v>
      </c>
    </row>
    <row r="1028" spans="1:7">
      <c r="A1028" t="s">
        <v>405</v>
      </c>
      <c r="B1028">
        <v>6</v>
      </c>
      <c r="C1028">
        <v>5</v>
      </c>
      <c r="D1028">
        <v>31</v>
      </c>
      <c r="E1028">
        <v>0</v>
      </c>
      <c r="F1028">
        <v>0</v>
      </c>
      <c r="G1028">
        <v>0</v>
      </c>
    </row>
    <row r="1029" spans="1:7">
      <c r="A1029" t="s">
        <v>405</v>
      </c>
      <c r="B1029">
        <v>6</v>
      </c>
      <c r="C1029">
        <v>6</v>
      </c>
      <c r="D1029">
        <v>31</v>
      </c>
      <c r="E1029">
        <v>0</v>
      </c>
      <c r="F1029">
        <v>0</v>
      </c>
      <c r="G1029">
        <v>0</v>
      </c>
    </row>
    <row r="1030" spans="1:7">
      <c r="A1030" t="s">
        <v>405</v>
      </c>
      <c r="B1030">
        <v>8</v>
      </c>
      <c r="C1030">
        <v>1</v>
      </c>
      <c r="D1030">
        <v>27</v>
      </c>
      <c r="E1030">
        <v>0</v>
      </c>
      <c r="F1030">
        <v>1</v>
      </c>
      <c r="G1030">
        <v>0</v>
      </c>
    </row>
    <row r="1031" spans="1:7">
      <c r="A1031" t="s">
        <v>405</v>
      </c>
      <c r="B1031">
        <v>8</v>
      </c>
      <c r="C1031">
        <v>2</v>
      </c>
      <c r="D1031">
        <v>29</v>
      </c>
      <c r="E1031">
        <v>0</v>
      </c>
      <c r="F1031">
        <v>0</v>
      </c>
      <c r="G103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7"/>
  <sheetViews>
    <sheetView topLeftCell="A480" workbookViewId="0">
      <selection activeCell="E517" sqref="E517:F517"/>
    </sheetView>
  </sheetViews>
  <sheetFormatPr baseColWidth="10" defaultRowHeight="15" x14ac:dyDescent="0"/>
  <sheetData>
    <row r="1" spans="1:7">
      <c r="A1" t="s">
        <v>509</v>
      </c>
      <c r="B1" t="s">
        <v>510</v>
      </c>
      <c r="C1" t="s">
        <v>511</v>
      </c>
      <c r="D1" t="s">
        <v>512</v>
      </c>
      <c r="E1" t="s">
        <v>513</v>
      </c>
      <c r="F1" t="s">
        <v>514</v>
      </c>
      <c r="G1" t="s">
        <v>515</v>
      </c>
    </row>
    <row r="2" spans="1:7">
      <c r="A2" t="s">
        <v>4</v>
      </c>
      <c r="B2">
        <v>1</v>
      </c>
      <c r="C2" t="s">
        <v>1</v>
      </c>
      <c r="D2">
        <v>1</v>
      </c>
      <c r="E2">
        <v>5273</v>
      </c>
      <c r="F2">
        <v>5157</v>
      </c>
      <c r="G2" s="1">
        <f t="shared" ref="G2:G65" si="0">F2/E2</f>
        <v>0.97800113787217902</v>
      </c>
    </row>
    <row r="3" spans="1:7">
      <c r="A3" t="s">
        <v>4</v>
      </c>
      <c r="B3">
        <v>1</v>
      </c>
      <c r="C3" t="s">
        <v>3</v>
      </c>
      <c r="D3">
        <v>2</v>
      </c>
      <c r="E3">
        <v>5273</v>
      </c>
      <c r="F3">
        <v>5158</v>
      </c>
      <c r="G3" s="1">
        <f t="shared" si="0"/>
        <v>0.97819078323534991</v>
      </c>
    </row>
    <row r="4" spans="1:7">
      <c r="A4" t="s">
        <v>4</v>
      </c>
      <c r="B4">
        <v>1</v>
      </c>
      <c r="C4" t="s">
        <v>0</v>
      </c>
      <c r="D4">
        <v>3</v>
      </c>
      <c r="E4">
        <v>5273</v>
      </c>
      <c r="F4">
        <v>5244</v>
      </c>
      <c r="G4" s="1">
        <f t="shared" si="0"/>
        <v>0.99450028446804473</v>
      </c>
    </row>
    <row r="5" spans="1:7">
      <c r="A5" t="s">
        <v>4</v>
      </c>
      <c r="B5">
        <v>1</v>
      </c>
      <c r="C5" t="s">
        <v>2</v>
      </c>
      <c r="D5">
        <v>4</v>
      </c>
      <c r="E5">
        <v>5273</v>
      </c>
      <c r="F5">
        <v>5258</v>
      </c>
      <c r="G5" s="1">
        <f t="shared" si="0"/>
        <v>0.99715531955243697</v>
      </c>
    </row>
    <row r="6" spans="1:7">
      <c r="A6" t="s">
        <v>4</v>
      </c>
      <c r="B6">
        <v>2</v>
      </c>
      <c r="C6" t="s">
        <v>3</v>
      </c>
      <c r="D6">
        <v>1</v>
      </c>
      <c r="E6">
        <v>792</v>
      </c>
      <c r="F6">
        <v>346</v>
      </c>
      <c r="G6" s="1">
        <f t="shared" si="0"/>
        <v>0.43686868686868685</v>
      </c>
    </row>
    <row r="7" spans="1:7">
      <c r="A7" t="s">
        <v>4</v>
      </c>
      <c r="B7">
        <v>2</v>
      </c>
      <c r="C7" t="s">
        <v>5</v>
      </c>
      <c r="D7">
        <v>2</v>
      </c>
      <c r="E7">
        <v>792</v>
      </c>
      <c r="F7">
        <v>506</v>
      </c>
      <c r="G7" s="1">
        <f t="shared" si="0"/>
        <v>0.63888888888888884</v>
      </c>
    </row>
    <row r="8" spans="1:7">
      <c r="A8" t="s">
        <v>4</v>
      </c>
      <c r="B8">
        <v>2</v>
      </c>
      <c r="C8" t="s">
        <v>18</v>
      </c>
      <c r="D8">
        <v>3</v>
      </c>
      <c r="E8">
        <v>792</v>
      </c>
      <c r="F8">
        <v>537</v>
      </c>
      <c r="G8" s="1">
        <f t="shared" si="0"/>
        <v>0.67803030303030298</v>
      </c>
    </row>
    <row r="9" spans="1:7">
      <c r="A9" t="s">
        <v>4</v>
      </c>
      <c r="B9">
        <v>2</v>
      </c>
      <c r="C9" t="s">
        <v>12</v>
      </c>
      <c r="D9">
        <v>4</v>
      </c>
      <c r="E9">
        <v>792</v>
      </c>
      <c r="F9">
        <v>557</v>
      </c>
      <c r="G9" s="1">
        <f t="shared" si="0"/>
        <v>0.70328282828282829</v>
      </c>
    </row>
    <row r="10" spans="1:7">
      <c r="A10" t="s">
        <v>4</v>
      </c>
      <c r="B10">
        <v>2</v>
      </c>
      <c r="C10" t="s">
        <v>6</v>
      </c>
      <c r="D10">
        <v>5</v>
      </c>
      <c r="E10">
        <v>792</v>
      </c>
      <c r="F10">
        <v>633</v>
      </c>
      <c r="G10" s="1">
        <f t="shared" si="0"/>
        <v>0.7992424242424242</v>
      </c>
    </row>
    <row r="11" spans="1:7">
      <c r="A11" t="s">
        <v>4</v>
      </c>
      <c r="B11">
        <v>2</v>
      </c>
      <c r="C11" t="s">
        <v>15</v>
      </c>
      <c r="D11">
        <v>6</v>
      </c>
      <c r="E11">
        <v>792</v>
      </c>
      <c r="F11">
        <v>634</v>
      </c>
      <c r="G11" s="1">
        <f t="shared" si="0"/>
        <v>0.8005050505050505</v>
      </c>
    </row>
    <row r="12" spans="1:7">
      <c r="A12" t="s">
        <v>4</v>
      </c>
      <c r="B12">
        <v>2</v>
      </c>
      <c r="C12" t="s">
        <v>11</v>
      </c>
      <c r="D12">
        <v>7</v>
      </c>
      <c r="E12">
        <v>792</v>
      </c>
      <c r="F12">
        <v>648</v>
      </c>
      <c r="G12" s="1">
        <f t="shared" si="0"/>
        <v>0.81818181818181823</v>
      </c>
    </row>
    <row r="13" spans="1:7">
      <c r="A13" t="s">
        <v>4</v>
      </c>
      <c r="B13">
        <v>2</v>
      </c>
      <c r="C13" t="s">
        <v>16</v>
      </c>
      <c r="D13">
        <v>8</v>
      </c>
      <c r="E13">
        <v>792</v>
      </c>
      <c r="F13">
        <v>698</v>
      </c>
      <c r="G13" s="1">
        <f t="shared" si="0"/>
        <v>0.88131313131313127</v>
      </c>
    </row>
    <row r="14" spans="1:7">
      <c r="A14" t="s">
        <v>4</v>
      </c>
      <c r="B14">
        <v>2</v>
      </c>
      <c r="C14" t="s">
        <v>9</v>
      </c>
      <c r="D14">
        <v>9</v>
      </c>
      <c r="E14">
        <v>792</v>
      </c>
      <c r="F14">
        <v>705</v>
      </c>
      <c r="G14" s="1">
        <f t="shared" si="0"/>
        <v>0.89015151515151514</v>
      </c>
    </row>
    <row r="15" spans="1:7">
      <c r="A15" t="s">
        <v>4</v>
      </c>
      <c r="B15">
        <v>2</v>
      </c>
      <c r="C15" t="s">
        <v>17</v>
      </c>
      <c r="D15">
        <v>10</v>
      </c>
      <c r="E15">
        <v>792</v>
      </c>
      <c r="F15">
        <v>709</v>
      </c>
      <c r="G15" s="1">
        <f t="shared" si="0"/>
        <v>0.89520202020202022</v>
      </c>
    </row>
    <row r="16" spans="1:7">
      <c r="A16" t="s">
        <v>4</v>
      </c>
      <c r="B16">
        <v>2</v>
      </c>
      <c r="C16" t="s">
        <v>7</v>
      </c>
      <c r="D16">
        <v>11</v>
      </c>
      <c r="E16">
        <v>792</v>
      </c>
      <c r="F16">
        <v>715</v>
      </c>
      <c r="G16" s="1">
        <f t="shared" si="0"/>
        <v>0.90277777777777779</v>
      </c>
    </row>
    <row r="17" spans="1:7">
      <c r="A17" t="s">
        <v>4</v>
      </c>
      <c r="B17">
        <v>2</v>
      </c>
      <c r="C17" t="s">
        <v>10</v>
      </c>
      <c r="D17">
        <v>12</v>
      </c>
      <c r="E17">
        <v>792</v>
      </c>
      <c r="F17">
        <v>738</v>
      </c>
      <c r="G17" s="1">
        <f t="shared" si="0"/>
        <v>0.93181818181818177</v>
      </c>
    </row>
    <row r="18" spans="1:7">
      <c r="A18" t="s">
        <v>4</v>
      </c>
      <c r="B18">
        <v>2</v>
      </c>
      <c r="C18" t="s">
        <v>13</v>
      </c>
      <c r="D18">
        <v>13</v>
      </c>
      <c r="E18">
        <v>792</v>
      </c>
      <c r="F18">
        <v>747</v>
      </c>
      <c r="G18" s="1">
        <f t="shared" si="0"/>
        <v>0.94318181818181823</v>
      </c>
    </row>
    <row r="19" spans="1:7">
      <c r="A19" t="s">
        <v>4</v>
      </c>
      <c r="B19">
        <v>2</v>
      </c>
      <c r="C19" t="s">
        <v>8</v>
      </c>
      <c r="D19">
        <v>14</v>
      </c>
      <c r="E19">
        <v>792</v>
      </c>
      <c r="F19">
        <v>791</v>
      </c>
      <c r="G19" s="1">
        <f t="shared" si="0"/>
        <v>0.9987373737373737</v>
      </c>
    </row>
    <row r="20" spans="1:7">
      <c r="A20" t="s">
        <v>4</v>
      </c>
      <c r="B20">
        <v>2</v>
      </c>
      <c r="C20" t="s">
        <v>14</v>
      </c>
      <c r="D20">
        <v>15</v>
      </c>
      <c r="E20">
        <v>792</v>
      </c>
      <c r="F20">
        <v>840</v>
      </c>
      <c r="G20" s="1">
        <f t="shared" si="0"/>
        <v>1.0606060606060606</v>
      </c>
    </row>
    <row r="21" spans="1:7">
      <c r="A21" t="s">
        <v>4</v>
      </c>
      <c r="B21">
        <v>6</v>
      </c>
      <c r="C21" t="s">
        <v>19</v>
      </c>
      <c r="D21">
        <v>1</v>
      </c>
      <c r="E21">
        <v>471</v>
      </c>
      <c r="F21">
        <v>94</v>
      </c>
      <c r="G21" s="1">
        <f t="shared" si="0"/>
        <v>0.19957537154989385</v>
      </c>
    </row>
    <row r="22" spans="1:7">
      <c r="A22" t="s">
        <v>4</v>
      </c>
      <c r="B22">
        <v>6</v>
      </c>
      <c r="C22" t="s">
        <v>1</v>
      </c>
      <c r="D22">
        <v>2</v>
      </c>
      <c r="E22">
        <v>471</v>
      </c>
      <c r="F22">
        <v>155</v>
      </c>
      <c r="G22" s="1">
        <f t="shared" si="0"/>
        <v>0.32908704883227174</v>
      </c>
    </row>
    <row r="23" spans="1:7">
      <c r="A23" t="s">
        <v>4</v>
      </c>
      <c r="B23">
        <v>6</v>
      </c>
      <c r="C23" t="s">
        <v>22</v>
      </c>
      <c r="D23">
        <v>3</v>
      </c>
      <c r="E23">
        <v>471</v>
      </c>
      <c r="F23">
        <v>326</v>
      </c>
      <c r="G23" s="1">
        <f t="shared" si="0"/>
        <v>0.69214437367303605</v>
      </c>
    </row>
    <row r="24" spans="1:7">
      <c r="A24" t="s">
        <v>4</v>
      </c>
      <c r="B24">
        <v>6</v>
      </c>
      <c r="C24" t="s">
        <v>20</v>
      </c>
      <c r="D24">
        <v>4</v>
      </c>
      <c r="E24">
        <v>471</v>
      </c>
      <c r="F24">
        <v>458</v>
      </c>
      <c r="G24" s="1">
        <f t="shared" si="0"/>
        <v>0.97239915074309979</v>
      </c>
    </row>
    <row r="25" spans="1:7">
      <c r="A25" t="s">
        <v>4</v>
      </c>
      <c r="B25">
        <v>6</v>
      </c>
      <c r="C25" t="s">
        <v>21</v>
      </c>
      <c r="D25">
        <v>5</v>
      </c>
      <c r="E25">
        <v>471</v>
      </c>
      <c r="F25">
        <v>464</v>
      </c>
      <c r="G25" s="1">
        <f t="shared" si="0"/>
        <v>0.9851380042462845</v>
      </c>
    </row>
    <row r="26" spans="1:7">
      <c r="A26" t="s">
        <v>4</v>
      </c>
      <c r="B26">
        <v>9</v>
      </c>
      <c r="C26" t="s">
        <v>23</v>
      </c>
      <c r="D26">
        <v>1</v>
      </c>
      <c r="E26">
        <v>1471</v>
      </c>
      <c r="F26">
        <v>101</v>
      </c>
      <c r="G26" s="1">
        <f t="shared" si="0"/>
        <v>6.8660774983004755E-2</v>
      </c>
    </row>
    <row r="27" spans="1:7">
      <c r="A27" t="s">
        <v>4</v>
      </c>
      <c r="B27">
        <v>9</v>
      </c>
      <c r="C27" t="s">
        <v>24</v>
      </c>
      <c r="D27">
        <v>2</v>
      </c>
      <c r="E27">
        <v>1471</v>
      </c>
      <c r="F27">
        <v>102</v>
      </c>
      <c r="G27" s="1">
        <f t="shared" si="0"/>
        <v>6.9340584636301841E-2</v>
      </c>
    </row>
    <row r="28" spans="1:7">
      <c r="A28" t="s">
        <v>4</v>
      </c>
      <c r="B28">
        <v>9</v>
      </c>
      <c r="C28" t="s">
        <v>26</v>
      </c>
      <c r="D28">
        <v>3</v>
      </c>
      <c r="E28">
        <v>1471</v>
      </c>
      <c r="F28">
        <v>103</v>
      </c>
      <c r="G28" s="1">
        <f t="shared" si="0"/>
        <v>7.0020394289598914E-2</v>
      </c>
    </row>
    <row r="29" spans="1:7">
      <c r="A29" t="s">
        <v>4</v>
      </c>
      <c r="B29">
        <v>9</v>
      </c>
      <c r="C29" t="s">
        <v>3</v>
      </c>
      <c r="D29">
        <v>4</v>
      </c>
      <c r="E29">
        <v>1471</v>
      </c>
      <c r="F29">
        <v>225</v>
      </c>
      <c r="G29" s="1">
        <f t="shared" si="0"/>
        <v>0.15295717199184228</v>
      </c>
    </row>
    <row r="30" spans="1:7">
      <c r="A30" t="s">
        <v>4</v>
      </c>
      <c r="B30">
        <v>9</v>
      </c>
      <c r="C30" t="s">
        <v>25</v>
      </c>
      <c r="D30">
        <v>5</v>
      </c>
      <c r="E30">
        <v>1471</v>
      </c>
      <c r="F30">
        <v>235</v>
      </c>
      <c r="G30" s="1">
        <f t="shared" si="0"/>
        <v>0.15975526852481306</v>
      </c>
    </row>
    <row r="31" spans="1:7">
      <c r="A31" t="s">
        <v>4</v>
      </c>
      <c r="B31">
        <v>9</v>
      </c>
      <c r="C31" t="s">
        <v>27</v>
      </c>
      <c r="D31">
        <v>6</v>
      </c>
      <c r="E31">
        <v>1471</v>
      </c>
      <c r="F31">
        <v>489</v>
      </c>
      <c r="G31" s="1">
        <f t="shared" si="0"/>
        <v>0.33242692046227057</v>
      </c>
    </row>
    <row r="32" spans="1:7">
      <c r="A32" t="s">
        <v>4</v>
      </c>
      <c r="B32">
        <v>9</v>
      </c>
      <c r="C32" t="s">
        <v>30</v>
      </c>
      <c r="D32">
        <v>7</v>
      </c>
      <c r="E32">
        <v>1471</v>
      </c>
      <c r="F32">
        <v>491</v>
      </c>
      <c r="G32" s="1">
        <f t="shared" si="0"/>
        <v>0.33378653976886474</v>
      </c>
    </row>
    <row r="33" spans="1:7">
      <c r="A33" t="s">
        <v>4</v>
      </c>
      <c r="B33">
        <v>9</v>
      </c>
      <c r="C33" t="s">
        <v>31</v>
      </c>
      <c r="D33">
        <v>8</v>
      </c>
      <c r="E33">
        <v>1471</v>
      </c>
      <c r="F33">
        <v>492</v>
      </c>
      <c r="G33" s="1">
        <f t="shared" si="0"/>
        <v>0.3344663494221618</v>
      </c>
    </row>
    <row r="34" spans="1:7">
      <c r="A34" t="s">
        <v>4</v>
      </c>
      <c r="B34">
        <v>9</v>
      </c>
      <c r="C34" t="s">
        <v>28</v>
      </c>
      <c r="D34">
        <v>9</v>
      </c>
      <c r="E34">
        <v>1471</v>
      </c>
      <c r="F34">
        <v>580</v>
      </c>
      <c r="G34" s="1">
        <f t="shared" si="0"/>
        <v>0.39428959891230453</v>
      </c>
    </row>
    <row r="35" spans="1:7">
      <c r="A35" t="s">
        <v>4</v>
      </c>
      <c r="B35">
        <v>9</v>
      </c>
      <c r="C35" t="s">
        <v>29</v>
      </c>
      <c r="D35">
        <v>10</v>
      </c>
      <c r="E35">
        <v>1471</v>
      </c>
      <c r="F35">
        <v>588</v>
      </c>
      <c r="G35" s="1">
        <f t="shared" si="0"/>
        <v>0.39972807613868117</v>
      </c>
    </row>
    <row r="36" spans="1:7">
      <c r="A36" t="s">
        <v>32</v>
      </c>
      <c r="B36">
        <v>2</v>
      </c>
      <c r="C36" t="s">
        <v>33</v>
      </c>
      <c r="D36">
        <v>1</v>
      </c>
      <c r="E36">
        <v>791</v>
      </c>
      <c r="F36">
        <v>236</v>
      </c>
      <c r="G36" s="1">
        <f t="shared" si="0"/>
        <v>0.29835651074589126</v>
      </c>
    </row>
    <row r="37" spans="1:7">
      <c r="A37" t="s">
        <v>32</v>
      </c>
      <c r="B37">
        <v>2</v>
      </c>
      <c r="C37" t="s">
        <v>34</v>
      </c>
      <c r="D37">
        <v>2</v>
      </c>
      <c r="E37">
        <v>791</v>
      </c>
      <c r="F37">
        <v>529</v>
      </c>
      <c r="G37" s="1">
        <f t="shared" si="0"/>
        <v>0.66877370417193427</v>
      </c>
    </row>
    <row r="38" spans="1:7">
      <c r="A38" t="s">
        <v>32</v>
      </c>
      <c r="B38">
        <v>2</v>
      </c>
      <c r="C38" t="s">
        <v>0</v>
      </c>
      <c r="D38">
        <v>3</v>
      </c>
      <c r="E38">
        <v>791</v>
      </c>
      <c r="F38">
        <v>533</v>
      </c>
      <c r="G38" s="1">
        <f t="shared" si="0"/>
        <v>0.67383059418457647</v>
      </c>
    </row>
    <row r="39" spans="1:7">
      <c r="A39" t="s">
        <v>32</v>
      </c>
      <c r="B39">
        <v>2</v>
      </c>
      <c r="C39" t="s">
        <v>35</v>
      </c>
      <c r="D39">
        <v>4</v>
      </c>
      <c r="E39">
        <v>791</v>
      </c>
      <c r="F39">
        <v>771</v>
      </c>
      <c r="G39" s="1">
        <f t="shared" si="0"/>
        <v>0.97471554993678888</v>
      </c>
    </row>
    <row r="40" spans="1:7">
      <c r="A40" t="s">
        <v>32</v>
      </c>
      <c r="B40">
        <v>4</v>
      </c>
      <c r="C40" t="s">
        <v>33</v>
      </c>
      <c r="D40">
        <v>1</v>
      </c>
      <c r="E40">
        <v>785</v>
      </c>
      <c r="F40">
        <v>232</v>
      </c>
      <c r="G40" s="1">
        <f t="shared" si="0"/>
        <v>0.29554140127388534</v>
      </c>
    </row>
    <row r="41" spans="1:7">
      <c r="A41" t="s">
        <v>32</v>
      </c>
      <c r="B41">
        <v>4</v>
      </c>
      <c r="C41" t="s">
        <v>0</v>
      </c>
      <c r="D41">
        <v>2</v>
      </c>
      <c r="E41">
        <v>785</v>
      </c>
      <c r="F41">
        <v>534</v>
      </c>
      <c r="G41" s="1">
        <f t="shared" si="0"/>
        <v>0.68025477707006365</v>
      </c>
    </row>
    <row r="42" spans="1:7">
      <c r="A42" t="s">
        <v>32</v>
      </c>
      <c r="B42">
        <v>4</v>
      </c>
      <c r="C42" t="s">
        <v>34</v>
      </c>
      <c r="D42">
        <v>3</v>
      </c>
      <c r="E42">
        <v>785</v>
      </c>
      <c r="F42">
        <v>543</v>
      </c>
      <c r="G42" s="1">
        <f t="shared" si="0"/>
        <v>0.69171974522292989</v>
      </c>
    </row>
    <row r="43" spans="1:7">
      <c r="A43" t="s">
        <v>32</v>
      </c>
      <c r="B43">
        <v>4</v>
      </c>
      <c r="C43" t="s">
        <v>35</v>
      </c>
      <c r="D43">
        <v>4</v>
      </c>
      <c r="E43">
        <v>785</v>
      </c>
      <c r="F43">
        <v>794</v>
      </c>
      <c r="G43" s="1">
        <f t="shared" si="0"/>
        <v>1.0114649681528662</v>
      </c>
    </row>
    <row r="44" spans="1:7">
      <c r="A44" t="s">
        <v>32</v>
      </c>
      <c r="B44">
        <v>13</v>
      </c>
      <c r="C44" t="s">
        <v>19</v>
      </c>
      <c r="D44">
        <v>1</v>
      </c>
      <c r="E44">
        <v>254</v>
      </c>
      <c r="F44">
        <v>73</v>
      </c>
      <c r="G44" s="1">
        <f t="shared" si="0"/>
        <v>0.2874015748031496</v>
      </c>
    </row>
    <row r="45" spans="1:7">
      <c r="A45" t="s">
        <v>32</v>
      </c>
      <c r="B45">
        <v>13</v>
      </c>
      <c r="C45" t="s">
        <v>1</v>
      </c>
      <c r="D45">
        <v>2</v>
      </c>
      <c r="E45">
        <v>254</v>
      </c>
      <c r="F45">
        <v>136</v>
      </c>
      <c r="G45" s="1">
        <f t="shared" si="0"/>
        <v>0.53543307086614178</v>
      </c>
    </row>
    <row r="46" spans="1:7">
      <c r="A46" t="s">
        <v>32</v>
      </c>
      <c r="B46">
        <v>13</v>
      </c>
      <c r="C46" t="s">
        <v>22</v>
      </c>
      <c r="D46">
        <v>3</v>
      </c>
      <c r="E46">
        <v>254</v>
      </c>
      <c r="F46">
        <v>192</v>
      </c>
      <c r="G46" s="1">
        <f t="shared" si="0"/>
        <v>0.75590551181102361</v>
      </c>
    </row>
    <row r="47" spans="1:7">
      <c r="A47" t="s">
        <v>32</v>
      </c>
      <c r="B47">
        <v>13</v>
      </c>
      <c r="C47" t="s">
        <v>21</v>
      </c>
      <c r="D47">
        <v>4</v>
      </c>
      <c r="E47">
        <v>254</v>
      </c>
      <c r="F47">
        <v>256</v>
      </c>
      <c r="G47" s="1">
        <f t="shared" si="0"/>
        <v>1.0078740157480315</v>
      </c>
    </row>
    <row r="48" spans="1:7">
      <c r="A48" t="s">
        <v>32</v>
      </c>
      <c r="B48">
        <v>13</v>
      </c>
      <c r="C48" t="s">
        <v>20</v>
      </c>
      <c r="D48">
        <v>5</v>
      </c>
      <c r="E48">
        <v>254</v>
      </c>
      <c r="F48">
        <v>258</v>
      </c>
      <c r="G48" s="1">
        <f t="shared" si="0"/>
        <v>1.015748031496063</v>
      </c>
    </row>
    <row r="49" spans="1:7">
      <c r="A49" t="s">
        <v>32</v>
      </c>
      <c r="B49">
        <v>16</v>
      </c>
      <c r="C49" t="s">
        <v>36</v>
      </c>
      <c r="D49">
        <v>1</v>
      </c>
      <c r="E49">
        <v>17048</v>
      </c>
      <c r="F49">
        <v>119</v>
      </c>
      <c r="G49" s="1">
        <f t="shared" si="0"/>
        <v>6.9802909432191461E-3</v>
      </c>
    </row>
    <row r="50" spans="1:7">
      <c r="A50" t="s">
        <v>32</v>
      </c>
      <c r="B50">
        <v>16</v>
      </c>
      <c r="C50" t="s">
        <v>37</v>
      </c>
      <c r="D50">
        <v>2</v>
      </c>
      <c r="E50">
        <v>17048</v>
      </c>
      <c r="F50">
        <v>207</v>
      </c>
      <c r="G50" s="1">
        <f t="shared" si="0"/>
        <v>1.2142186766776161E-2</v>
      </c>
    </row>
    <row r="51" spans="1:7">
      <c r="A51" t="s">
        <v>32</v>
      </c>
      <c r="B51">
        <v>16</v>
      </c>
      <c r="C51" t="s">
        <v>38</v>
      </c>
      <c r="D51">
        <v>3</v>
      </c>
      <c r="E51">
        <v>17048</v>
      </c>
      <c r="F51">
        <v>14335</v>
      </c>
      <c r="G51" s="1">
        <f t="shared" si="0"/>
        <v>0.84086109807602061</v>
      </c>
    </row>
    <row r="52" spans="1:7">
      <c r="A52" t="s">
        <v>32</v>
      </c>
      <c r="B52">
        <v>16</v>
      </c>
      <c r="C52" t="s">
        <v>39</v>
      </c>
      <c r="D52">
        <v>4</v>
      </c>
      <c r="E52">
        <v>17048</v>
      </c>
      <c r="F52">
        <v>14765</v>
      </c>
      <c r="G52" s="1">
        <f t="shared" si="0"/>
        <v>0.86608399812294701</v>
      </c>
    </row>
    <row r="53" spans="1:7">
      <c r="A53" t="s">
        <v>32</v>
      </c>
      <c r="B53">
        <v>18</v>
      </c>
      <c r="C53" t="s">
        <v>33</v>
      </c>
      <c r="D53">
        <v>1</v>
      </c>
      <c r="E53">
        <v>7906</v>
      </c>
      <c r="F53">
        <v>76</v>
      </c>
      <c r="G53" s="1">
        <f t="shared" si="0"/>
        <v>9.6129521882114856E-3</v>
      </c>
    </row>
    <row r="54" spans="1:7">
      <c r="A54" t="s">
        <v>32</v>
      </c>
      <c r="B54">
        <v>18</v>
      </c>
      <c r="C54" t="s">
        <v>2</v>
      </c>
      <c r="D54">
        <v>2</v>
      </c>
      <c r="E54">
        <v>7906</v>
      </c>
      <c r="F54">
        <v>185</v>
      </c>
      <c r="G54" s="1">
        <f t="shared" si="0"/>
        <v>2.3399949405514799E-2</v>
      </c>
    </row>
    <row r="55" spans="1:7">
      <c r="A55" t="s">
        <v>32</v>
      </c>
      <c r="B55">
        <v>18</v>
      </c>
      <c r="C55" t="s">
        <v>40</v>
      </c>
      <c r="D55">
        <v>3</v>
      </c>
      <c r="E55">
        <v>7906</v>
      </c>
      <c r="F55">
        <v>479</v>
      </c>
      <c r="G55" s="1">
        <f t="shared" si="0"/>
        <v>6.0586896028332914E-2</v>
      </c>
    </row>
    <row r="56" spans="1:7">
      <c r="A56" t="s">
        <v>32</v>
      </c>
      <c r="B56">
        <v>18</v>
      </c>
      <c r="C56" t="s">
        <v>41</v>
      </c>
      <c r="D56">
        <v>4</v>
      </c>
      <c r="E56">
        <v>7906</v>
      </c>
      <c r="F56">
        <v>574</v>
      </c>
      <c r="G56" s="1">
        <f t="shared" si="0"/>
        <v>7.2603086263597266E-2</v>
      </c>
    </row>
    <row r="57" spans="1:7">
      <c r="A57" t="s">
        <v>32</v>
      </c>
      <c r="B57">
        <v>18</v>
      </c>
      <c r="C57" t="s">
        <v>68</v>
      </c>
      <c r="D57">
        <v>5</v>
      </c>
      <c r="E57">
        <v>7906</v>
      </c>
      <c r="F57">
        <v>766</v>
      </c>
      <c r="G57" s="1">
        <f t="shared" si="0"/>
        <v>9.688843916013154E-2</v>
      </c>
    </row>
    <row r="58" spans="1:7">
      <c r="A58" t="s">
        <v>32</v>
      </c>
      <c r="B58">
        <v>18</v>
      </c>
      <c r="C58" t="s">
        <v>47</v>
      </c>
      <c r="D58">
        <v>6</v>
      </c>
      <c r="E58">
        <v>7906</v>
      </c>
      <c r="F58">
        <v>830</v>
      </c>
      <c r="G58" s="1">
        <f t="shared" si="0"/>
        <v>0.10498355679230964</v>
      </c>
    </row>
    <row r="59" spans="1:7">
      <c r="A59" t="s">
        <v>32</v>
      </c>
      <c r="B59">
        <v>18</v>
      </c>
      <c r="C59" t="s">
        <v>45</v>
      </c>
      <c r="D59">
        <v>7</v>
      </c>
      <c r="E59">
        <v>7906</v>
      </c>
      <c r="F59">
        <v>842</v>
      </c>
      <c r="G59" s="1">
        <f t="shared" si="0"/>
        <v>0.10650139134834304</v>
      </c>
    </row>
    <row r="60" spans="1:7">
      <c r="A60" t="s">
        <v>32</v>
      </c>
      <c r="B60">
        <v>18</v>
      </c>
      <c r="C60" t="s">
        <v>42</v>
      </c>
      <c r="D60">
        <v>8</v>
      </c>
      <c r="E60">
        <v>7906</v>
      </c>
      <c r="F60">
        <v>843</v>
      </c>
      <c r="G60" s="1">
        <f t="shared" si="0"/>
        <v>0.10662787756134581</v>
      </c>
    </row>
    <row r="61" spans="1:7">
      <c r="A61" t="s">
        <v>32</v>
      </c>
      <c r="B61">
        <v>18</v>
      </c>
      <c r="C61" t="s">
        <v>44</v>
      </c>
      <c r="D61">
        <v>9</v>
      </c>
      <c r="E61">
        <v>7906</v>
      </c>
      <c r="F61">
        <v>877</v>
      </c>
      <c r="G61" s="1">
        <f t="shared" si="0"/>
        <v>0.11092840880344043</v>
      </c>
    </row>
    <row r="62" spans="1:7">
      <c r="A62" t="s">
        <v>32</v>
      </c>
      <c r="B62">
        <v>18</v>
      </c>
      <c r="C62" t="s">
        <v>48</v>
      </c>
      <c r="D62">
        <v>10</v>
      </c>
      <c r="E62">
        <v>7906</v>
      </c>
      <c r="F62">
        <v>880</v>
      </c>
      <c r="G62" s="1">
        <f t="shared" si="0"/>
        <v>0.11130786744244878</v>
      </c>
    </row>
    <row r="63" spans="1:7">
      <c r="A63" t="s">
        <v>32</v>
      </c>
      <c r="B63">
        <v>18</v>
      </c>
      <c r="C63" t="s">
        <v>75</v>
      </c>
      <c r="D63">
        <v>11</v>
      </c>
      <c r="E63">
        <v>7906</v>
      </c>
      <c r="F63">
        <v>891</v>
      </c>
      <c r="G63" s="1">
        <f t="shared" si="0"/>
        <v>0.11269921578547938</v>
      </c>
    </row>
    <row r="64" spans="1:7">
      <c r="A64" t="s">
        <v>32</v>
      </c>
      <c r="B64">
        <v>18</v>
      </c>
      <c r="C64" t="s">
        <v>66</v>
      </c>
      <c r="D64">
        <v>12</v>
      </c>
      <c r="E64">
        <v>7906</v>
      </c>
      <c r="F64">
        <v>899</v>
      </c>
      <c r="G64" s="1">
        <f t="shared" si="0"/>
        <v>0.11371110548950164</v>
      </c>
    </row>
    <row r="65" spans="1:7">
      <c r="A65" t="s">
        <v>32</v>
      </c>
      <c r="B65">
        <v>18</v>
      </c>
      <c r="C65" t="s">
        <v>67</v>
      </c>
      <c r="D65">
        <v>13</v>
      </c>
      <c r="E65">
        <v>7906</v>
      </c>
      <c r="F65">
        <v>902</v>
      </c>
      <c r="G65" s="1">
        <f t="shared" si="0"/>
        <v>0.11409056412850999</v>
      </c>
    </row>
    <row r="66" spans="1:7">
      <c r="A66" t="s">
        <v>32</v>
      </c>
      <c r="B66">
        <v>18</v>
      </c>
      <c r="C66" t="s">
        <v>69</v>
      </c>
      <c r="D66">
        <v>14</v>
      </c>
      <c r="E66">
        <v>7906</v>
      </c>
      <c r="F66">
        <v>914</v>
      </c>
      <c r="G66" s="1">
        <f t="shared" ref="G66:G129" si="1">F66/E66</f>
        <v>0.11560839868454338</v>
      </c>
    </row>
    <row r="67" spans="1:7">
      <c r="A67" t="s">
        <v>32</v>
      </c>
      <c r="B67">
        <v>18</v>
      </c>
      <c r="C67" t="s">
        <v>43</v>
      </c>
      <c r="D67">
        <v>15</v>
      </c>
      <c r="E67">
        <v>7906</v>
      </c>
      <c r="F67">
        <v>943</v>
      </c>
      <c r="G67" s="1">
        <f t="shared" si="1"/>
        <v>0.11927649886162409</v>
      </c>
    </row>
    <row r="68" spans="1:7">
      <c r="A68" t="s">
        <v>32</v>
      </c>
      <c r="B68">
        <v>18</v>
      </c>
      <c r="C68" t="s">
        <v>52</v>
      </c>
      <c r="D68">
        <v>16</v>
      </c>
      <c r="E68">
        <v>7906</v>
      </c>
      <c r="F68">
        <v>945</v>
      </c>
      <c r="G68" s="1">
        <f t="shared" si="1"/>
        <v>0.11952947128762965</v>
      </c>
    </row>
    <row r="69" spans="1:7">
      <c r="A69" t="s">
        <v>32</v>
      </c>
      <c r="B69">
        <v>18</v>
      </c>
      <c r="C69" t="s">
        <v>46</v>
      </c>
      <c r="D69">
        <v>17</v>
      </c>
      <c r="E69">
        <v>7906</v>
      </c>
      <c r="F69">
        <v>950</v>
      </c>
      <c r="G69" s="1">
        <f t="shared" si="1"/>
        <v>0.12016190235264357</v>
      </c>
    </row>
    <row r="70" spans="1:7">
      <c r="A70" t="s">
        <v>32</v>
      </c>
      <c r="B70">
        <v>18</v>
      </c>
      <c r="C70" t="s">
        <v>49</v>
      </c>
      <c r="D70">
        <v>18</v>
      </c>
      <c r="E70">
        <v>7906</v>
      </c>
      <c r="F70">
        <v>1023</v>
      </c>
      <c r="G70" s="1">
        <f t="shared" si="1"/>
        <v>0.1293953959018467</v>
      </c>
    </row>
    <row r="71" spans="1:7">
      <c r="A71" t="s">
        <v>32</v>
      </c>
      <c r="B71">
        <v>18</v>
      </c>
      <c r="C71" t="s">
        <v>76</v>
      </c>
      <c r="D71">
        <v>19</v>
      </c>
      <c r="E71">
        <v>7906</v>
      </c>
      <c r="F71">
        <v>1210</v>
      </c>
      <c r="G71" s="1">
        <f t="shared" si="1"/>
        <v>0.15304831773336705</v>
      </c>
    </row>
    <row r="72" spans="1:7">
      <c r="A72" t="s">
        <v>32</v>
      </c>
      <c r="B72">
        <v>18</v>
      </c>
      <c r="C72" t="s">
        <v>61</v>
      </c>
      <c r="D72">
        <v>20</v>
      </c>
      <c r="E72">
        <v>7906</v>
      </c>
      <c r="F72">
        <v>1245</v>
      </c>
      <c r="G72" s="1">
        <f t="shared" si="1"/>
        <v>0.15747533518846446</v>
      </c>
    </row>
    <row r="73" spans="1:7">
      <c r="A73" t="s">
        <v>32</v>
      </c>
      <c r="B73">
        <v>18</v>
      </c>
      <c r="C73" t="s">
        <v>74</v>
      </c>
      <c r="D73">
        <v>21</v>
      </c>
      <c r="E73">
        <v>7906</v>
      </c>
      <c r="F73">
        <v>1262</v>
      </c>
      <c r="G73" s="1">
        <f t="shared" si="1"/>
        <v>0.15962560080951177</v>
      </c>
    </row>
    <row r="74" spans="1:7">
      <c r="A74" t="s">
        <v>32</v>
      </c>
      <c r="B74">
        <v>18</v>
      </c>
      <c r="C74" t="s">
        <v>73</v>
      </c>
      <c r="D74">
        <v>22</v>
      </c>
      <c r="E74">
        <v>7906</v>
      </c>
      <c r="F74">
        <v>1365</v>
      </c>
      <c r="G74" s="1">
        <f t="shared" si="1"/>
        <v>0.17265368074879839</v>
      </c>
    </row>
    <row r="75" spans="1:7">
      <c r="A75" t="s">
        <v>32</v>
      </c>
      <c r="B75">
        <v>18</v>
      </c>
      <c r="C75" t="s">
        <v>51</v>
      </c>
      <c r="D75">
        <v>23</v>
      </c>
      <c r="E75">
        <v>7906</v>
      </c>
      <c r="F75">
        <v>1377</v>
      </c>
      <c r="G75" s="1">
        <f t="shared" si="1"/>
        <v>0.17417151530483177</v>
      </c>
    </row>
    <row r="76" spans="1:7">
      <c r="A76" t="s">
        <v>32</v>
      </c>
      <c r="B76">
        <v>18</v>
      </c>
      <c r="C76" t="s">
        <v>50</v>
      </c>
      <c r="D76">
        <v>24</v>
      </c>
      <c r="E76">
        <v>7906</v>
      </c>
      <c r="F76">
        <v>1386</v>
      </c>
      <c r="G76" s="1">
        <f t="shared" si="1"/>
        <v>0.17530989122185681</v>
      </c>
    </row>
    <row r="77" spans="1:7">
      <c r="A77" t="s">
        <v>32</v>
      </c>
      <c r="B77">
        <v>18</v>
      </c>
      <c r="C77" t="s">
        <v>71</v>
      </c>
      <c r="D77">
        <v>25</v>
      </c>
      <c r="E77">
        <v>7906</v>
      </c>
      <c r="F77">
        <v>1420</v>
      </c>
      <c r="G77" s="1">
        <f t="shared" si="1"/>
        <v>0.17961042246395142</v>
      </c>
    </row>
    <row r="78" spans="1:7">
      <c r="A78" t="s">
        <v>32</v>
      </c>
      <c r="B78">
        <v>18</v>
      </c>
      <c r="C78" t="s">
        <v>53</v>
      </c>
      <c r="D78">
        <v>26</v>
      </c>
      <c r="E78">
        <v>7906</v>
      </c>
      <c r="F78">
        <v>1430</v>
      </c>
      <c r="G78" s="1">
        <f t="shared" si="1"/>
        <v>0.18087528459397925</v>
      </c>
    </row>
    <row r="79" spans="1:7">
      <c r="A79" t="s">
        <v>32</v>
      </c>
      <c r="B79">
        <v>18</v>
      </c>
      <c r="C79" t="s">
        <v>60</v>
      </c>
      <c r="D79">
        <v>27</v>
      </c>
      <c r="E79">
        <v>7906</v>
      </c>
      <c r="F79">
        <v>1460</v>
      </c>
      <c r="G79" s="1">
        <f t="shared" si="1"/>
        <v>0.18466987098406273</v>
      </c>
    </row>
    <row r="80" spans="1:7">
      <c r="A80" t="s">
        <v>32</v>
      </c>
      <c r="B80">
        <v>18</v>
      </c>
      <c r="C80" t="s">
        <v>56</v>
      </c>
      <c r="D80">
        <v>28</v>
      </c>
      <c r="E80">
        <v>7906</v>
      </c>
      <c r="F80">
        <v>1487</v>
      </c>
      <c r="G80" s="1">
        <f t="shared" si="1"/>
        <v>0.18808499873513787</v>
      </c>
    </row>
    <row r="81" spans="1:7">
      <c r="A81" t="s">
        <v>32</v>
      </c>
      <c r="B81">
        <v>18</v>
      </c>
      <c r="C81" t="s">
        <v>55</v>
      </c>
      <c r="D81">
        <v>29</v>
      </c>
      <c r="E81">
        <v>7906</v>
      </c>
      <c r="F81">
        <v>1505</v>
      </c>
      <c r="G81" s="1">
        <f t="shared" si="1"/>
        <v>0.19036175056918797</v>
      </c>
    </row>
    <row r="82" spans="1:7">
      <c r="A82" t="s">
        <v>32</v>
      </c>
      <c r="B82">
        <v>18</v>
      </c>
      <c r="C82" t="s">
        <v>64</v>
      </c>
      <c r="D82">
        <v>30</v>
      </c>
      <c r="E82">
        <v>7906</v>
      </c>
      <c r="F82">
        <v>1508</v>
      </c>
      <c r="G82" s="1">
        <f t="shared" si="1"/>
        <v>0.19074120920819632</v>
      </c>
    </row>
    <row r="83" spans="1:7">
      <c r="A83" t="s">
        <v>32</v>
      </c>
      <c r="B83">
        <v>18</v>
      </c>
      <c r="C83" t="s">
        <v>65</v>
      </c>
      <c r="D83">
        <v>31</v>
      </c>
      <c r="E83">
        <v>7906</v>
      </c>
      <c r="F83">
        <v>1533</v>
      </c>
      <c r="G83" s="1">
        <f t="shared" si="1"/>
        <v>0.19390336453326587</v>
      </c>
    </row>
    <row r="84" spans="1:7">
      <c r="A84" t="s">
        <v>32</v>
      </c>
      <c r="B84">
        <v>18</v>
      </c>
      <c r="C84" t="s">
        <v>70</v>
      </c>
      <c r="D84">
        <v>32</v>
      </c>
      <c r="E84">
        <v>7906</v>
      </c>
      <c r="F84">
        <v>1538</v>
      </c>
      <c r="G84" s="1">
        <f t="shared" si="1"/>
        <v>0.1945357955982798</v>
      </c>
    </row>
    <row r="85" spans="1:7">
      <c r="A85" t="s">
        <v>32</v>
      </c>
      <c r="B85">
        <v>18</v>
      </c>
      <c r="C85" t="s">
        <v>59</v>
      </c>
      <c r="D85">
        <v>33</v>
      </c>
      <c r="E85">
        <v>7906</v>
      </c>
      <c r="F85">
        <v>1541</v>
      </c>
      <c r="G85" s="1">
        <f t="shared" si="1"/>
        <v>0.19491525423728814</v>
      </c>
    </row>
    <row r="86" spans="1:7">
      <c r="A86" t="s">
        <v>32</v>
      </c>
      <c r="B86">
        <v>18</v>
      </c>
      <c r="C86" t="s">
        <v>57</v>
      </c>
      <c r="D86">
        <v>34</v>
      </c>
      <c r="E86">
        <v>7906</v>
      </c>
      <c r="F86">
        <v>1608</v>
      </c>
      <c r="G86" s="1">
        <f t="shared" si="1"/>
        <v>0.20338983050847459</v>
      </c>
    </row>
    <row r="87" spans="1:7">
      <c r="A87" t="s">
        <v>32</v>
      </c>
      <c r="B87">
        <v>18</v>
      </c>
      <c r="C87" t="s">
        <v>54</v>
      </c>
      <c r="D87">
        <v>35</v>
      </c>
      <c r="E87">
        <v>7906</v>
      </c>
      <c r="F87">
        <v>1625</v>
      </c>
      <c r="G87" s="1">
        <f t="shared" si="1"/>
        <v>0.20554009612952187</v>
      </c>
    </row>
    <row r="88" spans="1:7">
      <c r="A88" t="s">
        <v>32</v>
      </c>
      <c r="B88">
        <v>18</v>
      </c>
      <c r="C88" t="s">
        <v>72</v>
      </c>
      <c r="D88">
        <v>36</v>
      </c>
      <c r="E88">
        <v>7906</v>
      </c>
      <c r="F88">
        <v>1654</v>
      </c>
      <c r="G88" s="1">
        <f t="shared" si="1"/>
        <v>0.20920819630660259</v>
      </c>
    </row>
    <row r="89" spans="1:7">
      <c r="A89" t="s">
        <v>32</v>
      </c>
      <c r="B89">
        <v>18</v>
      </c>
      <c r="C89" t="s">
        <v>58</v>
      </c>
      <c r="D89">
        <v>37</v>
      </c>
      <c r="E89">
        <v>7906</v>
      </c>
      <c r="F89">
        <v>1685</v>
      </c>
      <c r="G89" s="1">
        <f t="shared" si="1"/>
        <v>0.21312926890968883</v>
      </c>
    </row>
    <row r="90" spans="1:7">
      <c r="A90" t="s">
        <v>32</v>
      </c>
      <c r="B90">
        <v>18</v>
      </c>
      <c r="C90" t="s">
        <v>62</v>
      </c>
      <c r="D90">
        <v>38</v>
      </c>
      <c r="E90">
        <v>7906</v>
      </c>
      <c r="F90">
        <v>1692</v>
      </c>
      <c r="G90" s="1">
        <f t="shared" si="1"/>
        <v>0.21401467240070832</v>
      </c>
    </row>
    <row r="91" spans="1:7">
      <c r="A91" t="s">
        <v>32</v>
      </c>
      <c r="B91">
        <v>18</v>
      </c>
      <c r="C91" t="s">
        <v>63</v>
      </c>
      <c r="D91">
        <v>39</v>
      </c>
      <c r="E91">
        <v>7906</v>
      </c>
      <c r="F91">
        <v>3022</v>
      </c>
      <c r="G91" s="1">
        <f t="shared" si="1"/>
        <v>0.38224133569440932</v>
      </c>
    </row>
    <row r="92" spans="1:7">
      <c r="A92" t="s">
        <v>32</v>
      </c>
      <c r="B92">
        <v>18</v>
      </c>
      <c r="C92" t="s">
        <v>78</v>
      </c>
      <c r="D92">
        <v>40</v>
      </c>
      <c r="E92">
        <v>7906</v>
      </c>
      <c r="F92">
        <v>7142</v>
      </c>
      <c r="G92" s="1">
        <f t="shared" si="1"/>
        <v>0.90336453326587407</v>
      </c>
    </row>
    <row r="93" spans="1:7">
      <c r="A93" t="s">
        <v>32</v>
      </c>
      <c r="B93">
        <v>18</v>
      </c>
      <c r="C93" t="s">
        <v>81</v>
      </c>
      <c r="D93">
        <v>41</v>
      </c>
      <c r="E93">
        <v>7906</v>
      </c>
      <c r="F93">
        <v>7181</v>
      </c>
      <c r="G93" s="1">
        <f t="shared" si="1"/>
        <v>0.90829749557298256</v>
      </c>
    </row>
    <row r="94" spans="1:7">
      <c r="A94" t="s">
        <v>32</v>
      </c>
      <c r="B94">
        <v>18</v>
      </c>
      <c r="C94" t="s">
        <v>77</v>
      </c>
      <c r="D94">
        <v>42</v>
      </c>
      <c r="E94">
        <v>7906</v>
      </c>
      <c r="F94">
        <v>7184</v>
      </c>
      <c r="G94" s="1">
        <f t="shared" si="1"/>
        <v>0.90867695421199091</v>
      </c>
    </row>
    <row r="95" spans="1:7">
      <c r="A95" t="s">
        <v>32</v>
      </c>
      <c r="B95">
        <v>18</v>
      </c>
      <c r="C95" t="s">
        <v>79</v>
      </c>
      <c r="D95">
        <v>43</v>
      </c>
      <c r="E95">
        <v>7906</v>
      </c>
      <c r="F95">
        <v>7311</v>
      </c>
      <c r="G95" s="1">
        <f t="shared" si="1"/>
        <v>0.92474070326334434</v>
      </c>
    </row>
    <row r="96" spans="1:7">
      <c r="A96" t="s">
        <v>32</v>
      </c>
      <c r="B96">
        <v>18</v>
      </c>
      <c r="C96" t="s">
        <v>80</v>
      </c>
      <c r="D96">
        <v>44</v>
      </c>
      <c r="E96">
        <v>7906</v>
      </c>
      <c r="F96">
        <v>7323</v>
      </c>
      <c r="G96" s="1">
        <f t="shared" si="1"/>
        <v>0.92625853781937773</v>
      </c>
    </row>
    <row r="97" spans="1:7">
      <c r="A97" t="s">
        <v>32</v>
      </c>
      <c r="B97">
        <v>18</v>
      </c>
      <c r="C97" t="s">
        <v>82</v>
      </c>
      <c r="D97">
        <v>45</v>
      </c>
      <c r="E97">
        <v>7906</v>
      </c>
      <c r="F97">
        <v>7361</v>
      </c>
      <c r="G97" s="1">
        <f t="shared" si="1"/>
        <v>0.9310650139134834</v>
      </c>
    </row>
    <row r="98" spans="1:7">
      <c r="A98" t="s">
        <v>32</v>
      </c>
      <c r="B98">
        <v>18</v>
      </c>
      <c r="C98" t="s">
        <v>83</v>
      </c>
      <c r="D98">
        <v>46</v>
      </c>
      <c r="E98">
        <v>7906</v>
      </c>
      <c r="F98">
        <v>7406</v>
      </c>
      <c r="G98" s="1">
        <f t="shared" si="1"/>
        <v>0.93675689349860869</v>
      </c>
    </row>
    <row r="99" spans="1:7">
      <c r="A99" t="s">
        <v>32</v>
      </c>
      <c r="B99">
        <v>19</v>
      </c>
      <c r="C99" t="s">
        <v>33</v>
      </c>
      <c r="D99">
        <v>1</v>
      </c>
      <c r="E99">
        <v>6869</v>
      </c>
      <c r="F99">
        <v>74</v>
      </c>
      <c r="G99" s="1">
        <f t="shared" si="1"/>
        <v>1.0773038287960402E-2</v>
      </c>
    </row>
    <row r="100" spans="1:7">
      <c r="A100" t="s">
        <v>32</v>
      </c>
      <c r="B100">
        <v>19</v>
      </c>
      <c r="C100" t="s">
        <v>2</v>
      </c>
      <c r="D100">
        <v>2</v>
      </c>
      <c r="E100">
        <v>6869</v>
      </c>
      <c r="F100">
        <v>172</v>
      </c>
      <c r="G100" s="1">
        <f t="shared" si="1"/>
        <v>2.5040034939583636E-2</v>
      </c>
    </row>
    <row r="101" spans="1:7">
      <c r="A101" t="s">
        <v>32</v>
      </c>
      <c r="B101">
        <v>19</v>
      </c>
      <c r="C101" t="s">
        <v>40</v>
      </c>
      <c r="D101">
        <v>3</v>
      </c>
      <c r="E101">
        <v>6869</v>
      </c>
      <c r="F101">
        <v>1548</v>
      </c>
      <c r="G101" s="1">
        <f t="shared" si="1"/>
        <v>0.22536031445625274</v>
      </c>
    </row>
    <row r="102" spans="1:7">
      <c r="A102" t="s">
        <v>32</v>
      </c>
      <c r="B102">
        <v>19</v>
      </c>
      <c r="C102" t="s">
        <v>84</v>
      </c>
      <c r="D102">
        <v>4</v>
      </c>
      <c r="E102">
        <v>6869</v>
      </c>
      <c r="F102">
        <v>1687</v>
      </c>
      <c r="G102" s="1">
        <f t="shared" si="1"/>
        <v>0.24559615664579998</v>
      </c>
    </row>
    <row r="103" spans="1:7">
      <c r="A103" t="s">
        <v>32</v>
      </c>
      <c r="B103">
        <v>19</v>
      </c>
      <c r="C103" t="s">
        <v>85</v>
      </c>
      <c r="D103">
        <v>5</v>
      </c>
      <c r="E103">
        <v>6869</v>
      </c>
      <c r="F103">
        <v>1769</v>
      </c>
      <c r="G103" s="1">
        <f t="shared" si="1"/>
        <v>0.257533847721648</v>
      </c>
    </row>
    <row r="104" spans="1:7">
      <c r="A104" t="s">
        <v>32</v>
      </c>
      <c r="B104">
        <v>19</v>
      </c>
      <c r="C104" t="s">
        <v>86</v>
      </c>
      <c r="D104">
        <v>6</v>
      </c>
      <c r="E104">
        <v>6869</v>
      </c>
      <c r="F104">
        <v>5918</v>
      </c>
      <c r="G104" s="1">
        <f t="shared" si="1"/>
        <v>0.86155189983986025</v>
      </c>
    </row>
    <row r="105" spans="1:7">
      <c r="A105" t="s">
        <v>32</v>
      </c>
      <c r="B105">
        <v>19</v>
      </c>
      <c r="C105" t="s">
        <v>87</v>
      </c>
      <c r="D105">
        <v>7</v>
      </c>
      <c r="E105">
        <v>6869</v>
      </c>
      <c r="F105">
        <v>6149</v>
      </c>
      <c r="G105" s="1">
        <f t="shared" si="1"/>
        <v>0.89518124909011498</v>
      </c>
    </row>
    <row r="106" spans="1:7">
      <c r="A106" t="s">
        <v>32</v>
      </c>
      <c r="B106">
        <v>19</v>
      </c>
      <c r="C106" t="s">
        <v>94</v>
      </c>
      <c r="D106">
        <v>8</v>
      </c>
      <c r="E106">
        <v>6869</v>
      </c>
      <c r="F106">
        <v>6249</v>
      </c>
      <c r="G106" s="1">
        <f t="shared" si="1"/>
        <v>0.90973940893871019</v>
      </c>
    </row>
    <row r="107" spans="1:7">
      <c r="A107" t="s">
        <v>32</v>
      </c>
      <c r="B107">
        <v>19</v>
      </c>
      <c r="C107" t="s">
        <v>89</v>
      </c>
      <c r="D107">
        <v>9</v>
      </c>
      <c r="E107">
        <v>6869</v>
      </c>
      <c r="F107">
        <v>6257</v>
      </c>
      <c r="G107" s="1">
        <f t="shared" si="1"/>
        <v>0.91090406172659777</v>
      </c>
    </row>
    <row r="108" spans="1:7">
      <c r="A108" t="s">
        <v>32</v>
      </c>
      <c r="B108">
        <v>19</v>
      </c>
      <c r="C108" t="s">
        <v>102</v>
      </c>
      <c r="D108">
        <v>10</v>
      </c>
      <c r="E108">
        <v>6869</v>
      </c>
      <c r="F108">
        <v>6283</v>
      </c>
      <c r="G108" s="1">
        <f t="shared" si="1"/>
        <v>0.91468918328723248</v>
      </c>
    </row>
    <row r="109" spans="1:7">
      <c r="A109" t="s">
        <v>32</v>
      </c>
      <c r="B109">
        <v>19</v>
      </c>
      <c r="C109" t="s">
        <v>90</v>
      </c>
      <c r="D109">
        <v>11</v>
      </c>
      <c r="E109">
        <v>6869</v>
      </c>
      <c r="F109">
        <v>6289</v>
      </c>
      <c r="G109" s="1">
        <f t="shared" si="1"/>
        <v>0.91556267287814819</v>
      </c>
    </row>
    <row r="110" spans="1:7">
      <c r="A110" t="s">
        <v>32</v>
      </c>
      <c r="B110">
        <v>19</v>
      </c>
      <c r="C110" t="s">
        <v>95</v>
      </c>
      <c r="D110">
        <v>12</v>
      </c>
      <c r="E110">
        <v>6869</v>
      </c>
      <c r="F110">
        <v>6292</v>
      </c>
      <c r="G110" s="1">
        <f t="shared" si="1"/>
        <v>0.91599941767360604</v>
      </c>
    </row>
    <row r="111" spans="1:7">
      <c r="A111" t="s">
        <v>32</v>
      </c>
      <c r="B111">
        <v>19</v>
      </c>
      <c r="C111" t="s">
        <v>108</v>
      </c>
      <c r="D111">
        <v>13</v>
      </c>
      <c r="E111">
        <v>6869</v>
      </c>
      <c r="F111">
        <v>6293</v>
      </c>
      <c r="G111" s="1">
        <f t="shared" si="1"/>
        <v>0.91614499927209203</v>
      </c>
    </row>
    <row r="112" spans="1:7">
      <c r="A112" t="s">
        <v>32</v>
      </c>
      <c r="B112">
        <v>19</v>
      </c>
      <c r="C112" t="s">
        <v>107</v>
      </c>
      <c r="D112">
        <v>14</v>
      </c>
      <c r="E112">
        <v>6869</v>
      </c>
      <c r="F112">
        <v>6302</v>
      </c>
      <c r="G112" s="1">
        <f t="shared" si="1"/>
        <v>0.9174552336584656</v>
      </c>
    </row>
    <row r="113" spans="1:7">
      <c r="A113" t="s">
        <v>32</v>
      </c>
      <c r="B113">
        <v>19</v>
      </c>
      <c r="C113" t="s">
        <v>100</v>
      </c>
      <c r="D113">
        <v>15</v>
      </c>
      <c r="E113">
        <v>6869</v>
      </c>
      <c r="F113">
        <v>6304</v>
      </c>
      <c r="G113" s="1">
        <f t="shared" si="1"/>
        <v>0.91774639685543746</v>
      </c>
    </row>
    <row r="114" spans="1:7">
      <c r="A114" t="s">
        <v>32</v>
      </c>
      <c r="B114">
        <v>19</v>
      </c>
      <c r="C114" t="s">
        <v>91</v>
      </c>
      <c r="D114">
        <v>16</v>
      </c>
      <c r="E114">
        <v>6869</v>
      </c>
      <c r="F114">
        <v>6320</v>
      </c>
      <c r="G114" s="1">
        <f t="shared" si="1"/>
        <v>0.92007570243121273</v>
      </c>
    </row>
    <row r="115" spans="1:7">
      <c r="A115" t="s">
        <v>32</v>
      </c>
      <c r="B115">
        <v>19</v>
      </c>
      <c r="C115" t="s">
        <v>98</v>
      </c>
      <c r="D115">
        <v>17</v>
      </c>
      <c r="E115">
        <v>6869</v>
      </c>
      <c r="F115">
        <v>6329</v>
      </c>
      <c r="G115" s="1">
        <f t="shared" si="1"/>
        <v>0.92138593681758629</v>
      </c>
    </row>
    <row r="116" spans="1:7">
      <c r="A116" t="s">
        <v>32</v>
      </c>
      <c r="B116">
        <v>19</v>
      </c>
      <c r="C116" t="s">
        <v>88</v>
      </c>
      <c r="D116">
        <v>18</v>
      </c>
      <c r="E116">
        <v>6869</v>
      </c>
      <c r="F116">
        <v>6354</v>
      </c>
      <c r="G116" s="1">
        <f t="shared" si="1"/>
        <v>0.92502547677973501</v>
      </c>
    </row>
    <row r="117" spans="1:7">
      <c r="A117" t="s">
        <v>32</v>
      </c>
      <c r="B117">
        <v>19</v>
      </c>
      <c r="C117" t="s">
        <v>97</v>
      </c>
      <c r="D117">
        <v>19</v>
      </c>
      <c r="E117">
        <v>6869</v>
      </c>
      <c r="F117">
        <v>6362</v>
      </c>
      <c r="G117" s="1">
        <f t="shared" si="1"/>
        <v>0.9261901295676227</v>
      </c>
    </row>
    <row r="118" spans="1:7">
      <c r="A118" t="s">
        <v>32</v>
      </c>
      <c r="B118">
        <v>19</v>
      </c>
      <c r="C118" t="s">
        <v>101</v>
      </c>
      <c r="D118">
        <v>20</v>
      </c>
      <c r="E118">
        <v>6869</v>
      </c>
      <c r="F118">
        <v>6367</v>
      </c>
      <c r="G118" s="1">
        <f t="shared" si="1"/>
        <v>0.92691803756005242</v>
      </c>
    </row>
    <row r="119" spans="1:7">
      <c r="A119" t="s">
        <v>32</v>
      </c>
      <c r="B119">
        <v>19</v>
      </c>
      <c r="C119" t="s">
        <v>106</v>
      </c>
      <c r="D119">
        <v>21</v>
      </c>
      <c r="E119">
        <v>6869</v>
      </c>
      <c r="F119">
        <v>6390</v>
      </c>
      <c r="G119" s="1">
        <f t="shared" si="1"/>
        <v>0.93026641432522927</v>
      </c>
    </row>
    <row r="120" spans="1:7">
      <c r="A120" t="s">
        <v>32</v>
      </c>
      <c r="B120">
        <v>19</v>
      </c>
      <c r="C120" t="s">
        <v>104</v>
      </c>
      <c r="D120">
        <v>22</v>
      </c>
      <c r="E120">
        <v>6869</v>
      </c>
      <c r="F120">
        <v>6410</v>
      </c>
      <c r="G120" s="1">
        <f t="shared" si="1"/>
        <v>0.93317804629494827</v>
      </c>
    </row>
    <row r="121" spans="1:7">
      <c r="A121" t="s">
        <v>32</v>
      </c>
      <c r="B121">
        <v>19</v>
      </c>
      <c r="C121" t="s">
        <v>105</v>
      </c>
      <c r="D121">
        <v>23</v>
      </c>
      <c r="E121">
        <v>6869</v>
      </c>
      <c r="F121">
        <v>6414</v>
      </c>
      <c r="G121" s="1">
        <f t="shared" si="1"/>
        <v>0.93376037268889212</v>
      </c>
    </row>
    <row r="122" spans="1:7">
      <c r="A122" t="s">
        <v>32</v>
      </c>
      <c r="B122">
        <v>19</v>
      </c>
      <c r="C122" t="s">
        <v>93</v>
      </c>
      <c r="D122">
        <v>24</v>
      </c>
      <c r="E122">
        <v>6869</v>
      </c>
      <c r="F122">
        <v>6446</v>
      </c>
      <c r="G122" s="1">
        <f t="shared" si="1"/>
        <v>0.93841898384044253</v>
      </c>
    </row>
    <row r="123" spans="1:7">
      <c r="A123" t="s">
        <v>32</v>
      </c>
      <c r="B123">
        <v>19</v>
      </c>
      <c r="C123" t="s">
        <v>96</v>
      </c>
      <c r="D123">
        <v>25</v>
      </c>
      <c r="E123">
        <v>6869</v>
      </c>
      <c r="F123">
        <v>6447</v>
      </c>
      <c r="G123" s="1">
        <f t="shared" si="1"/>
        <v>0.93856456543892852</v>
      </c>
    </row>
    <row r="124" spans="1:7">
      <c r="A124" t="s">
        <v>32</v>
      </c>
      <c r="B124">
        <v>19</v>
      </c>
      <c r="C124" t="s">
        <v>99</v>
      </c>
      <c r="D124">
        <v>26</v>
      </c>
      <c r="E124">
        <v>6869</v>
      </c>
      <c r="F124">
        <v>6458</v>
      </c>
      <c r="G124" s="1">
        <f t="shared" si="1"/>
        <v>0.94016596302227395</v>
      </c>
    </row>
    <row r="125" spans="1:7">
      <c r="A125" t="s">
        <v>32</v>
      </c>
      <c r="B125">
        <v>19</v>
      </c>
      <c r="C125" t="s">
        <v>92</v>
      </c>
      <c r="D125">
        <v>27</v>
      </c>
      <c r="E125">
        <v>6869</v>
      </c>
      <c r="F125">
        <v>6474</v>
      </c>
      <c r="G125" s="1">
        <f t="shared" si="1"/>
        <v>0.94249526859804922</v>
      </c>
    </row>
    <row r="126" spans="1:7">
      <c r="A126" t="s">
        <v>32</v>
      </c>
      <c r="B126">
        <v>19</v>
      </c>
      <c r="C126" t="s">
        <v>103</v>
      </c>
      <c r="D126">
        <v>28</v>
      </c>
      <c r="E126">
        <v>6869</v>
      </c>
      <c r="F126">
        <v>6699</v>
      </c>
      <c r="G126" s="1">
        <f t="shared" si="1"/>
        <v>0.97525112825738824</v>
      </c>
    </row>
    <row r="127" spans="1:7">
      <c r="A127" t="s">
        <v>32</v>
      </c>
      <c r="B127">
        <v>20</v>
      </c>
      <c r="C127" t="s">
        <v>109</v>
      </c>
      <c r="D127">
        <v>1</v>
      </c>
      <c r="E127">
        <v>4512</v>
      </c>
      <c r="F127">
        <v>373</v>
      </c>
      <c r="G127" s="1">
        <f t="shared" si="1"/>
        <v>8.2668439716312062E-2</v>
      </c>
    </row>
    <row r="128" spans="1:7">
      <c r="A128" t="s">
        <v>32</v>
      </c>
      <c r="B128">
        <v>20</v>
      </c>
      <c r="C128" t="s">
        <v>122</v>
      </c>
      <c r="D128">
        <v>2</v>
      </c>
      <c r="E128">
        <v>4512</v>
      </c>
      <c r="F128">
        <v>433</v>
      </c>
      <c r="G128" s="1">
        <f t="shared" si="1"/>
        <v>9.5966312056737585E-2</v>
      </c>
    </row>
    <row r="129" spans="1:7">
      <c r="A129" t="s">
        <v>32</v>
      </c>
      <c r="B129">
        <v>20</v>
      </c>
      <c r="C129" t="s">
        <v>118</v>
      </c>
      <c r="D129">
        <v>3</v>
      </c>
      <c r="E129">
        <v>4512</v>
      </c>
      <c r="F129">
        <v>450</v>
      </c>
      <c r="G129" s="1">
        <f t="shared" si="1"/>
        <v>9.9734042553191488E-2</v>
      </c>
    </row>
    <row r="130" spans="1:7">
      <c r="A130" t="s">
        <v>32</v>
      </c>
      <c r="B130">
        <v>20</v>
      </c>
      <c r="C130" t="s">
        <v>120</v>
      </c>
      <c r="D130">
        <v>4</v>
      </c>
      <c r="E130">
        <v>4512</v>
      </c>
      <c r="F130">
        <v>463</v>
      </c>
      <c r="G130" s="1">
        <f t="shared" ref="G130:G193" si="2">F130/E130</f>
        <v>0.10261524822695035</v>
      </c>
    </row>
    <row r="131" spans="1:7">
      <c r="A131" t="s">
        <v>32</v>
      </c>
      <c r="B131">
        <v>20</v>
      </c>
      <c r="C131" t="s">
        <v>129</v>
      </c>
      <c r="D131">
        <v>5</v>
      </c>
      <c r="E131">
        <v>4512</v>
      </c>
      <c r="F131">
        <v>487</v>
      </c>
      <c r="G131" s="1">
        <f t="shared" si="2"/>
        <v>0.10793439716312057</v>
      </c>
    </row>
    <row r="132" spans="1:7">
      <c r="A132" t="s">
        <v>32</v>
      </c>
      <c r="B132">
        <v>20</v>
      </c>
      <c r="C132" t="s">
        <v>123</v>
      </c>
      <c r="D132">
        <v>6</v>
      </c>
      <c r="E132">
        <v>4512</v>
      </c>
      <c r="F132">
        <v>501</v>
      </c>
      <c r="G132" s="1">
        <f t="shared" si="2"/>
        <v>0.1110372340425532</v>
      </c>
    </row>
    <row r="133" spans="1:7">
      <c r="A133" t="s">
        <v>32</v>
      </c>
      <c r="B133">
        <v>20</v>
      </c>
      <c r="C133" t="s">
        <v>111</v>
      </c>
      <c r="D133">
        <v>7</v>
      </c>
      <c r="E133">
        <v>4512</v>
      </c>
      <c r="F133">
        <v>508</v>
      </c>
      <c r="G133" s="1">
        <f t="shared" si="2"/>
        <v>0.1125886524822695</v>
      </c>
    </row>
    <row r="134" spans="1:7">
      <c r="A134" t="s">
        <v>32</v>
      </c>
      <c r="B134">
        <v>20</v>
      </c>
      <c r="C134" t="s">
        <v>110</v>
      </c>
      <c r="D134">
        <v>8</v>
      </c>
      <c r="E134">
        <v>4512</v>
      </c>
      <c r="F134">
        <v>526</v>
      </c>
      <c r="G134" s="1">
        <f t="shared" si="2"/>
        <v>0.11657801418439716</v>
      </c>
    </row>
    <row r="135" spans="1:7">
      <c r="A135" t="s">
        <v>32</v>
      </c>
      <c r="B135">
        <v>20</v>
      </c>
      <c r="C135" t="s">
        <v>116</v>
      </c>
      <c r="D135">
        <v>9</v>
      </c>
      <c r="E135">
        <v>4512</v>
      </c>
      <c r="F135">
        <v>527</v>
      </c>
      <c r="G135" s="1">
        <f t="shared" si="2"/>
        <v>0.11679964539007093</v>
      </c>
    </row>
    <row r="136" spans="1:7">
      <c r="A136" t="s">
        <v>32</v>
      </c>
      <c r="B136">
        <v>20</v>
      </c>
      <c r="C136" t="s">
        <v>127</v>
      </c>
      <c r="D136">
        <v>10</v>
      </c>
      <c r="E136">
        <v>4512</v>
      </c>
      <c r="F136">
        <v>579</v>
      </c>
      <c r="G136" s="1">
        <f t="shared" si="2"/>
        <v>0.12832446808510639</v>
      </c>
    </row>
    <row r="137" spans="1:7">
      <c r="A137" t="s">
        <v>32</v>
      </c>
      <c r="B137">
        <v>20</v>
      </c>
      <c r="C137" t="s">
        <v>114</v>
      </c>
      <c r="D137">
        <v>11</v>
      </c>
      <c r="E137">
        <v>4512</v>
      </c>
      <c r="F137">
        <v>589</v>
      </c>
      <c r="G137" s="1">
        <f t="shared" si="2"/>
        <v>0.13054078014184398</v>
      </c>
    </row>
    <row r="138" spans="1:7">
      <c r="A138" t="s">
        <v>32</v>
      </c>
      <c r="B138">
        <v>20</v>
      </c>
      <c r="C138" t="s">
        <v>115</v>
      </c>
      <c r="D138">
        <v>12</v>
      </c>
      <c r="E138">
        <v>4512</v>
      </c>
      <c r="F138">
        <v>598</v>
      </c>
      <c r="G138" s="1">
        <f t="shared" si="2"/>
        <v>0.13253546099290781</v>
      </c>
    </row>
    <row r="139" spans="1:7">
      <c r="A139" t="s">
        <v>32</v>
      </c>
      <c r="B139">
        <v>20</v>
      </c>
      <c r="C139" t="s">
        <v>112</v>
      </c>
      <c r="D139">
        <v>13</v>
      </c>
      <c r="E139">
        <v>4512</v>
      </c>
      <c r="F139">
        <v>602</v>
      </c>
      <c r="G139" s="1">
        <f t="shared" si="2"/>
        <v>0.13342198581560283</v>
      </c>
    </row>
    <row r="140" spans="1:7">
      <c r="A140" t="s">
        <v>32</v>
      </c>
      <c r="B140">
        <v>20</v>
      </c>
      <c r="C140" t="s">
        <v>126</v>
      </c>
      <c r="D140">
        <v>14</v>
      </c>
      <c r="E140">
        <v>4512</v>
      </c>
      <c r="F140">
        <v>630</v>
      </c>
      <c r="G140" s="1">
        <f t="shared" si="2"/>
        <v>0.13962765957446807</v>
      </c>
    </row>
    <row r="141" spans="1:7">
      <c r="A141" t="s">
        <v>32</v>
      </c>
      <c r="B141">
        <v>20</v>
      </c>
      <c r="C141" t="s">
        <v>113</v>
      </c>
      <c r="D141">
        <v>15</v>
      </c>
      <c r="E141">
        <v>4512</v>
      </c>
      <c r="F141">
        <v>657</v>
      </c>
      <c r="G141" s="1">
        <f t="shared" si="2"/>
        <v>0.14561170212765959</v>
      </c>
    </row>
    <row r="142" spans="1:7">
      <c r="A142" t="s">
        <v>32</v>
      </c>
      <c r="B142">
        <v>20</v>
      </c>
      <c r="C142" t="s">
        <v>121</v>
      </c>
      <c r="D142">
        <v>16</v>
      </c>
      <c r="E142">
        <v>4512</v>
      </c>
      <c r="F142">
        <v>697</v>
      </c>
      <c r="G142" s="1">
        <f t="shared" si="2"/>
        <v>0.15447695035460993</v>
      </c>
    </row>
    <row r="143" spans="1:7">
      <c r="A143" t="s">
        <v>32</v>
      </c>
      <c r="B143">
        <v>20</v>
      </c>
      <c r="C143" t="s">
        <v>128</v>
      </c>
      <c r="D143">
        <v>17</v>
      </c>
      <c r="E143">
        <v>4512</v>
      </c>
      <c r="F143">
        <v>699</v>
      </c>
      <c r="G143" s="1">
        <f t="shared" si="2"/>
        <v>0.15492021276595744</v>
      </c>
    </row>
    <row r="144" spans="1:7">
      <c r="A144" t="s">
        <v>32</v>
      </c>
      <c r="B144">
        <v>20</v>
      </c>
      <c r="C144" t="s">
        <v>117</v>
      </c>
      <c r="D144">
        <v>18</v>
      </c>
      <c r="E144">
        <v>4512</v>
      </c>
      <c r="F144">
        <v>752</v>
      </c>
      <c r="G144" s="1">
        <f t="shared" si="2"/>
        <v>0.16666666666666666</v>
      </c>
    </row>
    <row r="145" spans="1:7">
      <c r="A145" t="s">
        <v>32</v>
      </c>
      <c r="B145">
        <v>20</v>
      </c>
      <c r="C145" t="s">
        <v>130</v>
      </c>
      <c r="D145">
        <v>19</v>
      </c>
      <c r="E145">
        <v>4512</v>
      </c>
      <c r="F145">
        <v>761</v>
      </c>
      <c r="G145" s="1">
        <f t="shared" si="2"/>
        <v>0.16866134751773049</v>
      </c>
    </row>
    <row r="146" spans="1:7">
      <c r="A146" t="s">
        <v>32</v>
      </c>
      <c r="B146">
        <v>20</v>
      </c>
      <c r="C146" t="s">
        <v>119</v>
      </c>
      <c r="D146">
        <v>20</v>
      </c>
      <c r="E146">
        <v>4512</v>
      </c>
      <c r="F146">
        <v>802</v>
      </c>
      <c r="G146" s="1">
        <f t="shared" si="2"/>
        <v>0.17774822695035461</v>
      </c>
    </row>
    <row r="147" spans="1:7">
      <c r="A147" t="s">
        <v>32</v>
      </c>
      <c r="B147">
        <v>20</v>
      </c>
      <c r="C147" t="s">
        <v>125</v>
      </c>
      <c r="D147">
        <v>21</v>
      </c>
      <c r="E147">
        <v>4512</v>
      </c>
      <c r="F147">
        <v>813</v>
      </c>
      <c r="G147" s="1">
        <f t="shared" si="2"/>
        <v>0.18018617021276595</v>
      </c>
    </row>
    <row r="148" spans="1:7">
      <c r="A148" t="s">
        <v>32</v>
      </c>
      <c r="B148">
        <v>20</v>
      </c>
      <c r="C148" t="s">
        <v>124</v>
      </c>
      <c r="D148">
        <v>22</v>
      </c>
      <c r="E148">
        <v>4512</v>
      </c>
      <c r="F148">
        <v>852</v>
      </c>
      <c r="G148" s="1">
        <f t="shared" si="2"/>
        <v>0.18882978723404256</v>
      </c>
    </row>
    <row r="149" spans="1:7">
      <c r="A149" t="s">
        <v>32</v>
      </c>
      <c r="B149">
        <v>20</v>
      </c>
      <c r="C149" t="s">
        <v>133</v>
      </c>
      <c r="D149">
        <v>23</v>
      </c>
      <c r="E149">
        <v>4512</v>
      </c>
      <c r="F149">
        <v>3788</v>
      </c>
      <c r="G149" s="1">
        <f t="shared" si="2"/>
        <v>0.83953900709219853</v>
      </c>
    </row>
    <row r="150" spans="1:7">
      <c r="A150" t="s">
        <v>32</v>
      </c>
      <c r="B150">
        <v>20</v>
      </c>
      <c r="C150" t="s">
        <v>134</v>
      </c>
      <c r="D150">
        <v>24</v>
      </c>
      <c r="E150">
        <v>4512</v>
      </c>
      <c r="F150">
        <v>3878</v>
      </c>
      <c r="G150" s="1">
        <f t="shared" si="2"/>
        <v>0.85948581560283688</v>
      </c>
    </row>
    <row r="151" spans="1:7">
      <c r="A151" t="s">
        <v>32</v>
      </c>
      <c r="B151">
        <v>20</v>
      </c>
      <c r="C151" t="s">
        <v>132</v>
      </c>
      <c r="D151">
        <v>25</v>
      </c>
      <c r="E151">
        <v>4512</v>
      </c>
      <c r="F151">
        <v>3879</v>
      </c>
      <c r="G151" s="1">
        <f t="shared" si="2"/>
        <v>0.85970744680851063</v>
      </c>
    </row>
    <row r="152" spans="1:7">
      <c r="A152" t="s">
        <v>32</v>
      </c>
      <c r="B152">
        <v>20</v>
      </c>
      <c r="C152" t="s">
        <v>136</v>
      </c>
      <c r="D152">
        <v>26</v>
      </c>
      <c r="E152">
        <v>4512</v>
      </c>
      <c r="F152">
        <v>3898</v>
      </c>
      <c r="G152" s="1">
        <f t="shared" si="2"/>
        <v>0.8639184397163121</v>
      </c>
    </row>
    <row r="153" spans="1:7">
      <c r="A153" t="s">
        <v>32</v>
      </c>
      <c r="B153">
        <v>20</v>
      </c>
      <c r="C153" t="s">
        <v>138</v>
      </c>
      <c r="D153">
        <v>27</v>
      </c>
      <c r="E153">
        <v>4512</v>
      </c>
      <c r="F153">
        <v>3900</v>
      </c>
      <c r="G153" s="1">
        <f t="shared" si="2"/>
        <v>0.86436170212765961</v>
      </c>
    </row>
    <row r="154" spans="1:7">
      <c r="A154" t="s">
        <v>32</v>
      </c>
      <c r="B154">
        <v>20</v>
      </c>
      <c r="C154" t="s">
        <v>131</v>
      </c>
      <c r="D154">
        <v>28</v>
      </c>
      <c r="E154">
        <v>4512</v>
      </c>
      <c r="F154">
        <v>3962</v>
      </c>
      <c r="G154" s="1">
        <f t="shared" si="2"/>
        <v>0.87810283687943258</v>
      </c>
    </row>
    <row r="155" spans="1:7">
      <c r="A155" t="s">
        <v>32</v>
      </c>
      <c r="B155">
        <v>20</v>
      </c>
      <c r="C155" t="s">
        <v>139</v>
      </c>
      <c r="D155">
        <v>29</v>
      </c>
      <c r="E155">
        <v>4512</v>
      </c>
      <c r="F155">
        <v>4021</v>
      </c>
      <c r="G155" s="1">
        <f t="shared" si="2"/>
        <v>0.89117907801418439</v>
      </c>
    </row>
    <row r="156" spans="1:7">
      <c r="A156" t="s">
        <v>32</v>
      </c>
      <c r="B156">
        <v>20</v>
      </c>
      <c r="C156" t="s">
        <v>137</v>
      </c>
      <c r="D156">
        <v>30</v>
      </c>
      <c r="E156">
        <v>4512</v>
      </c>
      <c r="F156">
        <v>4057</v>
      </c>
      <c r="G156" s="1">
        <f t="shared" si="2"/>
        <v>0.89915780141843971</v>
      </c>
    </row>
    <row r="157" spans="1:7">
      <c r="A157" t="s">
        <v>32</v>
      </c>
      <c r="B157">
        <v>20</v>
      </c>
      <c r="C157" t="s">
        <v>135</v>
      </c>
      <c r="D157">
        <v>31</v>
      </c>
      <c r="E157">
        <v>4512</v>
      </c>
      <c r="F157">
        <v>4082</v>
      </c>
      <c r="G157" s="1">
        <f t="shared" si="2"/>
        <v>0.90469858156028371</v>
      </c>
    </row>
    <row r="158" spans="1:7">
      <c r="A158" t="s">
        <v>32</v>
      </c>
      <c r="B158">
        <v>20</v>
      </c>
      <c r="C158" t="s">
        <v>141</v>
      </c>
      <c r="D158">
        <v>32</v>
      </c>
      <c r="E158">
        <v>4512</v>
      </c>
      <c r="F158">
        <v>4180</v>
      </c>
      <c r="G158" s="1">
        <f t="shared" si="2"/>
        <v>0.9264184397163121</v>
      </c>
    </row>
    <row r="159" spans="1:7">
      <c r="A159" t="s">
        <v>32</v>
      </c>
      <c r="B159">
        <v>20</v>
      </c>
      <c r="C159" t="s">
        <v>140</v>
      </c>
      <c r="D159">
        <v>33</v>
      </c>
      <c r="E159">
        <v>4512</v>
      </c>
      <c r="F159">
        <v>5852</v>
      </c>
      <c r="G159" s="1">
        <f t="shared" si="2"/>
        <v>1.2969858156028369</v>
      </c>
    </row>
    <row r="160" spans="1:7">
      <c r="A160" t="s">
        <v>142</v>
      </c>
      <c r="B160">
        <v>2</v>
      </c>
      <c r="C160" t="s">
        <v>19</v>
      </c>
      <c r="D160">
        <v>1</v>
      </c>
      <c r="E160">
        <v>3303</v>
      </c>
      <c r="F160">
        <v>159</v>
      </c>
      <c r="G160" s="1">
        <f t="shared" si="2"/>
        <v>4.8138056312443236E-2</v>
      </c>
    </row>
    <row r="161" spans="1:7">
      <c r="A161" t="s">
        <v>142</v>
      </c>
      <c r="B161">
        <v>2</v>
      </c>
      <c r="C161" t="s">
        <v>144</v>
      </c>
      <c r="D161">
        <v>2</v>
      </c>
      <c r="E161">
        <v>3303</v>
      </c>
      <c r="F161">
        <v>1679</v>
      </c>
      <c r="G161" s="1">
        <f t="shared" si="2"/>
        <v>0.50832576445655464</v>
      </c>
    </row>
    <row r="162" spans="1:7">
      <c r="A162" t="s">
        <v>142</v>
      </c>
      <c r="B162">
        <v>2</v>
      </c>
      <c r="C162" t="s">
        <v>143</v>
      </c>
      <c r="D162">
        <v>3</v>
      </c>
      <c r="E162">
        <v>3303</v>
      </c>
      <c r="F162">
        <v>3297</v>
      </c>
      <c r="G162" s="1">
        <f t="shared" si="2"/>
        <v>0.99818346957311532</v>
      </c>
    </row>
    <row r="163" spans="1:7">
      <c r="A163" t="s">
        <v>142</v>
      </c>
      <c r="B163">
        <v>3</v>
      </c>
      <c r="C163" t="s">
        <v>145</v>
      </c>
      <c r="D163">
        <v>1</v>
      </c>
      <c r="E163">
        <v>1353</v>
      </c>
      <c r="F163">
        <v>1326</v>
      </c>
      <c r="G163" s="1">
        <f t="shared" si="2"/>
        <v>0.98004434589800449</v>
      </c>
    </row>
    <row r="164" spans="1:7">
      <c r="A164" t="s">
        <v>142</v>
      </c>
      <c r="B164">
        <v>3</v>
      </c>
      <c r="C164" t="s">
        <v>36</v>
      </c>
      <c r="D164">
        <v>2</v>
      </c>
      <c r="E164">
        <v>1353</v>
      </c>
      <c r="F164">
        <v>1352</v>
      </c>
      <c r="G164" s="1">
        <f t="shared" si="2"/>
        <v>0.9992609016999261</v>
      </c>
    </row>
    <row r="165" spans="1:7">
      <c r="A165" t="s">
        <v>142</v>
      </c>
      <c r="B165">
        <v>7</v>
      </c>
      <c r="C165" t="s">
        <v>145</v>
      </c>
      <c r="D165">
        <v>1</v>
      </c>
      <c r="E165">
        <v>1290</v>
      </c>
      <c r="F165">
        <v>1267</v>
      </c>
      <c r="G165" s="1">
        <f t="shared" si="2"/>
        <v>0.98217054263565895</v>
      </c>
    </row>
    <row r="166" spans="1:7">
      <c r="A166" t="s">
        <v>142</v>
      </c>
      <c r="B166">
        <v>7</v>
      </c>
      <c r="C166" t="s">
        <v>36</v>
      </c>
      <c r="D166">
        <v>2</v>
      </c>
      <c r="E166">
        <v>1290</v>
      </c>
      <c r="F166">
        <v>1293</v>
      </c>
      <c r="G166" s="1">
        <f t="shared" si="2"/>
        <v>1.0023255813953489</v>
      </c>
    </row>
    <row r="167" spans="1:7">
      <c r="A167" t="s">
        <v>142</v>
      </c>
      <c r="B167">
        <v>10</v>
      </c>
      <c r="C167" t="s">
        <v>147</v>
      </c>
      <c r="D167">
        <v>1</v>
      </c>
      <c r="E167">
        <v>11657</v>
      </c>
      <c r="F167">
        <v>1958</v>
      </c>
      <c r="G167" s="1">
        <f t="shared" si="2"/>
        <v>0.16796774470275372</v>
      </c>
    </row>
    <row r="168" spans="1:7">
      <c r="A168" t="s">
        <v>142</v>
      </c>
      <c r="B168">
        <v>10</v>
      </c>
      <c r="C168" t="s">
        <v>146</v>
      </c>
      <c r="D168">
        <v>2</v>
      </c>
      <c r="E168">
        <v>11657</v>
      </c>
      <c r="F168">
        <v>2038</v>
      </c>
      <c r="G168" s="1">
        <f t="shared" si="2"/>
        <v>0.17483057390409196</v>
      </c>
    </row>
    <row r="169" spans="1:7">
      <c r="A169" t="s">
        <v>142</v>
      </c>
      <c r="B169">
        <v>10</v>
      </c>
      <c r="C169" t="s">
        <v>151</v>
      </c>
      <c r="D169">
        <v>3</v>
      </c>
      <c r="E169">
        <v>11657</v>
      </c>
      <c r="F169">
        <v>2954</v>
      </c>
      <c r="G169" s="1">
        <f t="shared" si="2"/>
        <v>0.25340996825941492</v>
      </c>
    </row>
    <row r="170" spans="1:7">
      <c r="A170" t="s">
        <v>142</v>
      </c>
      <c r="B170">
        <v>10</v>
      </c>
      <c r="C170" t="s">
        <v>150</v>
      </c>
      <c r="D170">
        <v>4</v>
      </c>
      <c r="E170">
        <v>11657</v>
      </c>
      <c r="F170">
        <v>3018</v>
      </c>
      <c r="G170" s="1">
        <f t="shared" si="2"/>
        <v>0.25890023162048553</v>
      </c>
    </row>
    <row r="171" spans="1:7">
      <c r="A171" t="s">
        <v>142</v>
      </c>
      <c r="B171">
        <v>10</v>
      </c>
      <c r="C171" t="s">
        <v>149</v>
      </c>
      <c r="D171">
        <v>5</v>
      </c>
      <c r="E171">
        <v>11657</v>
      </c>
      <c r="F171">
        <v>3073</v>
      </c>
      <c r="G171" s="1">
        <f t="shared" si="2"/>
        <v>0.26361842669640562</v>
      </c>
    </row>
    <row r="172" spans="1:7">
      <c r="A172" t="s">
        <v>142</v>
      </c>
      <c r="B172">
        <v>10</v>
      </c>
      <c r="C172" t="s">
        <v>165</v>
      </c>
      <c r="D172">
        <v>6</v>
      </c>
      <c r="E172">
        <v>11657</v>
      </c>
      <c r="F172">
        <v>3161</v>
      </c>
      <c r="G172" s="1">
        <f t="shared" si="2"/>
        <v>0.2711675388178777</v>
      </c>
    </row>
    <row r="173" spans="1:7">
      <c r="A173" t="s">
        <v>142</v>
      </c>
      <c r="B173">
        <v>10</v>
      </c>
      <c r="C173" t="s">
        <v>154</v>
      </c>
      <c r="D173">
        <v>7</v>
      </c>
      <c r="E173">
        <v>11657</v>
      </c>
      <c r="F173">
        <v>3263</v>
      </c>
      <c r="G173" s="1">
        <f t="shared" si="2"/>
        <v>0.27991764604958397</v>
      </c>
    </row>
    <row r="174" spans="1:7">
      <c r="A174" t="s">
        <v>142</v>
      </c>
      <c r="B174">
        <v>10</v>
      </c>
      <c r="C174" t="s">
        <v>148</v>
      </c>
      <c r="D174">
        <v>8</v>
      </c>
      <c r="E174">
        <v>11657</v>
      </c>
      <c r="F174">
        <v>3331</v>
      </c>
      <c r="G174" s="1">
        <f t="shared" si="2"/>
        <v>0.28575105087072145</v>
      </c>
    </row>
    <row r="175" spans="1:7">
      <c r="A175" t="s">
        <v>142</v>
      </c>
      <c r="B175">
        <v>10</v>
      </c>
      <c r="C175" t="s">
        <v>153</v>
      </c>
      <c r="D175">
        <v>9</v>
      </c>
      <c r="E175">
        <v>11657</v>
      </c>
      <c r="F175">
        <v>3450</v>
      </c>
      <c r="G175" s="1">
        <f t="shared" si="2"/>
        <v>0.29595950930771209</v>
      </c>
    </row>
    <row r="176" spans="1:7">
      <c r="A176" t="s">
        <v>142</v>
      </c>
      <c r="B176">
        <v>10</v>
      </c>
      <c r="C176" t="s">
        <v>152</v>
      </c>
      <c r="D176">
        <v>10</v>
      </c>
      <c r="E176">
        <v>11657</v>
      </c>
      <c r="F176">
        <v>3466</v>
      </c>
      <c r="G176" s="1">
        <f t="shared" si="2"/>
        <v>0.29733207514797977</v>
      </c>
    </row>
    <row r="177" spans="1:7">
      <c r="A177" t="s">
        <v>142</v>
      </c>
      <c r="B177">
        <v>10</v>
      </c>
      <c r="C177" t="s">
        <v>160</v>
      </c>
      <c r="D177">
        <v>11</v>
      </c>
      <c r="E177">
        <v>11657</v>
      </c>
      <c r="F177">
        <v>4136</v>
      </c>
      <c r="G177" s="1">
        <f t="shared" si="2"/>
        <v>0.35480826970918761</v>
      </c>
    </row>
    <row r="178" spans="1:7">
      <c r="A178" t="s">
        <v>142</v>
      </c>
      <c r="B178">
        <v>10</v>
      </c>
      <c r="C178" t="s">
        <v>175</v>
      </c>
      <c r="D178">
        <v>12</v>
      </c>
      <c r="E178">
        <v>11657</v>
      </c>
      <c r="F178">
        <v>4225</v>
      </c>
      <c r="G178" s="1">
        <f t="shared" si="2"/>
        <v>0.36244316719567643</v>
      </c>
    </row>
    <row r="179" spans="1:7">
      <c r="A179" t="s">
        <v>142</v>
      </c>
      <c r="B179">
        <v>10</v>
      </c>
      <c r="C179" t="s">
        <v>159</v>
      </c>
      <c r="D179">
        <v>13</v>
      </c>
      <c r="E179">
        <v>11657</v>
      </c>
      <c r="F179">
        <v>4309</v>
      </c>
      <c r="G179" s="1">
        <f t="shared" si="2"/>
        <v>0.36964913785708159</v>
      </c>
    </row>
    <row r="180" spans="1:7">
      <c r="A180" t="s">
        <v>142</v>
      </c>
      <c r="B180">
        <v>10</v>
      </c>
      <c r="C180" t="s">
        <v>156</v>
      </c>
      <c r="D180">
        <v>14</v>
      </c>
      <c r="E180">
        <v>11657</v>
      </c>
      <c r="F180">
        <v>4364</v>
      </c>
      <c r="G180" s="1">
        <f t="shared" si="2"/>
        <v>0.37436733293300162</v>
      </c>
    </row>
    <row r="181" spans="1:7">
      <c r="A181" t="s">
        <v>142</v>
      </c>
      <c r="B181">
        <v>10</v>
      </c>
      <c r="C181" t="s">
        <v>172</v>
      </c>
      <c r="D181">
        <v>15</v>
      </c>
      <c r="E181">
        <v>11657</v>
      </c>
      <c r="F181">
        <v>4367</v>
      </c>
      <c r="G181" s="1">
        <f t="shared" si="2"/>
        <v>0.37462468902805179</v>
      </c>
    </row>
    <row r="182" spans="1:7">
      <c r="A182" t="s">
        <v>142</v>
      </c>
      <c r="B182">
        <v>10</v>
      </c>
      <c r="C182" t="s">
        <v>161</v>
      </c>
      <c r="D182">
        <v>16</v>
      </c>
      <c r="E182">
        <v>11657</v>
      </c>
      <c r="F182">
        <v>4409</v>
      </c>
      <c r="G182" s="1">
        <f t="shared" si="2"/>
        <v>0.37822767435875437</v>
      </c>
    </row>
    <row r="183" spans="1:7">
      <c r="A183" t="s">
        <v>142</v>
      </c>
      <c r="B183">
        <v>10</v>
      </c>
      <c r="C183" t="s">
        <v>163</v>
      </c>
      <c r="D183">
        <v>17</v>
      </c>
      <c r="E183">
        <v>11657</v>
      </c>
      <c r="F183">
        <v>4496</v>
      </c>
      <c r="G183" s="1">
        <f t="shared" si="2"/>
        <v>0.38569100111520976</v>
      </c>
    </row>
    <row r="184" spans="1:7">
      <c r="A184" t="s">
        <v>142</v>
      </c>
      <c r="B184">
        <v>10</v>
      </c>
      <c r="C184" t="s">
        <v>173</v>
      </c>
      <c r="D184">
        <v>18</v>
      </c>
      <c r="E184">
        <v>11657</v>
      </c>
      <c r="F184">
        <v>4521</v>
      </c>
      <c r="G184" s="1">
        <f t="shared" si="2"/>
        <v>0.38783563524062797</v>
      </c>
    </row>
    <row r="185" spans="1:7">
      <c r="A185" t="s">
        <v>142</v>
      </c>
      <c r="B185">
        <v>10</v>
      </c>
      <c r="C185" t="s">
        <v>157</v>
      </c>
      <c r="D185">
        <v>19</v>
      </c>
      <c r="E185">
        <v>11657</v>
      </c>
      <c r="F185">
        <v>4584</v>
      </c>
      <c r="G185" s="1">
        <f t="shared" si="2"/>
        <v>0.39324011323668184</v>
      </c>
    </row>
    <row r="186" spans="1:7">
      <c r="A186" t="s">
        <v>142</v>
      </c>
      <c r="B186">
        <v>10</v>
      </c>
      <c r="C186" t="s">
        <v>158</v>
      </c>
      <c r="D186">
        <v>20</v>
      </c>
      <c r="E186">
        <v>11657</v>
      </c>
      <c r="F186">
        <v>4710</v>
      </c>
      <c r="G186" s="1">
        <f t="shared" si="2"/>
        <v>0.40404906922878958</v>
      </c>
    </row>
    <row r="187" spans="1:7">
      <c r="A187" t="s">
        <v>142</v>
      </c>
      <c r="B187">
        <v>10</v>
      </c>
      <c r="C187" t="s">
        <v>162</v>
      </c>
      <c r="D187">
        <v>21</v>
      </c>
      <c r="E187">
        <v>11657</v>
      </c>
      <c r="F187">
        <v>4748</v>
      </c>
      <c r="G187" s="1">
        <f t="shared" si="2"/>
        <v>0.40730891309942524</v>
      </c>
    </row>
    <row r="188" spans="1:7">
      <c r="A188" t="s">
        <v>142</v>
      </c>
      <c r="B188">
        <v>10</v>
      </c>
      <c r="C188" t="s">
        <v>155</v>
      </c>
      <c r="D188">
        <v>22</v>
      </c>
      <c r="E188">
        <v>11657</v>
      </c>
      <c r="F188">
        <v>4838</v>
      </c>
      <c r="G188" s="1">
        <f t="shared" si="2"/>
        <v>0.41502959595093075</v>
      </c>
    </row>
    <row r="189" spans="1:7">
      <c r="A189" t="s">
        <v>142</v>
      </c>
      <c r="B189">
        <v>10</v>
      </c>
      <c r="C189" t="s">
        <v>164</v>
      </c>
      <c r="D189">
        <v>23</v>
      </c>
      <c r="E189">
        <v>11657</v>
      </c>
      <c r="F189">
        <v>5540</v>
      </c>
      <c r="G189" s="1">
        <f t="shared" si="2"/>
        <v>0.47525092219267395</v>
      </c>
    </row>
    <row r="190" spans="1:7">
      <c r="A190" t="s">
        <v>142</v>
      </c>
      <c r="B190">
        <v>10</v>
      </c>
      <c r="C190" t="s">
        <v>168</v>
      </c>
      <c r="D190">
        <v>24</v>
      </c>
      <c r="E190">
        <v>11657</v>
      </c>
      <c r="F190">
        <v>5674</v>
      </c>
      <c r="G190" s="1">
        <f t="shared" si="2"/>
        <v>0.48674616110491548</v>
      </c>
    </row>
    <row r="191" spans="1:7">
      <c r="A191" t="s">
        <v>142</v>
      </c>
      <c r="B191">
        <v>10</v>
      </c>
      <c r="C191" t="s">
        <v>166</v>
      </c>
      <c r="D191">
        <v>25</v>
      </c>
      <c r="E191">
        <v>11657</v>
      </c>
      <c r="F191">
        <v>5716</v>
      </c>
      <c r="G191" s="1">
        <f t="shared" si="2"/>
        <v>0.49034914643561811</v>
      </c>
    </row>
    <row r="192" spans="1:7">
      <c r="A192" t="s">
        <v>142</v>
      </c>
      <c r="B192">
        <v>10</v>
      </c>
      <c r="C192" t="s">
        <v>169</v>
      </c>
      <c r="D192">
        <v>26</v>
      </c>
      <c r="E192">
        <v>11657</v>
      </c>
      <c r="F192">
        <v>5752</v>
      </c>
      <c r="G192" s="1">
        <f t="shared" si="2"/>
        <v>0.49343741957622028</v>
      </c>
    </row>
    <row r="193" spans="1:7">
      <c r="A193" t="s">
        <v>142</v>
      </c>
      <c r="B193">
        <v>10</v>
      </c>
      <c r="C193" t="s">
        <v>171</v>
      </c>
      <c r="D193">
        <v>27</v>
      </c>
      <c r="E193">
        <v>11657</v>
      </c>
      <c r="F193">
        <v>5792</v>
      </c>
      <c r="G193" s="1">
        <f t="shared" si="2"/>
        <v>0.49686883417688943</v>
      </c>
    </row>
    <row r="194" spans="1:7">
      <c r="A194" t="s">
        <v>142</v>
      </c>
      <c r="B194">
        <v>10</v>
      </c>
      <c r="C194" t="s">
        <v>174</v>
      </c>
      <c r="D194">
        <v>28</v>
      </c>
      <c r="E194">
        <v>11657</v>
      </c>
      <c r="F194">
        <v>5834</v>
      </c>
      <c r="G194" s="1">
        <f t="shared" ref="G194:G257" si="3">F194/E194</f>
        <v>0.50047181950759201</v>
      </c>
    </row>
    <row r="195" spans="1:7">
      <c r="A195" t="s">
        <v>142</v>
      </c>
      <c r="B195">
        <v>10</v>
      </c>
      <c r="C195" t="s">
        <v>170</v>
      </c>
      <c r="D195">
        <v>29</v>
      </c>
      <c r="E195">
        <v>11657</v>
      </c>
      <c r="F195">
        <v>5916</v>
      </c>
      <c r="G195" s="1">
        <f t="shared" si="3"/>
        <v>0.50750621943896368</v>
      </c>
    </row>
    <row r="196" spans="1:7">
      <c r="A196" t="s">
        <v>142</v>
      </c>
      <c r="B196">
        <v>10</v>
      </c>
      <c r="C196" t="s">
        <v>167</v>
      </c>
      <c r="D196">
        <v>30</v>
      </c>
      <c r="E196">
        <v>11657</v>
      </c>
      <c r="F196">
        <v>6091</v>
      </c>
      <c r="G196" s="1">
        <f t="shared" si="3"/>
        <v>0.52251865831689115</v>
      </c>
    </row>
    <row r="197" spans="1:7">
      <c r="A197" t="s">
        <v>142</v>
      </c>
      <c r="B197">
        <v>10</v>
      </c>
      <c r="C197" t="s">
        <v>177</v>
      </c>
      <c r="D197">
        <v>31</v>
      </c>
      <c r="E197">
        <v>11657</v>
      </c>
      <c r="F197">
        <v>6987</v>
      </c>
      <c r="G197" s="1">
        <f t="shared" si="3"/>
        <v>0.59938234537187951</v>
      </c>
    </row>
    <row r="198" spans="1:7">
      <c r="A198" t="s">
        <v>142</v>
      </c>
      <c r="B198">
        <v>10</v>
      </c>
      <c r="C198" t="s">
        <v>176</v>
      </c>
      <c r="D198">
        <v>32</v>
      </c>
      <c r="E198">
        <v>11657</v>
      </c>
      <c r="F198">
        <v>7090</v>
      </c>
      <c r="G198" s="1">
        <f t="shared" si="3"/>
        <v>0.60821823796860253</v>
      </c>
    </row>
    <row r="199" spans="1:7">
      <c r="A199" t="s">
        <v>142</v>
      </c>
      <c r="B199">
        <v>11</v>
      </c>
      <c r="C199" t="s">
        <v>33</v>
      </c>
      <c r="D199">
        <v>1</v>
      </c>
      <c r="E199">
        <v>5192</v>
      </c>
      <c r="F199">
        <v>83</v>
      </c>
      <c r="G199" s="1">
        <f t="shared" si="3"/>
        <v>1.5986132511556242E-2</v>
      </c>
    </row>
    <row r="200" spans="1:7">
      <c r="A200" t="s">
        <v>142</v>
      </c>
      <c r="B200">
        <v>11</v>
      </c>
      <c r="C200" t="s">
        <v>178</v>
      </c>
      <c r="D200">
        <v>2</v>
      </c>
      <c r="E200">
        <v>5192</v>
      </c>
      <c r="F200">
        <v>2115</v>
      </c>
      <c r="G200" s="1">
        <f t="shared" si="3"/>
        <v>0.40735747303543912</v>
      </c>
    </row>
    <row r="201" spans="1:7">
      <c r="A201" t="s">
        <v>142</v>
      </c>
      <c r="B201">
        <v>11</v>
      </c>
      <c r="C201" t="s">
        <v>179</v>
      </c>
      <c r="D201">
        <v>3</v>
      </c>
      <c r="E201">
        <v>5192</v>
      </c>
      <c r="F201">
        <v>2254</v>
      </c>
      <c r="G201" s="1">
        <f t="shared" si="3"/>
        <v>0.43412942989214176</v>
      </c>
    </row>
    <row r="202" spans="1:7">
      <c r="A202" t="s">
        <v>142</v>
      </c>
      <c r="B202">
        <v>11</v>
      </c>
      <c r="C202" t="s">
        <v>185</v>
      </c>
      <c r="D202">
        <v>4</v>
      </c>
      <c r="E202">
        <v>5192</v>
      </c>
      <c r="F202">
        <v>2683</v>
      </c>
      <c r="G202" s="1">
        <f t="shared" si="3"/>
        <v>0.51675654853620956</v>
      </c>
    </row>
    <row r="203" spans="1:7">
      <c r="A203" t="s">
        <v>142</v>
      </c>
      <c r="B203">
        <v>11</v>
      </c>
      <c r="C203" t="s">
        <v>180</v>
      </c>
      <c r="D203">
        <v>5</v>
      </c>
      <c r="E203">
        <v>5192</v>
      </c>
      <c r="F203">
        <v>2694</v>
      </c>
      <c r="G203" s="1">
        <f t="shared" si="3"/>
        <v>0.51887519260400616</v>
      </c>
    </row>
    <row r="204" spans="1:7">
      <c r="A204" t="s">
        <v>142</v>
      </c>
      <c r="B204">
        <v>11</v>
      </c>
      <c r="C204" t="s">
        <v>186</v>
      </c>
      <c r="D204">
        <v>6</v>
      </c>
      <c r="E204">
        <v>5192</v>
      </c>
      <c r="F204">
        <v>2826</v>
      </c>
      <c r="G204" s="1">
        <f t="shared" si="3"/>
        <v>0.54429892141756553</v>
      </c>
    </row>
    <row r="205" spans="1:7">
      <c r="A205" t="s">
        <v>142</v>
      </c>
      <c r="B205">
        <v>11</v>
      </c>
      <c r="C205" t="s">
        <v>181</v>
      </c>
      <c r="D205">
        <v>7</v>
      </c>
      <c r="E205">
        <v>5192</v>
      </c>
      <c r="F205">
        <v>2833</v>
      </c>
      <c r="G205" s="1">
        <f t="shared" si="3"/>
        <v>0.5456471494607088</v>
      </c>
    </row>
    <row r="206" spans="1:7">
      <c r="A206" t="s">
        <v>142</v>
      </c>
      <c r="B206">
        <v>11</v>
      </c>
      <c r="C206" t="s">
        <v>184</v>
      </c>
      <c r="D206">
        <v>8</v>
      </c>
      <c r="E206">
        <v>5192</v>
      </c>
      <c r="F206">
        <v>2835</v>
      </c>
      <c r="G206" s="1">
        <f t="shared" si="3"/>
        <v>0.54603235747303547</v>
      </c>
    </row>
    <row r="207" spans="1:7">
      <c r="A207" t="s">
        <v>142</v>
      </c>
      <c r="B207">
        <v>11</v>
      </c>
      <c r="C207" t="s">
        <v>182</v>
      </c>
      <c r="D207">
        <v>9</v>
      </c>
      <c r="E207">
        <v>5192</v>
      </c>
      <c r="F207">
        <v>2844</v>
      </c>
      <c r="G207" s="1">
        <f t="shared" si="3"/>
        <v>0.54776579352850541</v>
      </c>
    </row>
    <row r="208" spans="1:7">
      <c r="A208" t="s">
        <v>142</v>
      </c>
      <c r="B208">
        <v>11</v>
      </c>
      <c r="C208" t="s">
        <v>187</v>
      </c>
      <c r="D208">
        <v>10</v>
      </c>
      <c r="E208">
        <v>5192</v>
      </c>
      <c r="F208">
        <v>2899</v>
      </c>
      <c r="G208" s="1">
        <f t="shared" si="3"/>
        <v>0.55835901386748843</v>
      </c>
    </row>
    <row r="209" spans="1:7">
      <c r="A209" t="s">
        <v>142</v>
      </c>
      <c r="B209">
        <v>11</v>
      </c>
      <c r="C209" t="s">
        <v>183</v>
      </c>
      <c r="D209">
        <v>11</v>
      </c>
      <c r="E209">
        <v>5192</v>
      </c>
      <c r="F209">
        <v>2907</v>
      </c>
      <c r="G209" s="1">
        <f t="shared" si="3"/>
        <v>0.55989984591679509</v>
      </c>
    </row>
    <row r="210" spans="1:7">
      <c r="A210" t="s">
        <v>142</v>
      </c>
      <c r="B210">
        <v>11</v>
      </c>
      <c r="C210" t="s">
        <v>189</v>
      </c>
      <c r="D210">
        <v>12</v>
      </c>
      <c r="E210">
        <v>5192</v>
      </c>
      <c r="F210">
        <v>5035</v>
      </c>
      <c r="G210" s="1">
        <f t="shared" si="3"/>
        <v>0.96976117103235748</v>
      </c>
    </row>
    <row r="211" spans="1:7">
      <c r="A211" t="s">
        <v>142</v>
      </c>
      <c r="B211">
        <v>11</v>
      </c>
      <c r="C211" t="s">
        <v>188</v>
      </c>
      <c r="D211">
        <v>13</v>
      </c>
      <c r="E211">
        <v>5192</v>
      </c>
      <c r="F211">
        <v>5133</v>
      </c>
      <c r="G211" s="1">
        <f t="shared" si="3"/>
        <v>0.98863636363636365</v>
      </c>
    </row>
    <row r="212" spans="1:7">
      <c r="A212" t="s">
        <v>142</v>
      </c>
      <c r="B212">
        <v>12</v>
      </c>
      <c r="C212" t="s">
        <v>33</v>
      </c>
      <c r="D212">
        <v>1</v>
      </c>
      <c r="E212">
        <v>3253</v>
      </c>
      <c r="F212">
        <v>79</v>
      </c>
      <c r="G212" s="1">
        <f t="shared" si="3"/>
        <v>2.4285275130648633E-2</v>
      </c>
    </row>
    <row r="213" spans="1:7">
      <c r="A213" t="s">
        <v>142</v>
      </c>
      <c r="B213">
        <v>12</v>
      </c>
      <c r="C213" t="s">
        <v>192</v>
      </c>
      <c r="D213">
        <v>2</v>
      </c>
      <c r="E213">
        <v>3253</v>
      </c>
      <c r="F213">
        <v>1957</v>
      </c>
      <c r="G213" s="1">
        <f t="shared" si="3"/>
        <v>0.60159852443897943</v>
      </c>
    </row>
    <row r="214" spans="1:7">
      <c r="A214" t="s">
        <v>142</v>
      </c>
      <c r="B214">
        <v>12</v>
      </c>
      <c r="C214" t="s">
        <v>205</v>
      </c>
      <c r="D214">
        <v>3</v>
      </c>
      <c r="E214">
        <v>3253</v>
      </c>
      <c r="F214">
        <v>2121</v>
      </c>
      <c r="G214" s="1">
        <f t="shared" si="3"/>
        <v>0.65201352597602213</v>
      </c>
    </row>
    <row r="215" spans="1:7">
      <c r="A215" t="s">
        <v>142</v>
      </c>
      <c r="B215">
        <v>12</v>
      </c>
      <c r="C215" t="s">
        <v>190</v>
      </c>
      <c r="D215">
        <v>4</v>
      </c>
      <c r="E215">
        <v>3253</v>
      </c>
      <c r="F215">
        <v>2229</v>
      </c>
      <c r="G215" s="1">
        <f t="shared" si="3"/>
        <v>0.68521364893944048</v>
      </c>
    </row>
    <row r="216" spans="1:7">
      <c r="A216" t="s">
        <v>142</v>
      </c>
      <c r="B216">
        <v>12</v>
      </c>
      <c r="C216" t="s">
        <v>193</v>
      </c>
      <c r="D216">
        <v>5</v>
      </c>
      <c r="E216">
        <v>3253</v>
      </c>
      <c r="F216">
        <v>2382</v>
      </c>
      <c r="G216" s="1">
        <f t="shared" si="3"/>
        <v>0.73224715647094984</v>
      </c>
    </row>
    <row r="217" spans="1:7">
      <c r="A217" t="s">
        <v>142</v>
      </c>
      <c r="B217">
        <v>12</v>
      </c>
      <c r="C217" t="s">
        <v>199</v>
      </c>
      <c r="D217">
        <v>6</v>
      </c>
      <c r="E217">
        <v>3253</v>
      </c>
      <c r="F217">
        <v>2400</v>
      </c>
      <c r="G217" s="1">
        <f t="shared" si="3"/>
        <v>0.73778051029818625</v>
      </c>
    </row>
    <row r="218" spans="1:7">
      <c r="A218" t="s">
        <v>142</v>
      </c>
      <c r="B218">
        <v>12</v>
      </c>
      <c r="C218" t="s">
        <v>204</v>
      </c>
      <c r="D218">
        <v>7</v>
      </c>
      <c r="E218">
        <v>3253</v>
      </c>
      <c r="F218">
        <v>2402</v>
      </c>
      <c r="G218" s="1">
        <f t="shared" si="3"/>
        <v>0.7383953273901015</v>
      </c>
    </row>
    <row r="219" spans="1:7">
      <c r="A219" t="s">
        <v>142</v>
      </c>
      <c r="B219">
        <v>12</v>
      </c>
      <c r="C219" t="s">
        <v>200</v>
      </c>
      <c r="D219">
        <v>8</v>
      </c>
      <c r="E219">
        <v>3253</v>
      </c>
      <c r="F219">
        <v>2514</v>
      </c>
      <c r="G219" s="1">
        <f t="shared" si="3"/>
        <v>0.7728250845373501</v>
      </c>
    </row>
    <row r="220" spans="1:7">
      <c r="A220" t="s">
        <v>142</v>
      </c>
      <c r="B220">
        <v>12</v>
      </c>
      <c r="C220" t="s">
        <v>203</v>
      </c>
      <c r="D220">
        <v>9</v>
      </c>
      <c r="E220">
        <v>3253</v>
      </c>
      <c r="F220">
        <v>2590</v>
      </c>
      <c r="G220" s="1">
        <f t="shared" si="3"/>
        <v>0.796188134030126</v>
      </c>
    </row>
    <row r="221" spans="1:7">
      <c r="A221" t="s">
        <v>142</v>
      </c>
      <c r="B221">
        <v>12</v>
      </c>
      <c r="C221" t="s">
        <v>191</v>
      </c>
      <c r="D221">
        <v>10</v>
      </c>
      <c r="E221">
        <v>3253</v>
      </c>
      <c r="F221">
        <v>2640</v>
      </c>
      <c r="G221" s="1">
        <f t="shared" si="3"/>
        <v>0.81155856132800497</v>
      </c>
    </row>
    <row r="222" spans="1:7">
      <c r="A222" t="s">
        <v>142</v>
      </c>
      <c r="B222">
        <v>12</v>
      </c>
      <c r="C222" t="s">
        <v>201</v>
      </c>
      <c r="D222">
        <v>11</v>
      </c>
      <c r="E222">
        <v>3253</v>
      </c>
      <c r="F222">
        <v>2681</v>
      </c>
      <c r="G222" s="1">
        <f t="shared" si="3"/>
        <v>0.82416231171226562</v>
      </c>
    </row>
    <row r="223" spans="1:7">
      <c r="A223" t="s">
        <v>142</v>
      </c>
      <c r="B223">
        <v>12</v>
      </c>
      <c r="C223" t="s">
        <v>195</v>
      </c>
      <c r="D223">
        <v>12</v>
      </c>
      <c r="E223">
        <v>3253</v>
      </c>
      <c r="F223">
        <v>2833</v>
      </c>
      <c r="G223" s="1">
        <f t="shared" si="3"/>
        <v>0.87088841069781742</v>
      </c>
    </row>
    <row r="224" spans="1:7">
      <c r="A224" t="s">
        <v>142</v>
      </c>
      <c r="B224">
        <v>12</v>
      </c>
      <c r="C224" t="s">
        <v>194</v>
      </c>
      <c r="D224">
        <v>13</v>
      </c>
      <c r="E224">
        <v>3253</v>
      </c>
      <c r="F224">
        <v>2842</v>
      </c>
      <c r="G224" s="1">
        <f t="shared" si="3"/>
        <v>0.87365508761143562</v>
      </c>
    </row>
    <row r="225" spans="1:7">
      <c r="A225" t="s">
        <v>142</v>
      </c>
      <c r="B225">
        <v>12</v>
      </c>
      <c r="C225" t="s">
        <v>198</v>
      </c>
      <c r="D225">
        <v>14</v>
      </c>
      <c r="E225">
        <v>3253</v>
      </c>
      <c r="F225">
        <v>2907</v>
      </c>
      <c r="G225" s="1">
        <f t="shared" si="3"/>
        <v>0.89363664309867819</v>
      </c>
    </row>
    <row r="226" spans="1:7">
      <c r="A226" t="s">
        <v>142</v>
      </c>
      <c r="B226">
        <v>12</v>
      </c>
      <c r="C226" t="s">
        <v>197</v>
      </c>
      <c r="D226">
        <v>15</v>
      </c>
      <c r="E226">
        <v>3253</v>
      </c>
      <c r="F226">
        <v>2968</v>
      </c>
      <c r="G226" s="1">
        <f t="shared" si="3"/>
        <v>0.91238856440209037</v>
      </c>
    </row>
    <row r="227" spans="1:7">
      <c r="A227" t="s">
        <v>142</v>
      </c>
      <c r="B227">
        <v>12</v>
      </c>
      <c r="C227" t="s">
        <v>196</v>
      </c>
      <c r="D227">
        <v>16</v>
      </c>
      <c r="E227">
        <v>3253</v>
      </c>
      <c r="F227">
        <v>3110</v>
      </c>
      <c r="G227" s="1">
        <f t="shared" si="3"/>
        <v>0.9560405779280664</v>
      </c>
    </row>
    <row r="228" spans="1:7">
      <c r="A228" t="s">
        <v>142</v>
      </c>
      <c r="B228">
        <v>12</v>
      </c>
      <c r="C228" t="s">
        <v>202</v>
      </c>
      <c r="D228">
        <v>17</v>
      </c>
      <c r="E228">
        <v>3253</v>
      </c>
      <c r="F228">
        <v>3279</v>
      </c>
      <c r="G228" s="1">
        <f t="shared" si="3"/>
        <v>1.0079926221948969</v>
      </c>
    </row>
    <row r="229" spans="1:7">
      <c r="A229" t="s">
        <v>206</v>
      </c>
      <c r="B229">
        <v>1</v>
      </c>
      <c r="C229" t="s">
        <v>207</v>
      </c>
      <c r="D229">
        <v>1</v>
      </c>
      <c r="E229">
        <v>2367</v>
      </c>
      <c r="F229">
        <v>900</v>
      </c>
      <c r="G229" s="1">
        <f t="shared" si="3"/>
        <v>0.38022813688212925</v>
      </c>
    </row>
    <row r="230" spans="1:7">
      <c r="A230" t="s">
        <v>206</v>
      </c>
      <c r="B230">
        <v>1</v>
      </c>
      <c r="C230" t="s">
        <v>213</v>
      </c>
      <c r="D230">
        <v>2</v>
      </c>
      <c r="E230">
        <v>2367</v>
      </c>
      <c r="F230">
        <v>1083</v>
      </c>
      <c r="G230" s="1">
        <f t="shared" si="3"/>
        <v>0.45754119138149557</v>
      </c>
    </row>
    <row r="231" spans="1:7">
      <c r="A231" t="s">
        <v>206</v>
      </c>
      <c r="B231">
        <v>1</v>
      </c>
      <c r="C231" t="s">
        <v>210</v>
      </c>
      <c r="D231">
        <v>3</v>
      </c>
      <c r="E231">
        <v>2367</v>
      </c>
      <c r="F231">
        <v>1169</v>
      </c>
      <c r="G231" s="1">
        <f t="shared" si="3"/>
        <v>0.49387410223912126</v>
      </c>
    </row>
    <row r="232" spans="1:7">
      <c r="A232" t="s">
        <v>206</v>
      </c>
      <c r="B232">
        <v>1</v>
      </c>
      <c r="C232" t="s">
        <v>208</v>
      </c>
      <c r="D232">
        <v>4</v>
      </c>
      <c r="E232">
        <v>2367</v>
      </c>
      <c r="F232">
        <v>1176</v>
      </c>
      <c r="G232" s="1">
        <f t="shared" si="3"/>
        <v>0.49683143219264891</v>
      </c>
    </row>
    <row r="233" spans="1:7">
      <c r="A233" t="s">
        <v>206</v>
      </c>
      <c r="B233">
        <v>1</v>
      </c>
      <c r="C233" t="s">
        <v>209</v>
      </c>
      <c r="D233">
        <v>5</v>
      </c>
      <c r="E233">
        <v>2367</v>
      </c>
      <c r="F233">
        <v>2001</v>
      </c>
      <c r="G233" s="1">
        <f t="shared" si="3"/>
        <v>0.84537389100126747</v>
      </c>
    </row>
    <row r="234" spans="1:7">
      <c r="A234" t="s">
        <v>206</v>
      </c>
      <c r="B234">
        <v>1</v>
      </c>
      <c r="C234" t="s">
        <v>211</v>
      </c>
      <c r="D234">
        <v>6</v>
      </c>
      <c r="E234">
        <v>2367</v>
      </c>
      <c r="F234">
        <v>2056</v>
      </c>
      <c r="G234" s="1">
        <f t="shared" si="3"/>
        <v>0.86861005492184196</v>
      </c>
    </row>
    <row r="235" spans="1:7">
      <c r="A235" t="s">
        <v>206</v>
      </c>
      <c r="B235">
        <v>1</v>
      </c>
      <c r="C235" t="s">
        <v>212</v>
      </c>
      <c r="D235">
        <v>7</v>
      </c>
      <c r="E235">
        <v>2367</v>
      </c>
      <c r="F235">
        <v>2626</v>
      </c>
      <c r="G235" s="1">
        <f t="shared" si="3"/>
        <v>1.1094212082805239</v>
      </c>
    </row>
    <row r="236" spans="1:7">
      <c r="A236" t="s">
        <v>214</v>
      </c>
      <c r="B236">
        <v>1</v>
      </c>
      <c r="C236" t="s">
        <v>216</v>
      </c>
      <c r="D236">
        <v>1</v>
      </c>
      <c r="E236">
        <v>11230</v>
      </c>
      <c r="F236">
        <v>356</v>
      </c>
      <c r="G236" s="1">
        <f t="shared" si="3"/>
        <v>3.1700801424755121E-2</v>
      </c>
    </row>
    <row r="237" spans="1:7">
      <c r="A237" t="s">
        <v>214</v>
      </c>
      <c r="B237">
        <v>1</v>
      </c>
      <c r="C237" t="s">
        <v>215</v>
      </c>
      <c r="D237">
        <v>2</v>
      </c>
      <c r="E237">
        <v>11230</v>
      </c>
      <c r="F237">
        <v>419</v>
      </c>
      <c r="G237" s="1">
        <f t="shared" si="3"/>
        <v>3.7310774710596614E-2</v>
      </c>
    </row>
    <row r="238" spans="1:7">
      <c r="A238" t="s">
        <v>214</v>
      </c>
      <c r="B238">
        <v>1</v>
      </c>
      <c r="C238" t="s">
        <v>217</v>
      </c>
      <c r="D238">
        <v>3</v>
      </c>
      <c r="E238">
        <v>11230</v>
      </c>
      <c r="F238">
        <v>477</v>
      </c>
      <c r="G238" s="1">
        <f t="shared" si="3"/>
        <v>4.2475512021371328E-2</v>
      </c>
    </row>
    <row r="239" spans="1:7">
      <c r="A239" t="s">
        <v>214</v>
      </c>
      <c r="B239">
        <v>1</v>
      </c>
      <c r="C239" t="s">
        <v>225</v>
      </c>
      <c r="D239">
        <v>4</v>
      </c>
      <c r="E239">
        <v>11230</v>
      </c>
      <c r="F239">
        <v>480</v>
      </c>
      <c r="G239" s="1">
        <f t="shared" si="3"/>
        <v>4.2742653606411399E-2</v>
      </c>
    </row>
    <row r="240" spans="1:7">
      <c r="A240" t="s">
        <v>214</v>
      </c>
      <c r="B240">
        <v>1</v>
      </c>
      <c r="C240" t="s">
        <v>218</v>
      </c>
      <c r="D240">
        <v>5</v>
      </c>
      <c r="E240">
        <v>11230</v>
      </c>
      <c r="F240">
        <v>491</v>
      </c>
      <c r="G240" s="1">
        <f t="shared" si="3"/>
        <v>4.3722172751558326E-2</v>
      </c>
    </row>
    <row r="241" spans="1:7">
      <c r="A241" t="s">
        <v>214</v>
      </c>
      <c r="B241">
        <v>1</v>
      </c>
      <c r="C241" t="s">
        <v>227</v>
      </c>
      <c r="D241">
        <v>6</v>
      </c>
      <c r="E241">
        <v>11230</v>
      </c>
      <c r="F241">
        <v>520</v>
      </c>
      <c r="G241" s="1">
        <f t="shared" si="3"/>
        <v>4.6304541406945683E-2</v>
      </c>
    </row>
    <row r="242" spans="1:7">
      <c r="A242" t="s">
        <v>214</v>
      </c>
      <c r="B242">
        <v>1</v>
      </c>
      <c r="C242" t="s">
        <v>219</v>
      </c>
      <c r="D242">
        <v>7</v>
      </c>
      <c r="E242">
        <v>11230</v>
      </c>
      <c r="F242">
        <v>533</v>
      </c>
      <c r="G242" s="1">
        <f t="shared" si="3"/>
        <v>4.7462154942119326E-2</v>
      </c>
    </row>
    <row r="243" spans="1:7">
      <c r="A243" t="s">
        <v>214</v>
      </c>
      <c r="B243">
        <v>1</v>
      </c>
      <c r="C243" t="s">
        <v>226</v>
      </c>
      <c r="D243">
        <v>8</v>
      </c>
      <c r="E243">
        <v>11230</v>
      </c>
      <c r="F243">
        <v>549</v>
      </c>
      <c r="G243" s="1">
        <f t="shared" si="3"/>
        <v>4.8886910062333033E-2</v>
      </c>
    </row>
    <row r="244" spans="1:7">
      <c r="A244" t="s">
        <v>214</v>
      </c>
      <c r="B244">
        <v>1</v>
      </c>
      <c r="C244" t="s">
        <v>223</v>
      </c>
      <c r="D244">
        <v>9</v>
      </c>
      <c r="E244">
        <v>11230</v>
      </c>
      <c r="F244">
        <v>583</v>
      </c>
      <c r="G244" s="1">
        <f t="shared" si="3"/>
        <v>5.1914514692787177E-2</v>
      </c>
    </row>
    <row r="245" spans="1:7">
      <c r="A245" t="s">
        <v>214</v>
      </c>
      <c r="B245">
        <v>1</v>
      </c>
      <c r="C245" t="s">
        <v>228</v>
      </c>
      <c r="D245">
        <v>10</v>
      </c>
      <c r="E245">
        <v>11230</v>
      </c>
      <c r="F245">
        <v>587</v>
      </c>
      <c r="G245" s="1">
        <f t="shared" si="3"/>
        <v>5.2270703472840609E-2</v>
      </c>
    </row>
    <row r="246" spans="1:7">
      <c r="A246" t="s">
        <v>214</v>
      </c>
      <c r="B246">
        <v>1</v>
      </c>
      <c r="C246" t="s">
        <v>224</v>
      </c>
      <c r="D246">
        <v>11</v>
      </c>
      <c r="E246">
        <v>11230</v>
      </c>
      <c r="F246">
        <v>601</v>
      </c>
      <c r="G246" s="1">
        <f t="shared" si="3"/>
        <v>5.3517364203027606E-2</v>
      </c>
    </row>
    <row r="247" spans="1:7">
      <c r="A247" t="s">
        <v>214</v>
      </c>
      <c r="B247">
        <v>1</v>
      </c>
      <c r="C247" t="s">
        <v>222</v>
      </c>
      <c r="D247">
        <v>12</v>
      </c>
      <c r="E247">
        <v>11230</v>
      </c>
      <c r="F247">
        <v>622</v>
      </c>
      <c r="G247" s="1">
        <f t="shared" si="3"/>
        <v>5.5387355298308107E-2</v>
      </c>
    </row>
    <row r="248" spans="1:7">
      <c r="A248" t="s">
        <v>214</v>
      </c>
      <c r="B248">
        <v>1</v>
      </c>
      <c r="C248" t="s">
        <v>422</v>
      </c>
      <c r="D248">
        <v>13</v>
      </c>
      <c r="E248">
        <v>11230</v>
      </c>
      <c r="F248">
        <v>639</v>
      </c>
      <c r="G248" s="1">
        <f t="shared" si="3"/>
        <v>5.6901157613535175E-2</v>
      </c>
    </row>
    <row r="249" spans="1:7">
      <c r="A249" t="s">
        <v>214</v>
      </c>
      <c r="B249">
        <v>1</v>
      </c>
      <c r="C249" t="s">
        <v>220</v>
      </c>
      <c r="D249">
        <v>14</v>
      </c>
      <c r="E249">
        <v>11230</v>
      </c>
      <c r="F249">
        <v>640</v>
      </c>
      <c r="G249" s="1">
        <f t="shared" si="3"/>
        <v>5.6990204808548529E-2</v>
      </c>
    </row>
    <row r="250" spans="1:7">
      <c r="A250" t="s">
        <v>214</v>
      </c>
      <c r="B250">
        <v>1</v>
      </c>
      <c r="C250" t="s">
        <v>221</v>
      </c>
      <c r="D250">
        <v>15</v>
      </c>
      <c r="E250">
        <v>11230</v>
      </c>
      <c r="F250">
        <v>658</v>
      </c>
      <c r="G250" s="1">
        <f t="shared" si="3"/>
        <v>5.8593054318788959E-2</v>
      </c>
    </row>
    <row r="251" spans="1:7">
      <c r="A251" t="s">
        <v>214</v>
      </c>
      <c r="B251">
        <v>1</v>
      </c>
      <c r="C251" t="s">
        <v>229</v>
      </c>
      <c r="D251">
        <v>16</v>
      </c>
      <c r="E251">
        <v>11230</v>
      </c>
      <c r="F251">
        <v>10950</v>
      </c>
      <c r="G251" s="1">
        <f t="shared" si="3"/>
        <v>0.97506678539626002</v>
      </c>
    </row>
    <row r="252" spans="1:7">
      <c r="A252" t="s">
        <v>214</v>
      </c>
      <c r="B252">
        <v>3</v>
      </c>
      <c r="C252" t="s">
        <v>231</v>
      </c>
      <c r="D252">
        <v>1</v>
      </c>
      <c r="E252">
        <v>18821</v>
      </c>
      <c r="F252">
        <v>13594</v>
      </c>
      <c r="G252" s="1">
        <f t="shared" si="3"/>
        <v>0.72227830614738853</v>
      </c>
    </row>
    <row r="253" spans="1:7">
      <c r="A253" t="s">
        <v>214</v>
      </c>
      <c r="B253">
        <v>3</v>
      </c>
      <c r="C253" t="s">
        <v>230</v>
      </c>
      <c r="D253">
        <v>2</v>
      </c>
      <c r="E253">
        <v>18821</v>
      </c>
      <c r="F253">
        <v>16147</v>
      </c>
      <c r="G253" s="1">
        <f t="shared" si="3"/>
        <v>0.85792465862600287</v>
      </c>
    </row>
    <row r="254" spans="1:7">
      <c r="A254" t="s">
        <v>214</v>
      </c>
      <c r="B254">
        <v>3</v>
      </c>
      <c r="C254" t="s">
        <v>232</v>
      </c>
      <c r="D254">
        <v>3</v>
      </c>
      <c r="E254">
        <v>18821</v>
      </c>
      <c r="F254">
        <v>18187</v>
      </c>
      <c r="G254" s="1">
        <f t="shared" si="3"/>
        <v>0.96631422347377927</v>
      </c>
    </row>
    <row r="255" spans="1:7">
      <c r="A255" t="s">
        <v>214</v>
      </c>
      <c r="B255">
        <v>4</v>
      </c>
      <c r="C255" t="s">
        <v>240</v>
      </c>
      <c r="D255">
        <v>1</v>
      </c>
      <c r="E255">
        <v>3918</v>
      </c>
      <c r="F255">
        <v>3405</v>
      </c>
      <c r="G255" s="1">
        <f t="shared" si="3"/>
        <v>0.86906584992343028</v>
      </c>
    </row>
    <row r="256" spans="1:7">
      <c r="A256" t="s">
        <v>214</v>
      </c>
      <c r="B256">
        <v>4</v>
      </c>
      <c r="C256" t="s">
        <v>234</v>
      </c>
      <c r="D256">
        <v>2</v>
      </c>
      <c r="E256">
        <v>3918</v>
      </c>
      <c r="F256">
        <v>3415</v>
      </c>
      <c r="G256" s="1">
        <f t="shared" si="3"/>
        <v>0.87161817253700868</v>
      </c>
    </row>
    <row r="257" spans="1:7">
      <c r="A257" t="s">
        <v>214</v>
      </c>
      <c r="B257">
        <v>4</v>
      </c>
      <c r="C257" t="s">
        <v>236</v>
      </c>
      <c r="D257">
        <v>3</v>
      </c>
      <c r="E257">
        <v>3918</v>
      </c>
      <c r="F257">
        <v>3437</v>
      </c>
      <c r="G257" s="1">
        <f t="shared" si="3"/>
        <v>0.87723328228688102</v>
      </c>
    </row>
    <row r="258" spans="1:7">
      <c r="A258" t="s">
        <v>214</v>
      </c>
      <c r="B258">
        <v>4</v>
      </c>
      <c r="C258" t="s">
        <v>237</v>
      </c>
      <c r="D258">
        <v>4</v>
      </c>
      <c r="E258">
        <v>3918</v>
      </c>
      <c r="F258">
        <v>3471</v>
      </c>
      <c r="G258" s="1">
        <f t="shared" ref="G258:G321" si="4">F258/E258</f>
        <v>0.88591117917304751</v>
      </c>
    </row>
    <row r="259" spans="1:7">
      <c r="A259" t="s">
        <v>214</v>
      </c>
      <c r="B259">
        <v>4</v>
      </c>
      <c r="C259" t="s">
        <v>233</v>
      </c>
      <c r="D259">
        <v>5</v>
      </c>
      <c r="E259">
        <v>3918</v>
      </c>
      <c r="F259">
        <v>3508</v>
      </c>
      <c r="G259" s="1">
        <f t="shared" si="4"/>
        <v>0.89535477284328735</v>
      </c>
    </row>
    <row r="260" spans="1:7">
      <c r="A260" t="s">
        <v>214</v>
      </c>
      <c r="B260">
        <v>4</v>
      </c>
      <c r="C260" t="s">
        <v>235</v>
      </c>
      <c r="D260">
        <v>6</v>
      </c>
      <c r="E260">
        <v>3918</v>
      </c>
      <c r="F260">
        <v>3531</v>
      </c>
      <c r="G260" s="1">
        <f t="shared" si="4"/>
        <v>0.90122511485451762</v>
      </c>
    </row>
    <row r="261" spans="1:7">
      <c r="A261" t="s">
        <v>214</v>
      </c>
      <c r="B261">
        <v>4</v>
      </c>
      <c r="C261" t="s">
        <v>241</v>
      </c>
      <c r="D261">
        <v>7</v>
      </c>
      <c r="E261">
        <v>3918</v>
      </c>
      <c r="F261">
        <v>3679</v>
      </c>
      <c r="G261" s="1">
        <f t="shared" si="4"/>
        <v>0.93899948953547729</v>
      </c>
    </row>
    <row r="262" spans="1:7">
      <c r="A262" t="s">
        <v>214</v>
      </c>
      <c r="B262">
        <v>4</v>
      </c>
      <c r="C262" t="s">
        <v>239</v>
      </c>
      <c r="D262">
        <v>8</v>
      </c>
      <c r="E262">
        <v>3918</v>
      </c>
      <c r="F262">
        <v>3747</v>
      </c>
      <c r="G262" s="1">
        <f t="shared" si="4"/>
        <v>0.95635528330781006</v>
      </c>
    </row>
    <row r="263" spans="1:7">
      <c r="A263" t="s">
        <v>214</v>
      </c>
      <c r="B263">
        <v>4</v>
      </c>
      <c r="C263" t="s">
        <v>238</v>
      </c>
      <c r="D263">
        <v>9</v>
      </c>
      <c r="E263">
        <v>3918</v>
      </c>
      <c r="F263">
        <v>3772</v>
      </c>
      <c r="G263" s="1">
        <f t="shared" si="4"/>
        <v>0.96273608984175596</v>
      </c>
    </row>
    <row r="264" spans="1:7">
      <c r="A264" t="s">
        <v>214</v>
      </c>
      <c r="B264">
        <v>6</v>
      </c>
      <c r="C264" t="s">
        <v>243</v>
      </c>
      <c r="D264">
        <v>1</v>
      </c>
      <c r="E264">
        <v>5311</v>
      </c>
      <c r="F264">
        <v>3276</v>
      </c>
      <c r="G264" s="1">
        <f t="shared" si="4"/>
        <v>0.61683298813782717</v>
      </c>
    </row>
    <row r="265" spans="1:7">
      <c r="A265" t="s">
        <v>214</v>
      </c>
      <c r="B265">
        <v>6</v>
      </c>
      <c r="C265" t="s">
        <v>242</v>
      </c>
      <c r="D265">
        <v>2</v>
      </c>
      <c r="E265">
        <v>5311</v>
      </c>
      <c r="F265">
        <v>3323</v>
      </c>
      <c r="G265" s="1">
        <f t="shared" si="4"/>
        <v>0.62568254565995107</v>
      </c>
    </row>
    <row r="266" spans="1:7">
      <c r="A266" t="s">
        <v>214</v>
      </c>
      <c r="B266">
        <v>7</v>
      </c>
      <c r="C266" t="s">
        <v>19</v>
      </c>
      <c r="D266">
        <v>1</v>
      </c>
      <c r="E266">
        <v>1016</v>
      </c>
      <c r="F266">
        <v>79</v>
      </c>
      <c r="G266" s="1">
        <f t="shared" si="4"/>
        <v>7.7755905511811024E-2</v>
      </c>
    </row>
    <row r="267" spans="1:7">
      <c r="A267" t="s">
        <v>214</v>
      </c>
      <c r="B267">
        <v>7</v>
      </c>
      <c r="C267" t="s">
        <v>1</v>
      </c>
      <c r="D267">
        <v>2</v>
      </c>
      <c r="E267">
        <v>1016</v>
      </c>
      <c r="F267">
        <v>136</v>
      </c>
      <c r="G267" s="1">
        <f t="shared" si="4"/>
        <v>0.13385826771653545</v>
      </c>
    </row>
    <row r="268" spans="1:7">
      <c r="A268" t="s">
        <v>214</v>
      </c>
      <c r="B268">
        <v>7</v>
      </c>
      <c r="C268" t="s">
        <v>22</v>
      </c>
      <c r="D268">
        <v>3</v>
      </c>
      <c r="E268">
        <v>1016</v>
      </c>
      <c r="F268">
        <v>175</v>
      </c>
      <c r="G268" s="1">
        <f t="shared" si="4"/>
        <v>0.17224409448818898</v>
      </c>
    </row>
    <row r="269" spans="1:7">
      <c r="A269" t="s">
        <v>214</v>
      </c>
      <c r="B269">
        <v>7</v>
      </c>
      <c r="C269" t="s">
        <v>20</v>
      </c>
      <c r="D269">
        <v>4</v>
      </c>
      <c r="E269">
        <v>1016</v>
      </c>
      <c r="F269">
        <v>209</v>
      </c>
      <c r="G269" s="1">
        <f t="shared" si="4"/>
        <v>0.20570866141732283</v>
      </c>
    </row>
    <row r="270" spans="1:7">
      <c r="A270" t="s">
        <v>214</v>
      </c>
      <c r="B270">
        <v>7</v>
      </c>
      <c r="C270" t="s">
        <v>244</v>
      </c>
      <c r="D270">
        <v>5</v>
      </c>
      <c r="E270">
        <v>1016</v>
      </c>
      <c r="F270">
        <v>404</v>
      </c>
      <c r="G270" s="1">
        <f t="shared" si="4"/>
        <v>0.39763779527559057</v>
      </c>
    </row>
    <row r="271" spans="1:7">
      <c r="A271" t="s">
        <v>214</v>
      </c>
      <c r="B271">
        <v>7</v>
      </c>
      <c r="C271" t="s">
        <v>245</v>
      </c>
      <c r="D271">
        <v>6</v>
      </c>
      <c r="E271">
        <v>1016</v>
      </c>
      <c r="F271">
        <v>864</v>
      </c>
      <c r="G271" s="1">
        <f t="shared" si="4"/>
        <v>0.85039370078740162</v>
      </c>
    </row>
    <row r="272" spans="1:7">
      <c r="A272" t="s">
        <v>214</v>
      </c>
      <c r="B272">
        <v>7</v>
      </c>
      <c r="C272" t="s">
        <v>246</v>
      </c>
      <c r="D272">
        <v>7</v>
      </c>
      <c r="E272">
        <v>1016</v>
      </c>
      <c r="F272">
        <v>1031</v>
      </c>
      <c r="G272" s="1">
        <f t="shared" si="4"/>
        <v>1.014763779527559</v>
      </c>
    </row>
    <row r="273" spans="1:7">
      <c r="A273" t="s">
        <v>247</v>
      </c>
      <c r="B273">
        <v>3</v>
      </c>
      <c r="C273" t="s">
        <v>33</v>
      </c>
      <c r="D273">
        <v>1</v>
      </c>
      <c r="E273">
        <v>4575</v>
      </c>
      <c r="F273">
        <v>310</v>
      </c>
      <c r="G273" s="1">
        <f t="shared" si="4"/>
        <v>6.7759562841530049E-2</v>
      </c>
    </row>
    <row r="274" spans="1:7">
      <c r="A274" t="s">
        <v>247</v>
      </c>
      <c r="B274">
        <v>3</v>
      </c>
      <c r="C274" t="s">
        <v>249</v>
      </c>
      <c r="D274">
        <v>2</v>
      </c>
      <c r="E274">
        <v>4575</v>
      </c>
      <c r="F274">
        <v>2820</v>
      </c>
      <c r="G274" s="1">
        <f t="shared" si="4"/>
        <v>0.61639344262295082</v>
      </c>
    </row>
    <row r="275" spans="1:7">
      <c r="A275" t="s">
        <v>247</v>
      </c>
      <c r="B275">
        <v>3</v>
      </c>
      <c r="C275" t="s">
        <v>248</v>
      </c>
      <c r="D275">
        <v>3</v>
      </c>
      <c r="E275">
        <v>4575</v>
      </c>
      <c r="F275">
        <v>2887</v>
      </c>
      <c r="G275" s="1">
        <f t="shared" si="4"/>
        <v>0.63103825136612024</v>
      </c>
    </row>
    <row r="276" spans="1:7">
      <c r="A276" t="s">
        <v>247</v>
      </c>
      <c r="B276">
        <v>7</v>
      </c>
      <c r="C276" t="s">
        <v>36</v>
      </c>
      <c r="D276">
        <v>1</v>
      </c>
      <c r="E276">
        <v>4268</v>
      </c>
      <c r="F276">
        <v>40</v>
      </c>
      <c r="G276" s="1">
        <f t="shared" si="4"/>
        <v>9.3720712277413302E-3</v>
      </c>
    </row>
    <row r="277" spans="1:7">
      <c r="A277" t="s">
        <v>247</v>
      </c>
      <c r="B277">
        <v>7</v>
      </c>
      <c r="C277" t="s">
        <v>37</v>
      </c>
      <c r="D277">
        <v>2</v>
      </c>
      <c r="E277">
        <v>4268</v>
      </c>
      <c r="F277">
        <v>107</v>
      </c>
      <c r="G277" s="1">
        <f t="shared" si="4"/>
        <v>2.5070290534208058E-2</v>
      </c>
    </row>
    <row r="278" spans="1:7">
      <c r="A278" t="s">
        <v>247</v>
      </c>
      <c r="B278">
        <v>7</v>
      </c>
      <c r="C278" t="s">
        <v>250</v>
      </c>
      <c r="D278">
        <v>3</v>
      </c>
      <c r="E278">
        <v>4268</v>
      </c>
      <c r="F278">
        <v>298</v>
      </c>
      <c r="G278" s="1">
        <f t="shared" si="4"/>
        <v>6.9821930646672914E-2</v>
      </c>
    </row>
    <row r="279" spans="1:7">
      <c r="A279" t="s">
        <v>247</v>
      </c>
      <c r="B279">
        <v>7</v>
      </c>
      <c r="C279" t="s">
        <v>251</v>
      </c>
      <c r="D279">
        <v>4</v>
      </c>
      <c r="E279">
        <v>4268</v>
      </c>
      <c r="F279">
        <v>436</v>
      </c>
      <c r="G279" s="1">
        <f t="shared" si="4"/>
        <v>0.1021555763823805</v>
      </c>
    </row>
    <row r="280" spans="1:7">
      <c r="A280" t="s">
        <v>247</v>
      </c>
      <c r="B280">
        <v>7</v>
      </c>
      <c r="C280" t="s">
        <v>252</v>
      </c>
      <c r="D280">
        <v>5</v>
      </c>
      <c r="E280">
        <v>4268</v>
      </c>
      <c r="F280">
        <v>450</v>
      </c>
      <c r="G280" s="1">
        <f t="shared" si="4"/>
        <v>0.10543580131208997</v>
      </c>
    </row>
    <row r="281" spans="1:7">
      <c r="A281" t="s">
        <v>247</v>
      </c>
      <c r="B281">
        <v>7</v>
      </c>
      <c r="C281" t="s">
        <v>253</v>
      </c>
      <c r="D281">
        <v>6</v>
      </c>
      <c r="E281">
        <v>4268</v>
      </c>
      <c r="F281">
        <v>4141</v>
      </c>
      <c r="G281" s="1">
        <f t="shared" si="4"/>
        <v>0.97024367385192123</v>
      </c>
    </row>
    <row r="282" spans="1:7">
      <c r="A282" t="s">
        <v>247</v>
      </c>
      <c r="B282">
        <v>8</v>
      </c>
      <c r="C282" t="s">
        <v>33</v>
      </c>
      <c r="D282">
        <v>1</v>
      </c>
      <c r="E282">
        <v>2939</v>
      </c>
      <c r="F282">
        <v>144</v>
      </c>
      <c r="G282" s="1">
        <f t="shared" si="4"/>
        <v>4.8996257230350462E-2</v>
      </c>
    </row>
    <row r="283" spans="1:7">
      <c r="A283" t="s">
        <v>247</v>
      </c>
      <c r="B283">
        <v>8</v>
      </c>
      <c r="C283" t="s">
        <v>34</v>
      </c>
      <c r="D283">
        <v>2</v>
      </c>
      <c r="E283">
        <v>2939</v>
      </c>
      <c r="F283">
        <v>374</v>
      </c>
      <c r="G283" s="1">
        <f t="shared" si="4"/>
        <v>0.12725416808438245</v>
      </c>
    </row>
    <row r="284" spans="1:7">
      <c r="A284" t="s">
        <v>247</v>
      </c>
      <c r="B284">
        <v>8</v>
      </c>
      <c r="C284" t="s">
        <v>35</v>
      </c>
      <c r="D284">
        <v>3</v>
      </c>
      <c r="E284">
        <v>2939</v>
      </c>
      <c r="F284">
        <v>441</v>
      </c>
      <c r="G284" s="1">
        <f t="shared" si="4"/>
        <v>0.15005103776794829</v>
      </c>
    </row>
    <row r="285" spans="1:7">
      <c r="A285" t="s">
        <v>247</v>
      </c>
      <c r="B285">
        <v>8</v>
      </c>
      <c r="C285" t="s">
        <v>255</v>
      </c>
      <c r="D285">
        <v>4</v>
      </c>
      <c r="E285">
        <v>2939</v>
      </c>
      <c r="F285">
        <v>519</v>
      </c>
      <c r="G285" s="1">
        <f t="shared" si="4"/>
        <v>0.17659067710105478</v>
      </c>
    </row>
    <row r="286" spans="1:7">
      <c r="A286" t="s">
        <v>247</v>
      </c>
      <c r="B286">
        <v>8</v>
      </c>
      <c r="C286" t="s">
        <v>254</v>
      </c>
      <c r="D286">
        <v>5</v>
      </c>
      <c r="E286">
        <v>2939</v>
      </c>
      <c r="F286">
        <v>548</v>
      </c>
      <c r="G286" s="1">
        <f t="shared" si="4"/>
        <v>0.18645797890438925</v>
      </c>
    </row>
    <row r="287" spans="1:7">
      <c r="A287" t="s">
        <v>247</v>
      </c>
      <c r="B287">
        <v>8</v>
      </c>
      <c r="C287" t="s">
        <v>258</v>
      </c>
      <c r="D287">
        <v>6</v>
      </c>
      <c r="E287">
        <v>2939</v>
      </c>
      <c r="F287">
        <v>2182</v>
      </c>
      <c r="G287" s="1">
        <f t="shared" si="4"/>
        <v>0.74242939775433825</v>
      </c>
    </row>
    <row r="288" spans="1:7">
      <c r="A288" t="s">
        <v>247</v>
      </c>
      <c r="B288">
        <v>8</v>
      </c>
      <c r="C288" t="s">
        <v>256</v>
      </c>
      <c r="D288">
        <v>7</v>
      </c>
      <c r="E288">
        <v>2939</v>
      </c>
      <c r="F288">
        <v>2247</v>
      </c>
      <c r="G288" s="1">
        <f t="shared" si="4"/>
        <v>0.7645457638652603</v>
      </c>
    </row>
    <row r="289" spans="1:7">
      <c r="A289" t="s">
        <v>247</v>
      </c>
      <c r="B289">
        <v>8</v>
      </c>
      <c r="C289" t="s">
        <v>257</v>
      </c>
      <c r="D289">
        <v>8</v>
      </c>
      <c r="E289">
        <v>2939</v>
      </c>
      <c r="F289">
        <v>2283</v>
      </c>
      <c r="G289" s="1">
        <f t="shared" si="4"/>
        <v>0.77679482817284795</v>
      </c>
    </row>
    <row r="290" spans="1:7">
      <c r="A290" t="s">
        <v>247</v>
      </c>
      <c r="B290">
        <v>8</v>
      </c>
      <c r="C290" t="s">
        <v>259</v>
      </c>
      <c r="D290">
        <v>9</v>
      </c>
      <c r="E290">
        <v>2939</v>
      </c>
      <c r="F290">
        <v>2385</v>
      </c>
      <c r="G290" s="1">
        <f t="shared" si="4"/>
        <v>0.81150051037767945</v>
      </c>
    </row>
    <row r="291" spans="1:7">
      <c r="A291" t="s">
        <v>247</v>
      </c>
      <c r="B291">
        <v>8</v>
      </c>
      <c r="C291" t="s">
        <v>261</v>
      </c>
      <c r="D291">
        <v>10</v>
      </c>
      <c r="E291">
        <v>2939</v>
      </c>
      <c r="F291">
        <v>2504</v>
      </c>
      <c r="G291" s="1">
        <f t="shared" si="4"/>
        <v>0.85199047294998298</v>
      </c>
    </row>
    <row r="292" spans="1:7">
      <c r="A292" t="s">
        <v>247</v>
      </c>
      <c r="B292">
        <v>8</v>
      </c>
      <c r="C292" t="s">
        <v>260</v>
      </c>
      <c r="D292">
        <v>11</v>
      </c>
      <c r="E292">
        <v>2939</v>
      </c>
      <c r="F292">
        <v>2745</v>
      </c>
      <c r="G292" s="1">
        <f t="shared" si="4"/>
        <v>0.93399115345355566</v>
      </c>
    </row>
    <row r="293" spans="1:7">
      <c r="A293" t="s">
        <v>247</v>
      </c>
      <c r="B293">
        <v>9</v>
      </c>
      <c r="C293" t="s">
        <v>33</v>
      </c>
      <c r="D293">
        <v>1</v>
      </c>
      <c r="E293">
        <v>1846</v>
      </c>
      <c r="F293">
        <v>145</v>
      </c>
      <c r="G293" s="1">
        <f t="shared" si="4"/>
        <v>7.8548212351029253E-2</v>
      </c>
    </row>
    <row r="294" spans="1:7">
      <c r="A294" t="s">
        <v>247</v>
      </c>
      <c r="B294">
        <v>9</v>
      </c>
      <c r="C294" t="s">
        <v>2</v>
      </c>
      <c r="D294">
        <v>2</v>
      </c>
      <c r="E294">
        <v>1846</v>
      </c>
      <c r="F294">
        <v>242</v>
      </c>
      <c r="G294" s="1">
        <f t="shared" si="4"/>
        <v>0.13109425785482123</v>
      </c>
    </row>
    <row r="295" spans="1:7">
      <c r="A295" t="s">
        <v>247</v>
      </c>
      <c r="B295">
        <v>9</v>
      </c>
      <c r="C295" t="s">
        <v>263</v>
      </c>
      <c r="D295">
        <v>3</v>
      </c>
      <c r="E295">
        <v>1846</v>
      </c>
      <c r="F295">
        <v>519</v>
      </c>
      <c r="G295" s="1">
        <f t="shared" si="4"/>
        <v>0.28114842903575299</v>
      </c>
    </row>
    <row r="296" spans="1:7">
      <c r="A296" t="s">
        <v>247</v>
      </c>
      <c r="B296">
        <v>9</v>
      </c>
      <c r="C296" t="s">
        <v>262</v>
      </c>
      <c r="D296">
        <v>4</v>
      </c>
      <c r="E296">
        <v>1846</v>
      </c>
      <c r="F296">
        <v>559</v>
      </c>
      <c r="G296" s="1">
        <f t="shared" si="4"/>
        <v>0.30281690140845069</v>
      </c>
    </row>
    <row r="297" spans="1:7">
      <c r="A297" t="s">
        <v>247</v>
      </c>
      <c r="B297">
        <v>9</v>
      </c>
      <c r="C297" t="s">
        <v>264</v>
      </c>
      <c r="D297">
        <v>5</v>
      </c>
      <c r="E297">
        <v>1846</v>
      </c>
      <c r="F297">
        <v>1835</v>
      </c>
      <c r="G297" s="1">
        <f t="shared" si="4"/>
        <v>0.99404117009750814</v>
      </c>
    </row>
    <row r="298" spans="1:7">
      <c r="A298" t="s">
        <v>247</v>
      </c>
      <c r="B298">
        <v>10</v>
      </c>
      <c r="C298" t="s">
        <v>33</v>
      </c>
      <c r="D298">
        <v>1</v>
      </c>
      <c r="E298">
        <v>876</v>
      </c>
      <c r="F298">
        <v>72</v>
      </c>
      <c r="G298" s="1">
        <f t="shared" si="4"/>
        <v>8.2191780821917804E-2</v>
      </c>
    </row>
    <row r="299" spans="1:7">
      <c r="A299" t="s">
        <v>247</v>
      </c>
      <c r="B299">
        <v>10</v>
      </c>
      <c r="C299" t="s">
        <v>34</v>
      </c>
      <c r="D299">
        <v>2</v>
      </c>
      <c r="E299">
        <v>876</v>
      </c>
      <c r="F299">
        <v>295</v>
      </c>
      <c r="G299" s="1">
        <f t="shared" si="4"/>
        <v>0.3367579908675799</v>
      </c>
    </row>
    <row r="300" spans="1:7">
      <c r="A300" t="s">
        <v>247</v>
      </c>
      <c r="B300">
        <v>10</v>
      </c>
      <c r="C300" t="s">
        <v>262</v>
      </c>
      <c r="D300">
        <v>3</v>
      </c>
      <c r="E300">
        <v>876</v>
      </c>
      <c r="F300">
        <v>456</v>
      </c>
      <c r="G300" s="1">
        <f t="shared" si="4"/>
        <v>0.52054794520547942</v>
      </c>
    </row>
    <row r="301" spans="1:7">
      <c r="A301" t="s">
        <v>247</v>
      </c>
      <c r="B301">
        <v>10</v>
      </c>
      <c r="C301" t="s">
        <v>285</v>
      </c>
      <c r="D301">
        <v>4</v>
      </c>
      <c r="E301">
        <v>876</v>
      </c>
      <c r="F301">
        <v>494</v>
      </c>
      <c r="G301" s="1">
        <f t="shared" si="4"/>
        <v>0.5639269406392694</v>
      </c>
    </row>
    <row r="302" spans="1:7">
      <c r="A302" t="s">
        <v>247</v>
      </c>
      <c r="B302">
        <v>10</v>
      </c>
      <c r="C302" t="s">
        <v>289</v>
      </c>
      <c r="D302">
        <v>5</v>
      </c>
      <c r="E302">
        <v>876</v>
      </c>
      <c r="F302">
        <v>566</v>
      </c>
      <c r="G302" s="1">
        <f t="shared" si="4"/>
        <v>0.64611872146118721</v>
      </c>
    </row>
    <row r="303" spans="1:7">
      <c r="A303" t="s">
        <v>247</v>
      </c>
      <c r="B303">
        <v>10</v>
      </c>
      <c r="C303" t="s">
        <v>276</v>
      </c>
      <c r="D303">
        <v>6</v>
      </c>
      <c r="E303">
        <v>876</v>
      </c>
      <c r="F303">
        <v>625</v>
      </c>
      <c r="G303" s="1">
        <f t="shared" si="4"/>
        <v>0.7134703196347032</v>
      </c>
    </row>
    <row r="304" spans="1:7">
      <c r="A304" t="s">
        <v>247</v>
      </c>
      <c r="B304">
        <v>10</v>
      </c>
      <c r="C304" t="s">
        <v>277</v>
      </c>
      <c r="D304">
        <v>7</v>
      </c>
      <c r="E304">
        <v>876</v>
      </c>
      <c r="F304">
        <v>627</v>
      </c>
      <c r="G304" s="1">
        <f t="shared" si="4"/>
        <v>0.71575342465753422</v>
      </c>
    </row>
    <row r="305" spans="1:7">
      <c r="A305" t="s">
        <v>247</v>
      </c>
      <c r="B305">
        <v>10</v>
      </c>
      <c r="C305" t="s">
        <v>270</v>
      </c>
      <c r="D305">
        <v>8</v>
      </c>
      <c r="E305">
        <v>876</v>
      </c>
      <c r="F305">
        <v>633</v>
      </c>
      <c r="G305" s="1">
        <f t="shared" si="4"/>
        <v>0.7226027397260274</v>
      </c>
    </row>
    <row r="306" spans="1:7">
      <c r="A306" t="s">
        <v>247</v>
      </c>
      <c r="B306">
        <v>10</v>
      </c>
      <c r="C306" t="s">
        <v>286</v>
      </c>
      <c r="D306">
        <v>9</v>
      </c>
      <c r="E306">
        <v>876</v>
      </c>
      <c r="F306">
        <v>674</v>
      </c>
      <c r="G306" s="1">
        <f t="shared" si="4"/>
        <v>0.76940639269406397</v>
      </c>
    </row>
    <row r="307" spans="1:7">
      <c r="A307" t="s">
        <v>247</v>
      </c>
      <c r="B307">
        <v>10</v>
      </c>
      <c r="C307" t="s">
        <v>279</v>
      </c>
      <c r="D307">
        <v>10</v>
      </c>
      <c r="E307">
        <v>876</v>
      </c>
      <c r="F307">
        <v>696</v>
      </c>
      <c r="G307" s="1">
        <f t="shared" si="4"/>
        <v>0.79452054794520544</v>
      </c>
    </row>
    <row r="308" spans="1:7">
      <c r="A308" t="s">
        <v>247</v>
      </c>
      <c r="B308">
        <v>10</v>
      </c>
      <c r="C308" t="s">
        <v>266</v>
      </c>
      <c r="D308">
        <v>11</v>
      </c>
      <c r="E308">
        <v>876</v>
      </c>
      <c r="F308">
        <v>699</v>
      </c>
      <c r="G308" s="1">
        <f t="shared" si="4"/>
        <v>0.79794520547945202</v>
      </c>
    </row>
    <row r="309" spans="1:7">
      <c r="A309" t="s">
        <v>247</v>
      </c>
      <c r="B309">
        <v>10</v>
      </c>
      <c r="C309" t="s">
        <v>287</v>
      </c>
      <c r="D309">
        <v>12</v>
      </c>
      <c r="E309">
        <v>876</v>
      </c>
      <c r="F309">
        <v>701</v>
      </c>
      <c r="G309" s="1">
        <f t="shared" si="4"/>
        <v>0.80022831050228316</v>
      </c>
    </row>
    <row r="310" spans="1:7">
      <c r="A310" t="s">
        <v>247</v>
      </c>
      <c r="B310">
        <v>10</v>
      </c>
      <c r="C310" t="s">
        <v>278</v>
      </c>
      <c r="D310">
        <v>13</v>
      </c>
      <c r="E310">
        <v>876</v>
      </c>
      <c r="F310">
        <v>702</v>
      </c>
      <c r="G310" s="1">
        <f t="shared" si="4"/>
        <v>0.80136986301369861</v>
      </c>
    </row>
    <row r="311" spans="1:7">
      <c r="A311" t="s">
        <v>247</v>
      </c>
      <c r="B311">
        <v>10</v>
      </c>
      <c r="C311" t="s">
        <v>269</v>
      </c>
      <c r="D311">
        <v>14</v>
      </c>
      <c r="E311">
        <v>876</v>
      </c>
      <c r="F311">
        <v>709</v>
      </c>
      <c r="G311" s="1">
        <f t="shared" si="4"/>
        <v>0.80936073059360736</v>
      </c>
    </row>
    <row r="312" spans="1:7">
      <c r="A312" t="s">
        <v>247</v>
      </c>
      <c r="B312">
        <v>10</v>
      </c>
      <c r="C312" t="s">
        <v>274</v>
      </c>
      <c r="D312">
        <v>15</v>
      </c>
      <c r="E312">
        <v>876</v>
      </c>
      <c r="F312">
        <v>753</v>
      </c>
      <c r="G312" s="1">
        <f t="shared" si="4"/>
        <v>0.8595890410958904</v>
      </c>
    </row>
    <row r="313" spans="1:7">
      <c r="A313" t="s">
        <v>247</v>
      </c>
      <c r="B313">
        <v>10</v>
      </c>
      <c r="C313" t="s">
        <v>275</v>
      </c>
      <c r="D313">
        <v>16</v>
      </c>
      <c r="E313">
        <v>876</v>
      </c>
      <c r="F313">
        <v>754</v>
      </c>
      <c r="G313" s="1">
        <f t="shared" si="4"/>
        <v>0.86073059360730597</v>
      </c>
    </row>
    <row r="314" spans="1:7">
      <c r="A314" t="s">
        <v>247</v>
      </c>
      <c r="B314">
        <v>10</v>
      </c>
      <c r="C314" t="s">
        <v>271</v>
      </c>
      <c r="D314">
        <v>17</v>
      </c>
      <c r="E314">
        <v>876</v>
      </c>
      <c r="F314">
        <v>758</v>
      </c>
      <c r="G314" s="1">
        <f t="shared" si="4"/>
        <v>0.86529680365296802</v>
      </c>
    </row>
    <row r="315" spans="1:7">
      <c r="A315" t="s">
        <v>247</v>
      </c>
      <c r="B315">
        <v>10</v>
      </c>
      <c r="C315" t="s">
        <v>265</v>
      </c>
      <c r="D315">
        <v>18</v>
      </c>
      <c r="E315">
        <v>876</v>
      </c>
      <c r="F315">
        <v>759</v>
      </c>
      <c r="G315" s="1">
        <f t="shared" si="4"/>
        <v>0.86643835616438358</v>
      </c>
    </row>
    <row r="316" spans="1:7">
      <c r="A316" t="s">
        <v>247</v>
      </c>
      <c r="B316">
        <v>10</v>
      </c>
      <c r="C316" t="s">
        <v>281</v>
      </c>
      <c r="D316">
        <v>19</v>
      </c>
      <c r="E316">
        <v>876</v>
      </c>
      <c r="F316">
        <v>760</v>
      </c>
      <c r="G316" s="1">
        <f t="shared" si="4"/>
        <v>0.86757990867579904</v>
      </c>
    </row>
    <row r="317" spans="1:7">
      <c r="A317" t="s">
        <v>247</v>
      </c>
      <c r="B317">
        <v>10</v>
      </c>
      <c r="C317" t="s">
        <v>280</v>
      </c>
      <c r="D317">
        <v>20</v>
      </c>
      <c r="E317">
        <v>876</v>
      </c>
      <c r="F317">
        <v>766</v>
      </c>
      <c r="G317" s="1">
        <f t="shared" si="4"/>
        <v>0.87442922374429222</v>
      </c>
    </row>
    <row r="318" spans="1:7">
      <c r="A318" t="s">
        <v>247</v>
      </c>
      <c r="B318">
        <v>10</v>
      </c>
      <c r="C318" t="s">
        <v>283</v>
      </c>
      <c r="D318">
        <v>21</v>
      </c>
      <c r="E318">
        <v>876</v>
      </c>
      <c r="F318">
        <v>769</v>
      </c>
      <c r="G318" s="1">
        <f t="shared" si="4"/>
        <v>0.87785388127853881</v>
      </c>
    </row>
    <row r="319" spans="1:7">
      <c r="A319" t="s">
        <v>247</v>
      </c>
      <c r="B319">
        <v>10</v>
      </c>
      <c r="C319" t="s">
        <v>268</v>
      </c>
      <c r="D319">
        <v>22</v>
      </c>
      <c r="E319">
        <v>876</v>
      </c>
      <c r="F319">
        <v>775</v>
      </c>
      <c r="G319" s="1">
        <f t="shared" si="4"/>
        <v>0.88470319634703198</v>
      </c>
    </row>
    <row r="320" spans="1:7">
      <c r="A320" t="s">
        <v>247</v>
      </c>
      <c r="B320">
        <v>10</v>
      </c>
      <c r="C320" t="s">
        <v>291</v>
      </c>
      <c r="D320">
        <v>23</v>
      </c>
      <c r="E320">
        <v>876</v>
      </c>
      <c r="F320">
        <v>792</v>
      </c>
      <c r="G320" s="1">
        <f t="shared" si="4"/>
        <v>0.90410958904109584</v>
      </c>
    </row>
    <row r="321" spans="1:7">
      <c r="A321" t="s">
        <v>247</v>
      </c>
      <c r="B321">
        <v>10</v>
      </c>
      <c r="C321" t="s">
        <v>284</v>
      </c>
      <c r="D321">
        <v>24</v>
      </c>
      <c r="E321">
        <v>876</v>
      </c>
      <c r="F321">
        <v>807</v>
      </c>
      <c r="G321" s="1">
        <f t="shared" si="4"/>
        <v>0.92123287671232879</v>
      </c>
    </row>
    <row r="322" spans="1:7">
      <c r="A322" t="s">
        <v>247</v>
      </c>
      <c r="B322">
        <v>10</v>
      </c>
      <c r="C322" t="s">
        <v>293</v>
      </c>
      <c r="D322">
        <v>25</v>
      </c>
      <c r="E322">
        <v>876</v>
      </c>
      <c r="F322">
        <v>808</v>
      </c>
      <c r="G322" s="1">
        <f t="shared" ref="G322:G385" si="5">F322/E322</f>
        <v>0.92237442922374424</v>
      </c>
    </row>
    <row r="323" spans="1:7">
      <c r="A323" t="s">
        <v>247</v>
      </c>
      <c r="B323">
        <v>10</v>
      </c>
      <c r="C323" t="s">
        <v>288</v>
      </c>
      <c r="D323">
        <v>26</v>
      </c>
      <c r="E323">
        <v>876</v>
      </c>
      <c r="F323">
        <v>809</v>
      </c>
      <c r="G323" s="1">
        <f t="shared" si="5"/>
        <v>0.92351598173515981</v>
      </c>
    </row>
    <row r="324" spans="1:7">
      <c r="A324" t="s">
        <v>247</v>
      </c>
      <c r="B324">
        <v>10</v>
      </c>
      <c r="C324" t="s">
        <v>290</v>
      </c>
      <c r="D324">
        <v>27</v>
      </c>
      <c r="E324">
        <v>876</v>
      </c>
      <c r="F324">
        <v>810</v>
      </c>
      <c r="G324" s="1">
        <f t="shared" si="5"/>
        <v>0.92465753424657537</v>
      </c>
    </row>
    <row r="325" spans="1:7">
      <c r="A325" t="s">
        <v>247</v>
      </c>
      <c r="B325">
        <v>10</v>
      </c>
      <c r="C325" t="s">
        <v>292</v>
      </c>
      <c r="D325">
        <v>28</v>
      </c>
      <c r="E325">
        <v>876</v>
      </c>
      <c r="F325">
        <v>811</v>
      </c>
      <c r="G325" s="1">
        <f t="shared" si="5"/>
        <v>0.92579908675799083</v>
      </c>
    </row>
    <row r="326" spans="1:7">
      <c r="A326" t="s">
        <v>247</v>
      </c>
      <c r="B326">
        <v>10</v>
      </c>
      <c r="C326" t="s">
        <v>273</v>
      </c>
      <c r="D326">
        <v>29</v>
      </c>
      <c r="E326">
        <v>876</v>
      </c>
      <c r="F326">
        <v>837</v>
      </c>
      <c r="G326" s="1">
        <f t="shared" si="5"/>
        <v>0.95547945205479456</v>
      </c>
    </row>
    <row r="327" spans="1:7">
      <c r="A327" t="s">
        <v>247</v>
      </c>
      <c r="B327">
        <v>10</v>
      </c>
      <c r="C327" t="s">
        <v>282</v>
      </c>
      <c r="D327">
        <v>30</v>
      </c>
      <c r="E327">
        <v>876</v>
      </c>
      <c r="F327">
        <v>843</v>
      </c>
      <c r="G327" s="1">
        <f t="shared" si="5"/>
        <v>0.96232876712328763</v>
      </c>
    </row>
    <row r="328" spans="1:7">
      <c r="A328" t="s">
        <v>247</v>
      </c>
      <c r="B328">
        <v>10</v>
      </c>
      <c r="C328" t="s">
        <v>267</v>
      </c>
      <c r="D328">
        <v>31</v>
      </c>
      <c r="E328">
        <v>876</v>
      </c>
      <c r="F328">
        <v>860</v>
      </c>
      <c r="G328" s="1">
        <f t="shared" si="5"/>
        <v>0.9817351598173516</v>
      </c>
    </row>
    <row r="329" spans="1:7">
      <c r="A329" t="s">
        <v>247</v>
      </c>
      <c r="B329">
        <v>10</v>
      </c>
      <c r="C329" t="s">
        <v>272</v>
      </c>
      <c r="D329">
        <v>32</v>
      </c>
      <c r="E329">
        <v>876</v>
      </c>
      <c r="F329">
        <v>877</v>
      </c>
      <c r="G329" s="1">
        <f t="shared" si="5"/>
        <v>1.0011415525114156</v>
      </c>
    </row>
    <row r="330" spans="1:7">
      <c r="A330" t="s">
        <v>294</v>
      </c>
      <c r="B330">
        <v>3</v>
      </c>
      <c r="C330" t="s">
        <v>36</v>
      </c>
      <c r="D330">
        <v>1</v>
      </c>
      <c r="E330">
        <v>30092</v>
      </c>
      <c r="F330">
        <v>28994</v>
      </c>
      <c r="G330" s="1">
        <f t="shared" si="5"/>
        <v>0.96351189684966099</v>
      </c>
    </row>
    <row r="331" spans="1:7">
      <c r="A331" t="s">
        <v>294</v>
      </c>
      <c r="B331">
        <v>3</v>
      </c>
      <c r="C331" t="s">
        <v>145</v>
      </c>
      <c r="D331">
        <v>2</v>
      </c>
      <c r="E331">
        <v>30092</v>
      </c>
      <c r="F331">
        <v>29199</v>
      </c>
      <c r="G331" s="1">
        <f t="shared" si="5"/>
        <v>0.97032433869466972</v>
      </c>
    </row>
    <row r="332" spans="1:7">
      <c r="A332" t="s">
        <v>295</v>
      </c>
      <c r="B332">
        <v>2</v>
      </c>
      <c r="C332" t="s">
        <v>207</v>
      </c>
      <c r="D332">
        <v>1</v>
      </c>
      <c r="E332">
        <v>2644</v>
      </c>
      <c r="F332">
        <v>741</v>
      </c>
      <c r="G332" s="1">
        <f t="shared" si="5"/>
        <v>0.28025718608169442</v>
      </c>
    </row>
    <row r="333" spans="1:7">
      <c r="A333" t="s">
        <v>295</v>
      </c>
      <c r="B333">
        <v>2</v>
      </c>
      <c r="C333" t="s">
        <v>296</v>
      </c>
      <c r="D333">
        <v>2</v>
      </c>
      <c r="E333">
        <v>2644</v>
      </c>
      <c r="F333">
        <v>758</v>
      </c>
      <c r="G333" s="1">
        <f t="shared" si="5"/>
        <v>0.28668683812405449</v>
      </c>
    </row>
    <row r="334" spans="1:7">
      <c r="A334" t="s">
        <v>295</v>
      </c>
      <c r="B334">
        <v>2</v>
      </c>
      <c r="C334" t="s">
        <v>322</v>
      </c>
      <c r="D334">
        <v>3</v>
      </c>
      <c r="E334">
        <v>2644</v>
      </c>
      <c r="F334">
        <v>787</v>
      </c>
      <c r="G334" s="1">
        <f t="shared" si="5"/>
        <v>0.29765506807866871</v>
      </c>
    </row>
    <row r="335" spans="1:7">
      <c r="A335" t="s">
        <v>295</v>
      </c>
      <c r="B335">
        <v>2</v>
      </c>
      <c r="C335" t="s">
        <v>300</v>
      </c>
      <c r="D335">
        <v>4</v>
      </c>
      <c r="E335">
        <v>2644</v>
      </c>
      <c r="F335">
        <v>824</v>
      </c>
      <c r="G335" s="1">
        <f t="shared" si="5"/>
        <v>0.31164901664145234</v>
      </c>
    </row>
    <row r="336" spans="1:7">
      <c r="A336" t="s">
        <v>295</v>
      </c>
      <c r="B336">
        <v>2</v>
      </c>
      <c r="C336" t="s">
        <v>298</v>
      </c>
      <c r="D336">
        <v>5</v>
      </c>
      <c r="E336">
        <v>2644</v>
      </c>
      <c r="F336">
        <v>827</v>
      </c>
      <c r="G336" s="1">
        <f t="shared" si="5"/>
        <v>0.31278366111951589</v>
      </c>
    </row>
    <row r="337" spans="1:7">
      <c r="A337" t="s">
        <v>295</v>
      </c>
      <c r="B337">
        <v>2</v>
      </c>
      <c r="C337" t="s">
        <v>297</v>
      </c>
      <c r="D337">
        <v>6</v>
      </c>
      <c r="E337">
        <v>2644</v>
      </c>
      <c r="F337">
        <v>937</v>
      </c>
      <c r="G337" s="1">
        <f t="shared" si="5"/>
        <v>0.35438729198184571</v>
      </c>
    </row>
    <row r="338" spans="1:7">
      <c r="A338" t="s">
        <v>295</v>
      </c>
      <c r="B338">
        <v>2</v>
      </c>
      <c r="C338" t="s">
        <v>299</v>
      </c>
      <c r="D338">
        <v>7</v>
      </c>
      <c r="E338">
        <v>2644</v>
      </c>
      <c r="F338">
        <v>1089</v>
      </c>
      <c r="G338" s="1">
        <f t="shared" si="5"/>
        <v>0.41187594553706508</v>
      </c>
    </row>
    <row r="339" spans="1:7">
      <c r="A339" t="s">
        <v>295</v>
      </c>
      <c r="B339">
        <v>2</v>
      </c>
      <c r="C339" t="s">
        <v>301</v>
      </c>
      <c r="D339">
        <v>8</v>
      </c>
      <c r="E339">
        <v>2644</v>
      </c>
      <c r="F339">
        <v>1247</v>
      </c>
      <c r="G339" s="1">
        <f t="shared" si="5"/>
        <v>0.4716338880484115</v>
      </c>
    </row>
    <row r="340" spans="1:7">
      <c r="A340" t="s">
        <v>295</v>
      </c>
      <c r="B340">
        <v>3</v>
      </c>
      <c r="C340" t="s">
        <v>243</v>
      </c>
      <c r="D340">
        <v>1</v>
      </c>
      <c r="E340">
        <v>7990</v>
      </c>
      <c r="F340">
        <v>572</v>
      </c>
      <c r="G340" s="1">
        <f t="shared" si="5"/>
        <v>7.158948685857322E-2</v>
      </c>
    </row>
    <row r="341" spans="1:7">
      <c r="A341" t="s">
        <v>295</v>
      </c>
      <c r="B341">
        <v>3</v>
      </c>
      <c r="C341" t="s">
        <v>302</v>
      </c>
      <c r="D341">
        <v>2</v>
      </c>
      <c r="E341">
        <v>7990</v>
      </c>
      <c r="F341">
        <v>886</v>
      </c>
      <c r="G341" s="1">
        <f t="shared" si="5"/>
        <v>0.11088861076345431</v>
      </c>
    </row>
    <row r="342" spans="1:7">
      <c r="A342" t="s">
        <v>295</v>
      </c>
      <c r="B342">
        <v>3</v>
      </c>
      <c r="C342" t="s">
        <v>304</v>
      </c>
      <c r="D342">
        <v>3</v>
      </c>
      <c r="E342">
        <v>7990</v>
      </c>
      <c r="F342">
        <v>1779</v>
      </c>
      <c r="G342" s="1">
        <f t="shared" si="5"/>
        <v>0.22265331664580726</v>
      </c>
    </row>
    <row r="343" spans="1:7">
      <c r="A343" t="s">
        <v>295</v>
      </c>
      <c r="B343">
        <v>3</v>
      </c>
      <c r="C343" t="s">
        <v>305</v>
      </c>
      <c r="D343">
        <v>4</v>
      </c>
      <c r="E343">
        <v>7990</v>
      </c>
      <c r="F343">
        <v>1805</v>
      </c>
      <c r="G343" s="1">
        <f t="shared" si="5"/>
        <v>0.22590738423028786</v>
      </c>
    </row>
    <row r="344" spans="1:7">
      <c r="A344" t="s">
        <v>295</v>
      </c>
      <c r="B344">
        <v>3</v>
      </c>
      <c r="C344" t="s">
        <v>306</v>
      </c>
      <c r="D344">
        <v>5</v>
      </c>
      <c r="E344">
        <v>7990</v>
      </c>
      <c r="F344">
        <v>2538</v>
      </c>
      <c r="G344" s="1">
        <f t="shared" si="5"/>
        <v>0.31764705882352939</v>
      </c>
    </row>
    <row r="345" spans="1:7">
      <c r="A345" t="s">
        <v>295</v>
      </c>
      <c r="B345">
        <v>3</v>
      </c>
      <c r="C345" t="s">
        <v>303</v>
      </c>
      <c r="D345">
        <v>6</v>
      </c>
      <c r="E345">
        <v>7990</v>
      </c>
      <c r="F345">
        <v>4342</v>
      </c>
      <c r="G345" s="1">
        <f t="shared" si="5"/>
        <v>0.54342928660826029</v>
      </c>
    </row>
    <row r="346" spans="1:7">
      <c r="A346" t="s">
        <v>295</v>
      </c>
      <c r="B346">
        <v>4</v>
      </c>
      <c r="C346" t="s">
        <v>243</v>
      </c>
      <c r="D346">
        <v>1</v>
      </c>
      <c r="E346">
        <v>21536</v>
      </c>
      <c r="F346">
        <v>571</v>
      </c>
      <c r="G346" s="1">
        <f t="shared" si="5"/>
        <v>2.6513744427934621E-2</v>
      </c>
    </row>
    <row r="347" spans="1:7">
      <c r="A347" t="s">
        <v>295</v>
      </c>
      <c r="B347">
        <v>4</v>
      </c>
      <c r="C347" t="s">
        <v>307</v>
      </c>
      <c r="D347">
        <v>2</v>
      </c>
      <c r="E347">
        <v>21536</v>
      </c>
      <c r="F347">
        <v>1099</v>
      </c>
      <c r="G347" s="1">
        <f t="shared" si="5"/>
        <v>5.1030832095096582E-2</v>
      </c>
    </row>
    <row r="348" spans="1:7">
      <c r="A348" t="s">
        <v>295</v>
      </c>
      <c r="B348">
        <v>4</v>
      </c>
      <c r="C348" t="s">
        <v>305</v>
      </c>
      <c r="D348">
        <v>3</v>
      </c>
      <c r="E348">
        <v>21536</v>
      </c>
      <c r="F348">
        <v>1790</v>
      </c>
      <c r="G348" s="1">
        <f t="shared" si="5"/>
        <v>8.3116641901931645E-2</v>
      </c>
    </row>
    <row r="349" spans="1:7">
      <c r="A349" t="s">
        <v>295</v>
      </c>
      <c r="B349">
        <v>4</v>
      </c>
      <c r="C349" t="s">
        <v>304</v>
      </c>
      <c r="D349">
        <v>4</v>
      </c>
      <c r="E349">
        <v>21536</v>
      </c>
      <c r="F349">
        <v>1827</v>
      </c>
      <c r="G349" s="1">
        <f t="shared" si="5"/>
        <v>8.4834695393759291E-2</v>
      </c>
    </row>
    <row r="350" spans="1:7">
      <c r="A350" t="s">
        <v>295</v>
      </c>
      <c r="B350">
        <v>4</v>
      </c>
      <c r="C350" t="s">
        <v>306</v>
      </c>
      <c r="D350">
        <v>5</v>
      </c>
      <c r="E350">
        <v>21536</v>
      </c>
      <c r="F350">
        <v>2564</v>
      </c>
      <c r="G350" s="1">
        <f t="shared" si="5"/>
        <v>0.11905646359583952</v>
      </c>
    </row>
    <row r="351" spans="1:7">
      <c r="A351" t="s">
        <v>295</v>
      </c>
      <c r="B351">
        <v>4</v>
      </c>
      <c r="C351" t="s">
        <v>303</v>
      </c>
      <c r="D351">
        <v>6</v>
      </c>
      <c r="E351">
        <v>21536</v>
      </c>
      <c r="F351">
        <v>4306</v>
      </c>
      <c r="G351" s="1">
        <f t="shared" si="5"/>
        <v>0.19994427934621101</v>
      </c>
    </row>
    <row r="352" spans="1:7">
      <c r="A352" t="s">
        <v>295</v>
      </c>
      <c r="B352">
        <v>4</v>
      </c>
      <c r="C352" t="s">
        <v>308</v>
      </c>
      <c r="D352">
        <v>7</v>
      </c>
      <c r="E352">
        <v>21536</v>
      </c>
      <c r="F352">
        <v>5092</v>
      </c>
      <c r="G352" s="1">
        <f t="shared" si="5"/>
        <v>0.23644130757800891</v>
      </c>
    </row>
    <row r="353" spans="1:7">
      <c r="A353" t="s">
        <v>295</v>
      </c>
      <c r="B353">
        <v>4</v>
      </c>
      <c r="C353" t="s">
        <v>309</v>
      </c>
      <c r="D353">
        <v>8</v>
      </c>
      <c r="E353">
        <v>21536</v>
      </c>
      <c r="F353">
        <v>5369</v>
      </c>
      <c r="G353" s="1">
        <f t="shared" si="5"/>
        <v>0.24930349182763745</v>
      </c>
    </row>
    <row r="354" spans="1:7">
      <c r="A354" t="s">
        <v>295</v>
      </c>
      <c r="B354">
        <v>4</v>
      </c>
      <c r="C354" t="s">
        <v>310</v>
      </c>
      <c r="D354">
        <v>9</v>
      </c>
      <c r="E354">
        <v>21536</v>
      </c>
      <c r="F354">
        <v>5834</v>
      </c>
      <c r="G354" s="1">
        <f t="shared" si="5"/>
        <v>0.27089524517087665</v>
      </c>
    </row>
    <row r="355" spans="1:7">
      <c r="A355" t="s">
        <v>295</v>
      </c>
      <c r="B355">
        <v>5</v>
      </c>
      <c r="C355" t="s">
        <v>19</v>
      </c>
      <c r="D355">
        <v>1</v>
      </c>
      <c r="E355">
        <v>704</v>
      </c>
      <c r="F355">
        <v>348</v>
      </c>
      <c r="G355" s="1">
        <f t="shared" si="5"/>
        <v>0.49431818181818182</v>
      </c>
    </row>
    <row r="356" spans="1:7">
      <c r="A356" t="s">
        <v>295</v>
      </c>
      <c r="B356">
        <v>5</v>
      </c>
      <c r="C356" t="s">
        <v>1</v>
      </c>
      <c r="D356">
        <v>2</v>
      </c>
      <c r="E356">
        <v>704</v>
      </c>
      <c r="F356">
        <v>512</v>
      </c>
      <c r="G356" s="1">
        <f t="shared" si="5"/>
        <v>0.72727272727272729</v>
      </c>
    </row>
    <row r="357" spans="1:7">
      <c r="A357" t="s">
        <v>295</v>
      </c>
      <c r="B357">
        <v>5</v>
      </c>
      <c r="C357" t="s">
        <v>22</v>
      </c>
      <c r="D357">
        <v>3</v>
      </c>
      <c r="E357">
        <v>704</v>
      </c>
      <c r="F357">
        <v>557</v>
      </c>
      <c r="G357" s="1">
        <f t="shared" si="5"/>
        <v>0.79119318181818177</v>
      </c>
    </row>
    <row r="358" spans="1:7">
      <c r="A358" t="s">
        <v>295</v>
      </c>
      <c r="B358">
        <v>5</v>
      </c>
      <c r="C358" t="s">
        <v>20</v>
      </c>
      <c r="D358">
        <v>4</v>
      </c>
      <c r="E358">
        <v>704</v>
      </c>
      <c r="F358">
        <v>612</v>
      </c>
      <c r="G358" s="1">
        <f t="shared" si="5"/>
        <v>0.86931818181818177</v>
      </c>
    </row>
    <row r="359" spans="1:7">
      <c r="A359" t="s">
        <v>295</v>
      </c>
      <c r="B359">
        <v>5</v>
      </c>
      <c r="C359" t="s">
        <v>245</v>
      </c>
      <c r="D359">
        <v>5</v>
      </c>
      <c r="E359">
        <v>704</v>
      </c>
      <c r="F359">
        <v>696</v>
      </c>
      <c r="G359" s="1">
        <f t="shared" si="5"/>
        <v>0.98863636363636365</v>
      </c>
    </row>
    <row r="360" spans="1:7">
      <c r="A360" t="s">
        <v>295</v>
      </c>
      <c r="B360">
        <v>5</v>
      </c>
      <c r="C360" t="s">
        <v>311</v>
      </c>
      <c r="D360">
        <v>6</v>
      </c>
      <c r="E360">
        <v>704</v>
      </c>
      <c r="F360">
        <v>720</v>
      </c>
      <c r="G360" s="1">
        <f t="shared" si="5"/>
        <v>1.0227272727272727</v>
      </c>
    </row>
    <row r="361" spans="1:7">
      <c r="A361" t="s">
        <v>295</v>
      </c>
      <c r="B361">
        <v>6</v>
      </c>
      <c r="C361" t="s">
        <v>319</v>
      </c>
      <c r="D361">
        <v>1</v>
      </c>
      <c r="E361">
        <v>732</v>
      </c>
      <c r="F361">
        <v>96</v>
      </c>
      <c r="G361" s="1">
        <f t="shared" si="5"/>
        <v>0.13114754098360656</v>
      </c>
    </row>
    <row r="362" spans="1:7">
      <c r="A362" t="s">
        <v>295</v>
      </c>
      <c r="B362">
        <v>6</v>
      </c>
      <c r="C362" t="s">
        <v>313</v>
      </c>
      <c r="D362">
        <v>2</v>
      </c>
      <c r="E362">
        <v>732</v>
      </c>
      <c r="F362">
        <v>284</v>
      </c>
      <c r="G362" s="1">
        <f t="shared" si="5"/>
        <v>0.38797814207650272</v>
      </c>
    </row>
    <row r="363" spans="1:7">
      <c r="A363" t="s">
        <v>295</v>
      </c>
      <c r="B363">
        <v>6</v>
      </c>
      <c r="C363" t="s">
        <v>314</v>
      </c>
      <c r="D363">
        <v>3</v>
      </c>
      <c r="E363">
        <v>732</v>
      </c>
      <c r="F363">
        <v>430</v>
      </c>
      <c r="G363" s="1">
        <f t="shared" si="5"/>
        <v>0.58743169398907102</v>
      </c>
    </row>
    <row r="364" spans="1:7">
      <c r="A364" t="s">
        <v>295</v>
      </c>
      <c r="B364">
        <v>6</v>
      </c>
      <c r="C364" t="s">
        <v>320</v>
      </c>
      <c r="D364">
        <v>4</v>
      </c>
      <c r="E364">
        <v>732</v>
      </c>
      <c r="F364">
        <v>469</v>
      </c>
      <c r="G364" s="1">
        <f t="shared" si="5"/>
        <v>0.64071038251366119</v>
      </c>
    </row>
    <row r="365" spans="1:7">
      <c r="A365" t="s">
        <v>295</v>
      </c>
      <c r="B365">
        <v>6</v>
      </c>
      <c r="C365" t="s">
        <v>312</v>
      </c>
      <c r="D365">
        <v>5</v>
      </c>
      <c r="E365">
        <v>732</v>
      </c>
      <c r="F365">
        <v>479</v>
      </c>
      <c r="G365" s="1">
        <f t="shared" si="5"/>
        <v>0.65437158469945356</v>
      </c>
    </row>
    <row r="366" spans="1:7">
      <c r="A366" t="s">
        <v>295</v>
      </c>
      <c r="B366">
        <v>6</v>
      </c>
      <c r="C366" t="s">
        <v>321</v>
      </c>
      <c r="D366">
        <v>6</v>
      </c>
      <c r="E366">
        <v>732</v>
      </c>
      <c r="F366">
        <v>545</v>
      </c>
      <c r="G366" s="1">
        <f t="shared" si="5"/>
        <v>0.74453551912568305</v>
      </c>
    </row>
    <row r="367" spans="1:7">
      <c r="A367" t="s">
        <v>295</v>
      </c>
      <c r="B367">
        <v>6</v>
      </c>
      <c r="C367" t="s">
        <v>315</v>
      </c>
      <c r="D367">
        <v>7</v>
      </c>
      <c r="E367">
        <v>732</v>
      </c>
      <c r="F367">
        <v>617</v>
      </c>
      <c r="G367" s="1">
        <f t="shared" si="5"/>
        <v>0.84289617486338797</v>
      </c>
    </row>
    <row r="368" spans="1:7">
      <c r="A368" t="s">
        <v>295</v>
      </c>
      <c r="B368">
        <v>6</v>
      </c>
      <c r="C368" t="s">
        <v>317</v>
      </c>
      <c r="D368">
        <v>8</v>
      </c>
      <c r="E368">
        <v>732</v>
      </c>
      <c r="F368">
        <v>668</v>
      </c>
      <c r="G368" s="1">
        <f t="shared" si="5"/>
        <v>0.91256830601092898</v>
      </c>
    </row>
    <row r="369" spans="1:7">
      <c r="A369" t="s">
        <v>295</v>
      </c>
      <c r="B369">
        <v>6</v>
      </c>
      <c r="C369" t="s">
        <v>316</v>
      </c>
      <c r="D369">
        <v>9</v>
      </c>
      <c r="E369">
        <v>732</v>
      </c>
      <c r="F369">
        <v>718</v>
      </c>
      <c r="G369" s="1">
        <f t="shared" si="5"/>
        <v>0.98087431693989069</v>
      </c>
    </row>
    <row r="370" spans="1:7">
      <c r="A370" t="s">
        <v>295</v>
      </c>
      <c r="B370">
        <v>6</v>
      </c>
      <c r="C370" t="s">
        <v>318</v>
      </c>
      <c r="D370">
        <v>10</v>
      </c>
      <c r="E370">
        <v>732</v>
      </c>
      <c r="F370">
        <v>958</v>
      </c>
      <c r="G370" s="1">
        <f t="shared" si="5"/>
        <v>1.3087431693989071</v>
      </c>
    </row>
    <row r="371" spans="1:7">
      <c r="A371" t="s">
        <v>295</v>
      </c>
      <c r="B371">
        <v>7</v>
      </c>
      <c r="C371" t="s">
        <v>324</v>
      </c>
      <c r="D371">
        <v>1</v>
      </c>
      <c r="E371">
        <v>2505</v>
      </c>
      <c r="F371">
        <v>729</v>
      </c>
      <c r="G371" s="1">
        <f t="shared" si="5"/>
        <v>0.29101796407185626</v>
      </c>
    </row>
    <row r="372" spans="1:7">
      <c r="A372" t="s">
        <v>295</v>
      </c>
      <c r="B372">
        <v>7</v>
      </c>
      <c r="C372" t="s">
        <v>323</v>
      </c>
      <c r="D372">
        <v>2</v>
      </c>
      <c r="E372">
        <v>2505</v>
      </c>
      <c r="F372">
        <v>735</v>
      </c>
      <c r="G372" s="1">
        <f t="shared" si="5"/>
        <v>0.29341317365269459</v>
      </c>
    </row>
    <row r="373" spans="1:7">
      <c r="A373" t="s">
        <v>295</v>
      </c>
      <c r="B373">
        <v>7</v>
      </c>
      <c r="C373" t="s">
        <v>296</v>
      </c>
      <c r="D373">
        <v>3</v>
      </c>
      <c r="E373">
        <v>2505</v>
      </c>
      <c r="F373">
        <v>761</v>
      </c>
      <c r="G373" s="1">
        <f t="shared" si="5"/>
        <v>0.30379241516966066</v>
      </c>
    </row>
    <row r="374" spans="1:7">
      <c r="A374" t="s">
        <v>295</v>
      </c>
      <c r="B374">
        <v>7</v>
      </c>
      <c r="C374" t="s">
        <v>322</v>
      </c>
      <c r="D374">
        <v>4</v>
      </c>
      <c r="E374">
        <v>2505</v>
      </c>
      <c r="F374">
        <v>794</v>
      </c>
      <c r="G374" s="1">
        <f t="shared" si="5"/>
        <v>0.31696606786427145</v>
      </c>
    </row>
    <row r="375" spans="1:7">
      <c r="A375" t="s">
        <v>295</v>
      </c>
      <c r="B375">
        <v>7</v>
      </c>
      <c r="C375" t="s">
        <v>325</v>
      </c>
      <c r="D375">
        <v>5</v>
      </c>
      <c r="E375">
        <v>2505</v>
      </c>
      <c r="F375">
        <v>814</v>
      </c>
      <c r="G375" s="1">
        <f t="shared" si="5"/>
        <v>0.32495009980039918</v>
      </c>
    </row>
    <row r="376" spans="1:7">
      <c r="A376" t="s">
        <v>295</v>
      </c>
      <c r="B376">
        <v>7</v>
      </c>
      <c r="C376" t="s">
        <v>300</v>
      </c>
      <c r="D376">
        <v>6</v>
      </c>
      <c r="E376">
        <v>2505</v>
      </c>
      <c r="F376">
        <v>829</v>
      </c>
      <c r="G376" s="1">
        <f t="shared" si="5"/>
        <v>0.33093812375249498</v>
      </c>
    </row>
    <row r="377" spans="1:7">
      <c r="A377" t="s">
        <v>295</v>
      </c>
      <c r="B377">
        <v>7</v>
      </c>
      <c r="C377" t="s">
        <v>326</v>
      </c>
      <c r="D377">
        <v>7</v>
      </c>
      <c r="E377">
        <v>2505</v>
      </c>
      <c r="F377">
        <v>881</v>
      </c>
      <c r="G377" s="1">
        <f t="shared" si="5"/>
        <v>0.35169660678642717</v>
      </c>
    </row>
    <row r="378" spans="1:7">
      <c r="A378" t="s">
        <v>295</v>
      </c>
      <c r="B378">
        <v>7</v>
      </c>
      <c r="C378" t="s">
        <v>297</v>
      </c>
      <c r="D378">
        <v>8</v>
      </c>
      <c r="E378">
        <v>2505</v>
      </c>
      <c r="F378">
        <v>903</v>
      </c>
      <c r="G378" s="1">
        <f t="shared" si="5"/>
        <v>0.36047904191616764</v>
      </c>
    </row>
    <row r="379" spans="1:7">
      <c r="A379" t="s">
        <v>295</v>
      </c>
      <c r="B379">
        <v>7</v>
      </c>
      <c r="C379" t="s">
        <v>299</v>
      </c>
      <c r="D379">
        <v>9</v>
      </c>
      <c r="E379">
        <v>2505</v>
      </c>
      <c r="F379">
        <v>1029</v>
      </c>
      <c r="G379" s="1">
        <f t="shared" si="5"/>
        <v>0.41077844311377243</v>
      </c>
    </row>
    <row r="380" spans="1:7">
      <c r="A380" t="s">
        <v>295</v>
      </c>
      <c r="B380">
        <v>7</v>
      </c>
      <c r="C380" t="s">
        <v>301</v>
      </c>
      <c r="D380">
        <v>10</v>
      </c>
      <c r="E380">
        <v>2505</v>
      </c>
      <c r="F380">
        <v>1151</v>
      </c>
      <c r="G380" s="1">
        <f t="shared" si="5"/>
        <v>0.45948103792415168</v>
      </c>
    </row>
    <row r="381" spans="1:7">
      <c r="A381" t="s">
        <v>295</v>
      </c>
      <c r="B381">
        <v>8</v>
      </c>
      <c r="C381" t="s">
        <v>243</v>
      </c>
      <c r="D381">
        <v>1</v>
      </c>
      <c r="E381">
        <v>7903</v>
      </c>
      <c r="F381">
        <v>545</v>
      </c>
      <c r="G381" s="1">
        <f t="shared" si="5"/>
        <v>6.8961153992154883E-2</v>
      </c>
    </row>
    <row r="382" spans="1:7">
      <c r="A382" t="s">
        <v>295</v>
      </c>
      <c r="B382">
        <v>8</v>
      </c>
      <c r="C382" t="s">
        <v>327</v>
      </c>
      <c r="D382">
        <v>2</v>
      </c>
      <c r="E382">
        <v>7903</v>
      </c>
      <c r="F382">
        <v>884</v>
      </c>
      <c r="G382" s="1">
        <f t="shared" si="5"/>
        <v>0.1118562571175503</v>
      </c>
    </row>
    <row r="383" spans="1:7">
      <c r="A383" t="s">
        <v>295</v>
      </c>
      <c r="B383">
        <v>8</v>
      </c>
      <c r="C383" t="s">
        <v>329</v>
      </c>
      <c r="D383">
        <v>3</v>
      </c>
      <c r="E383">
        <v>7903</v>
      </c>
      <c r="F383">
        <v>1850</v>
      </c>
      <c r="G383" s="1">
        <f t="shared" si="5"/>
        <v>0.23408832089080095</v>
      </c>
    </row>
    <row r="384" spans="1:7">
      <c r="A384" t="s">
        <v>295</v>
      </c>
      <c r="B384">
        <v>8</v>
      </c>
      <c r="C384" t="s">
        <v>305</v>
      </c>
      <c r="D384">
        <v>4</v>
      </c>
      <c r="E384">
        <v>7903</v>
      </c>
      <c r="F384">
        <v>2320</v>
      </c>
      <c r="G384" s="1">
        <f t="shared" si="5"/>
        <v>0.29355940781981527</v>
      </c>
    </row>
    <row r="385" spans="1:7">
      <c r="A385" t="s">
        <v>295</v>
      </c>
      <c r="B385">
        <v>8</v>
      </c>
      <c r="C385" t="s">
        <v>330</v>
      </c>
      <c r="D385">
        <v>5</v>
      </c>
      <c r="E385">
        <v>7903</v>
      </c>
      <c r="F385">
        <v>2452</v>
      </c>
      <c r="G385" s="1">
        <f t="shared" si="5"/>
        <v>0.3102619258509427</v>
      </c>
    </row>
    <row r="386" spans="1:7">
      <c r="A386" t="s">
        <v>295</v>
      </c>
      <c r="B386">
        <v>8</v>
      </c>
      <c r="C386" t="s">
        <v>328</v>
      </c>
      <c r="D386">
        <v>6</v>
      </c>
      <c r="E386">
        <v>7903</v>
      </c>
      <c r="F386">
        <v>4358</v>
      </c>
      <c r="G386" s="1">
        <f t="shared" ref="G386:G449" si="6">F386/E386</f>
        <v>0.55143616348222191</v>
      </c>
    </row>
    <row r="387" spans="1:7">
      <c r="A387" t="s">
        <v>295</v>
      </c>
      <c r="B387">
        <v>9</v>
      </c>
      <c r="C387" t="s">
        <v>243</v>
      </c>
      <c r="D387">
        <v>1</v>
      </c>
      <c r="E387">
        <v>23124</v>
      </c>
      <c r="F387">
        <v>563</v>
      </c>
      <c r="G387" s="1">
        <f t="shared" si="6"/>
        <v>2.4346998789136827E-2</v>
      </c>
    </row>
    <row r="388" spans="1:7">
      <c r="A388" t="s">
        <v>295</v>
      </c>
      <c r="B388">
        <v>9</v>
      </c>
      <c r="C388" t="s">
        <v>331</v>
      </c>
      <c r="D388">
        <v>2</v>
      </c>
      <c r="E388">
        <v>23124</v>
      </c>
      <c r="F388">
        <v>1069</v>
      </c>
      <c r="G388" s="1">
        <f t="shared" si="6"/>
        <v>4.6229026120048436E-2</v>
      </c>
    </row>
    <row r="389" spans="1:7">
      <c r="A389" t="s">
        <v>295</v>
      </c>
      <c r="B389">
        <v>9</v>
      </c>
      <c r="C389" t="s">
        <v>305</v>
      </c>
      <c r="D389">
        <v>3</v>
      </c>
      <c r="E389">
        <v>23124</v>
      </c>
      <c r="F389">
        <v>2310</v>
      </c>
      <c r="G389" s="1">
        <f t="shared" si="6"/>
        <v>9.9896211728074724E-2</v>
      </c>
    </row>
    <row r="390" spans="1:7">
      <c r="A390" t="s">
        <v>295</v>
      </c>
      <c r="B390">
        <v>9</v>
      </c>
      <c r="C390" t="s">
        <v>330</v>
      </c>
      <c r="D390">
        <v>4</v>
      </c>
      <c r="E390">
        <v>23124</v>
      </c>
      <c r="F390">
        <v>2495</v>
      </c>
      <c r="G390" s="1">
        <f t="shared" si="6"/>
        <v>0.10789655768898114</v>
      </c>
    </row>
    <row r="391" spans="1:7">
      <c r="A391" t="s">
        <v>295</v>
      </c>
      <c r="B391">
        <v>9</v>
      </c>
      <c r="C391" t="s">
        <v>329</v>
      </c>
      <c r="D391">
        <v>5</v>
      </c>
      <c r="E391">
        <v>23124</v>
      </c>
      <c r="F391">
        <v>2527</v>
      </c>
      <c r="G391" s="1">
        <f t="shared" si="6"/>
        <v>0.10928040131465144</v>
      </c>
    </row>
    <row r="392" spans="1:7">
      <c r="A392" t="s">
        <v>295</v>
      </c>
      <c r="B392">
        <v>9</v>
      </c>
      <c r="C392" t="s">
        <v>328</v>
      </c>
      <c r="D392">
        <v>6</v>
      </c>
      <c r="E392">
        <v>23124</v>
      </c>
      <c r="F392">
        <v>4316</v>
      </c>
      <c r="G392" s="1">
        <f t="shared" si="6"/>
        <v>0.18664590901228162</v>
      </c>
    </row>
    <row r="393" spans="1:7">
      <c r="A393" t="s">
        <v>295</v>
      </c>
      <c r="B393">
        <v>9</v>
      </c>
      <c r="C393" t="s">
        <v>332</v>
      </c>
      <c r="D393">
        <v>7</v>
      </c>
      <c r="E393">
        <v>23124</v>
      </c>
      <c r="F393">
        <v>4900</v>
      </c>
      <c r="G393" s="1">
        <f t="shared" si="6"/>
        <v>0.21190105518076457</v>
      </c>
    </row>
    <row r="394" spans="1:7">
      <c r="A394" t="s">
        <v>295</v>
      </c>
      <c r="B394">
        <v>9</v>
      </c>
      <c r="C394" t="s">
        <v>334</v>
      </c>
      <c r="D394">
        <v>8</v>
      </c>
      <c r="E394">
        <v>23124</v>
      </c>
      <c r="F394">
        <v>5412</v>
      </c>
      <c r="G394" s="1">
        <f t="shared" si="6"/>
        <v>0.23404255319148937</v>
      </c>
    </row>
    <row r="395" spans="1:7">
      <c r="A395" t="s">
        <v>295</v>
      </c>
      <c r="B395">
        <v>9</v>
      </c>
      <c r="C395" t="s">
        <v>333</v>
      </c>
      <c r="D395">
        <v>9</v>
      </c>
      <c r="E395">
        <v>23124</v>
      </c>
      <c r="F395">
        <v>5971</v>
      </c>
      <c r="G395" s="1">
        <f t="shared" si="6"/>
        <v>0.25821657152741739</v>
      </c>
    </row>
    <row r="396" spans="1:7">
      <c r="A396" t="s">
        <v>295</v>
      </c>
      <c r="B396">
        <v>11</v>
      </c>
      <c r="C396" t="s">
        <v>33</v>
      </c>
      <c r="D396">
        <v>1</v>
      </c>
      <c r="E396">
        <v>5609</v>
      </c>
      <c r="F396">
        <v>286</v>
      </c>
      <c r="G396" s="1">
        <f t="shared" si="6"/>
        <v>5.0989481190943126E-2</v>
      </c>
    </row>
    <row r="397" spans="1:7">
      <c r="A397" t="s">
        <v>295</v>
      </c>
      <c r="B397">
        <v>11</v>
      </c>
      <c r="C397" t="s">
        <v>19</v>
      </c>
      <c r="D397">
        <v>2</v>
      </c>
      <c r="E397">
        <v>5609</v>
      </c>
      <c r="F397">
        <v>5412</v>
      </c>
      <c r="G397" s="1">
        <f t="shared" si="6"/>
        <v>0.96487787484400067</v>
      </c>
    </row>
    <row r="398" spans="1:7">
      <c r="A398" t="s">
        <v>295</v>
      </c>
      <c r="B398">
        <v>13</v>
      </c>
      <c r="C398" t="s">
        <v>19</v>
      </c>
      <c r="D398">
        <v>1</v>
      </c>
      <c r="E398">
        <v>19375</v>
      </c>
      <c r="F398">
        <v>271</v>
      </c>
      <c r="G398" s="1">
        <f t="shared" si="6"/>
        <v>1.3987096774193549E-2</v>
      </c>
    </row>
    <row r="399" spans="1:7">
      <c r="A399" t="s">
        <v>295</v>
      </c>
      <c r="B399">
        <v>13</v>
      </c>
      <c r="C399" t="s">
        <v>1</v>
      </c>
      <c r="D399">
        <v>2</v>
      </c>
      <c r="E399">
        <v>19375</v>
      </c>
      <c r="F399">
        <v>312</v>
      </c>
      <c r="G399" s="1">
        <f t="shared" si="6"/>
        <v>1.6103225806451613E-2</v>
      </c>
    </row>
    <row r="400" spans="1:7">
      <c r="A400" t="s">
        <v>295</v>
      </c>
      <c r="B400">
        <v>13</v>
      </c>
      <c r="C400" t="s">
        <v>335</v>
      </c>
      <c r="D400">
        <v>3</v>
      </c>
      <c r="E400">
        <v>19375</v>
      </c>
      <c r="F400">
        <v>386</v>
      </c>
      <c r="G400" s="1">
        <f t="shared" si="6"/>
        <v>1.9922580645161291E-2</v>
      </c>
    </row>
    <row r="401" spans="1:7">
      <c r="A401" t="s">
        <v>295</v>
      </c>
      <c r="B401">
        <v>13</v>
      </c>
      <c r="C401" t="s">
        <v>22</v>
      </c>
      <c r="D401">
        <v>4</v>
      </c>
      <c r="E401">
        <v>19375</v>
      </c>
      <c r="F401">
        <v>19184</v>
      </c>
      <c r="G401" s="1">
        <f t="shared" si="6"/>
        <v>0.99014193548387097</v>
      </c>
    </row>
    <row r="402" spans="1:7">
      <c r="A402" t="s">
        <v>295</v>
      </c>
      <c r="B402">
        <v>14</v>
      </c>
      <c r="C402" t="s">
        <v>19</v>
      </c>
      <c r="D402">
        <v>1</v>
      </c>
      <c r="E402">
        <v>52275</v>
      </c>
      <c r="F402">
        <v>1658</v>
      </c>
      <c r="G402" s="1">
        <f t="shared" si="6"/>
        <v>3.1716881874701099E-2</v>
      </c>
    </row>
    <row r="403" spans="1:7">
      <c r="A403" t="s">
        <v>295</v>
      </c>
      <c r="B403">
        <v>14</v>
      </c>
      <c r="C403" t="s">
        <v>335</v>
      </c>
      <c r="D403">
        <v>2</v>
      </c>
      <c r="E403">
        <v>52275</v>
      </c>
      <c r="F403">
        <v>1826</v>
      </c>
      <c r="G403" s="1">
        <f t="shared" si="6"/>
        <v>3.4930655188904827E-2</v>
      </c>
    </row>
    <row r="404" spans="1:7">
      <c r="A404" t="s">
        <v>295</v>
      </c>
      <c r="B404">
        <v>14</v>
      </c>
      <c r="C404" t="s">
        <v>1</v>
      </c>
      <c r="D404">
        <v>3</v>
      </c>
      <c r="E404">
        <v>52275</v>
      </c>
      <c r="F404">
        <v>1859</v>
      </c>
      <c r="G404" s="1">
        <f t="shared" si="6"/>
        <v>3.5561932089909133E-2</v>
      </c>
    </row>
    <row r="405" spans="1:7">
      <c r="A405" t="s">
        <v>295</v>
      </c>
      <c r="B405">
        <v>14</v>
      </c>
      <c r="C405" t="s">
        <v>337</v>
      </c>
      <c r="D405">
        <v>4</v>
      </c>
      <c r="E405">
        <v>52275</v>
      </c>
      <c r="F405">
        <v>23080</v>
      </c>
      <c r="G405" s="1">
        <f t="shared" si="6"/>
        <v>0.4415112386417982</v>
      </c>
    </row>
    <row r="406" spans="1:7">
      <c r="A406" t="s">
        <v>295</v>
      </c>
      <c r="B406">
        <v>14</v>
      </c>
      <c r="C406" t="s">
        <v>336</v>
      </c>
      <c r="D406">
        <v>5</v>
      </c>
      <c r="E406">
        <v>52275</v>
      </c>
      <c r="F406">
        <v>23114</v>
      </c>
      <c r="G406" s="1">
        <f t="shared" si="6"/>
        <v>0.4421616451458632</v>
      </c>
    </row>
    <row r="407" spans="1:7">
      <c r="A407" t="s">
        <v>295</v>
      </c>
      <c r="B407">
        <v>14</v>
      </c>
      <c r="C407" t="s">
        <v>338</v>
      </c>
      <c r="D407">
        <v>6</v>
      </c>
      <c r="E407">
        <v>52275</v>
      </c>
      <c r="F407">
        <v>23398</v>
      </c>
      <c r="G407" s="1">
        <f t="shared" si="6"/>
        <v>0.44759445241511236</v>
      </c>
    </row>
    <row r="408" spans="1:7">
      <c r="A408" t="s">
        <v>295</v>
      </c>
      <c r="B408">
        <v>14</v>
      </c>
      <c r="C408" t="s">
        <v>341</v>
      </c>
      <c r="D408">
        <v>7</v>
      </c>
      <c r="E408">
        <v>52275</v>
      </c>
      <c r="F408">
        <v>23482</v>
      </c>
      <c r="G408" s="1">
        <f t="shared" si="6"/>
        <v>0.44920133907221427</v>
      </c>
    </row>
    <row r="409" spans="1:7">
      <c r="A409" t="s">
        <v>295</v>
      </c>
      <c r="B409">
        <v>14</v>
      </c>
      <c r="C409" t="s">
        <v>340</v>
      </c>
      <c r="D409">
        <v>8</v>
      </c>
      <c r="E409">
        <v>52275</v>
      </c>
      <c r="F409">
        <v>23745</v>
      </c>
      <c r="G409" s="1">
        <f t="shared" si="6"/>
        <v>0.45423242467718794</v>
      </c>
    </row>
    <row r="410" spans="1:7">
      <c r="A410" t="s">
        <v>295</v>
      </c>
      <c r="B410">
        <v>14</v>
      </c>
      <c r="C410" t="s">
        <v>339</v>
      </c>
      <c r="D410">
        <v>9</v>
      </c>
      <c r="E410">
        <v>52275</v>
      </c>
      <c r="F410">
        <v>25196</v>
      </c>
      <c r="G410" s="1">
        <f t="shared" si="6"/>
        <v>0.4819894787183166</v>
      </c>
    </row>
    <row r="411" spans="1:7">
      <c r="A411" t="s">
        <v>295</v>
      </c>
      <c r="B411">
        <v>14</v>
      </c>
      <c r="C411" t="s">
        <v>343</v>
      </c>
      <c r="D411">
        <v>10</v>
      </c>
      <c r="E411">
        <v>52275</v>
      </c>
      <c r="F411">
        <v>39244</v>
      </c>
      <c r="G411" s="1">
        <f t="shared" si="6"/>
        <v>0.75072214251554281</v>
      </c>
    </row>
    <row r="412" spans="1:7">
      <c r="A412" t="s">
        <v>295</v>
      </c>
      <c r="B412">
        <v>14</v>
      </c>
      <c r="C412" t="s">
        <v>342</v>
      </c>
      <c r="D412">
        <v>11</v>
      </c>
      <c r="E412">
        <v>52275</v>
      </c>
      <c r="F412">
        <v>39320</v>
      </c>
      <c r="G412" s="1">
        <f t="shared" si="6"/>
        <v>0.7521759923481588</v>
      </c>
    </row>
    <row r="413" spans="1:7">
      <c r="A413" t="s">
        <v>295</v>
      </c>
      <c r="B413">
        <v>15</v>
      </c>
      <c r="C413" t="s">
        <v>19</v>
      </c>
      <c r="D413">
        <v>1</v>
      </c>
      <c r="E413">
        <v>13865</v>
      </c>
      <c r="F413">
        <v>166</v>
      </c>
      <c r="G413" s="1">
        <f t="shared" si="6"/>
        <v>1.1972592859718717E-2</v>
      </c>
    </row>
    <row r="414" spans="1:7">
      <c r="A414" t="s">
        <v>295</v>
      </c>
      <c r="B414">
        <v>15</v>
      </c>
      <c r="C414" t="s">
        <v>1</v>
      </c>
      <c r="D414">
        <v>2</v>
      </c>
      <c r="E414">
        <v>13865</v>
      </c>
      <c r="F414">
        <v>229</v>
      </c>
      <c r="G414" s="1">
        <f t="shared" si="6"/>
        <v>1.6516408222142086E-2</v>
      </c>
    </row>
    <row r="415" spans="1:7">
      <c r="A415" t="s">
        <v>295</v>
      </c>
      <c r="B415">
        <v>15</v>
      </c>
      <c r="C415" t="s">
        <v>335</v>
      </c>
      <c r="D415">
        <v>3</v>
      </c>
      <c r="E415">
        <v>13865</v>
      </c>
      <c r="F415">
        <v>285</v>
      </c>
      <c r="G415" s="1">
        <f t="shared" si="6"/>
        <v>2.0555355210962856E-2</v>
      </c>
    </row>
    <row r="416" spans="1:7">
      <c r="A416" t="s">
        <v>295</v>
      </c>
      <c r="B416">
        <v>15</v>
      </c>
      <c r="C416" t="s">
        <v>22</v>
      </c>
      <c r="D416">
        <v>4</v>
      </c>
      <c r="E416">
        <v>13865</v>
      </c>
      <c r="F416">
        <v>13742</v>
      </c>
      <c r="G416" s="1">
        <f t="shared" si="6"/>
        <v>0.99112874143526863</v>
      </c>
    </row>
    <row r="417" spans="1:7">
      <c r="A417" t="s">
        <v>295</v>
      </c>
      <c r="B417">
        <v>16</v>
      </c>
      <c r="C417" t="s">
        <v>19</v>
      </c>
      <c r="D417">
        <v>1</v>
      </c>
      <c r="E417">
        <v>26013</v>
      </c>
      <c r="F417">
        <v>198</v>
      </c>
      <c r="G417" s="1">
        <f t="shared" si="6"/>
        <v>7.6115788259716296E-3</v>
      </c>
    </row>
    <row r="418" spans="1:7">
      <c r="A418" t="s">
        <v>295</v>
      </c>
      <c r="B418">
        <v>16</v>
      </c>
      <c r="C418" t="s">
        <v>1</v>
      </c>
      <c r="D418">
        <v>2</v>
      </c>
      <c r="E418">
        <v>26013</v>
      </c>
      <c r="F418">
        <v>251</v>
      </c>
      <c r="G418" s="1">
        <f t="shared" si="6"/>
        <v>9.6490216430246412E-3</v>
      </c>
    </row>
    <row r="419" spans="1:7">
      <c r="A419" t="s">
        <v>295</v>
      </c>
      <c r="B419">
        <v>16</v>
      </c>
      <c r="C419" t="s">
        <v>335</v>
      </c>
      <c r="D419">
        <v>3</v>
      </c>
      <c r="E419">
        <v>26013</v>
      </c>
      <c r="F419">
        <v>995</v>
      </c>
      <c r="G419" s="1">
        <f t="shared" si="6"/>
        <v>3.8250105716372586E-2</v>
      </c>
    </row>
    <row r="420" spans="1:7">
      <c r="A420" t="s">
        <v>295</v>
      </c>
      <c r="B420">
        <v>16</v>
      </c>
      <c r="C420" t="s">
        <v>22</v>
      </c>
      <c r="D420">
        <v>4</v>
      </c>
      <c r="E420">
        <v>26013</v>
      </c>
      <c r="F420">
        <v>27875</v>
      </c>
      <c r="G420" s="1">
        <f t="shared" si="6"/>
        <v>1.0715795948179756</v>
      </c>
    </row>
    <row r="421" spans="1:7">
      <c r="A421" t="s">
        <v>295</v>
      </c>
      <c r="B421">
        <v>20</v>
      </c>
      <c r="C421" t="s">
        <v>19</v>
      </c>
      <c r="D421">
        <v>1</v>
      </c>
      <c r="E421">
        <v>2864</v>
      </c>
      <c r="F421">
        <v>1553</v>
      </c>
      <c r="G421" s="1">
        <f t="shared" si="6"/>
        <v>0.54224860335195535</v>
      </c>
    </row>
    <row r="422" spans="1:7">
      <c r="A422" t="s">
        <v>295</v>
      </c>
      <c r="B422">
        <v>20</v>
      </c>
      <c r="C422" t="s">
        <v>33</v>
      </c>
      <c r="D422">
        <v>2</v>
      </c>
      <c r="E422">
        <v>2864</v>
      </c>
      <c r="F422">
        <v>1602</v>
      </c>
      <c r="G422" s="1">
        <f t="shared" si="6"/>
        <v>0.55935754189944131</v>
      </c>
    </row>
    <row r="423" spans="1:7">
      <c r="A423" t="s">
        <v>295</v>
      </c>
      <c r="B423">
        <v>21</v>
      </c>
      <c r="C423" t="s">
        <v>19</v>
      </c>
      <c r="D423">
        <v>1</v>
      </c>
      <c r="E423">
        <v>11606</v>
      </c>
      <c r="F423">
        <v>6037</v>
      </c>
      <c r="G423" s="1">
        <f t="shared" si="6"/>
        <v>0.52016198518007928</v>
      </c>
    </row>
    <row r="424" spans="1:7">
      <c r="A424" t="s">
        <v>295</v>
      </c>
      <c r="B424">
        <v>21</v>
      </c>
      <c r="C424" t="s">
        <v>33</v>
      </c>
      <c r="D424">
        <v>2</v>
      </c>
      <c r="E424">
        <v>11606</v>
      </c>
      <c r="F424">
        <v>6226</v>
      </c>
      <c r="G424" s="1">
        <f t="shared" si="6"/>
        <v>0.5364466655178356</v>
      </c>
    </row>
    <row r="425" spans="1:7">
      <c r="A425" t="s">
        <v>344</v>
      </c>
      <c r="B425">
        <v>0</v>
      </c>
      <c r="C425" t="s">
        <v>33</v>
      </c>
      <c r="D425">
        <v>1</v>
      </c>
      <c r="E425">
        <v>176</v>
      </c>
      <c r="F425">
        <v>72</v>
      </c>
      <c r="G425" s="1">
        <f t="shared" si="6"/>
        <v>0.40909090909090912</v>
      </c>
    </row>
    <row r="426" spans="1:7">
      <c r="A426" t="s">
        <v>344</v>
      </c>
      <c r="B426">
        <v>0</v>
      </c>
      <c r="C426" t="s">
        <v>0</v>
      </c>
      <c r="D426">
        <v>2</v>
      </c>
      <c r="E426">
        <v>176</v>
      </c>
      <c r="F426">
        <v>109</v>
      </c>
      <c r="G426" s="1">
        <f t="shared" si="6"/>
        <v>0.61931818181818177</v>
      </c>
    </row>
    <row r="427" spans="1:7">
      <c r="A427" t="s">
        <v>344</v>
      </c>
      <c r="B427">
        <v>0</v>
      </c>
      <c r="C427" t="s">
        <v>34</v>
      </c>
      <c r="D427">
        <v>3</v>
      </c>
      <c r="E427">
        <v>176</v>
      </c>
      <c r="F427">
        <v>125</v>
      </c>
      <c r="G427" s="1">
        <f t="shared" si="6"/>
        <v>0.71022727272727271</v>
      </c>
    </row>
    <row r="428" spans="1:7">
      <c r="A428" t="s">
        <v>344</v>
      </c>
      <c r="B428">
        <v>0</v>
      </c>
      <c r="C428" t="s">
        <v>35</v>
      </c>
      <c r="D428">
        <v>4</v>
      </c>
      <c r="E428">
        <v>176</v>
      </c>
      <c r="F428">
        <v>179</v>
      </c>
      <c r="G428" s="1">
        <f t="shared" si="6"/>
        <v>1.0170454545454546</v>
      </c>
    </row>
    <row r="429" spans="1:7">
      <c r="A429" t="s">
        <v>344</v>
      </c>
      <c r="B429">
        <v>1</v>
      </c>
      <c r="C429" t="s">
        <v>345</v>
      </c>
      <c r="D429">
        <v>1</v>
      </c>
      <c r="E429">
        <v>7569</v>
      </c>
      <c r="F429">
        <v>633</v>
      </c>
      <c r="G429" s="1">
        <f t="shared" si="6"/>
        <v>8.3630598493856526E-2</v>
      </c>
    </row>
    <row r="430" spans="1:7">
      <c r="A430" t="s">
        <v>344</v>
      </c>
      <c r="B430">
        <v>1</v>
      </c>
      <c r="C430" t="s">
        <v>33</v>
      </c>
      <c r="D430">
        <v>2</v>
      </c>
      <c r="E430">
        <v>7569</v>
      </c>
      <c r="F430">
        <v>1510</v>
      </c>
      <c r="G430" s="1">
        <f t="shared" si="6"/>
        <v>0.19949795217333863</v>
      </c>
    </row>
    <row r="431" spans="1:7">
      <c r="A431" t="s">
        <v>344</v>
      </c>
      <c r="B431">
        <v>1</v>
      </c>
      <c r="C431" t="s">
        <v>346</v>
      </c>
      <c r="D431">
        <v>3</v>
      </c>
      <c r="E431">
        <v>7569</v>
      </c>
      <c r="F431">
        <v>2167</v>
      </c>
      <c r="G431" s="1">
        <f t="shared" si="6"/>
        <v>0.28629937904610914</v>
      </c>
    </row>
    <row r="432" spans="1:7">
      <c r="A432" t="s">
        <v>344</v>
      </c>
      <c r="B432">
        <v>1</v>
      </c>
      <c r="C432" t="s">
        <v>347</v>
      </c>
      <c r="D432">
        <v>4</v>
      </c>
      <c r="E432">
        <v>7569</v>
      </c>
      <c r="F432">
        <v>4647</v>
      </c>
      <c r="G432" s="1">
        <f t="shared" si="6"/>
        <v>0.61395164486722154</v>
      </c>
    </row>
    <row r="433" spans="1:7">
      <c r="A433" t="s">
        <v>348</v>
      </c>
      <c r="B433">
        <v>1</v>
      </c>
      <c r="C433" t="s">
        <v>23</v>
      </c>
      <c r="D433">
        <v>1</v>
      </c>
      <c r="E433">
        <v>3129</v>
      </c>
      <c r="F433">
        <v>393</v>
      </c>
      <c r="G433" s="1">
        <f t="shared" si="6"/>
        <v>0.12559923298178333</v>
      </c>
    </row>
    <row r="434" spans="1:7">
      <c r="A434" t="s">
        <v>348</v>
      </c>
      <c r="B434">
        <v>1</v>
      </c>
      <c r="C434" t="s">
        <v>349</v>
      </c>
      <c r="D434">
        <v>2</v>
      </c>
      <c r="E434">
        <v>3129</v>
      </c>
      <c r="F434">
        <v>400</v>
      </c>
      <c r="G434" s="1">
        <f t="shared" si="6"/>
        <v>0.12783636944710769</v>
      </c>
    </row>
    <row r="435" spans="1:7">
      <c r="A435" t="s">
        <v>348</v>
      </c>
      <c r="B435">
        <v>1</v>
      </c>
      <c r="C435" t="s">
        <v>353</v>
      </c>
      <c r="D435">
        <v>3</v>
      </c>
      <c r="E435">
        <v>3129</v>
      </c>
      <c r="F435">
        <v>744</v>
      </c>
      <c r="G435" s="1">
        <f t="shared" si="6"/>
        <v>0.23777564717162034</v>
      </c>
    </row>
    <row r="436" spans="1:7">
      <c r="A436" t="s">
        <v>348</v>
      </c>
      <c r="B436">
        <v>1</v>
      </c>
      <c r="C436" t="s">
        <v>350</v>
      </c>
      <c r="D436">
        <v>4</v>
      </c>
      <c r="E436">
        <v>3129</v>
      </c>
      <c r="F436">
        <v>747</v>
      </c>
      <c r="G436" s="1">
        <f t="shared" si="6"/>
        <v>0.23873441994247363</v>
      </c>
    </row>
    <row r="437" spans="1:7">
      <c r="A437" t="s">
        <v>348</v>
      </c>
      <c r="B437">
        <v>1</v>
      </c>
      <c r="C437" t="s">
        <v>351</v>
      </c>
      <c r="D437">
        <v>5</v>
      </c>
      <c r="E437">
        <v>3129</v>
      </c>
      <c r="F437">
        <v>785</v>
      </c>
      <c r="G437" s="1">
        <f t="shared" si="6"/>
        <v>0.25087887503994888</v>
      </c>
    </row>
    <row r="438" spans="1:7">
      <c r="A438" t="s">
        <v>348</v>
      </c>
      <c r="B438">
        <v>1</v>
      </c>
      <c r="C438" t="s">
        <v>352</v>
      </c>
      <c r="D438">
        <v>6</v>
      </c>
      <c r="E438">
        <v>3129</v>
      </c>
      <c r="F438">
        <v>793</v>
      </c>
      <c r="G438" s="1">
        <f t="shared" si="6"/>
        <v>0.25343560242889102</v>
      </c>
    </row>
    <row r="439" spans="1:7">
      <c r="A439" t="s">
        <v>348</v>
      </c>
      <c r="B439">
        <v>1</v>
      </c>
      <c r="C439" t="s">
        <v>22</v>
      </c>
      <c r="D439">
        <v>7</v>
      </c>
      <c r="E439">
        <v>3129</v>
      </c>
      <c r="F439">
        <v>820</v>
      </c>
      <c r="G439" s="1">
        <f t="shared" si="6"/>
        <v>0.26206455736657081</v>
      </c>
    </row>
    <row r="440" spans="1:7">
      <c r="A440" t="s">
        <v>348</v>
      </c>
      <c r="B440">
        <v>1</v>
      </c>
      <c r="C440" t="s">
        <v>335</v>
      </c>
      <c r="D440">
        <v>8</v>
      </c>
      <c r="E440">
        <v>3129</v>
      </c>
      <c r="F440">
        <v>1594</v>
      </c>
      <c r="G440" s="1">
        <f t="shared" si="6"/>
        <v>0.50942793224672422</v>
      </c>
    </row>
    <row r="441" spans="1:7">
      <c r="A441" t="s">
        <v>354</v>
      </c>
      <c r="B441">
        <v>1</v>
      </c>
      <c r="C441" t="s">
        <v>33</v>
      </c>
      <c r="D441">
        <v>1</v>
      </c>
      <c r="E441">
        <v>25428</v>
      </c>
      <c r="F441">
        <v>5118</v>
      </c>
      <c r="G441" s="1">
        <f t="shared" si="6"/>
        <v>0.20127418593676263</v>
      </c>
    </row>
    <row r="442" spans="1:7">
      <c r="A442" t="s">
        <v>354</v>
      </c>
      <c r="B442">
        <v>1</v>
      </c>
      <c r="C442" t="s">
        <v>248</v>
      </c>
      <c r="D442">
        <v>2</v>
      </c>
      <c r="E442">
        <v>25428</v>
      </c>
      <c r="F442">
        <v>5426</v>
      </c>
      <c r="G442" s="1">
        <f t="shared" si="6"/>
        <v>0.21338681768129622</v>
      </c>
    </row>
    <row r="443" spans="1:7">
      <c r="A443" t="s">
        <v>354</v>
      </c>
      <c r="B443">
        <v>1</v>
      </c>
      <c r="C443" t="s">
        <v>356</v>
      </c>
      <c r="D443">
        <v>3</v>
      </c>
      <c r="E443">
        <v>25428</v>
      </c>
      <c r="F443">
        <v>5972</v>
      </c>
      <c r="G443" s="1">
        <f t="shared" si="6"/>
        <v>0.23485921031933302</v>
      </c>
    </row>
    <row r="444" spans="1:7">
      <c r="A444" t="s">
        <v>354</v>
      </c>
      <c r="B444">
        <v>1</v>
      </c>
      <c r="C444" t="s">
        <v>355</v>
      </c>
      <c r="D444">
        <v>4</v>
      </c>
      <c r="E444">
        <v>25428</v>
      </c>
      <c r="F444">
        <v>6158</v>
      </c>
      <c r="G444" s="1">
        <f t="shared" si="6"/>
        <v>0.24217398143778512</v>
      </c>
    </row>
    <row r="445" spans="1:7">
      <c r="A445" t="s">
        <v>354</v>
      </c>
      <c r="B445">
        <v>1</v>
      </c>
      <c r="C445" t="s">
        <v>357</v>
      </c>
      <c r="D445">
        <v>5</v>
      </c>
      <c r="E445">
        <v>25428</v>
      </c>
      <c r="F445">
        <v>6635</v>
      </c>
      <c r="G445" s="1">
        <f t="shared" si="6"/>
        <v>0.26093282995123485</v>
      </c>
    </row>
    <row r="446" spans="1:7">
      <c r="A446" t="s">
        <v>358</v>
      </c>
      <c r="B446">
        <v>5</v>
      </c>
      <c r="C446" t="s">
        <v>359</v>
      </c>
      <c r="D446">
        <v>1</v>
      </c>
      <c r="E446">
        <v>22769</v>
      </c>
      <c r="F446">
        <v>4498</v>
      </c>
      <c r="G446" s="1">
        <f t="shared" si="6"/>
        <v>0.19754929948614344</v>
      </c>
    </row>
    <row r="447" spans="1:7">
      <c r="A447" t="s">
        <v>358</v>
      </c>
      <c r="B447">
        <v>5</v>
      </c>
      <c r="C447" t="s">
        <v>33</v>
      </c>
      <c r="D447">
        <v>2</v>
      </c>
      <c r="E447">
        <v>22769</v>
      </c>
      <c r="F447">
        <v>4572</v>
      </c>
      <c r="G447" s="1">
        <f t="shared" si="6"/>
        <v>0.20079933242566647</v>
      </c>
    </row>
    <row r="448" spans="1:7">
      <c r="A448" t="s">
        <v>358</v>
      </c>
      <c r="B448">
        <v>5</v>
      </c>
      <c r="C448" t="s">
        <v>346</v>
      </c>
      <c r="D448">
        <v>3</v>
      </c>
      <c r="E448">
        <v>22769</v>
      </c>
      <c r="F448">
        <v>6758</v>
      </c>
      <c r="G448" s="1">
        <f t="shared" si="6"/>
        <v>0.29680706223373887</v>
      </c>
    </row>
    <row r="449" spans="1:7">
      <c r="A449" t="s">
        <v>358</v>
      </c>
      <c r="B449">
        <v>5</v>
      </c>
      <c r="C449" t="s">
        <v>360</v>
      </c>
      <c r="D449">
        <v>4</v>
      </c>
      <c r="E449">
        <v>22769</v>
      </c>
      <c r="F449">
        <v>10904</v>
      </c>
      <c r="G449" s="1">
        <f t="shared" si="6"/>
        <v>0.47889674557512407</v>
      </c>
    </row>
    <row r="450" spans="1:7">
      <c r="A450" t="s">
        <v>358</v>
      </c>
      <c r="B450">
        <v>5</v>
      </c>
      <c r="C450" t="s">
        <v>361</v>
      </c>
      <c r="D450">
        <v>5</v>
      </c>
      <c r="E450">
        <v>22769</v>
      </c>
      <c r="F450">
        <v>16976</v>
      </c>
      <c r="G450" s="1">
        <f t="shared" ref="G450:G513" si="7">F450/E450</f>
        <v>0.74557512407220339</v>
      </c>
    </row>
    <row r="451" spans="1:7">
      <c r="A451" t="s">
        <v>358</v>
      </c>
      <c r="B451">
        <v>7</v>
      </c>
      <c r="C451" t="s">
        <v>2</v>
      </c>
      <c r="D451">
        <v>1</v>
      </c>
      <c r="E451">
        <v>752</v>
      </c>
      <c r="F451">
        <v>189</v>
      </c>
      <c r="G451" s="1">
        <f t="shared" si="7"/>
        <v>0.25132978723404253</v>
      </c>
    </row>
    <row r="452" spans="1:7">
      <c r="A452" t="s">
        <v>358</v>
      </c>
      <c r="B452">
        <v>7</v>
      </c>
      <c r="C452" t="s">
        <v>33</v>
      </c>
      <c r="D452">
        <v>2</v>
      </c>
      <c r="E452">
        <v>752</v>
      </c>
      <c r="F452">
        <v>375</v>
      </c>
      <c r="G452" s="1">
        <f t="shared" si="7"/>
        <v>0.49867021276595747</v>
      </c>
    </row>
    <row r="453" spans="1:7">
      <c r="A453" t="s">
        <v>358</v>
      </c>
      <c r="B453">
        <v>7</v>
      </c>
      <c r="C453" t="s">
        <v>0</v>
      </c>
      <c r="D453">
        <v>3</v>
      </c>
      <c r="E453">
        <v>752</v>
      </c>
      <c r="F453">
        <v>622</v>
      </c>
      <c r="G453" s="1">
        <f t="shared" si="7"/>
        <v>0.8271276595744681</v>
      </c>
    </row>
    <row r="454" spans="1:7">
      <c r="A454" t="s">
        <v>358</v>
      </c>
      <c r="B454">
        <v>9</v>
      </c>
      <c r="C454" t="s">
        <v>375</v>
      </c>
      <c r="D454">
        <v>1</v>
      </c>
      <c r="E454">
        <v>778</v>
      </c>
      <c r="F454">
        <v>193</v>
      </c>
      <c r="G454" s="1">
        <f t="shared" si="7"/>
        <v>0.24807197943444731</v>
      </c>
    </row>
    <row r="455" spans="1:7">
      <c r="A455" t="s">
        <v>358</v>
      </c>
      <c r="B455">
        <v>9</v>
      </c>
      <c r="C455" t="s">
        <v>362</v>
      </c>
      <c r="D455">
        <v>2</v>
      </c>
      <c r="E455">
        <v>778</v>
      </c>
      <c r="F455">
        <v>194</v>
      </c>
      <c r="G455" s="1">
        <f t="shared" si="7"/>
        <v>0.24935732647814909</v>
      </c>
    </row>
    <row r="456" spans="1:7">
      <c r="A456" t="s">
        <v>358</v>
      </c>
      <c r="B456">
        <v>9</v>
      </c>
      <c r="C456" t="s">
        <v>377</v>
      </c>
      <c r="D456">
        <v>3</v>
      </c>
      <c r="E456">
        <v>778</v>
      </c>
      <c r="F456">
        <v>202</v>
      </c>
      <c r="G456" s="1">
        <f t="shared" si="7"/>
        <v>0.25964010282776351</v>
      </c>
    </row>
    <row r="457" spans="1:7">
      <c r="A457" t="s">
        <v>358</v>
      </c>
      <c r="B457">
        <v>9</v>
      </c>
      <c r="C457" t="s">
        <v>373</v>
      </c>
      <c r="D457">
        <v>4</v>
      </c>
      <c r="E457">
        <v>778</v>
      </c>
      <c r="F457">
        <v>226</v>
      </c>
      <c r="G457" s="1">
        <f t="shared" si="7"/>
        <v>0.29048843187660667</v>
      </c>
    </row>
    <row r="458" spans="1:7">
      <c r="A458" t="s">
        <v>358</v>
      </c>
      <c r="B458">
        <v>9</v>
      </c>
      <c r="C458" t="s">
        <v>368</v>
      </c>
      <c r="D458">
        <v>5</v>
      </c>
      <c r="E458">
        <v>778</v>
      </c>
      <c r="F458">
        <v>244</v>
      </c>
      <c r="G458" s="1">
        <f t="shared" si="7"/>
        <v>0.31362467866323906</v>
      </c>
    </row>
    <row r="459" spans="1:7">
      <c r="A459" t="s">
        <v>358</v>
      </c>
      <c r="B459">
        <v>9</v>
      </c>
      <c r="C459" t="s">
        <v>21</v>
      </c>
      <c r="D459">
        <v>6</v>
      </c>
      <c r="E459">
        <v>778</v>
      </c>
      <c r="F459">
        <v>245</v>
      </c>
      <c r="G459" s="1">
        <f t="shared" si="7"/>
        <v>0.31491002570694088</v>
      </c>
    </row>
    <row r="460" spans="1:7">
      <c r="A460" t="s">
        <v>358</v>
      </c>
      <c r="B460">
        <v>9</v>
      </c>
      <c r="C460" t="s">
        <v>371</v>
      </c>
      <c r="D460">
        <v>7</v>
      </c>
      <c r="E460">
        <v>778</v>
      </c>
      <c r="F460">
        <v>249</v>
      </c>
      <c r="G460" s="1">
        <f t="shared" si="7"/>
        <v>0.32005141388174807</v>
      </c>
    </row>
    <row r="461" spans="1:7">
      <c r="A461" t="s">
        <v>358</v>
      </c>
      <c r="B461">
        <v>9</v>
      </c>
      <c r="C461" t="s">
        <v>367</v>
      </c>
      <c r="D461">
        <v>8</v>
      </c>
      <c r="E461">
        <v>778</v>
      </c>
      <c r="F461">
        <v>252</v>
      </c>
      <c r="G461" s="1">
        <f t="shared" si="7"/>
        <v>0.32390745501285345</v>
      </c>
    </row>
    <row r="462" spans="1:7">
      <c r="A462" t="s">
        <v>358</v>
      </c>
      <c r="B462">
        <v>9</v>
      </c>
      <c r="C462" t="s">
        <v>370</v>
      </c>
      <c r="D462">
        <v>9</v>
      </c>
      <c r="E462">
        <v>778</v>
      </c>
      <c r="F462">
        <v>305</v>
      </c>
      <c r="G462" s="1">
        <f t="shared" si="7"/>
        <v>0.39203084832904883</v>
      </c>
    </row>
    <row r="463" spans="1:7">
      <c r="A463" t="s">
        <v>358</v>
      </c>
      <c r="B463">
        <v>9</v>
      </c>
      <c r="C463" t="s">
        <v>366</v>
      </c>
      <c r="D463">
        <v>10</v>
      </c>
      <c r="E463">
        <v>778</v>
      </c>
      <c r="F463">
        <v>307</v>
      </c>
      <c r="G463" s="1">
        <f t="shared" si="7"/>
        <v>0.39460154241645246</v>
      </c>
    </row>
    <row r="464" spans="1:7">
      <c r="A464" t="s">
        <v>358</v>
      </c>
      <c r="B464">
        <v>9</v>
      </c>
      <c r="C464" t="s">
        <v>365</v>
      </c>
      <c r="D464">
        <v>11</v>
      </c>
      <c r="E464">
        <v>778</v>
      </c>
      <c r="F464">
        <v>309</v>
      </c>
      <c r="G464" s="1">
        <f t="shared" si="7"/>
        <v>0.39717223650385602</v>
      </c>
    </row>
    <row r="465" spans="1:7">
      <c r="A465" t="s">
        <v>358</v>
      </c>
      <c r="B465">
        <v>9</v>
      </c>
      <c r="C465" t="s">
        <v>364</v>
      </c>
      <c r="D465">
        <v>12</v>
      </c>
      <c r="E465">
        <v>778</v>
      </c>
      <c r="F465">
        <v>351</v>
      </c>
      <c r="G465" s="1">
        <f t="shared" si="7"/>
        <v>0.45115681233933164</v>
      </c>
    </row>
    <row r="466" spans="1:7">
      <c r="A466" t="s">
        <v>358</v>
      </c>
      <c r="B466">
        <v>9</v>
      </c>
      <c r="C466" t="s">
        <v>374</v>
      </c>
      <c r="D466">
        <v>13</v>
      </c>
      <c r="E466">
        <v>778</v>
      </c>
      <c r="F466">
        <v>357</v>
      </c>
      <c r="G466" s="1">
        <f t="shared" si="7"/>
        <v>0.4588688946015424</v>
      </c>
    </row>
    <row r="467" spans="1:7">
      <c r="A467" t="s">
        <v>358</v>
      </c>
      <c r="B467">
        <v>9</v>
      </c>
      <c r="C467" t="s">
        <v>363</v>
      </c>
      <c r="D467">
        <v>14</v>
      </c>
      <c r="E467">
        <v>778</v>
      </c>
      <c r="F467">
        <v>364</v>
      </c>
      <c r="G467" s="1">
        <f t="shared" si="7"/>
        <v>0.46786632390745503</v>
      </c>
    </row>
    <row r="468" spans="1:7">
      <c r="A468" t="s">
        <v>358</v>
      </c>
      <c r="B468">
        <v>9</v>
      </c>
      <c r="C468" t="s">
        <v>376</v>
      </c>
      <c r="D468">
        <v>15</v>
      </c>
      <c r="E468">
        <v>778</v>
      </c>
      <c r="F468">
        <v>492</v>
      </c>
      <c r="G468" s="1">
        <f t="shared" si="7"/>
        <v>0.63239074550128538</v>
      </c>
    </row>
    <row r="469" spans="1:7">
      <c r="A469" t="s">
        <v>358</v>
      </c>
      <c r="B469">
        <v>9</v>
      </c>
      <c r="C469" t="s">
        <v>372</v>
      </c>
      <c r="D469">
        <v>16</v>
      </c>
      <c r="E469">
        <v>778</v>
      </c>
      <c r="F469">
        <v>509</v>
      </c>
      <c r="G469" s="1">
        <f t="shared" si="7"/>
        <v>0.65424164524421591</v>
      </c>
    </row>
    <row r="470" spans="1:7">
      <c r="A470" t="s">
        <v>358</v>
      </c>
      <c r="B470">
        <v>9</v>
      </c>
      <c r="C470" t="s">
        <v>369</v>
      </c>
      <c r="D470">
        <v>17</v>
      </c>
      <c r="E470">
        <v>778</v>
      </c>
      <c r="F470">
        <v>541</v>
      </c>
      <c r="G470" s="1">
        <f t="shared" si="7"/>
        <v>0.69537275064267356</v>
      </c>
    </row>
    <row r="471" spans="1:7">
      <c r="A471" t="s">
        <v>358</v>
      </c>
      <c r="B471">
        <v>9</v>
      </c>
      <c r="C471" t="s">
        <v>378</v>
      </c>
      <c r="D471">
        <v>18</v>
      </c>
      <c r="E471">
        <v>778</v>
      </c>
      <c r="F471">
        <v>561</v>
      </c>
      <c r="G471" s="1">
        <f t="shared" si="7"/>
        <v>0.72107969151670948</v>
      </c>
    </row>
    <row r="472" spans="1:7">
      <c r="A472" t="s">
        <v>358</v>
      </c>
      <c r="B472">
        <v>10</v>
      </c>
      <c r="C472" t="s">
        <v>2</v>
      </c>
      <c r="D472">
        <v>1</v>
      </c>
      <c r="E472">
        <v>900</v>
      </c>
      <c r="F472">
        <v>894</v>
      </c>
      <c r="G472" s="1">
        <f t="shared" si="7"/>
        <v>0.99333333333333329</v>
      </c>
    </row>
    <row r="473" spans="1:7">
      <c r="A473" t="s">
        <v>358</v>
      </c>
      <c r="B473">
        <v>10</v>
      </c>
      <c r="C473" t="s">
        <v>0</v>
      </c>
      <c r="D473">
        <v>2</v>
      </c>
      <c r="E473">
        <v>900</v>
      </c>
      <c r="F473">
        <v>907</v>
      </c>
      <c r="G473" s="1">
        <f t="shared" si="7"/>
        <v>1.0077777777777779</v>
      </c>
    </row>
    <row r="474" spans="1:7">
      <c r="A474" t="s">
        <v>358</v>
      </c>
      <c r="B474">
        <v>10</v>
      </c>
      <c r="C474" t="s">
        <v>3</v>
      </c>
      <c r="D474">
        <v>3</v>
      </c>
      <c r="E474">
        <v>900</v>
      </c>
      <c r="F474">
        <v>924</v>
      </c>
      <c r="G474" s="1">
        <f t="shared" si="7"/>
        <v>1.0266666666666666</v>
      </c>
    </row>
    <row r="475" spans="1:7">
      <c r="A475" t="s">
        <v>358</v>
      </c>
      <c r="B475">
        <v>10</v>
      </c>
      <c r="C475" t="s">
        <v>1</v>
      </c>
      <c r="D475">
        <v>4</v>
      </c>
      <c r="E475">
        <v>900</v>
      </c>
      <c r="F475">
        <v>1571</v>
      </c>
      <c r="G475" s="1">
        <f t="shared" si="7"/>
        <v>1.7455555555555555</v>
      </c>
    </row>
    <row r="476" spans="1:7">
      <c r="A476" t="s">
        <v>358</v>
      </c>
      <c r="B476">
        <v>11</v>
      </c>
      <c r="C476" t="s">
        <v>379</v>
      </c>
      <c r="D476">
        <v>1</v>
      </c>
      <c r="E476">
        <v>1575</v>
      </c>
      <c r="F476">
        <v>179</v>
      </c>
      <c r="G476" s="1">
        <f t="shared" si="7"/>
        <v>0.11365079365079366</v>
      </c>
    </row>
    <row r="477" spans="1:7">
      <c r="A477" t="s">
        <v>358</v>
      </c>
      <c r="B477">
        <v>11</v>
      </c>
      <c r="C477" t="s">
        <v>382</v>
      </c>
      <c r="D477">
        <v>2</v>
      </c>
      <c r="E477">
        <v>1575</v>
      </c>
      <c r="F477">
        <v>691</v>
      </c>
      <c r="G477" s="1">
        <f t="shared" si="7"/>
        <v>0.43873015873015875</v>
      </c>
    </row>
    <row r="478" spans="1:7">
      <c r="A478" t="s">
        <v>358</v>
      </c>
      <c r="B478">
        <v>11</v>
      </c>
      <c r="C478" t="s">
        <v>380</v>
      </c>
      <c r="D478">
        <v>3</v>
      </c>
      <c r="E478">
        <v>1575</v>
      </c>
      <c r="F478">
        <v>718</v>
      </c>
      <c r="G478" s="1">
        <f t="shared" si="7"/>
        <v>0.45587301587301587</v>
      </c>
    </row>
    <row r="479" spans="1:7">
      <c r="A479" t="s">
        <v>358</v>
      </c>
      <c r="B479">
        <v>11</v>
      </c>
      <c r="C479" t="s">
        <v>386</v>
      </c>
      <c r="D479">
        <v>4</v>
      </c>
      <c r="E479">
        <v>1575</v>
      </c>
      <c r="F479">
        <v>727</v>
      </c>
      <c r="G479" s="1">
        <f t="shared" si="7"/>
        <v>0.4615873015873016</v>
      </c>
    </row>
    <row r="480" spans="1:7">
      <c r="A480" t="s">
        <v>358</v>
      </c>
      <c r="B480">
        <v>11</v>
      </c>
      <c r="C480" t="s">
        <v>394</v>
      </c>
      <c r="D480">
        <v>5</v>
      </c>
      <c r="E480">
        <v>1575</v>
      </c>
      <c r="F480">
        <v>751</v>
      </c>
      <c r="G480" s="1">
        <f t="shared" si="7"/>
        <v>0.47682539682539682</v>
      </c>
    </row>
    <row r="481" spans="1:7">
      <c r="A481" t="s">
        <v>358</v>
      </c>
      <c r="B481">
        <v>11</v>
      </c>
      <c r="C481" t="s">
        <v>391</v>
      </c>
      <c r="D481">
        <v>6</v>
      </c>
      <c r="E481">
        <v>1575</v>
      </c>
      <c r="F481">
        <v>799</v>
      </c>
      <c r="G481" s="1">
        <f t="shared" si="7"/>
        <v>0.50730158730158725</v>
      </c>
    </row>
    <row r="482" spans="1:7">
      <c r="A482" t="s">
        <v>358</v>
      </c>
      <c r="B482">
        <v>11</v>
      </c>
      <c r="C482" t="s">
        <v>389</v>
      </c>
      <c r="D482">
        <v>7</v>
      </c>
      <c r="E482">
        <v>1575</v>
      </c>
      <c r="F482">
        <v>824</v>
      </c>
      <c r="G482" s="1">
        <f t="shared" si="7"/>
        <v>0.52317460317460318</v>
      </c>
    </row>
    <row r="483" spans="1:7">
      <c r="A483" t="s">
        <v>358</v>
      </c>
      <c r="B483">
        <v>11</v>
      </c>
      <c r="C483" t="s">
        <v>383</v>
      </c>
      <c r="D483">
        <v>8</v>
      </c>
      <c r="E483">
        <v>1575</v>
      </c>
      <c r="F483">
        <v>875</v>
      </c>
      <c r="G483" s="1">
        <f t="shared" si="7"/>
        <v>0.55555555555555558</v>
      </c>
    </row>
    <row r="484" spans="1:7">
      <c r="A484" t="s">
        <v>358</v>
      </c>
      <c r="B484">
        <v>11</v>
      </c>
      <c r="C484" t="s">
        <v>390</v>
      </c>
      <c r="D484">
        <v>9</v>
      </c>
      <c r="E484">
        <v>1575</v>
      </c>
      <c r="F484">
        <v>877</v>
      </c>
      <c r="G484" s="1">
        <f t="shared" si="7"/>
        <v>0.55682539682539678</v>
      </c>
    </row>
    <row r="485" spans="1:7">
      <c r="A485" t="s">
        <v>358</v>
      </c>
      <c r="B485">
        <v>11</v>
      </c>
      <c r="C485" t="s">
        <v>387</v>
      </c>
      <c r="D485">
        <v>10</v>
      </c>
      <c r="E485">
        <v>1575</v>
      </c>
      <c r="F485">
        <v>899</v>
      </c>
      <c r="G485" s="1">
        <f t="shared" si="7"/>
        <v>0.57079365079365074</v>
      </c>
    </row>
    <row r="486" spans="1:7">
      <c r="A486" t="s">
        <v>358</v>
      </c>
      <c r="B486">
        <v>11</v>
      </c>
      <c r="C486" t="s">
        <v>388</v>
      </c>
      <c r="D486">
        <v>11</v>
      </c>
      <c r="E486">
        <v>1575</v>
      </c>
      <c r="F486">
        <v>907</v>
      </c>
      <c r="G486" s="1">
        <f t="shared" si="7"/>
        <v>0.57587301587301587</v>
      </c>
    </row>
    <row r="487" spans="1:7">
      <c r="A487" t="s">
        <v>358</v>
      </c>
      <c r="B487">
        <v>11</v>
      </c>
      <c r="C487" t="s">
        <v>381</v>
      </c>
      <c r="D487">
        <v>12</v>
      </c>
      <c r="E487">
        <v>1575</v>
      </c>
      <c r="F487">
        <v>911</v>
      </c>
      <c r="G487" s="1">
        <f t="shared" si="7"/>
        <v>0.57841269841269838</v>
      </c>
    </row>
    <row r="488" spans="1:7">
      <c r="A488" t="s">
        <v>358</v>
      </c>
      <c r="B488">
        <v>11</v>
      </c>
      <c r="C488" t="s">
        <v>396</v>
      </c>
      <c r="D488">
        <v>13</v>
      </c>
      <c r="E488">
        <v>1575</v>
      </c>
      <c r="F488">
        <v>913</v>
      </c>
      <c r="G488" s="1">
        <f t="shared" si="7"/>
        <v>0.57968253968253969</v>
      </c>
    </row>
    <row r="489" spans="1:7">
      <c r="A489" t="s">
        <v>358</v>
      </c>
      <c r="B489">
        <v>11</v>
      </c>
      <c r="C489" t="s">
        <v>384</v>
      </c>
      <c r="D489">
        <v>14</v>
      </c>
      <c r="E489">
        <v>1575</v>
      </c>
      <c r="F489">
        <v>917</v>
      </c>
      <c r="G489" s="1">
        <f t="shared" si="7"/>
        <v>0.5822222222222222</v>
      </c>
    </row>
    <row r="490" spans="1:7">
      <c r="A490" t="s">
        <v>358</v>
      </c>
      <c r="B490">
        <v>11</v>
      </c>
      <c r="C490" t="s">
        <v>392</v>
      </c>
      <c r="D490">
        <v>15</v>
      </c>
      <c r="E490">
        <v>1575</v>
      </c>
      <c r="F490">
        <v>919</v>
      </c>
      <c r="G490" s="1">
        <f t="shared" si="7"/>
        <v>0.58349206349206351</v>
      </c>
    </row>
    <row r="491" spans="1:7">
      <c r="A491" t="s">
        <v>358</v>
      </c>
      <c r="B491">
        <v>11</v>
      </c>
      <c r="C491" t="s">
        <v>393</v>
      </c>
      <c r="D491">
        <v>16</v>
      </c>
      <c r="E491">
        <v>1575</v>
      </c>
      <c r="F491">
        <v>940</v>
      </c>
      <c r="G491" s="1">
        <f t="shared" si="7"/>
        <v>0.59682539682539681</v>
      </c>
    </row>
    <row r="492" spans="1:7">
      <c r="A492" t="s">
        <v>358</v>
      </c>
      <c r="B492">
        <v>11</v>
      </c>
      <c r="C492" t="s">
        <v>395</v>
      </c>
      <c r="D492">
        <v>17</v>
      </c>
      <c r="E492">
        <v>1575</v>
      </c>
      <c r="F492">
        <v>941</v>
      </c>
      <c r="G492" s="1">
        <f t="shared" si="7"/>
        <v>0.59746031746031747</v>
      </c>
    </row>
    <row r="493" spans="1:7">
      <c r="A493" t="s">
        <v>358</v>
      </c>
      <c r="B493">
        <v>11</v>
      </c>
      <c r="C493" t="s">
        <v>385</v>
      </c>
      <c r="D493">
        <v>18</v>
      </c>
      <c r="E493">
        <v>1575</v>
      </c>
      <c r="F493">
        <v>979</v>
      </c>
      <c r="G493" s="1">
        <f t="shared" si="7"/>
        <v>0.62158730158730158</v>
      </c>
    </row>
    <row r="494" spans="1:7">
      <c r="A494" t="s">
        <v>358</v>
      </c>
      <c r="B494">
        <v>11</v>
      </c>
      <c r="C494" t="s">
        <v>397</v>
      </c>
      <c r="D494">
        <v>19</v>
      </c>
      <c r="E494">
        <v>1575</v>
      </c>
      <c r="F494">
        <v>1000</v>
      </c>
      <c r="G494" s="1">
        <f t="shared" si="7"/>
        <v>0.63492063492063489</v>
      </c>
    </row>
    <row r="495" spans="1:7">
      <c r="A495" t="s">
        <v>358</v>
      </c>
      <c r="B495">
        <v>12</v>
      </c>
      <c r="C495" t="s">
        <v>398</v>
      </c>
      <c r="D495">
        <v>1</v>
      </c>
      <c r="E495">
        <v>927</v>
      </c>
      <c r="F495">
        <v>170</v>
      </c>
      <c r="G495" s="1">
        <f t="shared" si="7"/>
        <v>0.18338727076591155</v>
      </c>
    </row>
    <row r="496" spans="1:7">
      <c r="A496" t="s">
        <v>358</v>
      </c>
      <c r="B496">
        <v>12</v>
      </c>
      <c r="C496" t="s">
        <v>400</v>
      </c>
      <c r="D496">
        <v>2</v>
      </c>
      <c r="E496">
        <v>927</v>
      </c>
      <c r="F496">
        <v>527</v>
      </c>
      <c r="G496" s="1">
        <f t="shared" si="7"/>
        <v>0.56850053937432576</v>
      </c>
    </row>
    <row r="497" spans="1:7">
      <c r="A497" t="s">
        <v>358</v>
      </c>
      <c r="B497">
        <v>12</v>
      </c>
      <c r="C497" t="s">
        <v>403</v>
      </c>
      <c r="D497">
        <v>3</v>
      </c>
      <c r="E497">
        <v>927</v>
      </c>
      <c r="F497">
        <v>542</v>
      </c>
      <c r="G497" s="1">
        <f t="shared" si="7"/>
        <v>0.58468176914778858</v>
      </c>
    </row>
    <row r="498" spans="1:7">
      <c r="A498" t="s">
        <v>358</v>
      </c>
      <c r="B498">
        <v>12</v>
      </c>
      <c r="C498" t="s">
        <v>375</v>
      </c>
      <c r="D498">
        <v>4</v>
      </c>
      <c r="E498">
        <v>927</v>
      </c>
      <c r="F498">
        <v>564</v>
      </c>
      <c r="G498" s="1">
        <f t="shared" si="7"/>
        <v>0.60841423948220064</v>
      </c>
    </row>
    <row r="499" spans="1:7">
      <c r="A499" t="s">
        <v>358</v>
      </c>
      <c r="B499">
        <v>12</v>
      </c>
      <c r="C499" t="s">
        <v>399</v>
      </c>
      <c r="D499">
        <v>5</v>
      </c>
      <c r="E499">
        <v>927</v>
      </c>
      <c r="F499">
        <v>578</v>
      </c>
      <c r="G499" s="1">
        <f t="shared" si="7"/>
        <v>0.62351672060409924</v>
      </c>
    </row>
    <row r="500" spans="1:7">
      <c r="A500" t="s">
        <v>358</v>
      </c>
      <c r="B500">
        <v>12</v>
      </c>
      <c r="C500" t="s">
        <v>402</v>
      </c>
      <c r="D500">
        <v>6</v>
      </c>
      <c r="E500">
        <v>927</v>
      </c>
      <c r="F500">
        <v>590</v>
      </c>
      <c r="G500" s="1">
        <f t="shared" si="7"/>
        <v>0.63646170442286942</v>
      </c>
    </row>
    <row r="501" spans="1:7">
      <c r="A501" t="s">
        <v>358</v>
      </c>
      <c r="B501">
        <v>12</v>
      </c>
      <c r="C501" t="s">
        <v>17</v>
      </c>
      <c r="D501">
        <v>7</v>
      </c>
      <c r="E501">
        <v>927</v>
      </c>
      <c r="F501">
        <v>610</v>
      </c>
      <c r="G501" s="1">
        <f t="shared" si="7"/>
        <v>0.65803667745415317</v>
      </c>
    </row>
    <row r="502" spans="1:7">
      <c r="A502" t="s">
        <v>358</v>
      </c>
      <c r="B502">
        <v>12</v>
      </c>
      <c r="C502" t="s">
        <v>404</v>
      </c>
      <c r="D502">
        <v>8</v>
      </c>
      <c r="E502">
        <v>927</v>
      </c>
      <c r="F502">
        <v>620</v>
      </c>
      <c r="G502" s="1">
        <f t="shared" si="7"/>
        <v>0.66882416396979505</v>
      </c>
    </row>
    <row r="503" spans="1:7">
      <c r="A503" t="s">
        <v>358</v>
      </c>
      <c r="B503">
        <v>12</v>
      </c>
      <c r="C503" t="s">
        <v>401</v>
      </c>
      <c r="D503">
        <v>9</v>
      </c>
      <c r="E503">
        <v>927</v>
      </c>
      <c r="F503">
        <v>667</v>
      </c>
      <c r="G503" s="1">
        <f t="shared" si="7"/>
        <v>0.7195253505933118</v>
      </c>
    </row>
    <row r="504" spans="1:7">
      <c r="A504" t="s">
        <v>358</v>
      </c>
      <c r="B504">
        <v>13</v>
      </c>
      <c r="C504" t="s">
        <v>19</v>
      </c>
      <c r="D504">
        <v>1</v>
      </c>
      <c r="E504">
        <v>172</v>
      </c>
      <c r="F504">
        <v>111</v>
      </c>
      <c r="G504" s="1">
        <f t="shared" si="7"/>
        <v>0.64534883720930236</v>
      </c>
    </row>
    <row r="505" spans="1:7">
      <c r="A505" t="s">
        <v>358</v>
      </c>
      <c r="B505">
        <v>13</v>
      </c>
      <c r="C505" t="s">
        <v>33</v>
      </c>
      <c r="D505">
        <v>2</v>
      </c>
      <c r="E505">
        <v>172</v>
      </c>
      <c r="F505">
        <v>180</v>
      </c>
      <c r="G505" s="1">
        <f t="shared" si="7"/>
        <v>1.0465116279069768</v>
      </c>
    </row>
    <row r="506" spans="1:7">
      <c r="A506" t="s">
        <v>405</v>
      </c>
      <c r="B506">
        <v>2</v>
      </c>
      <c r="C506" t="s">
        <v>406</v>
      </c>
      <c r="D506">
        <v>1</v>
      </c>
      <c r="E506">
        <v>1982</v>
      </c>
      <c r="F506">
        <v>594</v>
      </c>
      <c r="G506" s="1">
        <f t="shared" si="7"/>
        <v>0.29969727547931385</v>
      </c>
    </row>
    <row r="507" spans="1:7">
      <c r="A507" t="s">
        <v>405</v>
      </c>
      <c r="B507">
        <v>2</v>
      </c>
      <c r="C507" t="s">
        <v>36</v>
      </c>
      <c r="D507">
        <v>2</v>
      </c>
      <c r="E507">
        <v>1982</v>
      </c>
      <c r="F507">
        <v>871</v>
      </c>
      <c r="G507" s="1">
        <f t="shared" si="7"/>
        <v>0.43945509586276488</v>
      </c>
    </row>
    <row r="508" spans="1:7">
      <c r="A508" t="s">
        <v>405</v>
      </c>
      <c r="B508">
        <v>2</v>
      </c>
      <c r="C508" t="s">
        <v>407</v>
      </c>
      <c r="D508">
        <v>3</v>
      </c>
      <c r="E508">
        <v>1982</v>
      </c>
      <c r="F508">
        <v>1295</v>
      </c>
      <c r="G508" s="1">
        <f t="shared" si="7"/>
        <v>0.65338042381432893</v>
      </c>
    </row>
    <row r="509" spans="1:7">
      <c r="A509" t="s">
        <v>405</v>
      </c>
      <c r="B509">
        <v>6</v>
      </c>
      <c r="C509" t="s">
        <v>37</v>
      </c>
      <c r="D509">
        <v>1</v>
      </c>
      <c r="E509">
        <v>809</v>
      </c>
      <c r="F509">
        <v>615</v>
      </c>
      <c r="G509" s="1">
        <f t="shared" si="7"/>
        <v>0.76019777503090236</v>
      </c>
    </row>
    <row r="510" spans="1:7">
      <c r="A510" t="s">
        <v>405</v>
      </c>
      <c r="B510">
        <v>6</v>
      </c>
      <c r="C510" t="s">
        <v>408</v>
      </c>
      <c r="D510">
        <v>2</v>
      </c>
      <c r="E510">
        <v>809</v>
      </c>
      <c r="F510">
        <v>622</v>
      </c>
      <c r="G510" s="1">
        <f t="shared" si="7"/>
        <v>0.76885043263288011</v>
      </c>
    </row>
    <row r="511" spans="1:7">
      <c r="A511" t="s">
        <v>405</v>
      </c>
      <c r="B511">
        <v>6</v>
      </c>
      <c r="C511" t="s">
        <v>409</v>
      </c>
      <c r="D511">
        <v>3</v>
      </c>
      <c r="E511">
        <v>809</v>
      </c>
      <c r="F511">
        <v>702</v>
      </c>
      <c r="G511" s="1">
        <f t="shared" si="7"/>
        <v>0.86773794808405436</v>
      </c>
    </row>
    <row r="512" spans="1:7">
      <c r="A512" t="s">
        <v>405</v>
      </c>
      <c r="B512">
        <v>6</v>
      </c>
      <c r="C512" t="s">
        <v>411</v>
      </c>
      <c r="D512">
        <v>4</v>
      </c>
      <c r="E512">
        <v>809</v>
      </c>
      <c r="F512">
        <v>706</v>
      </c>
      <c r="G512" s="1">
        <f t="shared" si="7"/>
        <v>0.87268232385661315</v>
      </c>
    </row>
    <row r="513" spans="1:7">
      <c r="A513" t="s">
        <v>405</v>
      </c>
      <c r="B513">
        <v>6</v>
      </c>
      <c r="C513" t="s">
        <v>410</v>
      </c>
      <c r="D513">
        <v>5</v>
      </c>
      <c r="E513">
        <v>809</v>
      </c>
      <c r="F513">
        <v>712</v>
      </c>
      <c r="G513" s="1">
        <f t="shared" si="7"/>
        <v>0.88009888751545118</v>
      </c>
    </row>
    <row r="514" spans="1:7">
      <c r="A514" t="s">
        <v>405</v>
      </c>
      <c r="B514">
        <v>6</v>
      </c>
      <c r="C514" t="s">
        <v>250</v>
      </c>
      <c r="D514">
        <v>6</v>
      </c>
      <c r="E514">
        <v>809</v>
      </c>
      <c r="F514">
        <v>720</v>
      </c>
      <c r="G514" s="1">
        <f t="shared" ref="G514:G516" si="8">F514/E514</f>
        <v>0.88998763906056866</v>
      </c>
    </row>
    <row r="515" spans="1:7">
      <c r="A515" t="s">
        <v>405</v>
      </c>
      <c r="B515">
        <v>8</v>
      </c>
      <c r="C515" t="s">
        <v>19</v>
      </c>
      <c r="D515">
        <v>1</v>
      </c>
      <c r="E515">
        <v>926</v>
      </c>
      <c r="F515">
        <v>878</v>
      </c>
      <c r="G515" s="1">
        <f t="shared" si="8"/>
        <v>0.94816414686825057</v>
      </c>
    </row>
    <row r="516" spans="1:7">
      <c r="A516" t="s">
        <v>405</v>
      </c>
      <c r="B516">
        <v>8</v>
      </c>
      <c r="C516" t="s">
        <v>33</v>
      </c>
      <c r="D516">
        <v>2</v>
      </c>
      <c r="E516">
        <v>926</v>
      </c>
      <c r="F516">
        <v>886</v>
      </c>
      <c r="G516" s="1">
        <f t="shared" si="8"/>
        <v>0.95680345572354208</v>
      </c>
    </row>
    <row r="517" spans="1:7">
      <c r="E517">
        <f>AVERAGE(E2:E516)</f>
        <v>6974.5611650485434</v>
      </c>
      <c r="F517">
        <f>AVERAGE(F2:F516)</f>
        <v>2697.1902912621358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16"/>
  <sheetViews>
    <sheetView topLeftCell="F1" workbookViewId="0">
      <selection activeCell="P1" sqref="P1:V8"/>
    </sheetView>
  </sheetViews>
  <sheetFormatPr baseColWidth="10" defaultRowHeight="15" x14ac:dyDescent="0"/>
  <cols>
    <col min="1" max="1" width="20" customWidth="1"/>
    <col min="3" max="3" width="17.5" customWidth="1"/>
    <col min="60" max="60" width="16.6640625" bestFit="1" customWidth="1"/>
    <col min="71" max="71" width="21.1640625" bestFit="1" customWidth="1"/>
  </cols>
  <sheetData>
    <row r="1" spans="1:81">
      <c r="A1" t="s">
        <v>412</v>
      </c>
      <c r="B1" t="s">
        <v>413</v>
      </c>
      <c r="C1" t="s">
        <v>423</v>
      </c>
      <c r="D1" t="s">
        <v>415</v>
      </c>
      <c r="E1" t="s">
        <v>508</v>
      </c>
      <c r="F1" s="1" t="s">
        <v>515</v>
      </c>
      <c r="G1" s="1" t="s">
        <v>424</v>
      </c>
      <c r="H1" t="s">
        <v>425</v>
      </c>
      <c r="I1" t="s">
        <v>426</v>
      </c>
      <c r="J1" t="s">
        <v>427</v>
      </c>
      <c r="K1" s="2" t="s">
        <v>428</v>
      </c>
      <c r="L1" s="2" t="s">
        <v>429</v>
      </c>
      <c r="M1" s="2"/>
      <c r="N1" s="2"/>
      <c r="O1" s="2"/>
      <c r="P1" s="2"/>
      <c r="Q1" s="2" t="s">
        <v>430</v>
      </c>
      <c r="R1" s="2"/>
      <c r="S1" s="2"/>
      <c r="T1" s="2"/>
      <c r="U1" s="2"/>
      <c r="W1" t="s">
        <v>431</v>
      </c>
      <c r="X1" t="s">
        <v>423</v>
      </c>
      <c r="Y1" t="s">
        <v>423</v>
      </c>
      <c r="Z1" t="s">
        <v>423</v>
      </c>
      <c r="AA1" t="s">
        <v>423</v>
      </c>
      <c r="AB1" t="s">
        <v>423</v>
      </c>
      <c r="AC1" t="s">
        <v>423</v>
      </c>
      <c r="AD1" t="s">
        <v>423</v>
      </c>
      <c r="AE1" t="s">
        <v>423</v>
      </c>
      <c r="AF1" t="s">
        <v>423</v>
      </c>
      <c r="AG1" t="s">
        <v>423</v>
      </c>
      <c r="AH1" t="s">
        <v>423</v>
      </c>
      <c r="AI1" t="s">
        <v>423</v>
      </c>
      <c r="AJ1" t="s">
        <v>423</v>
      </c>
      <c r="AK1" t="s">
        <v>423</v>
      </c>
      <c r="AL1" t="s">
        <v>423</v>
      </c>
      <c r="AM1" t="s">
        <v>423</v>
      </c>
      <c r="AN1" t="s">
        <v>423</v>
      </c>
      <c r="AO1" t="s">
        <v>423</v>
      </c>
      <c r="AP1" t="s">
        <v>423</v>
      </c>
      <c r="AQ1" t="s">
        <v>423</v>
      </c>
      <c r="AR1" t="s">
        <v>423</v>
      </c>
      <c r="AS1" t="s">
        <v>423</v>
      </c>
      <c r="AT1" t="s">
        <v>423</v>
      </c>
      <c r="AU1" t="s">
        <v>423</v>
      </c>
      <c r="AV1" t="s">
        <v>423</v>
      </c>
      <c r="AW1" t="s">
        <v>423</v>
      </c>
      <c r="AX1" t="s">
        <v>423</v>
      </c>
      <c r="AY1" t="s">
        <v>423</v>
      </c>
      <c r="AZ1" t="s">
        <v>423</v>
      </c>
      <c r="BA1" t="s">
        <v>423</v>
      </c>
      <c r="BB1" t="s">
        <v>423</v>
      </c>
      <c r="BC1" t="s">
        <v>423</v>
      </c>
      <c r="BD1" t="s">
        <v>423</v>
      </c>
      <c r="BE1" t="s">
        <v>423</v>
      </c>
      <c r="BF1" t="s">
        <v>423</v>
      </c>
      <c r="BG1" t="s">
        <v>423</v>
      </c>
      <c r="BH1" t="s">
        <v>423</v>
      </c>
      <c r="BI1" t="s">
        <v>423</v>
      </c>
      <c r="BJ1" t="s">
        <v>423</v>
      </c>
      <c r="BK1" t="s">
        <v>423</v>
      </c>
      <c r="BL1" t="s">
        <v>423</v>
      </c>
      <c r="BM1" t="s">
        <v>423</v>
      </c>
      <c r="BN1" t="s">
        <v>423</v>
      </c>
      <c r="BO1" t="s">
        <v>423</v>
      </c>
      <c r="BP1" t="s">
        <v>423</v>
      </c>
      <c r="BQ1" t="s">
        <v>423</v>
      </c>
      <c r="BR1" t="s">
        <v>423</v>
      </c>
      <c r="BS1" t="s">
        <v>423</v>
      </c>
      <c r="BT1" t="s">
        <v>423</v>
      </c>
      <c r="BU1" t="s">
        <v>423</v>
      </c>
      <c r="BV1" t="s">
        <v>423</v>
      </c>
      <c r="BW1" t="s">
        <v>423</v>
      </c>
      <c r="BX1" t="s">
        <v>423</v>
      </c>
      <c r="BY1" t="s">
        <v>423</v>
      </c>
      <c r="BZ1" t="s">
        <v>423</v>
      </c>
      <c r="CA1" t="s">
        <v>423</v>
      </c>
      <c r="CB1" t="s">
        <v>423</v>
      </c>
      <c r="CC1" t="s">
        <v>423</v>
      </c>
    </row>
    <row r="2" spans="1:81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0.90196078431372551</v>
      </c>
      <c r="F2">
        <v>0.97800113787217902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>
        <f>IF(AND($F2 &gt; 0.8, $F2 &lt;=1.1),$E2,"")</f>
        <v>0.90196078431372551</v>
      </c>
      <c r="L2" s="1" t="str">
        <f>IF(AND($F2 &gt; 1.1),$E2,"")</f>
        <v/>
      </c>
      <c r="M2" s="1"/>
      <c r="N2" s="1" t="s">
        <v>432</v>
      </c>
      <c r="O2" s="1" t="s">
        <v>433</v>
      </c>
      <c r="P2" s="1" t="s">
        <v>434</v>
      </c>
      <c r="Q2" s="1">
        <v>0</v>
      </c>
      <c r="R2" s="1" t="s">
        <v>435</v>
      </c>
      <c r="S2" s="1" t="s">
        <v>436</v>
      </c>
      <c r="T2" s="1" t="s">
        <v>437</v>
      </c>
      <c r="U2" s="1" t="s">
        <v>438</v>
      </c>
      <c r="V2" t="s">
        <v>439</v>
      </c>
      <c r="W2">
        <f>COUNTA(X2:CC2)</f>
        <v>58</v>
      </c>
      <c r="X2" t="s">
        <v>440</v>
      </c>
      <c r="Y2" t="s">
        <v>441</v>
      </c>
      <c r="Z2" t="s">
        <v>442</v>
      </c>
      <c r="AA2" t="s">
        <v>443</v>
      </c>
      <c r="AB2" t="s">
        <v>444</v>
      </c>
      <c r="AC2" t="s">
        <v>445</v>
      </c>
      <c r="AD2" t="s">
        <v>446</v>
      </c>
      <c r="AE2" t="s">
        <v>447</v>
      </c>
      <c r="AF2" t="s">
        <v>448</v>
      </c>
      <c r="AG2" t="s">
        <v>449</v>
      </c>
      <c r="AH2" t="s">
        <v>450</v>
      </c>
      <c r="AI2" t="s">
        <v>451</v>
      </c>
      <c r="AJ2" t="s">
        <v>452</v>
      </c>
      <c r="AK2" t="s">
        <v>453</v>
      </c>
      <c r="AL2" t="s">
        <v>454</v>
      </c>
      <c r="AM2" t="s">
        <v>455</v>
      </c>
      <c r="AN2" t="s">
        <v>456</v>
      </c>
      <c r="AO2" t="s">
        <v>457</v>
      </c>
      <c r="AP2" t="s">
        <v>458</v>
      </c>
      <c r="AQ2" t="s">
        <v>459</v>
      </c>
      <c r="AR2" t="s">
        <v>460</v>
      </c>
      <c r="AS2" t="s">
        <v>461</v>
      </c>
      <c r="AT2" t="s">
        <v>462</v>
      </c>
      <c r="AU2" t="s">
        <v>463</v>
      </c>
      <c r="AV2" t="s">
        <v>464</v>
      </c>
      <c r="AW2" t="s">
        <v>465</v>
      </c>
      <c r="AX2" t="s">
        <v>466</v>
      </c>
      <c r="AY2" t="s">
        <v>467</v>
      </c>
      <c r="AZ2" t="s">
        <v>468</v>
      </c>
      <c r="BA2" t="s">
        <v>469</v>
      </c>
      <c r="BB2" t="s">
        <v>470</v>
      </c>
      <c r="BC2" t="s">
        <v>471</v>
      </c>
      <c r="BD2" t="s">
        <v>472</v>
      </c>
      <c r="BE2" t="s">
        <v>473</v>
      </c>
      <c r="BF2" t="s">
        <v>474</v>
      </c>
      <c r="BG2" t="s">
        <v>475</v>
      </c>
      <c r="BH2" t="s">
        <v>476</v>
      </c>
      <c r="BI2" t="s">
        <v>477</v>
      </c>
      <c r="BJ2" t="s">
        <v>478</v>
      </c>
      <c r="BK2" t="s">
        <v>479</v>
      </c>
      <c r="BL2" t="s">
        <v>480</v>
      </c>
      <c r="BM2" t="s">
        <v>481</v>
      </c>
      <c r="BN2" t="s">
        <v>482</v>
      </c>
      <c r="BO2" t="s">
        <v>483</v>
      </c>
      <c r="BP2" t="s">
        <v>484</v>
      </c>
      <c r="BQ2" t="s">
        <v>485</v>
      </c>
      <c r="BR2" t="s">
        <v>486</v>
      </c>
      <c r="BS2" t="s">
        <v>487</v>
      </c>
      <c r="BT2" t="s">
        <v>488</v>
      </c>
      <c r="BU2" t="s">
        <v>489</v>
      </c>
      <c r="BV2" t="s">
        <v>490</v>
      </c>
      <c r="BW2" t="s">
        <v>491</v>
      </c>
      <c r="BX2" t="s">
        <v>492</v>
      </c>
      <c r="BY2" t="s">
        <v>493</v>
      </c>
      <c r="BZ2" t="s">
        <v>494</v>
      </c>
      <c r="CA2" t="s">
        <v>495</v>
      </c>
      <c r="CB2" t="s">
        <v>496</v>
      </c>
      <c r="CC2" t="s">
        <v>497</v>
      </c>
    </row>
    <row r="3" spans="1:81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0.94117647058823528</v>
      </c>
      <c r="F3">
        <v>0.97819078323534991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>
        <f t="shared" ref="K3:K66" si="5">IF(AND($F3 &gt; 0.8, $F3 &lt;=1.1),$E3,"")</f>
        <v>0.94117647058823528</v>
      </c>
      <c r="L3" s="1" t="str">
        <f t="shared" ref="L3:L66" si="6">IF(AND($F3 &gt; 1.1),$E3,"")</f>
        <v/>
      </c>
      <c r="M3" s="1"/>
      <c r="N3" s="1">
        <f>SUM(T3:V3)/64</f>
        <v>7.8125E-2</v>
      </c>
      <c r="O3" s="1">
        <f>SUM(Q3:V3)</f>
        <v>58</v>
      </c>
      <c r="P3" t="s">
        <v>424</v>
      </c>
      <c r="Q3" s="3">
        <f t="shared" ref="Q3:Q8" si="7">COUNTIF($X3:$CC3,"=0")</f>
        <v>26</v>
      </c>
      <c r="R3" s="3">
        <f t="shared" ref="R3:R8" si="8">COUNTIFS($X3:$CC3,"&gt;0",$X3:$CC3,"&lt;0.25")</f>
        <v>22</v>
      </c>
      <c r="S3" s="3">
        <f t="shared" ref="S3:S8" si="9">COUNTIFS($X3:$CC3,"&gt;=0.25",$X3:$CC3,"&lt;0.5")</f>
        <v>5</v>
      </c>
      <c r="T3" s="3">
        <f t="shared" ref="T3:T8" si="10">COUNTIFS($X3:$CC3,"&gt;=0.5",$X3:$CC3,"&lt;0.75")</f>
        <v>4</v>
      </c>
      <c r="U3" s="3">
        <f t="shared" ref="U3:U8" si="11">COUNTIFS($X3:$CC3,"&gt;=0.75",$X3:$CC3,"&lt;1")</f>
        <v>1</v>
      </c>
      <c r="V3" s="3">
        <f t="shared" ref="V3:V8" si="12">COUNTIF($X3:$CC3,"=1")</f>
        <v>0</v>
      </c>
      <c r="W3" t="s">
        <v>424</v>
      </c>
      <c r="X3">
        <f>DMAX($A$1:$L$516,$W3,X$1:X$2)</f>
        <v>0</v>
      </c>
      <c r="Y3">
        <f>DMAX($A$1:$L$522,$W3,Y$1:Y$2)</f>
        <v>0</v>
      </c>
      <c r="Z3">
        <f t="shared" ref="Z3:CB3" si="13">DMAX($A$1:$L$522,$W3,Z$1:Z$2)</f>
        <v>0.22222222222222221</v>
      </c>
      <c r="AA3">
        <f t="shared" si="13"/>
        <v>0.2391304347826087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3.2786885245901641E-2</v>
      </c>
      <c r="AF3">
        <f t="shared" si="13"/>
        <v>0.75886524822695034</v>
      </c>
      <c r="AG3">
        <f t="shared" si="13"/>
        <v>4.7244094488188976E-2</v>
      </c>
      <c r="AH3">
        <f t="shared" si="13"/>
        <v>0.70297029702970293</v>
      </c>
      <c r="AI3">
        <f t="shared" si="13"/>
        <v>4.4642857142857144E-2</v>
      </c>
      <c r="AJ3">
        <f t="shared" si="13"/>
        <v>0</v>
      </c>
      <c r="AK3">
        <f t="shared" si="13"/>
        <v>0</v>
      </c>
      <c r="AL3">
        <f t="shared" si="13"/>
        <v>0.11576354679802955</v>
      </c>
      <c r="AM3">
        <f t="shared" si="13"/>
        <v>5.208333333333333E-3</v>
      </c>
      <c r="AN3">
        <f t="shared" si="13"/>
        <v>8.4745762711864406E-3</v>
      </c>
      <c r="AO3">
        <f t="shared" si="13"/>
        <v>0</v>
      </c>
      <c r="AP3">
        <f t="shared" si="13"/>
        <v>0.26190476190476192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0.13953488372093023</v>
      </c>
      <c r="AU3">
        <f t="shared" si="13"/>
        <v>9.6774193548387094E-2</v>
      </c>
      <c r="AV3">
        <f t="shared" si="13"/>
        <v>0.5178571428571429</v>
      </c>
      <c r="AW3">
        <f t="shared" si="13"/>
        <v>0.36046511627906974</v>
      </c>
      <c r="AX3">
        <f t="shared" si="13"/>
        <v>0.19565217391304349</v>
      </c>
      <c r="AY3">
        <f t="shared" si="13"/>
        <v>3.3333333333333333E-2</v>
      </c>
      <c r="AZ3">
        <f t="shared" si="13"/>
        <v>0</v>
      </c>
      <c r="BA3">
        <f t="shared" si="13"/>
        <v>0</v>
      </c>
      <c r="BB3">
        <f t="shared" si="13"/>
        <v>0.16</v>
      </c>
      <c r="BC3">
        <f t="shared" si="13"/>
        <v>0.64338235294117652</v>
      </c>
      <c r="BD3">
        <f t="shared" si="13"/>
        <v>0</v>
      </c>
      <c r="BE3">
        <f t="shared" si="13"/>
        <v>0.14285714285714285</v>
      </c>
      <c r="BF3">
        <f t="shared" si="13"/>
        <v>0</v>
      </c>
      <c r="BG3">
        <f t="shared" si="13"/>
        <v>0.1728395061728395</v>
      </c>
      <c r="BH3">
        <f t="shared" si="13"/>
        <v>0.65891472868217049</v>
      </c>
      <c r="BI3">
        <f t="shared" si="13"/>
        <v>0.33962264150943394</v>
      </c>
      <c r="BJ3">
        <f t="shared" si="13"/>
        <v>6.7842605156037995E-3</v>
      </c>
      <c r="BK3">
        <f t="shared" si="13"/>
        <v>5.2192066805845511E-3</v>
      </c>
      <c r="BL3">
        <f t="shared" si="13"/>
        <v>1.050420168067227E-2</v>
      </c>
      <c r="BM3">
        <f t="shared" si="13"/>
        <v>8.2372322899505763E-3</v>
      </c>
      <c r="BN3">
        <f t="shared" si="13"/>
        <v>0</v>
      </c>
      <c r="BO3">
        <f t="shared" si="13"/>
        <v>0</v>
      </c>
      <c r="BP3">
        <f t="shared" si="13"/>
        <v>0</v>
      </c>
      <c r="BQ3">
        <f t="shared" si="13"/>
        <v>0.26548672566371684</v>
      </c>
      <c r="BR3">
        <f t="shared" si="13"/>
        <v>0.18085106382978725</v>
      </c>
      <c r="BS3">
        <f t="shared" si="13"/>
        <v>0</v>
      </c>
      <c r="BT3">
        <f t="shared" si="13"/>
        <v>0.31707317073170732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7.9545454545454544E-2</v>
      </c>
      <c r="BY3">
        <f t="shared" si="13"/>
        <v>0.125</v>
      </c>
      <c r="BZ3">
        <f>DMAX($A$1:$L$522,$W3,BZ$1:BZ$2)</f>
        <v>0</v>
      </c>
      <c r="CA3">
        <f t="shared" si="13"/>
        <v>0</v>
      </c>
      <c r="CB3">
        <f t="shared" si="13"/>
        <v>0</v>
      </c>
      <c r="CC3">
        <f>DMAX($A$1:$L$516,$W3,CC$1:CC$2)</f>
        <v>0</v>
      </c>
    </row>
    <row r="4" spans="1:81">
      <c r="A4" t="s">
        <v>4</v>
      </c>
      <c r="B4">
        <v>1</v>
      </c>
      <c r="C4" t="str">
        <f t="shared" si="0"/>
        <v>test.BallonFactory_1_</v>
      </c>
      <c r="D4">
        <v>3</v>
      </c>
      <c r="E4">
        <v>1</v>
      </c>
      <c r="F4">
        <v>0.99450028446804473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>
        <f t="shared" si="5"/>
        <v>1</v>
      </c>
      <c r="L4" s="1" t="str">
        <f t="shared" si="6"/>
        <v/>
      </c>
      <c r="M4" s="1"/>
      <c r="N4" s="1">
        <f t="shared" ref="N4:N7" si="14">SUM(T4:V4)/64</f>
        <v>0.265625</v>
      </c>
      <c r="O4" s="1">
        <f t="shared" ref="O4:O7" si="15">SUM(Q4:V4)</f>
        <v>58</v>
      </c>
      <c r="P4" t="s">
        <v>425</v>
      </c>
      <c r="Q4" s="3">
        <f t="shared" si="7"/>
        <v>16</v>
      </c>
      <c r="R4" s="3">
        <f t="shared" si="8"/>
        <v>16</v>
      </c>
      <c r="S4" s="3">
        <f t="shared" si="9"/>
        <v>9</v>
      </c>
      <c r="T4" s="3">
        <f t="shared" si="10"/>
        <v>9</v>
      </c>
      <c r="U4" s="3">
        <f t="shared" si="11"/>
        <v>4</v>
      </c>
      <c r="V4" s="3">
        <f t="shared" si="12"/>
        <v>4</v>
      </c>
      <c r="W4" t="s">
        <v>425</v>
      </c>
      <c r="X4">
        <f>IF(X3&lt;DMAX($A$1:$L$522,$W4,X$1:X$2),DMAX($A$1:$L$522,$W4,X$1:X$2),X3)</f>
        <v>0</v>
      </c>
      <c r="Y4">
        <f t="shared" ref="Y4:CB8" si="16">IF(Y3&lt;DMAX($A$1:$L$522,$W4,Y$1:Y$2),DMAX($A$1:$L$522,$W4,Y$1:Y$2),Y3)</f>
        <v>0</v>
      </c>
      <c r="Z4">
        <f t="shared" si="16"/>
        <v>0.55555555555555558</v>
      </c>
      <c r="AA4">
        <f t="shared" si="16"/>
        <v>1</v>
      </c>
      <c r="AB4">
        <f t="shared" si="16"/>
        <v>0.19354838709677419</v>
      </c>
      <c r="AC4">
        <f t="shared" si="16"/>
        <v>0.19354838709677419</v>
      </c>
      <c r="AD4">
        <f t="shared" si="16"/>
        <v>0.125</v>
      </c>
      <c r="AE4">
        <f t="shared" si="16"/>
        <v>3.2786885245901641E-2</v>
      </c>
      <c r="AF4">
        <f t="shared" si="16"/>
        <v>0.75886524822695034</v>
      </c>
      <c r="AG4">
        <f t="shared" si="16"/>
        <v>0.73228346456692917</v>
      </c>
      <c r="AH4">
        <f t="shared" si="16"/>
        <v>0.70297029702970293</v>
      </c>
      <c r="AI4">
        <f t="shared" si="16"/>
        <v>4.4642857142857144E-2</v>
      </c>
      <c r="AJ4">
        <f t="shared" si="16"/>
        <v>0</v>
      </c>
      <c r="AK4">
        <f t="shared" si="16"/>
        <v>0</v>
      </c>
      <c r="AL4">
        <f t="shared" si="16"/>
        <v>0.58620689655172409</v>
      </c>
      <c r="AM4">
        <f t="shared" si="16"/>
        <v>5.208333333333333E-3</v>
      </c>
      <c r="AN4">
        <f t="shared" si="16"/>
        <v>8.4745762711864406E-3</v>
      </c>
      <c r="AO4">
        <f t="shared" si="16"/>
        <v>0.20454545454545456</v>
      </c>
      <c r="AP4">
        <f t="shared" si="16"/>
        <v>0.26190476190476192</v>
      </c>
      <c r="AQ4">
        <f t="shared" si="16"/>
        <v>0</v>
      </c>
      <c r="AR4">
        <f t="shared" si="16"/>
        <v>0</v>
      </c>
      <c r="AS4">
        <f t="shared" si="16"/>
        <v>0</v>
      </c>
      <c r="AT4">
        <f t="shared" si="16"/>
        <v>0.2558139534883721</v>
      </c>
      <c r="AU4">
        <f t="shared" si="16"/>
        <v>9.6774193548387094E-2</v>
      </c>
      <c r="AV4">
        <f t="shared" si="16"/>
        <v>0.5178571428571429</v>
      </c>
      <c r="AW4">
        <f t="shared" si="16"/>
        <v>0.36046511627906974</v>
      </c>
      <c r="AX4">
        <f t="shared" si="16"/>
        <v>0.45652173913043476</v>
      </c>
      <c r="AY4">
        <f t="shared" si="16"/>
        <v>0.2</v>
      </c>
      <c r="AZ4">
        <f t="shared" si="16"/>
        <v>0</v>
      </c>
      <c r="BA4">
        <f t="shared" si="16"/>
        <v>0.6696428571428571</v>
      </c>
      <c r="BB4">
        <f t="shared" si="16"/>
        <v>0.88571428571428568</v>
      </c>
      <c r="BC4">
        <f t="shared" si="16"/>
        <v>1</v>
      </c>
      <c r="BD4">
        <f t="shared" si="16"/>
        <v>0</v>
      </c>
      <c r="BE4">
        <f t="shared" si="16"/>
        <v>0.33333333333333331</v>
      </c>
      <c r="BF4">
        <f t="shared" si="16"/>
        <v>0.73333333333333328</v>
      </c>
      <c r="BG4">
        <f t="shared" si="16"/>
        <v>0.86419753086419748</v>
      </c>
      <c r="BH4">
        <f t="shared" si="16"/>
        <v>1</v>
      </c>
      <c r="BI4">
        <f t="shared" si="16"/>
        <v>0.33962264150943394</v>
      </c>
      <c r="BJ4">
        <f t="shared" si="16"/>
        <v>6.7842605156037995E-3</v>
      </c>
      <c r="BK4">
        <f t="shared" si="16"/>
        <v>5.2192066805845511E-3</v>
      </c>
      <c r="BL4">
        <f t="shared" si="16"/>
        <v>1.050420168067227E-2</v>
      </c>
      <c r="BM4">
        <f t="shared" si="16"/>
        <v>8.2372322899505763E-3</v>
      </c>
      <c r="BN4">
        <f t="shared" si="16"/>
        <v>0</v>
      </c>
      <c r="BO4">
        <f t="shared" si="16"/>
        <v>0</v>
      </c>
      <c r="BP4">
        <f t="shared" si="16"/>
        <v>0</v>
      </c>
      <c r="BQ4">
        <f t="shared" si="16"/>
        <v>0.51327433628318586</v>
      </c>
      <c r="BR4">
        <f t="shared" si="16"/>
        <v>0.85106382978723405</v>
      </c>
      <c r="BS4">
        <f t="shared" si="16"/>
        <v>1</v>
      </c>
      <c r="BT4">
        <f t="shared" si="16"/>
        <v>0.44715447154471544</v>
      </c>
      <c r="BU4">
        <f t="shared" si="16"/>
        <v>0.30303030303030304</v>
      </c>
      <c r="BV4">
        <f t="shared" si="16"/>
        <v>0.66666666666666663</v>
      </c>
      <c r="BW4">
        <f t="shared" si="16"/>
        <v>0</v>
      </c>
      <c r="BX4">
        <f t="shared" si="16"/>
        <v>7.9545454545454544E-2</v>
      </c>
      <c r="BY4">
        <f t="shared" si="16"/>
        <v>0.125</v>
      </c>
      <c r="BZ4">
        <f>IF(BZ3&lt;DMAX($A$1:$L$522,$W4,BZ$1:BZ$2),DMAX($A$1:$L$522,$W4,BZ$1:BZ$2),BZ3)</f>
        <v>0</v>
      </c>
      <c r="CA4">
        <f t="shared" si="16"/>
        <v>0.352112676056338</v>
      </c>
      <c r="CB4">
        <f t="shared" si="16"/>
        <v>0</v>
      </c>
      <c r="CC4">
        <f>IF(CC3&lt;DMAX($A$1:$L$516,$W4,CC$1:CC$2),DMAX($A$1:$L$516,$W4,CC$1:CC$2),CC3)</f>
        <v>0</v>
      </c>
    </row>
    <row r="5" spans="1:81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0.99715531955243697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>
        <f t="shared" si="5"/>
        <v>1</v>
      </c>
      <c r="L5" s="1" t="str">
        <f t="shared" si="6"/>
        <v/>
      </c>
      <c r="M5" s="1">
        <f>SUM(R5:V5)/64</f>
        <v>0.734375</v>
      </c>
      <c r="N5" s="1">
        <f t="shared" si="14"/>
        <v>0.421875</v>
      </c>
      <c r="O5" s="1">
        <f t="shared" si="15"/>
        <v>58</v>
      </c>
      <c r="P5" t="s">
        <v>426</v>
      </c>
      <c r="Q5" s="3">
        <f t="shared" si="7"/>
        <v>11</v>
      </c>
      <c r="R5" s="3">
        <f>COUNTIFS($X5:$CC5,"&gt;0",$X5:$CC5,"&lt;0.25")</f>
        <v>9</v>
      </c>
      <c r="S5" s="3">
        <f t="shared" si="9"/>
        <v>11</v>
      </c>
      <c r="T5" s="3">
        <f t="shared" si="10"/>
        <v>11</v>
      </c>
      <c r="U5" s="3">
        <f t="shared" si="11"/>
        <v>3</v>
      </c>
      <c r="V5" s="3">
        <f t="shared" si="12"/>
        <v>13</v>
      </c>
      <c r="W5" t="s">
        <v>426</v>
      </c>
      <c r="X5">
        <f>IF(X4&lt;DMAX($A$1:$L$522,$W5,X$1:X$2),DMAX($A$1:$L$522,$W5,X$1:X$2),X4)</f>
        <v>0</v>
      </c>
      <c r="Y5">
        <f>IF(Y4&lt;DMAX($A$1:$L$522,$W5,Y$1:Y$2),DMAX($A$1:$L$522,$W5,Y$1:Y$2),Y4)</f>
        <v>0.33333333333333331</v>
      </c>
      <c r="Z5">
        <f t="shared" si="16"/>
        <v>0.55555555555555558</v>
      </c>
      <c r="AA5">
        <f t="shared" si="16"/>
        <v>1</v>
      </c>
      <c r="AB5">
        <f t="shared" si="16"/>
        <v>0.19354838709677419</v>
      </c>
      <c r="AC5">
        <f t="shared" si="16"/>
        <v>0.19354838709677419</v>
      </c>
      <c r="AD5">
        <f t="shared" si="16"/>
        <v>0.375</v>
      </c>
      <c r="AE5">
        <f t="shared" si="16"/>
        <v>3.2786885245901641E-2</v>
      </c>
      <c r="AF5">
        <f t="shared" si="16"/>
        <v>0.75886524822695034</v>
      </c>
      <c r="AG5">
        <f t="shared" si="16"/>
        <v>0.73228346456692917</v>
      </c>
      <c r="AH5">
        <f t="shared" si="16"/>
        <v>0.70297029702970293</v>
      </c>
      <c r="AI5">
        <f t="shared" si="16"/>
        <v>0.5</v>
      </c>
      <c r="AJ5">
        <f t="shared" si="16"/>
        <v>0</v>
      </c>
      <c r="AK5">
        <f t="shared" si="16"/>
        <v>0</v>
      </c>
      <c r="AL5">
        <f t="shared" si="16"/>
        <v>1</v>
      </c>
      <c r="AM5">
        <f t="shared" si="16"/>
        <v>0.97916666666666663</v>
      </c>
      <c r="AN5">
        <f t="shared" si="16"/>
        <v>8.4745762711864406E-3</v>
      </c>
      <c r="AO5">
        <f t="shared" si="16"/>
        <v>0.38636363636363635</v>
      </c>
      <c r="AP5">
        <f t="shared" si="16"/>
        <v>0.26190476190476192</v>
      </c>
      <c r="AQ5">
        <f t="shared" si="16"/>
        <v>0</v>
      </c>
      <c r="AR5">
        <f t="shared" si="16"/>
        <v>0</v>
      </c>
      <c r="AS5">
        <f t="shared" si="16"/>
        <v>0</v>
      </c>
      <c r="AT5">
        <f t="shared" si="16"/>
        <v>0.2558139534883721</v>
      </c>
      <c r="AU5">
        <f t="shared" si="16"/>
        <v>9.6774193548387094E-2</v>
      </c>
      <c r="AV5">
        <f t="shared" si="16"/>
        <v>0.5178571428571429</v>
      </c>
      <c r="AW5">
        <f t="shared" si="16"/>
        <v>0.36046511627906974</v>
      </c>
      <c r="AX5">
        <f t="shared" si="16"/>
        <v>0.45652173913043476</v>
      </c>
      <c r="AY5">
        <f t="shared" si="16"/>
        <v>0.43333333333333335</v>
      </c>
      <c r="AZ5">
        <f t="shared" si="16"/>
        <v>0</v>
      </c>
      <c r="BA5">
        <f t="shared" si="16"/>
        <v>1</v>
      </c>
      <c r="BB5">
        <f t="shared" si="16"/>
        <v>1</v>
      </c>
      <c r="BC5">
        <f t="shared" si="16"/>
        <v>1</v>
      </c>
      <c r="BD5">
        <f t="shared" si="16"/>
        <v>0.36363636363636365</v>
      </c>
      <c r="BE5">
        <f t="shared" si="16"/>
        <v>0.47619047619047616</v>
      </c>
      <c r="BF5">
        <f t="shared" si="16"/>
        <v>1</v>
      </c>
      <c r="BG5">
        <f t="shared" si="16"/>
        <v>1</v>
      </c>
      <c r="BH5">
        <f t="shared" si="16"/>
        <v>1</v>
      </c>
      <c r="BI5">
        <f t="shared" si="16"/>
        <v>0.33962264150943394</v>
      </c>
      <c r="BJ5">
        <f t="shared" si="16"/>
        <v>6.7842605156037995E-3</v>
      </c>
      <c r="BK5">
        <f t="shared" si="16"/>
        <v>0.58872651356993733</v>
      </c>
      <c r="BL5">
        <f t="shared" si="16"/>
        <v>1.050420168067227E-2</v>
      </c>
      <c r="BM5">
        <f t="shared" si="16"/>
        <v>8.2372322899505763E-3</v>
      </c>
      <c r="BN5">
        <f t="shared" si="16"/>
        <v>1</v>
      </c>
      <c r="BO5">
        <f t="shared" si="16"/>
        <v>1</v>
      </c>
      <c r="BP5">
        <f t="shared" si="16"/>
        <v>0.1</v>
      </c>
      <c r="BQ5">
        <f t="shared" si="16"/>
        <v>0.51327433628318586</v>
      </c>
      <c r="BR5">
        <f t="shared" si="16"/>
        <v>1</v>
      </c>
      <c r="BS5">
        <f t="shared" si="16"/>
        <v>1</v>
      </c>
      <c r="BT5">
        <f t="shared" si="16"/>
        <v>0.57723577235772361</v>
      </c>
      <c r="BU5">
        <f t="shared" si="16"/>
        <v>0.66666666666666663</v>
      </c>
      <c r="BV5">
        <f t="shared" si="16"/>
        <v>0.77777777777777779</v>
      </c>
      <c r="BW5">
        <f t="shared" si="16"/>
        <v>0</v>
      </c>
      <c r="BX5">
        <f t="shared" si="16"/>
        <v>1</v>
      </c>
      <c r="BY5">
        <f t="shared" si="16"/>
        <v>0.5714285714285714</v>
      </c>
      <c r="BZ5">
        <f t="shared" si="16"/>
        <v>0</v>
      </c>
      <c r="CA5">
        <f t="shared" si="16"/>
        <v>0.70422535211267601</v>
      </c>
      <c r="CB5">
        <f t="shared" si="16"/>
        <v>0</v>
      </c>
      <c r="CC5">
        <f>IF(CC4&lt;DMAX($A$1:$L$516,$W5,CC$1:CC$2),DMAX($A$1:$L$516,$W5,CC$1:CC$2),CC4)</f>
        <v>0</v>
      </c>
    </row>
    <row r="6" spans="1:81">
      <c r="A6" t="s">
        <v>4</v>
      </c>
      <c r="B6">
        <v>2</v>
      </c>
      <c r="C6" t="str">
        <f t="shared" si="0"/>
        <v>test.BallonFactory_2_</v>
      </c>
      <c r="D6">
        <v>1</v>
      </c>
      <c r="E6">
        <v>0.33333333333333331</v>
      </c>
      <c r="F6">
        <v>0.43686868686868685</v>
      </c>
      <c r="G6" s="1" t="str">
        <f t="shared" si="1"/>
        <v/>
      </c>
      <c r="H6" s="1" t="str">
        <f t="shared" si="2"/>
        <v/>
      </c>
      <c r="I6" s="1">
        <f t="shared" si="3"/>
        <v>0.33333333333333331</v>
      </c>
      <c r="J6" s="1" t="str">
        <f t="shared" si="4"/>
        <v/>
      </c>
      <c r="K6" s="1" t="str">
        <f t="shared" si="5"/>
        <v/>
      </c>
      <c r="L6" s="1" t="str">
        <f t="shared" si="6"/>
        <v/>
      </c>
      <c r="M6" s="1">
        <f>25/64</f>
        <v>0.390625</v>
      </c>
      <c r="N6" s="1">
        <f>SUM(T6:V6)/64</f>
        <v>0.640625</v>
      </c>
      <c r="O6" s="1">
        <f t="shared" si="15"/>
        <v>58</v>
      </c>
      <c r="P6" t="s">
        <v>427</v>
      </c>
      <c r="Q6" s="3">
        <f t="shared" si="7"/>
        <v>7</v>
      </c>
      <c r="R6" s="3">
        <f t="shared" si="8"/>
        <v>4</v>
      </c>
      <c r="S6" s="3">
        <f t="shared" si="9"/>
        <v>6</v>
      </c>
      <c r="T6" s="3">
        <f t="shared" si="10"/>
        <v>9</v>
      </c>
      <c r="U6" s="3">
        <f t="shared" si="11"/>
        <v>10</v>
      </c>
      <c r="V6" s="3">
        <f t="shared" si="12"/>
        <v>22</v>
      </c>
      <c r="W6" t="s">
        <v>427</v>
      </c>
      <c r="X6">
        <f>IF(X5&lt;DMAX($A$1:$L$522,$W6,X$1:X$2),DMAX($A$1:$L$522,$W6,X$1:X$2),X5)</f>
        <v>0</v>
      </c>
      <c r="Y6">
        <f t="shared" si="16"/>
        <v>0.78787878787878785</v>
      </c>
      <c r="Z6">
        <f t="shared" si="16"/>
        <v>0.83333333333333337</v>
      </c>
      <c r="AA6">
        <f t="shared" si="16"/>
        <v>1</v>
      </c>
      <c r="AB6">
        <f t="shared" si="16"/>
        <v>0.93548387096774188</v>
      </c>
      <c r="AC6">
        <f t="shared" si="16"/>
        <v>0.93548387096774188</v>
      </c>
      <c r="AD6">
        <f t="shared" si="16"/>
        <v>0.625</v>
      </c>
      <c r="AE6">
        <f t="shared" si="16"/>
        <v>3.2786885245901641E-2</v>
      </c>
      <c r="AF6">
        <f t="shared" si="16"/>
        <v>0.75886524822695034</v>
      </c>
      <c r="AG6">
        <f t="shared" si="16"/>
        <v>0.73228346456692917</v>
      </c>
      <c r="AH6">
        <f t="shared" si="16"/>
        <v>0.70297029702970293</v>
      </c>
      <c r="AI6">
        <f t="shared" si="16"/>
        <v>0.5</v>
      </c>
      <c r="AJ6">
        <f t="shared" si="16"/>
        <v>0</v>
      </c>
      <c r="AK6">
        <f t="shared" si="16"/>
        <v>0</v>
      </c>
      <c r="AL6">
        <f t="shared" si="16"/>
        <v>1</v>
      </c>
      <c r="AM6">
        <f t="shared" si="16"/>
        <v>0.97916666666666663</v>
      </c>
      <c r="AN6">
        <f t="shared" si="16"/>
        <v>1</v>
      </c>
      <c r="AO6">
        <f t="shared" si="16"/>
        <v>0.38636363636363635</v>
      </c>
      <c r="AP6">
        <f t="shared" si="16"/>
        <v>0.26190476190476192</v>
      </c>
      <c r="AQ6">
        <f t="shared" si="16"/>
        <v>0.84036144578313254</v>
      </c>
      <c r="AR6">
        <f t="shared" si="16"/>
        <v>0</v>
      </c>
      <c r="AS6">
        <f t="shared" si="16"/>
        <v>1</v>
      </c>
      <c r="AT6">
        <f t="shared" si="16"/>
        <v>0.2558139534883721</v>
      </c>
      <c r="AU6">
        <f t="shared" si="16"/>
        <v>1</v>
      </c>
      <c r="AV6">
        <f t="shared" si="16"/>
        <v>0.5178571428571429</v>
      </c>
      <c r="AW6">
        <f t="shared" si="16"/>
        <v>0.81395348837209303</v>
      </c>
      <c r="AX6">
        <f t="shared" si="16"/>
        <v>0.45652173913043476</v>
      </c>
      <c r="AY6">
        <f t="shared" si="16"/>
        <v>0.8</v>
      </c>
      <c r="AZ6">
        <f t="shared" si="16"/>
        <v>0</v>
      </c>
      <c r="BA6">
        <f t="shared" si="16"/>
        <v>1</v>
      </c>
      <c r="BB6">
        <f t="shared" si="16"/>
        <v>1</v>
      </c>
      <c r="BC6">
        <f t="shared" si="16"/>
        <v>1</v>
      </c>
      <c r="BD6">
        <f t="shared" si="16"/>
        <v>0.68181818181818177</v>
      </c>
      <c r="BE6">
        <f t="shared" si="16"/>
        <v>0.8571428571428571</v>
      </c>
      <c r="BF6">
        <f t="shared" si="16"/>
        <v>1</v>
      </c>
      <c r="BG6">
        <f t="shared" si="16"/>
        <v>1</v>
      </c>
      <c r="BH6">
        <f t="shared" si="16"/>
        <v>1</v>
      </c>
      <c r="BI6">
        <f t="shared" si="16"/>
        <v>0.33962264150943394</v>
      </c>
      <c r="BJ6">
        <f t="shared" si="16"/>
        <v>6.7842605156037995E-3</v>
      </c>
      <c r="BK6">
        <f t="shared" si="16"/>
        <v>1</v>
      </c>
      <c r="BL6">
        <f t="shared" si="16"/>
        <v>1.050420168067227E-2</v>
      </c>
      <c r="BM6">
        <f t="shared" si="16"/>
        <v>8.2372322899505763E-3</v>
      </c>
      <c r="BN6">
        <f t="shared" si="16"/>
        <v>1</v>
      </c>
      <c r="BO6">
        <f t="shared" si="16"/>
        <v>1</v>
      </c>
      <c r="BP6">
        <f t="shared" si="16"/>
        <v>0.6</v>
      </c>
      <c r="BQ6">
        <f t="shared" si="16"/>
        <v>1</v>
      </c>
      <c r="BR6">
        <f t="shared" si="16"/>
        <v>1</v>
      </c>
      <c r="BS6">
        <f t="shared" si="16"/>
        <v>1</v>
      </c>
      <c r="BT6">
        <f t="shared" si="16"/>
        <v>1</v>
      </c>
      <c r="BU6">
        <f t="shared" si="16"/>
        <v>0.66666666666666663</v>
      </c>
      <c r="BV6">
        <f t="shared" si="16"/>
        <v>1</v>
      </c>
      <c r="BW6">
        <f t="shared" si="16"/>
        <v>0</v>
      </c>
      <c r="BX6">
        <f t="shared" si="16"/>
        <v>1</v>
      </c>
      <c r="BY6">
        <f t="shared" si="16"/>
        <v>1</v>
      </c>
      <c r="BZ6">
        <f t="shared" si="16"/>
        <v>0.42857142857142855</v>
      </c>
      <c r="CA6">
        <f t="shared" si="16"/>
        <v>1</v>
      </c>
      <c r="CB6">
        <f t="shared" si="16"/>
        <v>0.74193548387096775</v>
      </c>
      <c r="CC6">
        <f>IF(CC5&lt;DMAX($A$1:$L$516,$W6,CC$1:CC$2),DMAX($A$1:$L$516,$W6,CC$1:CC$2),CC5)</f>
        <v>0</v>
      </c>
    </row>
    <row r="7" spans="1:81">
      <c r="A7" t="s">
        <v>4</v>
      </c>
      <c r="B7">
        <v>2</v>
      </c>
      <c r="C7" t="str">
        <f t="shared" si="0"/>
        <v>test.BallonFactory_2_</v>
      </c>
      <c r="D7">
        <v>2</v>
      </c>
      <c r="E7">
        <v>0.5757575757575758</v>
      </c>
      <c r="F7">
        <v>0.63888888888888884</v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">
        <f t="shared" si="4"/>
        <v>0.5757575757575758</v>
      </c>
      <c r="K7" s="1" t="str">
        <f t="shared" si="5"/>
        <v/>
      </c>
      <c r="L7" s="1" t="str">
        <f t="shared" si="6"/>
        <v/>
      </c>
      <c r="M7" s="1"/>
      <c r="N7" s="1">
        <f t="shared" si="14"/>
        <v>0.90625</v>
      </c>
      <c r="O7" s="1">
        <f t="shared" si="15"/>
        <v>58</v>
      </c>
      <c r="P7" s="2" t="s">
        <v>428</v>
      </c>
      <c r="Q7" s="3">
        <f t="shared" si="7"/>
        <v>0</v>
      </c>
      <c r="R7" s="3">
        <f t="shared" si="8"/>
        <v>0</v>
      </c>
      <c r="S7" s="3">
        <f t="shared" si="9"/>
        <v>0</v>
      </c>
      <c r="T7" s="3">
        <f t="shared" si="10"/>
        <v>0</v>
      </c>
      <c r="U7" s="3">
        <f t="shared" si="11"/>
        <v>0</v>
      </c>
      <c r="V7" s="3">
        <f t="shared" si="12"/>
        <v>58</v>
      </c>
      <c r="W7" s="2" t="s">
        <v>428</v>
      </c>
      <c r="X7">
        <f>IF(X6&lt;DMAX($A$1:$L$522,$W7,X$1:X$2),DMAX($A$1:$L$522,$W7,X$1:X$2),X6)</f>
        <v>1</v>
      </c>
      <c r="Y7">
        <f t="shared" si="16"/>
        <v>1</v>
      </c>
      <c r="Z7">
        <f t="shared" si="16"/>
        <v>1</v>
      </c>
      <c r="AA7">
        <f t="shared" si="16"/>
        <v>1</v>
      </c>
      <c r="AB7">
        <f t="shared" si="16"/>
        <v>1</v>
      </c>
      <c r="AC7">
        <f t="shared" si="16"/>
        <v>1</v>
      </c>
      <c r="AD7">
        <f t="shared" si="16"/>
        <v>1</v>
      </c>
      <c r="AE7">
        <f t="shared" si="16"/>
        <v>1</v>
      </c>
      <c r="AF7">
        <f t="shared" si="16"/>
        <v>1</v>
      </c>
      <c r="AG7">
        <f t="shared" si="16"/>
        <v>1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1</v>
      </c>
      <c r="AM7">
        <f t="shared" si="16"/>
        <v>1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1</v>
      </c>
      <c r="AR7">
        <f t="shared" si="16"/>
        <v>1</v>
      </c>
      <c r="AS7">
        <f t="shared" si="16"/>
        <v>1</v>
      </c>
      <c r="AT7">
        <f t="shared" si="16"/>
        <v>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  <c r="AY7">
        <f t="shared" si="16"/>
        <v>1</v>
      </c>
      <c r="AZ7">
        <f t="shared" si="16"/>
        <v>1</v>
      </c>
      <c r="BA7">
        <f t="shared" si="16"/>
        <v>1</v>
      </c>
      <c r="BB7">
        <f t="shared" si="16"/>
        <v>1</v>
      </c>
      <c r="BC7">
        <f t="shared" si="16"/>
        <v>1</v>
      </c>
      <c r="BD7">
        <f t="shared" si="16"/>
        <v>1</v>
      </c>
      <c r="BE7">
        <f t="shared" si="16"/>
        <v>1</v>
      </c>
      <c r="BF7">
        <f t="shared" si="16"/>
        <v>1</v>
      </c>
      <c r="BG7">
        <f t="shared" si="16"/>
        <v>1</v>
      </c>
      <c r="BH7">
        <f t="shared" si="16"/>
        <v>1</v>
      </c>
      <c r="BI7">
        <f t="shared" si="16"/>
        <v>1</v>
      </c>
      <c r="BJ7">
        <f t="shared" si="16"/>
        <v>1</v>
      </c>
      <c r="BK7">
        <f t="shared" si="16"/>
        <v>1</v>
      </c>
      <c r="BL7">
        <f t="shared" si="16"/>
        <v>1</v>
      </c>
      <c r="BM7">
        <f t="shared" si="16"/>
        <v>1</v>
      </c>
      <c r="BN7">
        <f t="shared" si="16"/>
        <v>1</v>
      </c>
      <c r="BO7">
        <f t="shared" si="16"/>
        <v>1</v>
      </c>
      <c r="BP7">
        <f t="shared" si="16"/>
        <v>1</v>
      </c>
      <c r="BQ7">
        <f t="shared" si="16"/>
        <v>1</v>
      </c>
      <c r="BR7">
        <f t="shared" si="16"/>
        <v>1</v>
      </c>
      <c r="BS7">
        <f t="shared" si="16"/>
        <v>1</v>
      </c>
      <c r="BT7">
        <f t="shared" si="16"/>
        <v>1</v>
      </c>
      <c r="BU7">
        <f t="shared" si="16"/>
        <v>1</v>
      </c>
      <c r="BV7">
        <f t="shared" si="16"/>
        <v>1</v>
      </c>
      <c r="BW7">
        <f t="shared" si="16"/>
        <v>1</v>
      </c>
      <c r="BX7">
        <f t="shared" si="16"/>
        <v>1</v>
      </c>
      <c r="BY7">
        <f t="shared" si="16"/>
        <v>1</v>
      </c>
      <c r="BZ7">
        <f t="shared" si="16"/>
        <v>1</v>
      </c>
      <c r="CA7">
        <f t="shared" si="16"/>
        <v>1</v>
      </c>
      <c r="CB7">
        <f t="shared" si="16"/>
        <v>1</v>
      </c>
      <c r="CC7">
        <f>IF(CC6&lt;DMAX($A$1:$L$516,$W7,CC$1:CC$2),DMAX($A$1:$L$516,$W7,CC$1:CC$2),CC6)</f>
        <v>1</v>
      </c>
    </row>
    <row r="8" spans="1:81">
      <c r="A8" t="s">
        <v>4</v>
      </c>
      <c r="B8">
        <v>2</v>
      </c>
      <c r="C8" t="str">
        <f t="shared" si="0"/>
        <v>test.BallonFactory_2_</v>
      </c>
      <c r="D8">
        <v>3</v>
      </c>
      <c r="E8">
        <v>0.60606060606060608</v>
      </c>
      <c r="F8">
        <v>0.67803030303030298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>
        <f t="shared" si="4"/>
        <v>0.60606060606060608</v>
      </c>
      <c r="K8" s="1" t="str">
        <f t="shared" si="5"/>
        <v/>
      </c>
      <c r="L8" s="1" t="str">
        <f t="shared" si="6"/>
        <v/>
      </c>
      <c r="M8" s="1"/>
      <c r="N8" s="1">
        <f>SUM(T8:V8)/64</f>
        <v>0.90625</v>
      </c>
      <c r="O8" s="1"/>
      <c r="P8" s="1" t="s">
        <v>429</v>
      </c>
      <c r="Q8" s="3">
        <f t="shared" si="7"/>
        <v>0</v>
      </c>
      <c r="R8" s="3">
        <f t="shared" si="8"/>
        <v>0</v>
      </c>
      <c r="S8" s="3">
        <f t="shared" si="9"/>
        <v>0</v>
      </c>
      <c r="T8" s="3">
        <f t="shared" si="10"/>
        <v>0</v>
      </c>
      <c r="U8" s="3">
        <f t="shared" si="11"/>
        <v>0</v>
      </c>
      <c r="V8" s="3">
        <f t="shared" si="12"/>
        <v>58</v>
      </c>
      <c r="W8" s="2" t="s">
        <v>429</v>
      </c>
      <c r="X8">
        <f>IF(X7&lt;DMAX($A$1:$L$522,$W8,X$1:X$2),DMAX($A$1:$L$522,$W8,X$1:X$2),X7)</f>
        <v>1</v>
      </c>
      <c r="Y8">
        <f t="shared" si="16"/>
        <v>1</v>
      </c>
      <c r="Z8">
        <f t="shared" si="16"/>
        <v>1</v>
      </c>
      <c r="AA8">
        <f t="shared" si="16"/>
        <v>1</v>
      </c>
      <c r="AB8">
        <f t="shared" si="16"/>
        <v>1</v>
      </c>
      <c r="AC8">
        <f t="shared" si="16"/>
        <v>1</v>
      </c>
      <c r="AD8">
        <f t="shared" si="16"/>
        <v>1</v>
      </c>
      <c r="AE8">
        <f t="shared" si="16"/>
        <v>1</v>
      </c>
      <c r="AF8">
        <f t="shared" si="16"/>
        <v>1</v>
      </c>
      <c r="AG8">
        <f t="shared" si="16"/>
        <v>1</v>
      </c>
      <c r="AH8">
        <f t="shared" si="16"/>
        <v>1</v>
      </c>
      <c r="AI8">
        <f t="shared" si="16"/>
        <v>1</v>
      </c>
      <c r="AJ8">
        <f t="shared" si="16"/>
        <v>1</v>
      </c>
      <c r="AK8">
        <f t="shared" si="16"/>
        <v>1</v>
      </c>
      <c r="AL8">
        <f t="shared" si="16"/>
        <v>1</v>
      </c>
      <c r="AM8">
        <f t="shared" si="16"/>
        <v>1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1</v>
      </c>
      <c r="AR8">
        <f t="shared" si="16"/>
        <v>1</v>
      </c>
      <c r="AS8">
        <f t="shared" si="16"/>
        <v>1</v>
      </c>
      <c r="AT8">
        <f t="shared" si="16"/>
        <v>1</v>
      </c>
      <c r="AU8">
        <f t="shared" si="16"/>
        <v>1</v>
      </c>
      <c r="AV8">
        <f t="shared" si="16"/>
        <v>1</v>
      </c>
      <c r="AW8">
        <f t="shared" si="16"/>
        <v>1</v>
      </c>
      <c r="AX8">
        <f t="shared" si="16"/>
        <v>1</v>
      </c>
      <c r="AY8">
        <f t="shared" si="16"/>
        <v>1</v>
      </c>
      <c r="AZ8">
        <f t="shared" si="16"/>
        <v>1</v>
      </c>
      <c r="BA8">
        <f t="shared" si="16"/>
        <v>1</v>
      </c>
      <c r="BB8">
        <f t="shared" si="16"/>
        <v>1</v>
      </c>
      <c r="BC8">
        <f t="shared" si="16"/>
        <v>1</v>
      </c>
      <c r="BD8">
        <f t="shared" si="16"/>
        <v>1</v>
      </c>
      <c r="BE8">
        <f t="shared" si="16"/>
        <v>1</v>
      </c>
      <c r="BF8">
        <f t="shared" ref="BF8:CB8" si="17">IF(BF7&lt;DMAX($A$1:$L$522,$W8,BF$1:BF$2),DMAX($A$1:$L$522,$W8,BF$1:BF$2),BF7)</f>
        <v>1</v>
      </c>
      <c r="BG8">
        <f t="shared" si="17"/>
        <v>1</v>
      </c>
      <c r="BH8">
        <f t="shared" si="17"/>
        <v>1</v>
      </c>
      <c r="BI8">
        <f t="shared" si="17"/>
        <v>1</v>
      </c>
      <c r="BJ8">
        <f t="shared" si="17"/>
        <v>1</v>
      </c>
      <c r="BK8">
        <f t="shared" si="17"/>
        <v>1</v>
      </c>
      <c r="BL8">
        <f t="shared" si="17"/>
        <v>1</v>
      </c>
      <c r="BM8">
        <f t="shared" si="17"/>
        <v>1</v>
      </c>
      <c r="BN8">
        <f t="shared" si="17"/>
        <v>1</v>
      </c>
      <c r="BO8">
        <f t="shared" si="17"/>
        <v>1</v>
      </c>
      <c r="BP8">
        <f t="shared" si="17"/>
        <v>1</v>
      </c>
      <c r="BQ8">
        <f t="shared" si="17"/>
        <v>1</v>
      </c>
      <c r="BR8">
        <f t="shared" si="17"/>
        <v>1</v>
      </c>
      <c r="BS8">
        <f t="shared" si="17"/>
        <v>1</v>
      </c>
      <c r="BT8">
        <f t="shared" si="17"/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  <c r="BY8">
        <f t="shared" si="17"/>
        <v>1</v>
      </c>
      <c r="BZ8">
        <f t="shared" si="17"/>
        <v>1</v>
      </c>
      <c r="CA8">
        <f t="shared" si="17"/>
        <v>1</v>
      </c>
      <c r="CB8">
        <f t="shared" si="17"/>
        <v>1</v>
      </c>
      <c r="CC8">
        <f>IF(CC7&lt;DMAX($A$1:$L$516,$W8,CC$1:CC$2),DMAX($A$1:$L$516,$W8,CC$1:CC$2),CC7)</f>
        <v>1</v>
      </c>
    </row>
    <row r="9" spans="1:81">
      <c r="A9" t="s">
        <v>4</v>
      </c>
      <c r="B9">
        <v>2</v>
      </c>
      <c r="C9" t="str">
        <f t="shared" si="0"/>
        <v>test.BallonFactory_2_</v>
      </c>
      <c r="D9">
        <v>4</v>
      </c>
      <c r="E9">
        <v>0.78787878787878785</v>
      </c>
      <c r="F9">
        <v>0.70328282828282829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>
        <f t="shared" si="4"/>
        <v>0.78787878787878785</v>
      </c>
      <c r="K9" s="1" t="str">
        <f t="shared" si="5"/>
        <v/>
      </c>
      <c r="L9" s="1" t="str">
        <f t="shared" si="6"/>
        <v/>
      </c>
    </row>
    <row r="10" spans="1:81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0.78787878787878785</v>
      </c>
      <c r="F10">
        <v>0.7992424242424242</v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">
        <f t="shared" si="4"/>
        <v>0.78787878787878785</v>
      </c>
      <c r="K10" s="1" t="str">
        <f t="shared" si="5"/>
        <v/>
      </c>
      <c r="L10" s="1" t="str">
        <f t="shared" si="6"/>
        <v/>
      </c>
    </row>
    <row r="11" spans="1:81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0.81818181818181823</v>
      </c>
      <c r="F11">
        <v>0.8005050505050505</v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" t="str">
        <f t="shared" si="4"/>
        <v/>
      </c>
      <c r="K11" s="1">
        <f t="shared" si="5"/>
        <v>0.81818181818181823</v>
      </c>
      <c r="L11" s="1" t="str">
        <f t="shared" si="6"/>
        <v/>
      </c>
    </row>
    <row r="12" spans="1:81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0.96969696969696972</v>
      </c>
      <c r="F12">
        <v>0.81818181818181823</v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" t="str">
        <f t="shared" si="4"/>
        <v/>
      </c>
      <c r="K12" s="1">
        <f t="shared" si="5"/>
        <v>0.96969696969696972</v>
      </c>
      <c r="L12" s="1" t="str">
        <f t="shared" si="6"/>
        <v/>
      </c>
    </row>
    <row r="13" spans="1:81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1</v>
      </c>
      <c r="F13">
        <v>0.88131313131313127</v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" t="str">
        <f t="shared" si="4"/>
        <v/>
      </c>
      <c r="K13" s="1">
        <f t="shared" si="5"/>
        <v>1</v>
      </c>
      <c r="L13" s="1" t="str">
        <f t="shared" si="6"/>
        <v/>
      </c>
    </row>
    <row r="14" spans="1:81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1</v>
      </c>
      <c r="F14">
        <v>0.89015151515151514</v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" t="str">
        <f t="shared" si="4"/>
        <v/>
      </c>
      <c r="K14" s="1">
        <f t="shared" si="5"/>
        <v>1</v>
      </c>
      <c r="L14" s="1" t="str">
        <f t="shared" si="6"/>
        <v/>
      </c>
    </row>
    <row r="15" spans="1:81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1</v>
      </c>
      <c r="F15">
        <v>0.89520202020202022</v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" t="str">
        <f t="shared" si="4"/>
        <v/>
      </c>
      <c r="K15" s="1">
        <f t="shared" si="5"/>
        <v>1</v>
      </c>
      <c r="L15" s="1" t="str">
        <f t="shared" si="6"/>
        <v/>
      </c>
    </row>
    <row r="16" spans="1:81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1</v>
      </c>
      <c r="F16">
        <v>0.90277777777777779</v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" t="str">
        <f t="shared" si="4"/>
        <v/>
      </c>
      <c r="K16" s="1">
        <f t="shared" si="5"/>
        <v>1</v>
      </c>
      <c r="L16" s="1" t="str">
        <f t="shared" si="6"/>
        <v/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1</v>
      </c>
      <c r="F17">
        <v>0.93181818181818177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 t="str">
        <f t="shared" si="4"/>
        <v/>
      </c>
      <c r="K17" s="1">
        <f t="shared" si="5"/>
        <v>1</v>
      </c>
      <c r="L17" s="1" t="str">
        <f t="shared" si="6"/>
        <v/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1</v>
      </c>
      <c r="F18">
        <v>0.94318181818181823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>
        <f t="shared" si="5"/>
        <v>1</v>
      </c>
      <c r="L18" s="1" t="str">
        <f t="shared" si="6"/>
        <v/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1</v>
      </c>
      <c r="F19">
        <v>0.9987373737373737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 t="str">
        <f t="shared" si="4"/>
        <v/>
      </c>
      <c r="K19" s="1">
        <f t="shared" si="5"/>
        <v>1</v>
      </c>
      <c r="L19" s="1" t="str">
        <f t="shared" si="6"/>
        <v/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1</v>
      </c>
      <c r="F20">
        <v>1.0606060606060606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>
        <f t="shared" si="5"/>
        <v>1</v>
      </c>
      <c r="L20" s="1" t="str">
        <f t="shared" si="6"/>
        <v/>
      </c>
    </row>
    <row r="21" spans="1:12">
      <c r="A21" t="s">
        <v>4</v>
      </c>
      <c r="B21">
        <v>6</v>
      </c>
      <c r="C21" t="str">
        <f t="shared" si="0"/>
        <v>test.BallonFactory_6_</v>
      </c>
      <c r="D21">
        <v>1</v>
      </c>
      <c r="E21">
        <v>0.22222222222222221</v>
      </c>
      <c r="F21">
        <v>0.19957537154989385</v>
      </c>
      <c r="G21" s="1">
        <f t="shared" si="1"/>
        <v>0.22222222222222221</v>
      </c>
      <c r="H21" s="1" t="str">
        <f t="shared" si="2"/>
        <v/>
      </c>
      <c r="I21" s="1" t="str">
        <f t="shared" si="3"/>
        <v/>
      </c>
      <c r="J21" s="1" t="str">
        <f t="shared" si="4"/>
        <v/>
      </c>
      <c r="K21" s="1" t="str">
        <f t="shared" si="5"/>
        <v/>
      </c>
      <c r="L21" s="1" t="str">
        <f t="shared" si="6"/>
        <v/>
      </c>
    </row>
    <row r="22" spans="1:12">
      <c r="A22" t="s">
        <v>4</v>
      </c>
      <c r="B22">
        <v>6</v>
      </c>
      <c r="C22" t="str">
        <f t="shared" si="0"/>
        <v>test.BallonFactory_6_</v>
      </c>
      <c r="D22">
        <v>2</v>
      </c>
      <c r="E22">
        <v>0.55555555555555558</v>
      </c>
      <c r="F22">
        <v>0.32908704883227174</v>
      </c>
      <c r="G22" s="1" t="str">
        <f t="shared" si="1"/>
        <v/>
      </c>
      <c r="H22" s="1">
        <f t="shared" si="2"/>
        <v>0.55555555555555558</v>
      </c>
      <c r="I22" s="1" t="str">
        <f t="shared" si="3"/>
        <v/>
      </c>
      <c r="J22" s="1" t="str">
        <f t="shared" si="4"/>
        <v/>
      </c>
      <c r="K22" s="1" t="str">
        <f t="shared" si="5"/>
        <v/>
      </c>
      <c r="L22" s="1" t="str">
        <f t="shared" si="6"/>
        <v/>
      </c>
    </row>
    <row r="23" spans="1:12">
      <c r="A23" t="s">
        <v>4</v>
      </c>
      <c r="B23">
        <v>6</v>
      </c>
      <c r="C23" t="str">
        <f t="shared" si="0"/>
        <v>test.BallonFactory_6_</v>
      </c>
      <c r="D23">
        <v>3</v>
      </c>
      <c r="E23">
        <v>0.83333333333333337</v>
      </c>
      <c r="F23">
        <v>0.69214437367303605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>
        <f t="shared" si="4"/>
        <v>0.83333333333333337</v>
      </c>
      <c r="K23" s="1" t="str">
        <f t="shared" si="5"/>
        <v/>
      </c>
      <c r="L23" s="1" t="str">
        <f t="shared" si="6"/>
        <v/>
      </c>
    </row>
    <row r="24" spans="1:12">
      <c r="A24" t="s">
        <v>4</v>
      </c>
      <c r="B24">
        <v>6</v>
      </c>
      <c r="C24" t="str">
        <f t="shared" si="0"/>
        <v>test.BallonFactory_6_</v>
      </c>
      <c r="D24">
        <v>4</v>
      </c>
      <c r="E24">
        <v>0.94444444444444442</v>
      </c>
      <c r="F24">
        <v>0.97239915074309979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>
        <f t="shared" si="5"/>
        <v>0.94444444444444442</v>
      </c>
      <c r="L24" s="1" t="str">
        <f t="shared" si="6"/>
        <v/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1</v>
      </c>
      <c r="F25">
        <v>0.9851380042462845</v>
      </c>
      <c r="G25" s="1" t="str">
        <f t="shared" si="1"/>
        <v/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>
        <f t="shared" si="5"/>
        <v>1</v>
      </c>
      <c r="L25" s="1" t="str">
        <f t="shared" si="6"/>
        <v/>
      </c>
    </row>
    <row r="26" spans="1:12">
      <c r="A26" t="s">
        <v>4</v>
      </c>
      <c r="B26">
        <v>9</v>
      </c>
      <c r="C26" t="str">
        <f t="shared" si="0"/>
        <v>test.BallonFactory_9_</v>
      </c>
      <c r="D26">
        <v>1</v>
      </c>
      <c r="E26">
        <v>6.5217391304347824E-2</v>
      </c>
      <c r="F26">
        <v>6.8660774983004755E-2</v>
      </c>
      <c r="G26" s="1">
        <f t="shared" si="1"/>
        <v>6.5217391304347824E-2</v>
      </c>
      <c r="H26" s="1" t="str">
        <f t="shared" si="2"/>
        <v/>
      </c>
      <c r="I26" s="1" t="str">
        <f t="shared" si="3"/>
        <v/>
      </c>
      <c r="J26" s="1" t="str">
        <f t="shared" si="4"/>
        <v/>
      </c>
      <c r="K26" s="1" t="str">
        <f t="shared" si="5"/>
        <v/>
      </c>
      <c r="L26" s="1" t="str">
        <f t="shared" si="6"/>
        <v/>
      </c>
    </row>
    <row r="27" spans="1:12">
      <c r="A27" t="s">
        <v>4</v>
      </c>
      <c r="B27">
        <v>9</v>
      </c>
      <c r="C27" t="str">
        <f t="shared" si="0"/>
        <v>test.BallonFactory_9_</v>
      </c>
      <c r="D27">
        <v>2</v>
      </c>
      <c r="E27">
        <v>6.5217391304347824E-2</v>
      </c>
      <c r="F27">
        <v>6.9340584636301841E-2</v>
      </c>
      <c r="G27" s="1">
        <f t="shared" si="1"/>
        <v>6.5217391304347824E-2</v>
      </c>
      <c r="H27" s="1" t="str">
        <f t="shared" si="2"/>
        <v/>
      </c>
      <c r="I27" s="1" t="str">
        <f t="shared" si="3"/>
        <v/>
      </c>
      <c r="J27" s="1" t="str">
        <f t="shared" si="4"/>
        <v/>
      </c>
      <c r="K27" s="1" t="str">
        <f t="shared" si="5"/>
        <v/>
      </c>
      <c r="L27" s="1" t="str">
        <f t="shared" si="6"/>
        <v/>
      </c>
    </row>
    <row r="28" spans="1:12">
      <c r="A28" t="s">
        <v>4</v>
      </c>
      <c r="B28">
        <v>9</v>
      </c>
      <c r="C28" t="str">
        <f t="shared" si="0"/>
        <v>test.BallonFactory_9_</v>
      </c>
      <c r="D28">
        <v>3</v>
      </c>
      <c r="E28">
        <v>6.5217391304347824E-2</v>
      </c>
      <c r="F28">
        <v>7.0020394289598914E-2</v>
      </c>
      <c r="G28" s="1">
        <f t="shared" si="1"/>
        <v>6.5217391304347824E-2</v>
      </c>
      <c r="H28" s="1" t="str">
        <f t="shared" si="2"/>
        <v/>
      </c>
      <c r="I28" s="1" t="str">
        <f t="shared" si="3"/>
        <v/>
      </c>
      <c r="J28" s="1" t="str">
        <f t="shared" si="4"/>
        <v/>
      </c>
      <c r="K28" s="1" t="str">
        <f t="shared" si="5"/>
        <v/>
      </c>
      <c r="L28" s="1" t="str">
        <f t="shared" si="6"/>
        <v/>
      </c>
    </row>
    <row r="29" spans="1:12">
      <c r="A29" t="s">
        <v>4</v>
      </c>
      <c r="B29">
        <v>9</v>
      </c>
      <c r="C29" t="str">
        <f t="shared" si="0"/>
        <v>test.BallonFactory_9_</v>
      </c>
      <c r="D29">
        <v>4</v>
      </c>
      <c r="E29">
        <v>0.15217391304347827</v>
      </c>
      <c r="F29">
        <v>0.15295717199184228</v>
      </c>
      <c r="G29" s="1">
        <f t="shared" si="1"/>
        <v>0.15217391304347827</v>
      </c>
      <c r="H29" s="1" t="str">
        <f t="shared" si="2"/>
        <v/>
      </c>
      <c r="I29" s="1" t="str">
        <f t="shared" si="3"/>
        <v/>
      </c>
      <c r="J29" s="1" t="str">
        <f t="shared" si="4"/>
        <v/>
      </c>
      <c r="K29" s="1" t="str">
        <f t="shared" si="5"/>
        <v/>
      </c>
      <c r="L29" s="1" t="str">
        <f t="shared" si="6"/>
        <v/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0.2391304347826087</v>
      </c>
      <c r="F30">
        <v>0.15975526852481306</v>
      </c>
      <c r="G30" s="1">
        <f t="shared" si="1"/>
        <v>0.2391304347826087</v>
      </c>
      <c r="H30" s="1" t="str">
        <f t="shared" si="2"/>
        <v/>
      </c>
      <c r="I30" s="1" t="str">
        <f t="shared" si="3"/>
        <v/>
      </c>
      <c r="J30" s="1" t="str">
        <f t="shared" si="4"/>
        <v/>
      </c>
      <c r="K30" s="1" t="str">
        <f t="shared" si="5"/>
        <v/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0.5</v>
      </c>
      <c r="F31">
        <v>0.33242692046227057</v>
      </c>
      <c r="G31" s="1" t="str">
        <f t="shared" si="1"/>
        <v/>
      </c>
      <c r="H31" s="1">
        <f t="shared" si="2"/>
        <v>0.5</v>
      </c>
      <c r="I31" s="1" t="str">
        <f t="shared" si="3"/>
        <v/>
      </c>
      <c r="J31" s="1" t="str">
        <f t="shared" si="4"/>
        <v/>
      </c>
      <c r="K31" s="1" t="str">
        <f t="shared" si="5"/>
        <v/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0.65217391304347827</v>
      </c>
      <c r="F32">
        <v>0.33378653976886474</v>
      </c>
      <c r="G32" s="1" t="str">
        <f t="shared" si="1"/>
        <v/>
      </c>
      <c r="H32" s="1">
        <f t="shared" si="2"/>
        <v>0.65217391304347827</v>
      </c>
      <c r="I32" s="1" t="str">
        <f t="shared" si="3"/>
        <v/>
      </c>
      <c r="J32" s="1" t="str">
        <f t="shared" si="4"/>
        <v/>
      </c>
      <c r="K32" s="1" t="str">
        <f t="shared" si="5"/>
        <v/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0.91304347826086951</v>
      </c>
      <c r="F33">
        <v>0.3344663494221618</v>
      </c>
      <c r="G33" s="1" t="str">
        <f t="shared" si="1"/>
        <v/>
      </c>
      <c r="H33" s="1">
        <f t="shared" si="2"/>
        <v>0.91304347826086951</v>
      </c>
      <c r="I33" s="1" t="str">
        <f t="shared" si="3"/>
        <v/>
      </c>
      <c r="J33" s="1" t="str">
        <f t="shared" si="4"/>
        <v/>
      </c>
      <c r="K33" s="1" t="str">
        <f t="shared" si="5"/>
        <v/>
      </c>
      <c r="L33" s="1" t="str">
        <f t="shared" si="6"/>
        <v/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1</v>
      </c>
      <c r="F34">
        <v>0.39428959891230453</v>
      </c>
      <c r="G34" s="1" t="str">
        <f t="shared" si="1"/>
        <v/>
      </c>
      <c r="H34" s="1">
        <f t="shared" si="2"/>
        <v>1</v>
      </c>
      <c r="I34" s="1" t="str">
        <f t="shared" si="3"/>
        <v/>
      </c>
      <c r="J34" s="1" t="str">
        <f t="shared" si="4"/>
        <v/>
      </c>
      <c r="K34" s="1" t="str">
        <f t="shared" si="5"/>
        <v/>
      </c>
      <c r="L34" s="1" t="str">
        <f t="shared" si="6"/>
        <v/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1</v>
      </c>
      <c r="F35">
        <v>0.39972807613868117</v>
      </c>
      <c r="G35" s="1" t="str">
        <f t="shared" si="1"/>
        <v/>
      </c>
      <c r="H35" s="1">
        <f t="shared" si="2"/>
        <v>1</v>
      </c>
      <c r="I35" s="1" t="str">
        <f t="shared" si="3"/>
        <v/>
      </c>
      <c r="J35" s="1" t="str">
        <f t="shared" si="4"/>
        <v/>
      </c>
      <c r="K35" s="1" t="str">
        <f t="shared" si="5"/>
        <v/>
      </c>
      <c r="L35" s="1" t="str">
        <f t="shared" si="6"/>
        <v/>
      </c>
    </row>
    <row r="36" spans="1:12">
      <c r="A36" t="s">
        <v>32</v>
      </c>
      <c r="B36">
        <v>2</v>
      </c>
      <c r="C36" t="str">
        <f t="shared" si="0"/>
        <v>test.Base64_2_</v>
      </c>
      <c r="D36">
        <v>1</v>
      </c>
      <c r="E36">
        <v>0.19354838709677419</v>
      </c>
      <c r="F36">
        <v>0.29835651074589126</v>
      </c>
      <c r="G36" s="1" t="str">
        <f t="shared" si="1"/>
        <v/>
      </c>
      <c r="H36" s="1">
        <f t="shared" si="2"/>
        <v>0.19354838709677419</v>
      </c>
      <c r="I36" s="1" t="str">
        <f t="shared" si="3"/>
        <v/>
      </c>
      <c r="J36" s="1" t="str">
        <f t="shared" si="4"/>
        <v/>
      </c>
      <c r="K36" s="1" t="str">
        <f t="shared" si="5"/>
        <v/>
      </c>
      <c r="L36" s="1" t="str">
        <f t="shared" si="6"/>
        <v/>
      </c>
    </row>
    <row r="37" spans="1:12">
      <c r="A37" t="s">
        <v>32</v>
      </c>
      <c r="B37">
        <v>2</v>
      </c>
      <c r="C37" t="str">
        <f t="shared" si="0"/>
        <v>test.Base64_2_</v>
      </c>
      <c r="D37">
        <v>2</v>
      </c>
      <c r="E37">
        <v>0.54838709677419351</v>
      </c>
      <c r="F37">
        <v>0.66877370417193427</v>
      </c>
      <c r="G37" s="1" t="str">
        <f t="shared" si="1"/>
        <v/>
      </c>
      <c r="H37" s="1" t="str">
        <f t="shared" si="2"/>
        <v/>
      </c>
      <c r="I37" s="1" t="str">
        <f t="shared" si="3"/>
        <v/>
      </c>
      <c r="J37" s="1">
        <f t="shared" si="4"/>
        <v>0.54838709677419351</v>
      </c>
      <c r="K37" s="1" t="str">
        <f t="shared" si="5"/>
        <v/>
      </c>
      <c r="L37" s="1" t="str">
        <f t="shared" si="6"/>
        <v/>
      </c>
    </row>
    <row r="38" spans="1:12">
      <c r="A38" t="s">
        <v>32</v>
      </c>
      <c r="B38">
        <v>2</v>
      </c>
      <c r="C38" t="str">
        <f t="shared" si="0"/>
        <v>test.Base64_2_</v>
      </c>
      <c r="D38">
        <v>3</v>
      </c>
      <c r="E38">
        <v>0.93548387096774188</v>
      </c>
      <c r="F38">
        <v>0.67383059418457647</v>
      </c>
      <c r="G38" s="1" t="str">
        <f t="shared" si="1"/>
        <v/>
      </c>
      <c r="H38" s="1" t="str">
        <f t="shared" si="2"/>
        <v/>
      </c>
      <c r="I38" s="1" t="str">
        <f t="shared" si="3"/>
        <v/>
      </c>
      <c r="J38" s="1">
        <f t="shared" si="4"/>
        <v>0.93548387096774188</v>
      </c>
      <c r="K38" s="1" t="str">
        <f t="shared" si="5"/>
        <v/>
      </c>
      <c r="L38" s="1" t="str">
        <f t="shared" si="6"/>
        <v/>
      </c>
    </row>
    <row r="39" spans="1:12">
      <c r="A39" t="s">
        <v>32</v>
      </c>
      <c r="B39">
        <v>2</v>
      </c>
      <c r="C39" t="str">
        <f t="shared" si="0"/>
        <v>test.Base64_2_</v>
      </c>
      <c r="D39">
        <v>4</v>
      </c>
      <c r="E39">
        <v>1</v>
      </c>
      <c r="F39">
        <v>0.97471554993678888</v>
      </c>
      <c r="G39" s="1" t="str">
        <f t="shared" si="1"/>
        <v/>
      </c>
      <c r="H39" s="1" t="str">
        <f t="shared" si="2"/>
        <v/>
      </c>
      <c r="I39" s="1" t="str">
        <f t="shared" si="3"/>
        <v/>
      </c>
      <c r="J39" s="1" t="str">
        <f t="shared" si="4"/>
        <v/>
      </c>
      <c r="K39" s="1">
        <f t="shared" si="5"/>
        <v>1</v>
      </c>
      <c r="L39" s="1" t="str">
        <f t="shared" si="6"/>
        <v/>
      </c>
    </row>
    <row r="40" spans="1:12">
      <c r="A40" t="s">
        <v>32</v>
      </c>
      <c r="B40">
        <v>4</v>
      </c>
      <c r="C40" t="str">
        <f t="shared" si="0"/>
        <v>test.Base64_4_</v>
      </c>
      <c r="D40">
        <v>1</v>
      </c>
      <c r="E40">
        <v>0.19354838709677419</v>
      </c>
      <c r="F40">
        <v>0.29554140127388534</v>
      </c>
      <c r="G40" s="1" t="str">
        <f t="shared" si="1"/>
        <v/>
      </c>
      <c r="H40" s="1">
        <f t="shared" si="2"/>
        <v>0.19354838709677419</v>
      </c>
      <c r="I40" s="1" t="str">
        <f t="shared" si="3"/>
        <v/>
      </c>
      <c r="J40" s="1" t="str">
        <f t="shared" si="4"/>
        <v/>
      </c>
      <c r="K40" s="1" t="str">
        <f t="shared" si="5"/>
        <v/>
      </c>
      <c r="L40" s="1" t="str">
        <f t="shared" si="6"/>
        <v/>
      </c>
    </row>
    <row r="41" spans="1:12">
      <c r="A41" t="s">
        <v>32</v>
      </c>
      <c r="B41">
        <v>4</v>
      </c>
      <c r="C41" t="str">
        <f t="shared" si="0"/>
        <v>test.Base64_4_</v>
      </c>
      <c r="D41">
        <v>2</v>
      </c>
      <c r="E41">
        <v>0.54838709677419351</v>
      </c>
      <c r="F41">
        <v>0.68025477707006365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>
        <f t="shared" si="4"/>
        <v>0.54838709677419351</v>
      </c>
      <c r="K41" s="1" t="str">
        <f t="shared" si="5"/>
        <v/>
      </c>
      <c r="L41" s="1" t="str">
        <f t="shared" si="6"/>
        <v/>
      </c>
    </row>
    <row r="42" spans="1:12">
      <c r="A42" t="s">
        <v>32</v>
      </c>
      <c r="B42">
        <v>4</v>
      </c>
      <c r="C42" t="str">
        <f t="shared" si="0"/>
        <v>test.Base64_4_</v>
      </c>
      <c r="D42">
        <v>3</v>
      </c>
      <c r="E42">
        <v>0.93548387096774188</v>
      </c>
      <c r="F42">
        <v>0.69171974522292989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>
        <f t="shared" si="4"/>
        <v>0.93548387096774188</v>
      </c>
      <c r="K42" s="1" t="str">
        <f t="shared" si="5"/>
        <v/>
      </c>
      <c r="L42" s="1" t="str">
        <f t="shared" si="6"/>
        <v/>
      </c>
    </row>
    <row r="43" spans="1:12">
      <c r="A43" t="s">
        <v>32</v>
      </c>
      <c r="B43">
        <v>4</v>
      </c>
      <c r="C43" t="str">
        <f t="shared" si="0"/>
        <v>test.Base64_4_</v>
      </c>
      <c r="D43">
        <v>4</v>
      </c>
      <c r="E43">
        <v>1</v>
      </c>
      <c r="F43">
        <v>1.0114649681528662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 t="str">
        <f t="shared" si="4"/>
        <v/>
      </c>
      <c r="K43" s="1">
        <f t="shared" si="5"/>
        <v>1</v>
      </c>
      <c r="L43" s="1" t="str">
        <f t="shared" si="6"/>
        <v/>
      </c>
    </row>
    <row r="44" spans="1:12">
      <c r="A44" t="s">
        <v>32</v>
      </c>
      <c r="B44">
        <v>13</v>
      </c>
      <c r="C44" t="str">
        <f t="shared" si="0"/>
        <v>test.Base64_13_</v>
      </c>
      <c r="D44">
        <v>1</v>
      </c>
      <c r="E44">
        <v>0.125</v>
      </c>
      <c r="F44">
        <v>0.2874015748031496</v>
      </c>
      <c r="G44" s="1" t="str">
        <f t="shared" si="1"/>
        <v/>
      </c>
      <c r="H44" s="1">
        <f t="shared" si="2"/>
        <v>0.125</v>
      </c>
      <c r="I44" s="1" t="str">
        <f t="shared" si="3"/>
        <v/>
      </c>
      <c r="J44" s="1" t="str">
        <f t="shared" si="4"/>
        <v/>
      </c>
      <c r="K44" s="1" t="str">
        <f t="shared" si="5"/>
        <v/>
      </c>
      <c r="L44" s="1" t="str">
        <f t="shared" si="6"/>
        <v/>
      </c>
    </row>
    <row r="45" spans="1:12">
      <c r="A45" t="s">
        <v>32</v>
      </c>
      <c r="B45">
        <v>13</v>
      </c>
      <c r="C45" t="str">
        <f t="shared" si="0"/>
        <v>test.Base64_13_</v>
      </c>
      <c r="D45">
        <v>2</v>
      </c>
      <c r="E45">
        <v>0.375</v>
      </c>
      <c r="F45">
        <v>0.53543307086614178</v>
      </c>
      <c r="G45" s="1" t="str">
        <f t="shared" si="1"/>
        <v/>
      </c>
      <c r="H45" s="1" t="str">
        <f t="shared" si="2"/>
        <v/>
      </c>
      <c r="I45" s="1">
        <f t="shared" si="3"/>
        <v>0.375</v>
      </c>
      <c r="J45" s="1" t="str">
        <f t="shared" si="4"/>
        <v/>
      </c>
      <c r="K45" s="1" t="str">
        <f t="shared" si="5"/>
        <v/>
      </c>
      <c r="L45" s="1" t="str">
        <f t="shared" si="6"/>
        <v/>
      </c>
    </row>
    <row r="46" spans="1:12">
      <c r="A46" t="s">
        <v>32</v>
      </c>
      <c r="B46">
        <v>13</v>
      </c>
      <c r="C46" t="str">
        <f t="shared" si="0"/>
        <v>test.Base64_13_</v>
      </c>
      <c r="D46">
        <v>3</v>
      </c>
      <c r="E46">
        <v>0.625</v>
      </c>
      <c r="F46">
        <v>0.75590551181102361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>
        <f t="shared" si="4"/>
        <v>0.625</v>
      </c>
      <c r="K46" s="1" t="str">
        <f t="shared" si="5"/>
        <v/>
      </c>
      <c r="L46" s="1" t="str">
        <f t="shared" si="6"/>
        <v/>
      </c>
    </row>
    <row r="47" spans="1:12">
      <c r="A47" t="s">
        <v>32</v>
      </c>
      <c r="B47">
        <v>13</v>
      </c>
      <c r="C47" t="str">
        <f t="shared" si="0"/>
        <v>test.Base64_13_</v>
      </c>
      <c r="D47">
        <v>4</v>
      </c>
      <c r="E47">
        <v>0.875</v>
      </c>
      <c r="F47">
        <v>1.0078740157480315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>
        <f t="shared" si="5"/>
        <v>0.875</v>
      </c>
      <c r="L47" s="1" t="str">
        <f t="shared" si="6"/>
        <v/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1</v>
      </c>
      <c r="F48">
        <v>1.015748031496063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>
        <f t="shared" si="5"/>
        <v>1</v>
      </c>
      <c r="L48" s="1" t="str">
        <f t="shared" si="6"/>
        <v/>
      </c>
    </row>
    <row r="49" spans="1:12">
      <c r="A49" t="s">
        <v>32</v>
      </c>
      <c r="B49">
        <v>16</v>
      </c>
      <c r="C49" t="str">
        <f t="shared" si="0"/>
        <v>test.Base64_16_</v>
      </c>
      <c r="D49">
        <v>1</v>
      </c>
      <c r="E49">
        <v>1.6393442622950821E-2</v>
      </c>
      <c r="F49">
        <v>6.9802909432191461E-3</v>
      </c>
      <c r="G49" s="1">
        <f>IF($F49 &lt;= 0.2,$E49,"")</f>
        <v>1.6393442622950821E-2</v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 t="str">
        <f t="shared" si="5"/>
        <v/>
      </c>
      <c r="L49" s="1" t="str">
        <f t="shared" si="6"/>
        <v/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3.2786885245901641E-2</v>
      </c>
      <c r="F50">
        <v>1.2142186766776161E-2</v>
      </c>
      <c r="G50" s="1">
        <f t="shared" si="1"/>
        <v>3.2786885245901641E-2</v>
      </c>
      <c r="H50" s="1" t="str">
        <f t="shared" si="2"/>
        <v/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0.81420765027322406</v>
      </c>
      <c r="F51">
        <v>0.84086109807602061</v>
      </c>
      <c r="G51" s="1" t="str">
        <f t="shared" si="1"/>
        <v/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>
        <f t="shared" si="5"/>
        <v>0.81420765027322406</v>
      </c>
      <c r="L51" s="1" t="str">
        <f t="shared" si="6"/>
        <v/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1</v>
      </c>
      <c r="F52">
        <v>0.86608399812294701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>
        <f t="shared" si="5"/>
        <v>1</v>
      </c>
      <c r="L52" s="1" t="str">
        <f t="shared" si="6"/>
        <v/>
      </c>
    </row>
    <row r="53" spans="1:12">
      <c r="A53" t="s">
        <v>32</v>
      </c>
      <c r="B53">
        <v>18</v>
      </c>
      <c r="C53" t="str">
        <f t="shared" si="0"/>
        <v>test.Base64_18_</v>
      </c>
      <c r="D53">
        <v>1</v>
      </c>
      <c r="E53">
        <v>2.1276595744680851E-2</v>
      </c>
      <c r="F53">
        <v>9.6129521882114856E-3</v>
      </c>
      <c r="G53" s="1">
        <f t="shared" si="1"/>
        <v>2.1276595744680851E-2</v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 t="str">
        <f t="shared" si="5"/>
        <v/>
      </c>
      <c r="L53" s="1" t="str">
        <f t="shared" si="6"/>
        <v/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4.2553191489361701E-2</v>
      </c>
      <c r="F54">
        <v>2.3399949405514799E-2</v>
      </c>
      <c r="G54" s="1">
        <f t="shared" si="1"/>
        <v>4.2553191489361701E-2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0.12056737588652482</v>
      </c>
      <c r="F55">
        <v>6.0586896028332914E-2</v>
      </c>
      <c r="G55" s="1">
        <f t="shared" si="1"/>
        <v>0.12056737588652482</v>
      </c>
      <c r="H55" s="1" t="str">
        <f t="shared" si="2"/>
        <v/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0.16312056737588654</v>
      </c>
      <c r="F56">
        <v>7.2603086263597266E-2</v>
      </c>
      <c r="G56" s="1">
        <f t="shared" si="1"/>
        <v>0.16312056737588654</v>
      </c>
      <c r="H56" s="1" t="str">
        <f t="shared" si="2"/>
        <v/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0.24822695035460993</v>
      </c>
      <c r="F57">
        <v>9.688843916013154E-2</v>
      </c>
      <c r="G57" s="1">
        <f t="shared" si="1"/>
        <v>0.24822695035460993</v>
      </c>
      <c r="H57" s="1" t="str">
        <f t="shared" si="2"/>
        <v/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0.26950354609929078</v>
      </c>
      <c r="F58">
        <v>0.10498355679230964</v>
      </c>
      <c r="G58" s="1">
        <f t="shared" si="1"/>
        <v>0.26950354609929078</v>
      </c>
      <c r="H58" s="1" t="str">
        <f t="shared" si="2"/>
        <v/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0.29078014184397161</v>
      </c>
      <c r="F59">
        <v>0.10650139134834304</v>
      </c>
      <c r="G59" s="1">
        <f t="shared" si="1"/>
        <v>0.29078014184397161</v>
      </c>
      <c r="H59" s="1" t="str">
        <f t="shared" si="2"/>
        <v/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0.31205673758865249</v>
      </c>
      <c r="F60">
        <v>0.10662787756134581</v>
      </c>
      <c r="G60" s="1">
        <f t="shared" si="1"/>
        <v>0.31205673758865249</v>
      </c>
      <c r="H60" s="1" t="str">
        <f t="shared" si="2"/>
        <v/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0.33333333333333331</v>
      </c>
      <c r="F61">
        <v>0.11092840880344043</v>
      </c>
      <c r="G61" s="1">
        <f t="shared" si="1"/>
        <v>0.33333333333333331</v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0.36170212765957449</v>
      </c>
      <c r="F62">
        <v>0.11130786744244878</v>
      </c>
      <c r="G62" s="1">
        <f t="shared" si="1"/>
        <v>0.36170212765957449</v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0.36170212765957449</v>
      </c>
      <c r="F63">
        <v>0.11269921578547938</v>
      </c>
      <c r="G63" s="1">
        <f t="shared" si="1"/>
        <v>0.36170212765957449</v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0.36170212765957449</v>
      </c>
      <c r="F64">
        <v>0.11371110548950164</v>
      </c>
      <c r="G64" s="1">
        <f t="shared" si="1"/>
        <v>0.36170212765957449</v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0.36170212765957449</v>
      </c>
      <c r="F65">
        <v>0.11409056412850999</v>
      </c>
      <c r="G65" s="1">
        <f t="shared" si="1"/>
        <v>0.36170212765957449</v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0.36170212765957449</v>
      </c>
      <c r="F66">
        <v>0.11560839868454338</v>
      </c>
      <c r="G66" s="1">
        <f t="shared" si="1"/>
        <v>0.36170212765957449</v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18">CONCATENATE(A67, "_",B67,"_")</f>
        <v>test.Base64_18_</v>
      </c>
      <c r="D67">
        <v>15</v>
      </c>
      <c r="E67">
        <v>0.36170212765957449</v>
      </c>
      <c r="F67">
        <v>0.11927649886162409</v>
      </c>
      <c r="G67" s="1">
        <f t="shared" ref="G67:G130" si="19">IF($F67 &lt;= 0.2,$E67,"")</f>
        <v>0.36170212765957449</v>
      </c>
      <c r="H67" s="1" t="str">
        <f t="shared" ref="H67:H130" si="20">IF(AND($F67 &gt; 0.2,$F67 &lt;= 0.4),$E67,"")</f>
        <v/>
      </c>
      <c r="I67" s="1" t="str">
        <f t="shared" ref="I67:I130" si="21">IF(AND($F67 &gt; 0.4,$F67 &lt;= 0.6),$E67,"")</f>
        <v/>
      </c>
      <c r="J67" s="1" t="str">
        <f t="shared" ref="J67:J130" si="22">IF(AND($F67 &gt; 0.6,$F67 &lt;= 0.8),$E67,"")</f>
        <v/>
      </c>
      <c r="K67" s="1" t="str">
        <f t="shared" ref="K67:K130" si="23">IF(AND($F67 &gt; 0.8, $F67 &lt;=1.1),$E67,"")</f>
        <v/>
      </c>
      <c r="L67" s="1" t="str">
        <f t="shared" ref="L67:L130" si="24">IF(AND($F67 &gt; 1.1),$E67,"")</f>
        <v/>
      </c>
    </row>
    <row r="68" spans="1:12">
      <c r="A68" t="s">
        <v>32</v>
      </c>
      <c r="B68">
        <v>18</v>
      </c>
      <c r="C68" t="str">
        <f t="shared" si="18"/>
        <v>test.Base64_18_</v>
      </c>
      <c r="D68">
        <v>16</v>
      </c>
      <c r="E68">
        <v>0.36170212765957449</v>
      </c>
      <c r="F68">
        <v>0.11952947128762965</v>
      </c>
      <c r="G68" s="1">
        <f t="shared" si="19"/>
        <v>0.36170212765957449</v>
      </c>
      <c r="H68" s="1" t="str">
        <f t="shared" si="20"/>
        <v/>
      </c>
      <c r="I68" s="1" t="str">
        <f t="shared" si="21"/>
        <v/>
      </c>
      <c r="J68" s="1" t="str">
        <f t="shared" si="22"/>
        <v/>
      </c>
      <c r="K68" s="1" t="str">
        <f t="shared" si="23"/>
        <v/>
      </c>
      <c r="L68" s="1" t="str">
        <f t="shared" si="24"/>
        <v/>
      </c>
    </row>
    <row r="69" spans="1:12">
      <c r="A69" t="s">
        <v>32</v>
      </c>
      <c r="B69">
        <v>18</v>
      </c>
      <c r="C69" t="str">
        <f t="shared" si="18"/>
        <v>test.Base64_18_</v>
      </c>
      <c r="D69">
        <v>17</v>
      </c>
      <c r="E69">
        <v>0.36170212765957449</v>
      </c>
      <c r="F69">
        <v>0.12016190235264357</v>
      </c>
      <c r="G69" s="1">
        <f t="shared" si="19"/>
        <v>0.36170212765957449</v>
      </c>
      <c r="H69" s="1" t="str">
        <f t="shared" si="20"/>
        <v/>
      </c>
      <c r="I69" s="1" t="str">
        <f t="shared" si="21"/>
        <v/>
      </c>
      <c r="J69" s="1" t="str">
        <f t="shared" si="22"/>
        <v/>
      </c>
      <c r="K69" s="1" t="str">
        <f t="shared" si="23"/>
        <v/>
      </c>
      <c r="L69" s="1" t="str">
        <f t="shared" si="24"/>
        <v/>
      </c>
    </row>
    <row r="70" spans="1:12">
      <c r="A70" t="s">
        <v>32</v>
      </c>
      <c r="B70">
        <v>18</v>
      </c>
      <c r="C70" t="str">
        <f t="shared" si="18"/>
        <v>test.Base64_18_</v>
      </c>
      <c r="D70">
        <v>18</v>
      </c>
      <c r="E70">
        <v>0.36170212765957449</v>
      </c>
      <c r="F70">
        <v>0.1293953959018467</v>
      </c>
      <c r="G70" s="1">
        <f t="shared" si="19"/>
        <v>0.36170212765957449</v>
      </c>
      <c r="H70" s="1" t="str">
        <f t="shared" si="20"/>
        <v/>
      </c>
      <c r="I70" s="1" t="str">
        <f t="shared" si="21"/>
        <v/>
      </c>
      <c r="J70" s="1" t="str">
        <f t="shared" si="22"/>
        <v/>
      </c>
      <c r="K70" s="1" t="str">
        <f t="shared" si="23"/>
        <v/>
      </c>
      <c r="L70" s="1" t="str">
        <f t="shared" si="24"/>
        <v/>
      </c>
    </row>
    <row r="71" spans="1:12">
      <c r="A71" t="s">
        <v>32</v>
      </c>
      <c r="B71">
        <v>18</v>
      </c>
      <c r="C71" t="str">
        <f t="shared" si="18"/>
        <v>test.Base64_18_</v>
      </c>
      <c r="D71">
        <v>19</v>
      </c>
      <c r="E71">
        <v>0.46099290780141844</v>
      </c>
      <c r="F71">
        <v>0.15304831773336705</v>
      </c>
      <c r="G71" s="1">
        <f t="shared" si="19"/>
        <v>0.46099290780141844</v>
      </c>
      <c r="H71" s="1" t="str">
        <f t="shared" si="20"/>
        <v/>
      </c>
      <c r="I71" s="1" t="str">
        <f t="shared" si="21"/>
        <v/>
      </c>
      <c r="J71" s="1" t="str">
        <f t="shared" si="22"/>
        <v/>
      </c>
      <c r="K71" s="1" t="str">
        <f t="shared" si="23"/>
        <v/>
      </c>
      <c r="L71" s="1" t="str">
        <f t="shared" si="24"/>
        <v/>
      </c>
    </row>
    <row r="72" spans="1:12">
      <c r="A72" t="s">
        <v>32</v>
      </c>
      <c r="B72">
        <v>18</v>
      </c>
      <c r="C72" t="str">
        <f t="shared" si="18"/>
        <v>test.Base64_18_</v>
      </c>
      <c r="D72">
        <v>20</v>
      </c>
      <c r="E72">
        <v>0.46099290780141844</v>
      </c>
      <c r="F72">
        <v>0.15747533518846446</v>
      </c>
      <c r="G72" s="1">
        <f t="shared" si="19"/>
        <v>0.46099290780141844</v>
      </c>
      <c r="H72" s="1" t="str">
        <f t="shared" si="20"/>
        <v/>
      </c>
      <c r="I72" s="1" t="str">
        <f t="shared" si="21"/>
        <v/>
      </c>
      <c r="J72" s="1" t="str">
        <f t="shared" si="22"/>
        <v/>
      </c>
      <c r="K72" s="1" t="str">
        <f t="shared" si="23"/>
        <v/>
      </c>
      <c r="L72" s="1" t="str">
        <f t="shared" si="24"/>
        <v/>
      </c>
    </row>
    <row r="73" spans="1:12">
      <c r="A73" t="s">
        <v>32</v>
      </c>
      <c r="B73">
        <v>18</v>
      </c>
      <c r="C73" t="str">
        <f t="shared" si="18"/>
        <v>test.Base64_18_</v>
      </c>
      <c r="D73">
        <v>21</v>
      </c>
      <c r="E73">
        <v>0.5957446808510638</v>
      </c>
      <c r="F73">
        <v>0.15962560080951177</v>
      </c>
      <c r="G73" s="1">
        <f t="shared" si="19"/>
        <v>0.5957446808510638</v>
      </c>
      <c r="H73" s="1" t="str">
        <f t="shared" si="20"/>
        <v/>
      </c>
      <c r="I73" s="1" t="str">
        <f t="shared" si="21"/>
        <v/>
      </c>
      <c r="J73" s="1" t="str">
        <f t="shared" si="22"/>
        <v/>
      </c>
      <c r="K73" s="1" t="str">
        <f t="shared" si="23"/>
        <v/>
      </c>
      <c r="L73" s="1" t="str">
        <f t="shared" si="24"/>
        <v/>
      </c>
    </row>
    <row r="74" spans="1:12">
      <c r="A74" t="s">
        <v>32</v>
      </c>
      <c r="B74">
        <v>18</v>
      </c>
      <c r="C74" t="str">
        <f t="shared" si="18"/>
        <v>test.Base64_18_</v>
      </c>
      <c r="D74">
        <v>22</v>
      </c>
      <c r="E74">
        <v>0.63120567375886527</v>
      </c>
      <c r="F74">
        <v>0.17265368074879839</v>
      </c>
      <c r="G74" s="1">
        <f t="shared" si="19"/>
        <v>0.63120567375886527</v>
      </c>
      <c r="H74" s="1" t="str">
        <f t="shared" si="20"/>
        <v/>
      </c>
      <c r="I74" s="1" t="str">
        <f t="shared" si="21"/>
        <v/>
      </c>
      <c r="J74" s="1" t="str">
        <f t="shared" si="22"/>
        <v/>
      </c>
      <c r="K74" s="1" t="str">
        <f t="shared" si="23"/>
        <v/>
      </c>
      <c r="L74" s="1" t="str">
        <f t="shared" si="24"/>
        <v/>
      </c>
    </row>
    <row r="75" spans="1:12">
      <c r="A75" t="s">
        <v>32</v>
      </c>
      <c r="B75">
        <v>18</v>
      </c>
      <c r="C75" t="str">
        <f t="shared" si="18"/>
        <v>test.Base64_18_</v>
      </c>
      <c r="D75">
        <v>23</v>
      </c>
      <c r="E75">
        <v>0.63120567375886527</v>
      </c>
      <c r="F75">
        <v>0.17417151530483177</v>
      </c>
      <c r="G75" s="1">
        <f t="shared" si="19"/>
        <v>0.63120567375886527</v>
      </c>
      <c r="H75" s="1" t="str">
        <f t="shared" si="20"/>
        <v/>
      </c>
      <c r="I75" s="1" t="str">
        <f t="shared" si="21"/>
        <v/>
      </c>
      <c r="J75" s="1" t="str">
        <f t="shared" si="22"/>
        <v/>
      </c>
      <c r="K75" s="1" t="str">
        <f t="shared" si="23"/>
        <v/>
      </c>
      <c r="L75" s="1" t="str">
        <f t="shared" si="24"/>
        <v/>
      </c>
    </row>
    <row r="76" spans="1:12">
      <c r="A76" t="s">
        <v>32</v>
      </c>
      <c r="B76">
        <v>18</v>
      </c>
      <c r="C76" t="str">
        <f t="shared" si="18"/>
        <v>test.Base64_18_</v>
      </c>
      <c r="D76">
        <v>24</v>
      </c>
      <c r="E76">
        <v>0.63120567375886527</v>
      </c>
      <c r="F76">
        <v>0.17530989122185681</v>
      </c>
      <c r="G76" s="1">
        <f t="shared" si="19"/>
        <v>0.63120567375886527</v>
      </c>
      <c r="H76" s="1" t="str">
        <f t="shared" si="20"/>
        <v/>
      </c>
      <c r="I76" s="1" t="str">
        <f t="shared" si="21"/>
        <v/>
      </c>
      <c r="J76" s="1" t="str">
        <f t="shared" si="22"/>
        <v/>
      </c>
      <c r="K76" s="1" t="str">
        <f t="shared" si="23"/>
        <v/>
      </c>
      <c r="L76" s="1" t="str">
        <f t="shared" si="24"/>
        <v/>
      </c>
    </row>
    <row r="77" spans="1:12">
      <c r="A77" t="s">
        <v>32</v>
      </c>
      <c r="B77">
        <v>18</v>
      </c>
      <c r="C77" t="str">
        <f t="shared" si="18"/>
        <v>test.Base64_18_</v>
      </c>
      <c r="D77">
        <v>25</v>
      </c>
      <c r="E77">
        <v>0.72340425531914898</v>
      </c>
      <c r="F77">
        <v>0.17961042246395142</v>
      </c>
      <c r="G77" s="1">
        <f t="shared" si="19"/>
        <v>0.72340425531914898</v>
      </c>
      <c r="H77" s="1" t="str">
        <f t="shared" si="20"/>
        <v/>
      </c>
      <c r="I77" s="1" t="str">
        <f t="shared" si="21"/>
        <v/>
      </c>
      <c r="J77" s="1" t="str">
        <f t="shared" si="22"/>
        <v/>
      </c>
      <c r="K77" s="1" t="str">
        <f t="shared" si="23"/>
        <v/>
      </c>
      <c r="L77" s="1" t="str">
        <f t="shared" si="24"/>
        <v/>
      </c>
    </row>
    <row r="78" spans="1:12">
      <c r="A78" t="s">
        <v>32</v>
      </c>
      <c r="B78">
        <v>18</v>
      </c>
      <c r="C78" t="str">
        <f t="shared" si="18"/>
        <v>test.Base64_18_</v>
      </c>
      <c r="D78">
        <v>26</v>
      </c>
      <c r="E78">
        <v>0.72340425531914898</v>
      </c>
      <c r="F78">
        <v>0.18087528459397925</v>
      </c>
      <c r="G78" s="1">
        <f t="shared" si="19"/>
        <v>0.72340425531914898</v>
      </c>
      <c r="H78" s="1" t="str">
        <f t="shared" si="20"/>
        <v/>
      </c>
      <c r="I78" s="1" t="str">
        <f t="shared" si="21"/>
        <v/>
      </c>
      <c r="J78" s="1" t="str">
        <f t="shared" si="22"/>
        <v/>
      </c>
      <c r="K78" s="1" t="str">
        <f t="shared" si="23"/>
        <v/>
      </c>
      <c r="L78" s="1" t="str">
        <f t="shared" si="24"/>
        <v/>
      </c>
    </row>
    <row r="79" spans="1:12">
      <c r="A79" t="s">
        <v>32</v>
      </c>
      <c r="B79">
        <v>18</v>
      </c>
      <c r="C79" t="str">
        <f t="shared" si="18"/>
        <v>test.Base64_18_</v>
      </c>
      <c r="D79">
        <v>27</v>
      </c>
      <c r="E79">
        <v>0.72340425531914898</v>
      </c>
      <c r="F79">
        <v>0.18466987098406273</v>
      </c>
      <c r="G79" s="1">
        <f t="shared" si="19"/>
        <v>0.72340425531914898</v>
      </c>
      <c r="H79" s="1" t="str">
        <f t="shared" si="20"/>
        <v/>
      </c>
      <c r="I79" s="1" t="str">
        <f t="shared" si="21"/>
        <v/>
      </c>
      <c r="J79" s="1" t="str">
        <f t="shared" si="22"/>
        <v/>
      </c>
      <c r="K79" s="1" t="str">
        <f t="shared" si="23"/>
        <v/>
      </c>
      <c r="L79" s="1" t="str">
        <f t="shared" si="24"/>
        <v/>
      </c>
    </row>
    <row r="80" spans="1:12">
      <c r="A80" t="s">
        <v>32</v>
      </c>
      <c r="B80">
        <v>18</v>
      </c>
      <c r="C80" t="str">
        <f t="shared" si="18"/>
        <v>test.Base64_18_</v>
      </c>
      <c r="D80">
        <v>28</v>
      </c>
      <c r="E80">
        <v>0.75886524822695034</v>
      </c>
      <c r="F80">
        <v>0.18808499873513787</v>
      </c>
      <c r="G80" s="1">
        <f t="shared" si="19"/>
        <v>0.75886524822695034</v>
      </c>
      <c r="H80" s="1" t="str">
        <f t="shared" si="20"/>
        <v/>
      </c>
      <c r="I80" s="1" t="str">
        <f t="shared" si="21"/>
        <v/>
      </c>
      <c r="J80" s="1" t="str">
        <f t="shared" si="22"/>
        <v/>
      </c>
      <c r="K80" s="1" t="str">
        <f t="shared" si="23"/>
        <v/>
      </c>
      <c r="L80" s="1" t="str">
        <f t="shared" si="24"/>
        <v/>
      </c>
    </row>
    <row r="81" spans="1:12">
      <c r="A81" t="s">
        <v>32</v>
      </c>
      <c r="B81">
        <v>18</v>
      </c>
      <c r="C81" t="str">
        <f t="shared" si="18"/>
        <v>test.Base64_18_</v>
      </c>
      <c r="D81">
        <v>29</v>
      </c>
      <c r="E81">
        <v>0.75886524822695034</v>
      </c>
      <c r="F81">
        <v>0.19036175056918797</v>
      </c>
      <c r="G81" s="1">
        <f t="shared" si="19"/>
        <v>0.75886524822695034</v>
      </c>
      <c r="H81" s="1" t="str">
        <f t="shared" si="20"/>
        <v/>
      </c>
      <c r="I81" s="1" t="str">
        <f t="shared" si="21"/>
        <v/>
      </c>
      <c r="J81" s="1" t="str">
        <f t="shared" si="22"/>
        <v/>
      </c>
      <c r="K81" s="1" t="str">
        <f t="shared" si="23"/>
        <v/>
      </c>
      <c r="L81" s="1" t="str">
        <f t="shared" si="24"/>
        <v/>
      </c>
    </row>
    <row r="82" spans="1:12">
      <c r="A82" t="s">
        <v>32</v>
      </c>
      <c r="B82">
        <v>18</v>
      </c>
      <c r="C82" t="str">
        <f t="shared" si="18"/>
        <v>test.Base64_18_</v>
      </c>
      <c r="D82">
        <v>30</v>
      </c>
      <c r="E82">
        <v>0.75886524822695034</v>
      </c>
      <c r="F82">
        <v>0.19074120920819632</v>
      </c>
      <c r="G82" s="1">
        <f t="shared" si="19"/>
        <v>0.75886524822695034</v>
      </c>
      <c r="H82" s="1" t="str">
        <f t="shared" si="20"/>
        <v/>
      </c>
      <c r="I82" s="1" t="str">
        <f t="shared" si="21"/>
        <v/>
      </c>
      <c r="J82" s="1" t="str">
        <f t="shared" si="22"/>
        <v/>
      </c>
      <c r="K82" s="1" t="str">
        <f t="shared" si="23"/>
        <v/>
      </c>
      <c r="L82" s="1" t="str">
        <f t="shared" si="24"/>
        <v/>
      </c>
    </row>
    <row r="83" spans="1:12">
      <c r="A83" t="s">
        <v>32</v>
      </c>
      <c r="B83">
        <v>18</v>
      </c>
      <c r="C83" t="str">
        <f t="shared" si="18"/>
        <v>test.Base64_18_</v>
      </c>
      <c r="D83">
        <v>31</v>
      </c>
      <c r="E83">
        <v>0.75886524822695034</v>
      </c>
      <c r="F83">
        <v>0.19390336453326587</v>
      </c>
      <c r="G83" s="1">
        <f t="shared" si="19"/>
        <v>0.75886524822695034</v>
      </c>
      <c r="H83" s="1" t="str">
        <f t="shared" si="20"/>
        <v/>
      </c>
      <c r="I83" s="1" t="str">
        <f t="shared" si="21"/>
        <v/>
      </c>
      <c r="J83" s="1" t="str">
        <f t="shared" si="22"/>
        <v/>
      </c>
      <c r="K83" s="1" t="str">
        <f t="shared" si="23"/>
        <v/>
      </c>
      <c r="L83" s="1" t="str">
        <f t="shared" si="24"/>
        <v/>
      </c>
    </row>
    <row r="84" spans="1:12">
      <c r="A84" t="s">
        <v>32</v>
      </c>
      <c r="B84">
        <v>18</v>
      </c>
      <c r="C84" t="str">
        <f t="shared" si="18"/>
        <v>test.Base64_18_</v>
      </c>
      <c r="D84">
        <v>32</v>
      </c>
      <c r="E84">
        <v>0.75886524822695034</v>
      </c>
      <c r="F84">
        <v>0.1945357955982798</v>
      </c>
      <c r="G84" s="1">
        <f t="shared" si="19"/>
        <v>0.75886524822695034</v>
      </c>
      <c r="H84" s="1" t="str">
        <f t="shared" si="20"/>
        <v/>
      </c>
      <c r="I84" s="1" t="str">
        <f t="shared" si="21"/>
        <v/>
      </c>
      <c r="J84" s="1" t="str">
        <f t="shared" si="22"/>
        <v/>
      </c>
      <c r="K84" s="1" t="str">
        <f t="shared" si="23"/>
        <v/>
      </c>
      <c r="L84" s="1" t="str">
        <f t="shared" si="24"/>
        <v/>
      </c>
    </row>
    <row r="85" spans="1:12">
      <c r="A85" t="s">
        <v>32</v>
      </c>
      <c r="B85">
        <v>18</v>
      </c>
      <c r="C85" t="str">
        <f t="shared" si="18"/>
        <v>test.Base64_18_</v>
      </c>
      <c r="D85">
        <v>33</v>
      </c>
      <c r="E85">
        <v>0.75886524822695034</v>
      </c>
      <c r="F85">
        <v>0.19491525423728814</v>
      </c>
      <c r="G85" s="1">
        <f t="shared" si="19"/>
        <v>0.75886524822695034</v>
      </c>
      <c r="H85" s="1" t="str">
        <f t="shared" si="20"/>
        <v/>
      </c>
      <c r="I85" s="1" t="str">
        <f t="shared" si="21"/>
        <v/>
      </c>
      <c r="J85" s="1" t="str">
        <f t="shared" si="22"/>
        <v/>
      </c>
      <c r="K85" s="1" t="str">
        <f t="shared" si="23"/>
        <v/>
      </c>
      <c r="L85" s="1" t="str">
        <f t="shared" si="24"/>
        <v/>
      </c>
    </row>
    <row r="86" spans="1:12">
      <c r="A86" t="s">
        <v>32</v>
      </c>
      <c r="B86">
        <v>18</v>
      </c>
      <c r="C86" t="str">
        <f t="shared" si="18"/>
        <v>test.Base64_18_</v>
      </c>
      <c r="D86">
        <v>34</v>
      </c>
      <c r="E86">
        <v>0.75886524822695034</v>
      </c>
      <c r="F86">
        <v>0.20338983050847459</v>
      </c>
      <c r="G86" s="1" t="str">
        <f t="shared" si="19"/>
        <v/>
      </c>
      <c r="H86" s="1">
        <f t="shared" si="20"/>
        <v>0.75886524822695034</v>
      </c>
      <c r="I86" s="1" t="str">
        <f t="shared" si="21"/>
        <v/>
      </c>
      <c r="J86" s="1" t="str">
        <f t="shared" si="22"/>
        <v/>
      </c>
      <c r="K86" s="1" t="str">
        <f t="shared" si="23"/>
        <v/>
      </c>
      <c r="L86" s="1" t="str">
        <f t="shared" si="24"/>
        <v/>
      </c>
    </row>
    <row r="87" spans="1:12">
      <c r="A87" t="s">
        <v>32</v>
      </c>
      <c r="B87">
        <v>18</v>
      </c>
      <c r="C87" t="str">
        <f t="shared" si="18"/>
        <v>test.Base64_18_</v>
      </c>
      <c r="D87">
        <v>35</v>
      </c>
      <c r="E87">
        <v>0.75886524822695034</v>
      </c>
      <c r="F87">
        <v>0.20554009612952187</v>
      </c>
      <c r="G87" s="1" t="str">
        <f t="shared" si="19"/>
        <v/>
      </c>
      <c r="H87" s="1">
        <f t="shared" si="20"/>
        <v>0.75886524822695034</v>
      </c>
      <c r="I87" s="1" t="str">
        <f t="shared" si="21"/>
        <v/>
      </c>
      <c r="J87" s="1" t="str">
        <f t="shared" si="22"/>
        <v/>
      </c>
      <c r="K87" s="1" t="str">
        <f t="shared" si="23"/>
        <v/>
      </c>
      <c r="L87" s="1" t="str">
        <f t="shared" si="24"/>
        <v/>
      </c>
    </row>
    <row r="88" spans="1:12">
      <c r="A88" t="s">
        <v>32</v>
      </c>
      <c r="B88">
        <v>18</v>
      </c>
      <c r="C88" t="str">
        <f t="shared" si="18"/>
        <v>test.Base64_18_</v>
      </c>
      <c r="D88">
        <v>36</v>
      </c>
      <c r="E88">
        <v>0.75886524822695034</v>
      </c>
      <c r="F88">
        <v>0.20920819630660259</v>
      </c>
      <c r="G88" s="1" t="str">
        <f t="shared" si="19"/>
        <v/>
      </c>
      <c r="H88" s="1">
        <f t="shared" si="20"/>
        <v>0.75886524822695034</v>
      </c>
      <c r="I88" s="1" t="str">
        <f t="shared" si="21"/>
        <v/>
      </c>
      <c r="J88" s="1" t="str">
        <f t="shared" si="22"/>
        <v/>
      </c>
      <c r="K88" s="1" t="str">
        <f t="shared" si="23"/>
        <v/>
      </c>
      <c r="L88" s="1" t="str">
        <f t="shared" si="24"/>
        <v/>
      </c>
    </row>
    <row r="89" spans="1:12">
      <c r="A89" t="s">
        <v>32</v>
      </c>
      <c r="B89">
        <v>18</v>
      </c>
      <c r="C89" t="str">
        <f t="shared" si="18"/>
        <v>test.Base64_18_</v>
      </c>
      <c r="D89">
        <v>37</v>
      </c>
      <c r="E89">
        <v>0.75886524822695034</v>
      </c>
      <c r="F89">
        <v>0.21312926890968883</v>
      </c>
      <c r="G89" s="1" t="str">
        <f t="shared" si="19"/>
        <v/>
      </c>
      <c r="H89" s="1">
        <f t="shared" si="20"/>
        <v>0.75886524822695034</v>
      </c>
      <c r="I89" s="1" t="str">
        <f t="shared" si="21"/>
        <v/>
      </c>
      <c r="J89" s="1" t="str">
        <f t="shared" si="22"/>
        <v/>
      </c>
      <c r="K89" s="1" t="str">
        <f t="shared" si="23"/>
        <v/>
      </c>
      <c r="L89" s="1" t="str">
        <f t="shared" si="24"/>
        <v/>
      </c>
    </row>
    <row r="90" spans="1:12">
      <c r="A90" t="s">
        <v>32</v>
      </c>
      <c r="B90">
        <v>18</v>
      </c>
      <c r="C90" t="str">
        <f t="shared" si="18"/>
        <v>test.Base64_18_</v>
      </c>
      <c r="D90">
        <v>38</v>
      </c>
      <c r="E90">
        <v>0.75886524822695034</v>
      </c>
      <c r="F90">
        <v>0.21401467240070832</v>
      </c>
      <c r="G90" s="1" t="str">
        <f t="shared" si="19"/>
        <v/>
      </c>
      <c r="H90" s="1">
        <f t="shared" si="20"/>
        <v>0.75886524822695034</v>
      </c>
      <c r="I90" s="1" t="str">
        <f t="shared" si="21"/>
        <v/>
      </c>
      <c r="J90" s="1" t="str">
        <f t="shared" si="22"/>
        <v/>
      </c>
      <c r="K90" s="1" t="str">
        <f t="shared" si="23"/>
        <v/>
      </c>
      <c r="L90" s="1" t="str">
        <f t="shared" si="24"/>
        <v/>
      </c>
    </row>
    <row r="91" spans="1:12">
      <c r="A91" t="s">
        <v>32</v>
      </c>
      <c r="B91">
        <v>18</v>
      </c>
      <c r="C91" t="str">
        <f t="shared" si="18"/>
        <v>test.Base64_18_</v>
      </c>
      <c r="D91">
        <v>39</v>
      </c>
      <c r="E91">
        <v>0.75886524822695034</v>
      </c>
      <c r="F91">
        <v>0.38224133569440932</v>
      </c>
      <c r="G91" s="1" t="str">
        <f t="shared" si="19"/>
        <v/>
      </c>
      <c r="H91" s="1">
        <f t="shared" si="20"/>
        <v>0.75886524822695034</v>
      </c>
      <c r="I91" s="1" t="str">
        <f t="shared" si="21"/>
        <v/>
      </c>
      <c r="J91" s="1" t="str">
        <f t="shared" si="22"/>
        <v/>
      </c>
      <c r="K91" s="1" t="str">
        <f t="shared" si="23"/>
        <v/>
      </c>
      <c r="L91" s="1" t="str">
        <f t="shared" si="24"/>
        <v/>
      </c>
    </row>
    <row r="92" spans="1:12">
      <c r="A92" t="s">
        <v>32</v>
      </c>
      <c r="B92">
        <v>18</v>
      </c>
      <c r="C92" t="str">
        <f t="shared" si="18"/>
        <v>test.Base64_18_</v>
      </c>
      <c r="D92">
        <v>40</v>
      </c>
      <c r="E92">
        <v>1</v>
      </c>
      <c r="F92">
        <v>0.90336453326587407</v>
      </c>
      <c r="G92" s="1" t="str">
        <f t="shared" si="19"/>
        <v/>
      </c>
      <c r="H92" s="1" t="str">
        <f t="shared" si="20"/>
        <v/>
      </c>
      <c r="I92" s="1" t="str">
        <f t="shared" si="21"/>
        <v/>
      </c>
      <c r="J92" s="1" t="str">
        <f t="shared" si="22"/>
        <v/>
      </c>
      <c r="K92" s="1">
        <f t="shared" si="23"/>
        <v>1</v>
      </c>
      <c r="L92" s="1" t="str">
        <f t="shared" si="24"/>
        <v/>
      </c>
    </row>
    <row r="93" spans="1:12">
      <c r="A93" t="s">
        <v>32</v>
      </c>
      <c r="B93">
        <v>18</v>
      </c>
      <c r="C93" t="str">
        <f t="shared" si="18"/>
        <v>test.Base64_18_</v>
      </c>
      <c r="D93">
        <v>41</v>
      </c>
      <c r="E93">
        <v>1</v>
      </c>
      <c r="F93">
        <v>0.90829749557298256</v>
      </c>
      <c r="G93" s="1" t="str">
        <f t="shared" si="19"/>
        <v/>
      </c>
      <c r="H93" s="1" t="str">
        <f t="shared" si="20"/>
        <v/>
      </c>
      <c r="I93" s="1" t="str">
        <f t="shared" si="21"/>
        <v/>
      </c>
      <c r="J93" s="1" t="str">
        <f t="shared" si="22"/>
        <v/>
      </c>
      <c r="K93" s="1">
        <f t="shared" si="23"/>
        <v>1</v>
      </c>
      <c r="L93" s="1" t="str">
        <f t="shared" si="24"/>
        <v/>
      </c>
    </row>
    <row r="94" spans="1:12">
      <c r="A94" t="s">
        <v>32</v>
      </c>
      <c r="B94">
        <v>18</v>
      </c>
      <c r="C94" t="str">
        <f t="shared" si="18"/>
        <v>test.Base64_18_</v>
      </c>
      <c r="D94">
        <v>42</v>
      </c>
      <c r="E94">
        <v>1</v>
      </c>
      <c r="F94">
        <v>0.90867695421199091</v>
      </c>
      <c r="G94" s="1" t="str">
        <f t="shared" si="19"/>
        <v/>
      </c>
      <c r="H94" s="1" t="str">
        <f t="shared" si="20"/>
        <v/>
      </c>
      <c r="I94" s="1" t="str">
        <f t="shared" si="21"/>
        <v/>
      </c>
      <c r="J94" s="1" t="str">
        <f t="shared" si="22"/>
        <v/>
      </c>
      <c r="K94" s="1">
        <f t="shared" si="23"/>
        <v>1</v>
      </c>
      <c r="L94" s="1" t="str">
        <f t="shared" si="24"/>
        <v/>
      </c>
    </row>
    <row r="95" spans="1:12">
      <c r="A95" t="s">
        <v>32</v>
      </c>
      <c r="B95">
        <v>18</v>
      </c>
      <c r="C95" t="str">
        <f t="shared" si="18"/>
        <v>test.Base64_18_</v>
      </c>
      <c r="D95">
        <v>43</v>
      </c>
      <c r="E95">
        <v>1</v>
      </c>
      <c r="F95">
        <v>0.92474070326334434</v>
      </c>
      <c r="G95" s="1" t="str">
        <f t="shared" si="19"/>
        <v/>
      </c>
      <c r="H95" s="1" t="str">
        <f t="shared" si="20"/>
        <v/>
      </c>
      <c r="I95" s="1" t="str">
        <f t="shared" si="21"/>
        <v/>
      </c>
      <c r="J95" s="1" t="str">
        <f t="shared" si="22"/>
        <v/>
      </c>
      <c r="K95" s="1">
        <f t="shared" si="23"/>
        <v>1</v>
      </c>
      <c r="L95" s="1" t="str">
        <f t="shared" si="24"/>
        <v/>
      </c>
    </row>
    <row r="96" spans="1:12">
      <c r="A96" t="s">
        <v>32</v>
      </c>
      <c r="B96">
        <v>18</v>
      </c>
      <c r="C96" t="str">
        <f t="shared" si="18"/>
        <v>test.Base64_18_</v>
      </c>
      <c r="D96">
        <v>44</v>
      </c>
      <c r="E96">
        <v>1</v>
      </c>
      <c r="F96">
        <v>0.92625853781937773</v>
      </c>
      <c r="G96" s="1" t="str">
        <f t="shared" si="19"/>
        <v/>
      </c>
      <c r="H96" s="1" t="str">
        <f t="shared" si="20"/>
        <v/>
      </c>
      <c r="I96" s="1" t="str">
        <f t="shared" si="21"/>
        <v/>
      </c>
      <c r="J96" s="1" t="str">
        <f t="shared" si="22"/>
        <v/>
      </c>
      <c r="K96" s="1">
        <f t="shared" si="23"/>
        <v>1</v>
      </c>
      <c r="L96" s="1" t="str">
        <f t="shared" si="24"/>
        <v/>
      </c>
    </row>
    <row r="97" spans="1:12">
      <c r="A97" t="s">
        <v>32</v>
      </c>
      <c r="B97">
        <v>18</v>
      </c>
      <c r="C97" t="str">
        <f t="shared" si="18"/>
        <v>test.Base64_18_</v>
      </c>
      <c r="D97">
        <v>45</v>
      </c>
      <c r="E97">
        <v>1</v>
      </c>
      <c r="F97">
        <v>0.9310650139134834</v>
      </c>
      <c r="G97" s="1" t="str">
        <f t="shared" si="19"/>
        <v/>
      </c>
      <c r="H97" s="1" t="str">
        <f t="shared" si="20"/>
        <v/>
      </c>
      <c r="I97" s="1" t="str">
        <f t="shared" si="21"/>
        <v/>
      </c>
      <c r="J97" s="1" t="str">
        <f t="shared" si="22"/>
        <v/>
      </c>
      <c r="K97" s="1">
        <f t="shared" si="23"/>
        <v>1</v>
      </c>
      <c r="L97" s="1" t="str">
        <f t="shared" si="24"/>
        <v/>
      </c>
    </row>
    <row r="98" spans="1:12">
      <c r="A98" t="s">
        <v>32</v>
      </c>
      <c r="B98">
        <v>18</v>
      </c>
      <c r="C98" t="str">
        <f t="shared" si="18"/>
        <v>test.Base64_18_</v>
      </c>
      <c r="D98">
        <v>46</v>
      </c>
      <c r="E98">
        <v>1</v>
      </c>
      <c r="F98">
        <v>0.93675689349860869</v>
      </c>
      <c r="G98" s="1" t="str">
        <f t="shared" si="19"/>
        <v/>
      </c>
      <c r="H98" s="1" t="str">
        <f t="shared" si="20"/>
        <v/>
      </c>
      <c r="I98" s="1" t="str">
        <f t="shared" si="21"/>
        <v/>
      </c>
      <c r="J98" s="1" t="str">
        <f t="shared" si="22"/>
        <v/>
      </c>
      <c r="K98" s="1">
        <f t="shared" si="23"/>
        <v>1</v>
      </c>
      <c r="L98" s="1" t="str">
        <f t="shared" si="24"/>
        <v/>
      </c>
    </row>
    <row r="99" spans="1:12">
      <c r="A99" t="s">
        <v>32</v>
      </c>
      <c r="B99">
        <v>19</v>
      </c>
      <c r="C99" t="str">
        <f t="shared" si="18"/>
        <v>test.Base64_19_</v>
      </c>
      <c r="D99">
        <v>1</v>
      </c>
      <c r="E99">
        <v>2.3622047244094488E-2</v>
      </c>
      <c r="F99">
        <v>1.0773038287960402E-2</v>
      </c>
      <c r="G99" s="1">
        <f t="shared" si="19"/>
        <v>2.3622047244094488E-2</v>
      </c>
      <c r="H99" s="1" t="str">
        <f t="shared" si="20"/>
        <v/>
      </c>
      <c r="I99" s="1" t="str">
        <f t="shared" si="21"/>
        <v/>
      </c>
      <c r="J99" s="1" t="str">
        <f t="shared" si="22"/>
        <v/>
      </c>
      <c r="K99" s="1" t="str">
        <f t="shared" si="23"/>
        <v/>
      </c>
      <c r="L99" s="1" t="str">
        <f t="shared" si="24"/>
        <v/>
      </c>
    </row>
    <row r="100" spans="1:12">
      <c r="A100" t="s">
        <v>32</v>
      </c>
      <c r="B100">
        <v>19</v>
      </c>
      <c r="C100" t="str">
        <f t="shared" si="18"/>
        <v>test.Base64_19_</v>
      </c>
      <c r="D100">
        <v>2</v>
      </c>
      <c r="E100">
        <v>4.7244094488188976E-2</v>
      </c>
      <c r="F100">
        <v>2.5040034939583636E-2</v>
      </c>
      <c r="G100" s="1">
        <f t="shared" si="19"/>
        <v>4.7244094488188976E-2</v>
      </c>
      <c r="H100" s="1" t="str">
        <f t="shared" si="20"/>
        <v/>
      </c>
      <c r="I100" s="1" t="str">
        <f t="shared" si="21"/>
        <v/>
      </c>
      <c r="J100" s="1" t="str">
        <f t="shared" si="22"/>
        <v/>
      </c>
      <c r="K100" s="1" t="str">
        <f t="shared" si="23"/>
        <v/>
      </c>
      <c r="L100" s="1" t="str">
        <f t="shared" si="24"/>
        <v/>
      </c>
    </row>
    <row r="101" spans="1:12">
      <c r="A101" t="s">
        <v>32</v>
      </c>
      <c r="B101">
        <v>19</v>
      </c>
      <c r="C101" t="str">
        <f t="shared" si="18"/>
        <v>test.Base64_19_</v>
      </c>
      <c r="D101">
        <v>3</v>
      </c>
      <c r="E101">
        <v>0.68503937007874016</v>
      </c>
      <c r="F101">
        <v>0.22536031445625274</v>
      </c>
      <c r="G101" s="1" t="str">
        <f t="shared" si="19"/>
        <v/>
      </c>
      <c r="H101" s="1">
        <f t="shared" si="20"/>
        <v>0.68503937007874016</v>
      </c>
      <c r="I101" s="1" t="str">
        <f t="shared" si="21"/>
        <v/>
      </c>
      <c r="J101" s="1" t="str">
        <f t="shared" si="22"/>
        <v/>
      </c>
      <c r="K101" s="1" t="str">
        <f t="shared" si="23"/>
        <v/>
      </c>
      <c r="L101" s="1" t="str">
        <f t="shared" si="24"/>
        <v/>
      </c>
    </row>
    <row r="102" spans="1:12">
      <c r="A102" t="s">
        <v>32</v>
      </c>
      <c r="B102">
        <v>19</v>
      </c>
      <c r="C102" t="str">
        <f t="shared" si="18"/>
        <v>test.Base64_19_</v>
      </c>
      <c r="D102">
        <v>4</v>
      </c>
      <c r="E102">
        <v>0.72440944881889768</v>
      </c>
      <c r="F102">
        <v>0.24559615664579998</v>
      </c>
      <c r="G102" s="1" t="str">
        <f t="shared" si="19"/>
        <v/>
      </c>
      <c r="H102" s="1">
        <f t="shared" si="20"/>
        <v>0.72440944881889768</v>
      </c>
      <c r="I102" s="1" t="str">
        <f t="shared" si="21"/>
        <v/>
      </c>
      <c r="J102" s="1" t="str">
        <f t="shared" si="22"/>
        <v/>
      </c>
      <c r="K102" s="1" t="str">
        <f t="shared" si="23"/>
        <v/>
      </c>
      <c r="L102" s="1" t="str">
        <f t="shared" si="24"/>
        <v/>
      </c>
    </row>
    <row r="103" spans="1:12">
      <c r="A103" t="s">
        <v>32</v>
      </c>
      <c r="B103">
        <v>19</v>
      </c>
      <c r="C103" t="str">
        <f t="shared" si="18"/>
        <v>test.Base64_19_</v>
      </c>
      <c r="D103">
        <v>5</v>
      </c>
      <c r="E103">
        <v>0.73228346456692917</v>
      </c>
      <c r="F103">
        <v>0.257533847721648</v>
      </c>
      <c r="G103" s="1" t="str">
        <f t="shared" si="19"/>
        <v/>
      </c>
      <c r="H103" s="1">
        <f t="shared" si="20"/>
        <v>0.73228346456692917</v>
      </c>
      <c r="I103" s="1" t="str">
        <f t="shared" si="21"/>
        <v/>
      </c>
      <c r="J103" s="1" t="str">
        <f t="shared" si="22"/>
        <v/>
      </c>
      <c r="K103" s="1" t="str">
        <f t="shared" si="23"/>
        <v/>
      </c>
      <c r="L103" s="1" t="str">
        <f t="shared" si="24"/>
        <v/>
      </c>
    </row>
    <row r="104" spans="1:12">
      <c r="A104" t="s">
        <v>32</v>
      </c>
      <c r="B104">
        <v>19</v>
      </c>
      <c r="C104" t="str">
        <f t="shared" si="18"/>
        <v>test.Base64_19_</v>
      </c>
      <c r="D104">
        <v>6</v>
      </c>
      <c r="E104">
        <v>0.98425196850393704</v>
      </c>
      <c r="F104">
        <v>0.86155189983986025</v>
      </c>
      <c r="G104" s="1" t="str">
        <f t="shared" si="19"/>
        <v/>
      </c>
      <c r="H104" s="1" t="str">
        <f t="shared" si="20"/>
        <v/>
      </c>
      <c r="I104" s="1" t="str">
        <f t="shared" si="21"/>
        <v/>
      </c>
      <c r="J104" s="1" t="str">
        <f t="shared" si="22"/>
        <v/>
      </c>
      <c r="K104" s="1">
        <f t="shared" si="23"/>
        <v>0.98425196850393704</v>
      </c>
      <c r="L104" s="1" t="str">
        <f t="shared" si="24"/>
        <v/>
      </c>
    </row>
    <row r="105" spans="1:12">
      <c r="A105" t="s">
        <v>32</v>
      </c>
      <c r="B105">
        <v>19</v>
      </c>
      <c r="C105" t="str">
        <f t="shared" si="18"/>
        <v>test.Base64_19_</v>
      </c>
      <c r="D105">
        <v>7</v>
      </c>
      <c r="E105">
        <v>0.99212598425196852</v>
      </c>
      <c r="F105">
        <v>0.89518124909011498</v>
      </c>
      <c r="G105" s="1" t="str">
        <f t="shared" si="19"/>
        <v/>
      </c>
      <c r="H105" s="1" t="str">
        <f t="shared" si="20"/>
        <v/>
      </c>
      <c r="I105" s="1" t="str">
        <f t="shared" si="21"/>
        <v/>
      </c>
      <c r="J105" s="1" t="str">
        <f t="shared" si="22"/>
        <v/>
      </c>
      <c r="K105" s="1">
        <f t="shared" si="23"/>
        <v>0.99212598425196852</v>
      </c>
      <c r="L105" s="1" t="str">
        <f t="shared" si="24"/>
        <v/>
      </c>
    </row>
    <row r="106" spans="1:12">
      <c r="A106" t="s">
        <v>32</v>
      </c>
      <c r="B106">
        <v>19</v>
      </c>
      <c r="C106" t="str">
        <f t="shared" si="18"/>
        <v>test.Base64_19_</v>
      </c>
      <c r="D106">
        <v>8</v>
      </c>
      <c r="E106">
        <v>1</v>
      </c>
      <c r="F106">
        <v>0.90973940893871019</v>
      </c>
      <c r="G106" s="1" t="str">
        <f t="shared" si="19"/>
        <v/>
      </c>
      <c r="H106" s="1" t="str">
        <f t="shared" si="20"/>
        <v/>
      </c>
      <c r="I106" s="1" t="str">
        <f t="shared" si="21"/>
        <v/>
      </c>
      <c r="J106" s="1" t="str">
        <f t="shared" si="22"/>
        <v/>
      </c>
      <c r="K106" s="1">
        <f t="shared" si="23"/>
        <v>1</v>
      </c>
      <c r="L106" s="1" t="str">
        <f t="shared" si="24"/>
        <v/>
      </c>
    </row>
    <row r="107" spans="1:12">
      <c r="A107" t="s">
        <v>32</v>
      </c>
      <c r="B107">
        <v>19</v>
      </c>
      <c r="C107" t="str">
        <f t="shared" si="18"/>
        <v>test.Base64_19_</v>
      </c>
      <c r="D107">
        <v>9</v>
      </c>
      <c r="E107">
        <v>1</v>
      </c>
      <c r="F107">
        <v>0.91090406172659777</v>
      </c>
      <c r="G107" s="1" t="str">
        <f t="shared" si="19"/>
        <v/>
      </c>
      <c r="H107" s="1" t="str">
        <f t="shared" si="20"/>
        <v/>
      </c>
      <c r="I107" s="1" t="str">
        <f t="shared" si="21"/>
        <v/>
      </c>
      <c r="J107" s="1" t="str">
        <f t="shared" si="22"/>
        <v/>
      </c>
      <c r="K107" s="1">
        <f t="shared" si="23"/>
        <v>1</v>
      </c>
      <c r="L107" s="1" t="str">
        <f t="shared" si="24"/>
        <v/>
      </c>
    </row>
    <row r="108" spans="1:12">
      <c r="A108" t="s">
        <v>32</v>
      </c>
      <c r="B108">
        <v>19</v>
      </c>
      <c r="C108" t="str">
        <f t="shared" si="18"/>
        <v>test.Base64_19_</v>
      </c>
      <c r="D108">
        <v>10</v>
      </c>
      <c r="E108">
        <v>1</v>
      </c>
      <c r="F108">
        <v>0.91468918328723248</v>
      </c>
      <c r="G108" s="1" t="str">
        <f t="shared" si="19"/>
        <v/>
      </c>
      <c r="H108" s="1" t="str">
        <f t="shared" si="20"/>
        <v/>
      </c>
      <c r="I108" s="1" t="str">
        <f t="shared" si="21"/>
        <v/>
      </c>
      <c r="J108" s="1" t="str">
        <f t="shared" si="22"/>
        <v/>
      </c>
      <c r="K108" s="1">
        <f t="shared" si="23"/>
        <v>1</v>
      </c>
      <c r="L108" s="1" t="str">
        <f t="shared" si="24"/>
        <v/>
      </c>
    </row>
    <row r="109" spans="1:12">
      <c r="A109" t="s">
        <v>32</v>
      </c>
      <c r="B109">
        <v>19</v>
      </c>
      <c r="C109" t="str">
        <f t="shared" si="18"/>
        <v>test.Base64_19_</v>
      </c>
      <c r="D109">
        <v>11</v>
      </c>
      <c r="E109">
        <v>1</v>
      </c>
      <c r="F109">
        <v>0.91556267287814819</v>
      </c>
      <c r="G109" s="1" t="str">
        <f t="shared" si="19"/>
        <v/>
      </c>
      <c r="H109" s="1" t="str">
        <f t="shared" si="20"/>
        <v/>
      </c>
      <c r="I109" s="1" t="str">
        <f t="shared" si="21"/>
        <v/>
      </c>
      <c r="J109" s="1" t="str">
        <f t="shared" si="22"/>
        <v/>
      </c>
      <c r="K109" s="1">
        <f t="shared" si="23"/>
        <v>1</v>
      </c>
      <c r="L109" s="1" t="str">
        <f t="shared" si="24"/>
        <v/>
      </c>
    </row>
    <row r="110" spans="1:12">
      <c r="A110" t="s">
        <v>32</v>
      </c>
      <c r="B110">
        <v>19</v>
      </c>
      <c r="C110" t="str">
        <f t="shared" si="18"/>
        <v>test.Base64_19_</v>
      </c>
      <c r="D110">
        <v>12</v>
      </c>
      <c r="E110">
        <v>1</v>
      </c>
      <c r="F110">
        <v>0.91599941767360604</v>
      </c>
      <c r="G110" s="1" t="str">
        <f t="shared" si="19"/>
        <v/>
      </c>
      <c r="H110" s="1" t="str">
        <f t="shared" si="20"/>
        <v/>
      </c>
      <c r="I110" s="1" t="str">
        <f t="shared" si="21"/>
        <v/>
      </c>
      <c r="J110" s="1" t="str">
        <f t="shared" si="22"/>
        <v/>
      </c>
      <c r="K110" s="1">
        <f t="shared" si="23"/>
        <v>1</v>
      </c>
      <c r="L110" s="1" t="str">
        <f t="shared" si="24"/>
        <v/>
      </c>
    </row>
    <row r="111" spans="1:12">
      <c r="A111" t="s">
        <v>32</v>
      </c>
      <c r="B111">
        <v>19</v>
      </c>
      <c r="C111" t="str">
        <f t="shared" si="18"/>
        <v>test.Base64_19_</v>
      </c>
      <c r="D111">
        <v>13</v>
      </c>
      <c r="E111">
        <v>1</v>
      </c>
      <c r="F111">
        <v>0.91614499927209203</v>
      </c>
      <c r="G111" s="1" t="str">
        <f t="shared" si="19"/>
        <v/>
      </c>
      <c r="H111" s="1" t="str">
        <f t="shared" si="20"/>
        <v/>
      </c>
      <c r="I111" s="1" t="str">
        <f t="shared" si="21"/>
        <v/>
      </c>
      <c r="J111" s="1" t="str">
        <f t="shared" si="22"/>
        <v/>
      </c>
      <c r="K111" s="1">
        <f t="shared" si="23"/>
        <v>1</v>
      </c>
      <c r="L111" s="1" t="str">
        <f t="shared" si="24"/>
        <v/>
      </c>
    </row>
    <row r="112" spans="1:12">
      <c r="A112" t="s">
        <v>32</v>
      </c>
      <c r="B112">
        <v>19</v>
      </c>
      <c r="C112" t="str">
        <f t="shared" si="18"/>
        <v>test.Base64_19_</v>
      </c>
      <c r="D112">
        <v>14</v>
      </c>
      <c r="E112">
        <v>1</v>
      </c>
      <c r="F112">
        <v>0.9174552336584656</v>
      </c>
      <c r="G112" s="1" t="str">
        <f t="shared" si="19"/>
        <v/>
      </c>
      <c r="H112" s="1" t="str">
        <f t="shared" si="20"/>
        <v/>
      </c>
      <c r="I112" s="1" t="str">
        <f t="shared" si="21"/>
        <v/>
      </c>
      <c r="J112" s="1" t="str">
        <f t="shared" si="22"/>
        <v/>
      </c>
      <c r="K112" s="1">
        <f t="shared" si="23"/>
        <v>1</v>
      </c>
      <c r="L112" s="1" t="str">
        <f t="shared" si="24"/>
        <v/>
      </c>
    </row>
    <row r="113" spans="1:12">
      <c r="A113" t="s">
        <v>32</v>
      </c>
      <c r="B113">
        <v>19</v>
      </c>
      <c r="C113" t="str">
        <f t="shared" si="18"/>
        <v>test.Base64_19_</v>
      </c>
      <c r="D113">
        <v>15</v>
      </c>
      <c r="E113">
        <v>1</v>
      </c>
      <c r="F113">
        <v>0.91774639685543746</v>
      </c>
      <c r="G113" s="1" t="str">
        <f t="shared" si="19"/>
        <v/>
      </c>
      <c r="H113" s="1" t="str">
        <f t="shared" si="20"/>
        <v/>
      </c>
      <c r="I113" s="1" t="str">
        <f t="shared" si="21"/>
        <v/>
      </c>
      <c r="J113" s="1" t="str">
        <f t="shared" si="22"/>
        <v/>
      </c>
      <c r="K113" s="1">
        <f t="shared" si="23"/>
        <v>1</v>
      </c>
      <c r="L113" s="1" t="str">
        <f t="shared" si="24"/>
        <v/>
      </c>
    </row>
    <row r="114" spans="1:12">
      <c r="A114" t="s">
        <v>32</v>
      </c>
      <c r="B114">
        <v>19</v>
      </c>
      <c r="C114" t="str">
        <f t="shared" si="18"/>
        <v>test.Base64_19_</v>
      </c>
      <c r="D114">
        <v>16</v>
      </c>
      <c r="E114">
        <v>1</v>
      </c>
      <c r="F114">
        <v>0.92007570243121273</v>
      </c>
      <c r="G114" s="1" t="str">
        <f t="shared" si="19"/>
        <v/>
      </c>
      <c r="H114" s="1" t="str">
        <f t="shared" si="20"/>
        <v/>
      </c>
      <c r="I114" s="1" t="str">
        <f t="shared" si="21"/>
        <v/>
      </c>
      <c r="J114" s="1" t="str">
        <f t="shared" si="22"/>
        <v/>
      </c>
      <c r="K114" s="1">
        <f t="shared" si="23"/>
        <v>1</v>
      </c>
      <c r="L114" s="1" t="str">
        <f t="shared" si="24"/>
        <v/>
      </c>
    </row>
    <row r="115" spans="1:12">
      <c r="A115" t="s">
        <v>32</v>
      </c>
      <c r="B115">
        <v>19</v>
      </c>
      <c r="C115" t="str">
        <f t="shared" si="18"/>
        <v>test.Base64_19_</v>
      </c>
      <c r="D115">
        <v>17</v>
      </c>
      <c r="E115">
        <v>1</v>
      </c>
      <c r="F115">
        <v>0.92138593681758629</v>
      </c>
      <c r="G115" s="1" t="str">
        <f t="shared" si="19"/>
        <v/>
      </c>
      <c r="H115" s="1" t="str">
        <f t="shared" si="20"/>
        <v/>
      </c>
      <c r="I115" s="1" t="str">
        <f t="shared" si="21"/>
        <v/>
      </c>
      <c r="J115" s="1" t="str">
        <f t="shared" si="22"/>
        <v/>
      </c>
      <c r="K115" s="1">
        <f t="shared" si="23"/>
        <v>1</v>
      </c>
      <c r="L115" s="1" t="str">
        <f t="shared" si="24"/>
        <v/>
      </c>
    </row>
    <row r="116" spans="1:12">
      <c r="A116" t="s">
        <v>32</v>
      </c>
      <c r="B116">
        <v>19</v>
      </c>
      <c r="C116" t="str">
        <f t="shared" si="18"/>
        <v>test.Base64_19_</v>
      </c>
      <c r="D116">
        <v>18</v>
      </c>
      <c r="E116">
        <v>1</v>
      </c>
      <c r="F116">
        <v>0.92502547677973501</v>
      </c>
      <c r="G116" s="1" t="str">
        <f t="shared" si="19"/>
        <v/>
      </c>
      <c r="H116" s="1" t="str">
        <f t="shared" si="20"/>
        <v/>
      </c>
      <c r="I116" s="1" t="str">
        <f t="shared" si="21"/>
        <v/>
      </c>
      <c r="J116" s="1" t="str">
        <f t="shared" si="22"/>
        <v/>
      </c>
      <c r="K116" s="1">
        <f t="shared" si="23"/>
        <v>1</v>
      </c>
      <c r="L116" s="1" t="str">
        <f t="shared" si="24"/>
        <v/>
      </c>
    </row>
    <row r="117" spans="1:12">
      <c r="A117" t="s">
        <v>32</v>
      </c>
      <c r="B117">
        <v>19</v>
      </c>
      <c r="C117" t="str">
        <f t="shared" si="18"/>
        <v>test.Base64_19_</v>
      </c>
      <c r="D117">
        <v>19</v>
      </c>
      <c r="E117">
        <v>1</v>
      </c>
      <c r="F117">
        <v>0.9261901295676227</v>
      </c>
      <c r="G117" s="1" t="str">
        <f t="shared" si="19"/>
        <v/>
      </c>
      <c r="H117" s="1" t="str">
        <f t="shared" si="20"/>
        <v/>
      </c>
      <c r="I117" s="1" t="str">
        <f t="shared" si="21"/>
        <v/>
      </c>
      <c r="J117" s="1" t="str">
        <f t="shared" si="22"/>
        <v/>
      </c>
      <c r="K117" s="1">
        <f t="shared" si="23"/>
        <v>1</v>
      </c>
      <c r="L117" s="1" t="str">
        <f t="shared" si="24"/>
        <v/>
      </c>
    </row>
    <row r="118" spans="1:12">
      <c r="A118" t="s">
        <v>32</v>
      </c>
      <c r="B118">
        <v>19</v>
      </c>
      <c r="C118" t="str">
        <f t="shared" si="18"/>
        <v>test.Base64_19_</v>
      </c>
      <c r="D118">
        <v>20</v>
      </c>
      <c r="E118">
        <v>1</v>
      </c>
      <c r="F118">
        <v>0.92691803756005242</v>
      </c>
      <c r="G118" s="1" t="str">
        <f t="shared" si="19"/>
        <v/>
      </c>
      <c r="H118" s="1" t="str">
        <f t="shared" si="20"/>
        <v/>
      </c>
      <c r="I118" s="1" t="str">
        <f t="shared" si="21"/>
        <v/>
      </c>
      <c r="J118" s="1" t="str">
        <f t="shared" si="22"/>
        <v/>
      </c>
      <c r="K118" s="1">
        <f t="shared" si="23"/>
        <v>1</v>
      </c>
      <c r="L118" s="1" t="str">
        <f t="shared" si="24"/>
        <v/>
      </c>
    </row>
    <row r="119" spans="1:12">
      <c r="A119" t="s">
        <v>32</v>
      </c>
      <c r="B119">
        <v>19</v>
      </c>
      <c r="C119" t="str">
        <f t="shared" si="18"/>
        <v>test.Base64_19_</v>
      </c>
      <c r="D119">
        <v>21</v>
      </c>
      <c r="E119">
        <v>1</v>
      </c>
      <c r="F119">
        <v>0.93026641432522927</v>
      </c>
      <c r="G119" s="1" t="str">
        <f t="shared" si="19"/>
        <v/>
      </c>
      <c r="H119" s="1" t="str">
        <f t="shared" si="20"/>
        <v/>
      </c>
      <c r="I119" s="1" t="str">
        <f t="shared" si="21"/>
        <v/>
      </c>
      <c r="J119" s="1" t="str">
        <f t="shared" si="22"/>
        <v/>
      </c>
      <c r="K119" s="1">
        <f t="shared" si="23"/>
        <v>1</v>
      </c>
      <c r="L119" s="1" t="str">
        <f t="shared" si="24"/>
        <v/>
      </c>
    </row>
    <row r="120" spans="1:12">
      <c r="A120" t="s">
        <v>32</v>
      </c>
      <c r="B120">
        <v>19</v>
      </c>
      <c r="C120" t="str">
        <f t="shared" si="18"/>
        <v>test.Base64_19_</v>
      </c>
      <c r="D120">
        <v>22</v>
      </c>
      <c r="E120">
        <v>1</v>
      </c>
      <c r="F120">
        <v>0.93317804629494827</v>
      </c>
      <c r="G120" s="1" t="str">
        <f t="shared" si="19"/>
        <v/>
      </c>
      <c r="H120" s="1" t="str">
        <f t="shared" si="20"/>
        <v/>
      </c>
      <c r="I120" s="1" t="str">
        <f t="shared" si="21"/>
        <v/>
      </c>
      <c r="J120" s="1" t="str">
        <f t="shared" si="22"/>
        <v/>
      </c>
      <c r="K120" s="1">
        <f t="shared" si="23"/>
        <v>1</v>
      </c>
      <c r="L120" s="1" t="str">
        <f t="shared" si="24"/>
        <v/>
      </c>
    </row>
    <row r="121" spans="1:12">
      <c r="A121" t="s">
        <v>32</v>
      </c>
      <c r="B121">
        <v>19</v>
      </c>
      <c r="C121" t="str">
        <f t="shared" si="18"/>
        <v>test.Base64_19_</v>
      </c>
      <c r="D121">
        <v>23</v>
      </c>
      <c r="E121">
        <v>1</v>
      </c>
      <c r="F121">
        <v>0.93376037268889212</v>
      </c>
      <c r="G121" s="1" t="str">
        <f t="shared" si="19"/>
        <v/>
      </c>
      <c r="H121" s="1" t="str">
        <f t="shared" si="20"/>
        <v/>
      </c>
      <c r="I121" s="1" t="str">
        <f t="shared" si="21"/>
        <v/>
      </c>
      <c r="J121" s="1" t="str">
        <f t="shared" si="22"/>
        <v/>
      </c>
      <c r="K121" s="1">
        <f t="shared" si="23"/>
        <v>1</v>
      </c>
      <c r="L121" s="1" t="str">
        <f t="shared" si="24"/>
        <v/>
      </c>
    </row>
    <row r="122" spans="1:12">
      <c r="A122" t="s">
        <v>32</v>
      </c>
      <c r="B122">
        <v>19</v>
      </c>
      <c r="C122" t="str">
        <f t="shared" si="18"/>
        <v>test.Base64_19_</v>
      </c>
      <c r="D122">
        <v>24</v>
      </c>
      <c r="E122">
        <v>1</v>
      </c>
      <c r="F122">
        <v>0.93841898384044253</v>
      </c>
      <c r="G122" s="1" t="str">
        <f t="shared" si="19"/>
        <v/>
      </c>
      <c r="H122" s="1" t="str">
        <f t="shared" si="20"/>
        <v/>
      </c>
      <c r="I122" s="1" t="str">
        <f t="shared" si="21"/>
        <v/>
      </c>
      <c r="J122" s="1" t="str">
        <f t="shared" si="22"/>
        <v/>
      </c>
      <c r="K122" s="1">
        <f t="shared" si="23"/>
        <v>1</v>
      </c>
      <c r="L122" s="1" t="str">
        <f t="shared" si="24"/>
        <v/>
      </c>
    </row>
    <row r="123" spans="1:12">
      <c r="A123" t="s">
        <v>32</v>
      </c>
      <c r="B123">
        <v>19</v>
      </c>
      <c r="C123" t="str">
        <f t="shared" si="18"/>
        <v>test.Base64_19_</v>
      </c>
      <c r="D123">
        <v>25</v>
      </c>
      <c r="E123">
        <v>1</v>
      </c>
      <c r="F123">
        <v>0.93856456543892852</v>
      </c>
      <c r="G123" s="1" t="str">
        <f t="shared" si="19"/>
        <v/>
      </c>
      <c r="H123" s="1" t="str">
        <f t="shared" si="20"/>
        <v/>
      </c>
      <c r="I123" s="1" t="str">
        <f t="shared" si="21"/>
        <v/>
      </c>
      <c r="J123" s="1" t="str">
        <f t="shared" si="22"/>
        <v/>
      </c>
      <c r="K123" s="1">
        <f t="shared" si="23"/>
        <v>1</v>
      </c>
      <c r="L123" s="1" t="str">
        <f t="shared" si="24"/>
        <v/>
      </c>
    </row>
    <row r="124" spans="1:12">
      <c r="A124" t="s">
        <v>32</v>
      </c>
      <c r="B124">
        <v>19</v>
      </c>
      <c r="C124" t="str">
        <f t="shared" si="18"/>
        <v>test.Base64_19_</v>
      </c>
      <c r="D124">
        <v>26</v>
      </c>
      <c r="E124">
        <v>1</v>
      </c>
      <c r="F124">
        <v>0.94016596302227395</v>
      </c>
      <c r="G124" s="1" t="str">
        <f t="shared" si="19"/>
        <v/>
      </c>
      <c r="H124" s="1" t="str">
        <f t="shared" si="20"/>
        <v/>
      </c>
      <c r="I124" s="1" t="str">
        <f t="shared" si="21"/>
        <v/>
      </c>
      <c r="J124" s="1" t="str">
        <f t="shared" si="22"/>
        <v/>
      </c>
      <c r="K124" s="1">
        <f t="shared" si="23"/>
        <v>1</v>
      </c>
      <c r="L124" s="1" t="str">
        <f t="shared" si="24"/>
        <v/>
      </c>
    </row>
    <row r="125" spans="1:12">
      <c r="A125" t="s">
        <v>32</v>
      </c>
      <c r="B125">
        <v>19</v>
      </c>
      <c r="C125" t="str">
        <f t="shared" si="18"/>
        <v>test.Base64_19_</v>
      </c>
      <c r="D125">
        <v>27</v>
      </c>
      <c r="E125">
        <v>1</v>
      </c>
      <c r="F125">
        <v>0.94249526859804922</v>
      </c>
      <c r="G125" s="1" t="str">
        <f t="shared" si="19"/>
        <v/>
      </c>
      <c r="H125" s="1" t="str">
        <f t="shared" si="20"/>
        <v/>
      </c>
      <c r="I125" s="1" t="str">
        <f t="shared" si="21"/>
        <v/>
      </c>
      <c r="J125" s="1" t="str">
        <f t="shared" si="22"/>
        <v/>
      </c>
      <c r="K125" s="1">
        <f t="shared" si="23"/>
        <v>1</v>
      </c>
      <c r="L125" s="1" t="str">
        <f t="shared" si="24"/>
        <v/>
      </c>
    </row>
    <row r="126" spans="1:12">
      <c r="A126" t="s">
        <v>32</v>
      </c>
      <c r="B126">
        <v>19</v>
      </c>
      <c r="C126" t="str">
        <f t="shared" si="18"/>
        <v>test.Base64_19_</v>
      </c>
      <c r="D126">
        <v>28</v>
      </c>
      <c r="E126">
        <v>1</v>
      </c>
      <c r="F126">
        <v>0.97525112825738824</v>
      </c>
      <c r="G126" s="1" t="str">
        <f t="shared" si="19"/>
        <v/>
      </c>
      <c r="H126" s="1" t="str">
        <f t="shared" si="20"/>
        <v/>
      </c>
      <c r="I126" s="1" t="str">
        <f t="shared" si="21"/>
        <v/>
      </c>
      <c r="J126" s="1" t="str">
        <f t="shared" si="22"/>
        <v/>
      </c>
      <c r="K126" s="1">
        <f t="shared" si="23"/>
        <v>1</v>
      </c>
      <c r="L126" s="1" t="str">
        <f t="shared" si="24"/>
        <v/>
      </c>
    </row>
    <row r="127" spans="1:12">
      <c r="A127" t="s">
        <v>32</v>
      </c>
      <c r="B127">
        <v>20</v>
      </c>
      <c r="C127" t="str">
        <f t="shared" si="18"/>
        <v>test.Base64_20_</v>
      </c>
      <c r="D127">
        <v>1</v>
      </c>
      <c r="E127">
        <v>0.19801980198019803</v>
      </c>
      <c r="F127">
        <v>8.2668439716312062E-2</v>
      </c>
      <c r="G127" s="1">
        <f t="shared" si="19"/>
        <v>0.19801980198019803</v>
      </c>
      <c r="H127" s="1" t="str">
        <f t="shared" si="20"/>
        <v/>
      </c>
      <c r="I127" s="1" t="str">
        <f t="shared" si="21"/>
        <v/>
      </c>
      <c r="J127" s="1" t="str">
        <f t="shared" si="22"/>
        <v/>
      </c>
      <c r="K127" s="1" t="str">
        <f t="shared" si="23"/>
        <v/>
      </c>
      <c r="L127" s="1" t="str">
        <f t="shared" si="24"/>
        <v/>
      </c>
    </row>
    <row r="128" spans="1:12">
      <c r="A128" t="s">
        <v>32</v>
      </c>
      <c r="B128">
        <v>20</v>
      </c>
      <c r="C128" t="str">
        <f t="shared" si="18"/>
        <v>test.Base64_20_</v>
      </c>
      <c r="D128">
        <v>2</v>
      </c>
      <c r="E128">
        <v>0.22772277227722773</v>
      </c>
      <c r="F128">
        <v>9.5966312056737585E-2</v>
      </c>
      <c r="G128" s="1">
        <f t="shared" si="19"/>
        <v>0.22772277227722773</v>
      </c>
      <c r="H128" s="1" t="str">
        <f t="shared" si="20"/>
        <v/>
      </c>
      <c r="I128" s="1" t="str">
        <f t="shared" si="21"/>
        <v/>
      </c>
      <c r="J128" s="1" t="str">
        <f t="shared" si="22"/>
        <v/>
      </c>
      <c r="K128" s="1" t="str">
        <f t="shared" si="23"/>
        <v/>
      </c>
      <c r="L128" s="1" t="str">
        <f t="shared" si="24"/>
        <v/>
      </c>
    </row>
    <row r="129" spans="1:12">
      <c r="A129" t="s">
        <v>32</v>
      </c>
      <c r="B129">
        <v>20</v>
      </c>
      <c r="C129" t="str">
        <f t="shared" si="18"/>
        <v>test.Base64_20_</v>
      </c>
      <c r="D129">
        <v>3</v>
      </c>
      <c r="E129">
        <v>0.25742574257425743</v>
      </c>
      <c r="F129">
        <v>9.9734042553191488E-2</v>
      </c>
      <c r="G129" s="1">
        <f t="shared" si="19"/>
        <v>0.25742574257425743</v>
      </c>
      <c r="H129" s="1" t="str">
        <f t="shared" si="20"/>
        <v/>
      </c>
      <c r="I129" s="1" t="str">
        <f t="shared" si="21"/>
        <v/>
      </c>
      <c r="J129" s="1" t="str">
        <f t="shared" si="22"/>
        <v/>
      </c>
      <c r="K129" s="1" t="str">
        <f t="shared" si="23"/>
        <v/>
      </c>
      <c r="L129" s="1" t="str">
        <f t="shared" si="24"/>
        <v/>
      </c>
    </row>
    <row r="130" spans="1:12">
      <c r="A130" t="s">
        <v>32</v>
      </c>
      <c r="B130">
        <v>20</v>
      </c>
      <c r="C130" t="str">
        <f t="shared" si="18"/>
        <v>test.Base64_20_</v>
      </c>
      <c r="D130">
        <v>4</v>
      </c>
      <c r="E130">
        <v>0.41584158415841582</v>
      </c>
      <c r="F130">
        <v>0.10261524822695035</v>
      </c>
      <c r="G130" s="1">
        <f t="shared" si="19"/>
        <v>0.41584158415841582</v>
      </c>
      <c r="H130" s="1" t="str">
        <f t="shared" si="20"/>
        <v/>
      </c>
      <c r="I130" s="1" t="str">
        <f t="shared" si="21"/>
        <v/>
      </c>
      <c r="J130" s="1" t="str">
        <f t="shared" si="22"/>
        <v/>
      </c>
      <c r="K130" s="1" t="str">
        <f t="shared" si="23"/>
        <v/>
      </c>
      <c r="L130" s="1" t="str">
        <f t="shared" si="24"/>
        <v/>
      </c>
    </row>
    <row r="131" spans="1:12">
      <c r="A131" t="s">
        <v>32</v>
      </c>
      <c r="B131">
        <v>20</v>
      </c>
      <c r="C131" t="str">
        <f t="shared" ref="C131:C194" si="25">CONCATENATE(A131, "_",B131,"_")</f>
        <v>test.Base64_20_</v>
      </c>
      <c r="D131">
        <v>5</v>
      </c>
      <c r="E131">
        <v>0.41584158415841582</v>
      </c>
      <c r="F131">
        <v>0.10793439716312057</v>
      </c>
      <c r="G131" s="1">
        <f t="shared" ref="G131:G194" si="26">IF($F131 &lt;= 0.2,$E131,"")</f>
        <v>0.41584158415841582</v>
      </c>
      <c r="H131" s="1" t="str">
        <f t="shared" ref="H131:H194" si="27">IF(AND($F131 &gt; 0.2,$F131 &lt;= 0.4),$E131,"")</f>
        <v/>
      </c>
      <c r="I131" s="1" t="str">
        <f t="shared" ref="I131:I194" si="28">IF(AND($F131 &gt; 0.4,$F131 &lt;= 0.6),$E131,"")</f>
        <v/>
      </c>
      <c r="J131" s="1" t="str">
        <f t="shared" ref="J131:J194" si="29">IF(AND($F131 &gt; 0.6,$F131 &lt;= 0.8),$E131,"")</f>
        <v/>
      </c>
      <c r="K131" s="1" t="str">
        <f t="shared" ref="K131:K194" si="30">IF(AND($F131 &gt; 0.8, $F131 &lt;=1.1),$E131,"")</f>
        <v/>
      </c>
      <c r="L131" s="1" t="str">
        <f t="shared" ref="L131:L194" si="31">IF(AND($F131 &gt; 1.1),$E131,"")</f>
        <v/>
      </c>
    </row>
    <row r="132" spans="1:12">
      <c r="A132" t="s">
        <v>32</v>
      </c>
      <c r="B132">
        <v>20</v>
      </c>
      <c r="C132" t="str">
        <f t="shared" si="25"/>
        <v>test.Base64_20_</v>
      </c>
      <c r="D132">
        <v>6</v>
      </c>
      <c r="E132">
        <v>0.44554455445544555</v>
      </c>
      <c r="F132">
        <v>0.1110372340425532</v>
      </c>
      <c r="G132" s="1">
        <f t="shared" si="26"/>
        <v>0.44554455445544555</v>
      </c>
      <c r="H132" s="1" t="str">
        <f t="shared" si="27"/>
        <v/>
      </c>
      <c r="I132" s="1" t="str">
        <f t="shared" si="28"/>
        <v/>
      </c>
      <c r="J132" s="1" t="str">
        <f t="shared" si="29"/>
        <v/>
      </c>
      <c r="K132" s="1" t="str">
        <f t="shared" si="30"/>
        <v/>
      </c>
      <c r="L132" s="1" t="str">
        <f t="shared" si="31"/>
        <v/>
      </c>
    </row>
    <row r="133" spans="1:12">
      <c r="A133" t="s">
        <v>32</v>
      </c>
      <c r="B133">
        <v>20</v>
      </c>
      <c r="C133" t="str">
        <f t="shared" si="25"/>
        <v>test.Base64_20_</v>
      </c>
      <c r="D133">
        <v>7</v>
      </c>
      <c r="E133">
        <v>0.52475247524752477</v>
      </c>
      <c r="F133">
        <v>0.1125886524822695</v>
      </c>
      <c r="G133" s="1">
        <f t="shared" si="26"/>
        <v>0.52475247524752477</v>
      </c>
      <c r="H133" s="1" t="str">
        <f t="shared" si="27"/>
        <v/>
      </c>
      <c r="I133" s="1" t="str">
        <f t="shared" si="28"/>
        <v/>
      </c>
      <c r="J133" s="1" t="str">
        <f t="shared" si="29"/>
        <v/>
      </c>
      <c r="K133" s="1" t="str">
        <f t="shared" si="30"/>
        <v/>
      </c>
      <c r="L133" s="1" t="str">
        <f t="shared" si="31"/>
        <v/>
      </c>
    </row>
    <row r="134" spans="1:12">
      <c r="A134" t="s">
        <v>32</v>
      </c>
      <c r="B134">
        <v>20</v>
      </c>
      <c r="C134" t="str">
        <f t="shared" si="25"/>
        <v>test.Base64_20_</v>
      </c>
      <c r="D134">
        <v>8</v>
      </c>
      <c r="E134">
        <v>0.52475247524752477</v>
      </c>
      <c r="F134">
        <v>0.11657801418439716</v>
      </c>
      <c r="G134" s="1">
        <f t="shared" si="26"/>
        <v>0.52475247524752477</v>
      </c>
      <c r="H134" s="1" t="str">
        <f t="shared" si="27"/>
        <v/>
      </c>
      <c r="I134" s="1" t="str">
        <f t="shared" si="28"/>
        <v/>
      </c>
      <c r="J134" s="1" t="str">
        <f t="shared" si="29"/>
        <v/>
      </c>
      <c r="K134" s="1" t="str">
        <f t="shared" si="30"/>
        <v/>
      </c>
      <c r="L134" s="1" t="str">
        <f t="shared" si="31"/>
        <v/>
      </c>
    </row>
    <row r="135" spans="1:12">
      <c r="A135" t="s">
        <v>32</v>
      </c>
      <c r="B135">
        <v>20</v>
      </c>
      <c r="C135" t="str">
        <f t="shared" si="25"/>
        <v>test.Base64_20_</v>
      </c>
      <c r="D135">
        <v>9</v>
      </c>
      <c r="E135">
        <v>0.52475247524752477</v>
      </c>
      <c r="F135">
        <v>0.11679964539007093</v>
      </c>
      <c r="G135" s="1">
        <f t="shared" si="26"/>
        <v>0.52475247524752477</v>
      </c>
      <c r="H135" s="1" t="str">
        <f t="shared" si="27"/>
        <v/>
      </c>
      <c r="I135" s="1" t="str">
        <f t="shared" si="28"/>
        <v/>
      </c>
      <c r="J135" s="1" t="str">
        <f t="shared" si="29"/>
        <v/>
      </c>
      <c r="K135" s="1" t="str">
        <f t="shared" si="30"/>
        <v/>
      </c>
      <c r="L135" s="1" t="str">
        <f t="shared" si="31"/>
        <v/>
      </c>
    </row>
    <row r="136" spans="1:12">
      <c r="A136" t="s">
        <v>32</v>
      </c>
      <c r="B136">
        <v>20</v>
      </c>
      <c r="C136" t="str">
        <f t="shared" si="25"/>
        <v>test.Base64_20_</v>
      </c>
      <c r="D136">
        <v>10</v>
      </c>
      <c r="E136">
        <v>0.52475247524752477</v>
      </c>
      <c r="F136">
        <v>0.12832446808510639</v>
      </c>
      <c r="G136" s="1">
        <f t="shared" si="26"/>
        <v>0.52475247524752477</v>
      </c>
      <c r="H136" s="1" t="str">
        <f t="shared" si="27"/>
        <v/>
      </c>
      <c r="I136" s="1" t="str">
        <f t="shared" si="28"/>
        <v/>
      </c>
      <c r="J136" s="1" t="str">
        <f t="shared" si="29"/>
        <v/>
      </c>
      <c r="K136" s="1" t="str">
        <f t="shared" si="30"/>
        <v/>
      </c>
      <c r="L136" s="1" t="str">
        <f t="shared" si="31"/>
        <v/>
      </c>
    </row>
    <row r="137" spans="1:12">
      <c r="A137" t="s">
        <v>32</v>
      </c>
      <c r="B137">
        <v>20</v>
      </c>
      <c r="C137" t="str">
        <f t="shared" si="25"/>
        <v>test.Base64_20_</v>
      </c>
      <c r="D137">
        <v>11</v>
      </c>
      <c r="E137">
        <v>0.52475247524752477</v>
      </c>
      <c r="F137">
        <v>0.13054078014184398</v>
      </c>
      <c r="G137" s="1">
        <f t="shared" si="26"/>
        <v>0.52475247524752477</v>
      </c>
      <c r="H137" s="1" t="str">
        <f t="shared" si="27"/>
        <v/>
      </c>
      <c r="I137" s="1" t="str">
        <f t="shared" si="28"/>
        <v/>
      </c>
      <c r="J137" s="1" t="str">
        <f t="shared" si="29"/>
        <v/>
      </c>
      <c r="K137" s="1" t="str">
        <f t="shared" si="30"/>
        <v/>
      </c>
      <c r="L137" s="1" t="str">
        <f t="shared" si="31"/>
        <v/>
      </c>
    </row>
    <row r="138" spans="1:12">
      <c r="A138" t="s">
        <v>32</v>
      </c>
      <c r="B138">
        <v>20</v>
      </c>
      <c r="C138" t="str">
        <f t="shared" si="25"/>
        <v>test.Base64_20_</v>
      </c>
      <c r="D138">
        <v>12</v>
      </c>
      <c r="E138">
        <v>0.52475247524752477</v>
      </c>
      <c r="F138">
        <v>0.13253546099290781</v>
      </c>
      <c r="G138" s="1">
        <f t="shared" si="26"/>
        <v>0.52475247524752477</v>
      </c>
      <c r="H138" s="1" t="str">
        <f t="shared" si="27"/>
        <v/>
      </c>
      <c r="I138" s="1" t="str">
        <f t="shared" si="28"/>
        <v/>
      </c>
      <c r="J138" s="1" t="str">
        <f t="shared" si="29"/>
        <v/>
      </c>
      <c r="K138" s="1" t="str">
        <f t="shared" si="30"/>
        <v/>
      </c>
      <c r="L138" s="1" t="str">
        <f t="shared" si="31"/>
        <v/>
      </c>
    </row>
    <row r="139" spans="1:12">
      <c r="A139" t="s">
        <v>32</v>
      </c>
      <c r="B139">
        <v>20</v>
      </c>
      <c r="C139" t="str">
        <f t="shared" si="25"/>
        <v>test.Base64_20_</v>
      </c>
      <c r="D139">
        <v>13</v>
      </c>
      <c r="E139">
        <v>0.52475247524752477</v>
      </c>
      <c r="F139">
        <v>0.13342198581560283</v>
      </c>
      <c r="G139" s="1">
        <f t="shared" si="26"/>
        <v>0.52475247524752477</v>
      </c>
      <c r="H139" s="1" t="str">
        <f t="shared" si="27"/>
        <v/>
      </c>
      <c r="I139" s="1" t="str">
        <f t="shared" si="28"/>
        <v/>
      </c>
      <c r="J139" s="1" t="str">
        <f t="shared" si="29"/>
        <v/>
      </c>
      <c r="K139" s="1" t="str">
        <f t="shared" si="30"/>
        <v/>
      </c>
      <c r="L139" s="1" t="str">
        <f t="shared" si="31"/>
        <v/>
      </c>
    </row>
    <row r="140" spans="1:12">
      <c r="A140" t="s">
        <v>32</v>
      </c>
      <c r="B140">
        <v>20</v>
      </c>
      <c r="C140" t="str">
        <f t="shared" si="25"/>
        <v>test.Base64_20_</v>
      </c>
      <c r="D140">
        <v>14</v>
      </c>
      <c r="E140">
        <v>0.70297029702970293</v>
      </c>
      <c r="F140">
        <v>0.13962765957446807</v>
      </c>
      <c r="G140" s="1">
        <f t="shared" si="26"/>
        <v>0.70297029702970293</v>
      </c>
      <c r="H140" s="1" t="str">
        <f t="shared" si="27"/>
        <v/>
      </c>
      <c r="I140" s="1" t="str">
        <f t="shared" si="28"/>
        <v/>
      </c>
      <c r="J140" s="1" t="str">
        <f t="shared" si="29"/>
        <v/>
      </c>
      <c r="K140" s="1" t="str">
        <f t="shared" si="30"/>
        <v/>
      </c>
      <c r="L140" s="1" t="str">
        <f t="shared" si="31"/>
        <v/>
      </c>
    </row>
    <row r="141" spans="1:12">
      <c r="A141" t="s">
        <v>32</v>
      </c>
      <c r="B141">
        <v>20</v>
      </c>
      <c r="C141" t="str">
        <f t="shared" si="25"/>
        <v>test.Base64_20_</v>
      </c>
      <c r="D141">
        <v>15</v>
      </c>
      <c r="E141">
        <v>0.70297029702970293</v>
      </c>
      <c r="F141">
        <v>0.14561170212765959</v>
      </c>
      <c r="G141" s="1">
        <f t="shared" si="26"/>
        <v>0.70297029702970293</v>
      </c>
      <c r="H141" s="1" t="str">
        <f t="shared" si="27"/>
        <v/>
      </c>
      <c r="I141" s="1" t="str">
        <f t="shared" si="28"/>
        <v/>
      </c>
      <c r="J141" s="1" t="str">
        <f t="shared" si="29"/>
        <v/>
      </c>
      <c r="K141" s="1" t="str">
        <f t="shared" si="30"/>
        <v/>
      </c>
      <c r="L141" s="1" t="str">
        <f t="shared" si="31"/>
        <v/>
      </c>
    </row>
    <row r="142" spans="1:12">
      <c r="A142" t="s">
        <v>32</v>
      </c>
      <c r="B142">
        <v>20</v>
      </c>
      <c r="C142" t="str">
        <f t="shared" si="25"/>
        <v>test.Base64_20_</v>
      </c>
      <c r="D142">
        <v>16</v>
      </c>
      <c r="E142">
        <v>0.70297029702970293</v>
      </c>
      <c r="F142">
        <v>0.15447695035460993</v>
      </c>
      <c r="G142" s="1">
        <f t="shared" si="26"/>
        <v>0.70297029702970293</v>
      </c>
      <c r="H142" s="1" t="str">
        <f t="shared" si="27"/>
        <v/>
      </c>
      <c r="I142" s="1" t="str">
        <f t="shared" si="28"/>
        <v/>
      </c>
      <c r="J142" s="1" t="str">
        <f t="shared" si="29"/>
        <v/>
      </c>
      <c r="K142" s="1" t="str">
        <f t="shared" si="30"/>
        <v/>
      </c>
      <c r="L142" s="1" t="str">
        <f t="shared" si="31"/>
        <v/>
      </c>
    </row>
    <row r="143" spans="1:12">
      <c r="A143" t="s">
        <v>32</v>
      </c>
      <c r="B143">
        <v>20</v>
      </c>
      <c r="C143" t="str">
        <f t="shared" si="25"/>
        <v>test.Base64_20_</v>
      </c>
      <c r="D143">
        <v>17</v>
      </c>
      <c r="E143">
        <v>0.70297029702970293</v>
      </c>
      <c r="F143">
        <v>0.15492021276595744</v>
      </c>
      <c r="G143" s="1">
        <f t="shared" si="26"/>
        <v>0.70297029702970293</v>
      </c>
      <c r="H143" s="1" t="str">
        <f t="shared" si="27"/>
        <v/>
      </c>
      <c r="I143" s="1" t="str">
        <f t="shared" si="28"/>
        <v/>
      </c>
      <c r="J143" s="1" t="str">
        <f t="shared" si="29"/>
        <v/>
      </c>
      <c r="K143" s="1" t="str">
        <f t="shared" si="30"/>
        <v/>
      </c>
      <c r="L143" s="1" t="str">
        <f t="shared" si="31"/>
        <v/>
      </c>
    </row>
    <row r="144" spans="1:12">
      <c r="A144" t="s">
        <v>32</v>
      </c>
      <c r="B144">
        <v>20</v>
      </c>
      <c r="C144" t="str">
        <f t="shared" si="25"/>
        <v>test.Base64_20_</v>
      </c>
      <c r="D144">
        <v>18</v>
      </c>
      <c r="E144">
        <v>0.70297029702970293</v>
      </c>
      <c r="F144">
        <v>0.16666666666666666</v>
      </c>
      <c r="G144" s="1">
        <f t="shared" si="26"/>
        <v>0.70297029702970293</v>
      </c>
      <c r="H144" s="1" t="str">
        <f t="shared" si="27"/>
        <v/>
      </c>
      <c r="I144" s="1" t="str">
        <f t="shared" si="28"/>
        <v/>
      </c>
      <c r="J144" s="1" t="str">
        <f t="shared" si="29"/>
        <v/>
      </c>
      <c r="K144" s="1" t="str">
        <f t="shared" si="30"/>
        <v/>
      </c>
      <c r="L144" s="1" t="str">
        <f t="shared" si="31"/>
        <v/>
      </c>
    </row>
    <row r="145" spans="1:12">
      <c r="A145" t="s">
        <v>32</v>
      </c>
      <c r="B145">
        <v>20</v>
      </c>
      <c r="C145" t="str">
        <f t="shared" si="25"/>
        <v>test.Base64_20_</v>
      </c>
      <c r="D145">
        <v>19</v>
      </c>
      <c r="E145">
        <v>0.70297029702970293</v>
      </c>
      <c r="F145">
        <v>0.16866134751773049</v>
      </c>
      <c r="G145" s="1">
        <f t="shared" si="26"/>
        <v>0.70297029702970293</v>
      </c>
      <c r="H145" s="1" t="str">
        <f t="shared" si="27"/>
        <v/>
      </c>
      <c r="I145" s="1" t="str">
        <f t="shared" si="28"/>
        <v/>
      </c>
      <c r="J145" s="1" t="str">
        <f t="shared" si="29"/>
        <v/>
      </c>
      <c r="K145" s="1" t="str">
        <f t="shared" si="30"/>
        <v/>
      </c>
      <c r="L145" s="1" t="str">
        <f t="shared" si="31"/>
        <v/>
      </c>
    </row>
    <row r="146" spans="1:12">
      <c r="A146" t="s">
        <v>32</v>
      </c>
      <c r="B146">
        <v>20</v>
      </c>
      <c r="C146" t="str">
        <f t="shared" si="25"/>
        <v>test.Base64_20_</v>
      </c>
      <c r="D146">
        <v>20</v>
      </c>
      <c r="E146">
        <v>0.70297029702970293</v>
      </c>
      <c r="F146">
        <v>0.17774822695035461</v>
      </c>
      <c r="G146" s="1">
        <f t="shared" si="26"/>
        <v>0.70297029702970293</v>
      </c>
      <c r="H146" s="1" t="str">
        <f t="shared" si="27"/>
        <v/>
      </c>
      <c r="I146" s="1" t="str">
        <f t="shared" si="28"/>
        <v/>
      </c>
      <c r="J146" s="1" t="str">
        <f t="shared" si="29"/>
        <v/>
      </c>
      <c r="K146" s="1" t="str">
        <f t="shared" si="30"/>
        <v/>
      </c>
      <c r="L146" s="1" t="str">
        <f t="shared" si="31"/>
        <v/>
      </c>
    </row>
    <row r="147" spans="1:12">
      <c r="A147" t="s">
        <v>32</v>
      </c>
      <c r="B147">
        <v>20</v>
      </c>
      <c r="C147" t="str">
        <f t="shared" si="25"/>
        <v>test.Base64_20_</v>
      </c>
      <c r="D147">
        <v>21</v>
      </c>
      <c r="E147">
        <v>0.70297029702970293</v>
      </c>
      <c r="F147">
        <v>0.18018617021276595</v>
      </c>
      <c r="G147" s="1">
        <f t="shared" si="26"/>
        <v>0.70297029702970293</v>
      </c>
      <c r="H147" s="1" t="str">
        <f t="shared" si="27"/>
        <v/>
      </c>
      <c r="I147" s="1" t="str">
        <f t="shared" si="28"/>
        <v/>
      </c>
      <c r="J147" s="1" t="str">
        <f t="shared" si="29"/>
        <v/>
      </c>
      <c r="K147" s="1" t="str">
        <f t="shared" si="30"/>
        <v/>
      </c>
      <c r="L147" s="1" t="str">
        <f t="shared" si="31"/>
        <v/>
      </c>
    </row>
    <row r="148" spans="1:12">
      <c r="A148" t="s">
        <v>32</v>
      </c>
      <c r="B148">
        <v>20</v>
      </c>
      <c r="C148" t="str">
        <f t="shared" si="25"/>
        <v>test.Base64_20_</v>
      </c>
      <c r="D148">
        <v>22</v>
      </c>
      <c r="E148">
        <v>0.70297029702970293</v>
      </c>
      <c r="F148">
        <v>0.18882978723404256</v>
      </c>
      <c r="G148" s="1">
        <f t="shared" si="26"/>
        <v>0.70297029702970293</v>
      </c>
      <c r="H148" s="1" t="str">
        <f t="shared" si="27"/>
        <v/>
      </c>
      <c r="I148" s="1" t="str">
        <f t="shared" si="28"/>
        <v/>
      </c>
      <c r="J148" s="1" t="str">
        <f t="shared" si="29"/>
        <v/>
      </c>
      <c r="K148" s="1" t="str">
        <f t="shared" si="30"/>
        <v/>
      </c>
      <c r="L148" s="1" t="str">
        <f t="shared" si="31"/>
        <v/>
      </c>
    </row>
    <row r="149" spans="1:12">
      <c r="A149" t="s">
        <v>32</v>
      </c>
      <c r="B149">
        <v>20</v>
      </c>
      <c r="C149" t="str">
        <f t="shared" si="25"/>
        <v>test.Base64_20_</v>
      </c>
      <c r="D149">
        <v>23</v>
      </c>
      <c r="E149">
        <v>1</v>
      </c>
      <c r="F149">
        <v>0.83953900709219853</v>
      </c>
      <c r="G149" s="1" t="str">
        <f t="shared" si="26"/>
        <v/>
      </c>
      <c r="H149" s="1" t="str">
        <f t="shared" si="27"/>
        <v/>
      </c>
      <c r="I149" s="1" t="str">
        <f t="shared" si="28"/>
        <v/>
      </c>
      <c r="J149" s="1" t="str">
        <f t="shared" si="29"/>
        <v/>
      </c>
      <c r="K149" s="1">
        <f t="shared" si="30"/>
        <v>1</v>
      </c>
      <c r="L149" s="1" t="str">
        <f t="shared" si="31"/>
        <v/>
      </c>
    </row>
    <row r="150" spans="1:12">
      <c r="A150" t="s">
        <v>32</v>
      </c>
      <c r="B150">
        <v>20</v>
      </c>
      <c r="C150" t="str">
        <f t="shared" si="25"/>
        <v>test.Base64_20_</v>
      </c>
      <c r="D150">
        <v>24</v>
      </c>
      <c r="E150">
        <v>1</v>
      </c>
      <c r="F150">
        <v>0.85948581560283688</v>
      </c>
      <c r="G150" s="1" t="str">
        <f t="shared" si="26"/>
        <v/>
      </c>
      <c r="H150" s="1" t="str">
        <f t="shared" si="27"/>
        <v/>
      </c>
      <c r="I150" s="1" t="str">
        <f t="shared" si="28"/>
        <v/>
      </c>
      <c r="J150" s="1" t="str">
        <f t="shared" si="29"/>
        <v/>
      </c>
      <c r="K150" s="1">
        <f t="shared" si="30"/>
        <v>1</v>
      </c>
      <c r="L150" s="1" t="str">
        <f t="shared" si="31"/>
        <v/>
      </c>
    </row>
    <row r="151" spans="1:12">
      <c r="A151" t="s">
        <v>32</v>
      </c>
      <c r="B151">
        <v>20</v>
      </c>
      <c r="C151" t="str">
        <f t="shared" si="25"/>
        <v>test.Base64_20_</v>
      </c>
      <c r="D151">
        <v>25</v>
      </c>
      <c r="E151">
        <v>1</v>
      </c>
      <c r="F151">
        <v>0.85970744680851063</v>
      </c>
      <c r="G151" s="1" t="str">
        <f t="shared" si="26"/>
        <v/>
      </c>
      <c r="H151" s="1" t="str">
        <f t="shared" si="27"/>
        <v/>
      </c>
      <c r="I151" s="1" t="str">
        <f t="shared" si="28"/>
        <v/>
      </c>
      <c r="J151" s="1" t="str">
        <f t="shared" si="29"/>
        <v/>
      </c>
      <c r="K151" s="1">
        <f t="shared" si="30"/>
        <v>1</v>
      </c>
      <c r="L151" s="1" t="str">
        <f t="shared" si="31"/>
        <v/>
      </c>
    </row>
    <row r="152" spans="1:12">
      <c r="A152" t="s">
        <v>32</v>
      </c>
      <c r="B152">
        <v>20</v>
      </c>
      <c r="C152" t="str">
        <f t="shared" si="25"/>
        <v>test.Base64_20_</v>
      </c>
      <c r="D152">
        <v>26</v>
      </c>
      <c r="E152">
        <v>1</v>
      </c>
      <c r="F152">
        <v>0.8639184397163121</v>
      </c>
      <c r="G152" s="1" t="str">
        <f t="shared" si="26"/>
        <v/>
      </c>
      <c r="H152" s="1" t="str">
        <f t="shared" si="27"/>
        <v/>
      </c>
      <c r="I152" s="1" t="str">
        <f t="shared" si="28"/>
        <v/>
      </c>
      <c r="J152" s="1" t="str">
        <f t="shared" si="29"/>
        <v/>
      </c>
      <c r="K152" s="1">
        <f t="shared" si="30"/>
        <v>1</v>
      </c>
      <c r="L152" s="1" t="str">
        <f t="shared" si="31"/>
        <v/>
      </c>
    </row>
    <row r="153" spans="1:12">
      <c r="A153" t="s">
        <v>32</v>
      </c>
      <c r="B153">
        <v>20</v>
      </c>
      <c r="C153" t="str">
        <f t="shared" si="25"/>
        <v>test.Base64_20_</v>
      </c>
      <c r="D153">
        <v>27</v>
      </c>
      <c r="E153">
        <v>1</v>
      </c>
      <c r="F153">
        <v>0.86436170212765961</v>
      </c>
      <c r="G153" s="1" t="str">
        <f t="shared" si="26"/>
        <v/>
      </c>
      <c r="H153" s="1" t="str">
        <f t="shared" si="27"/>
        <v/>
      </c>
      <c r="I153" s="1" t="str">
        <f t="shared" si="28"/>
        <v/>
      </c>
      <c r="J153" s="1" t="str">
        <f t="shared" si="29"/>
        <v/>
      </c>
      <c r="K153" s="1">
        <f t="shared" si="30"/>
        <v>1</v>
      </c>
      <c r="L153" s="1" t="str">
        <f t="shared" si="31"/>
        <v/>
      </c>
    </row>
    <row r="154" spans="1:12">
      <c r="A154" t="s">
        <v>32</v>
      </c>
      <c r="B154">
        <v>20</v>
      </c>
      <c r="C154" t="str">
        <f t="shared" si="25"/>
        <v>test.Base64_20_</v>
      </c>
      <c r="D154">
        <v>28</v>
      </c>
      <c r="E154">
        <v>1</v>
      </c>
      <c r="F154">
        <v>0.87810283687943258</v>
      </c>
      <c r="G154" s="1" t="str">
        <f t="shared" si="26"/>
        <v/>
      </c>
      <c r="H154" s="1" t="str">
        <f t="shared" si="27"/>
        <v/>
      </c>
      <c r="I154" s="1" t="str">
        <f t="shared" si="28"/>
        <v/>
      </c>
      <c r="J154" s="1" t="str">
        <f t="shared" si="29"/>
        <v/>
      </c>
      <c r="K154" s="1">
        <f t="shared" si="30"/>
        <v>1</v>
      </c>
      <c r="L154" s="1" t="str">
        <f t="shared" si="31"/>
        <v/>
      </c>
    </row>
    <row r="155" spans="1:12">
      <c r="A155" t="s">
        <v>32</v>
      </c>
      <c r="B155">
        <v>20</v>
      </c>
      <c r="C155" t="str">
        <f t="shared" si="25"/>
        <v>test.Base64_20_</v>
      </c>
      <c r="D155">
        <v>29</v>
      </c>
      <c r="E155">
        <v>1</v>
      </c>
      <c r="F155">
        <v>0.89117907801418439</v>
      </c>
      <c r="G155" s="1" t="str">
        <f t="shared" si="26"/>
        <v/>
      </c>
      <c r="H155" s="1" t="str">
        <f t="shared" si="27"/>
        <v/>
      </c>
      <c r="I155" s="1" t="str">
        <f t="shared" si="28"/>
        <v/>
      </c>
      <c r="J155" s="1" t="str">
        <f t="shared" si="29"/>
        <v/>
      </c>
      <c r="K155" s="1">
        <f t="shared" si="30"/>
        <v>1</v>
      </c>
      <c r="L155" s="1" t="str">
        <f t="shared" si="31"/>
        <v/>
      </c>
    </row>
    <row r="156" spans="1:12">
      <c r="A156" t="s">
        <v>32</v>
      </c>
      <c r="B156">
        <v>20</v>
      </c>
      <c r="C156" t="str">
        <f t="shared" si="25"/>
        <v>test.Base64_20_</v>
      </c>
      <c r="D156">
        <v>30</v>
      </c>
      <c r="E156">
        <v>1</v>
      </c>
      <c r="F156">
        <v>0.89915780141843971</v>
      </c>
      <c r="G156" s="1" t="str">
        <f t="shared" si="26"/>
        <v/>
      </c>
      <c r="H156" s="1" t="str">
        <f t="shared" si="27"/>
        <v/>
      </c>
      <c r="I156" s="1" t="str">
        <f t="shared" si="28"/>
        <v/>
      </c>
      <c r="J156" s="1" t="str">
        <f t="shared" si="29"/>
        <v/>
      </c>
      <c r="K156" s="1">
        <f t="shared" si="30"/>
        <v>1</v>
      </c>
      <c r="L156" s="1" t="str">
        <f t="shared" si="31"/>
        <v/>
      </c>
    </row>
    <row r="157" spans="1:12">
      <c r="A157" t="s">
        <v>32</v>
      </c>
      <c r="B157">
        <v>20</v>
      </c>
      <c r="C157" t="str">
        <f t="shared" si="25"/>
        <v>test.Base64_20_</v>
      </c>
      <c r="D157">
        <v>31</v>
      </c>
      <c r="E157">
        <v>1</v>
      </c>
      <c r="F157">
        <v>0.90469858156028371</v>
      </c>
      <c r="G157" s="1" t="str">
        <f t="shared" si="26"/>
        <v/>
      </c>
      <c r="H157" s="1" t="str">
        <f t="shared" si="27"/>
        <v/>
      </c>
      <c r="I157" s="1" t="str">
        <f t="shared" si="28"/>
        <v/>
      </c>
      <c r="J157" s="1" t="str">
        <f t="shared" si="29"/>
        <v/>
      </c>
      <c r="K157" s="1">
        <f t="shared" si="30"/>
        <v>1</v>
      </c>
      <c r="L157" s="1" t="str">
        <f t="shared" si="31"/>
        <v/>
      </c>
    </row>
    <row r="158" spans="1:12">
      <c r="A158" t="s">
        <v>32</v>
      </c>
      <c r="B158">
        <v>20</v>
      </c>
      <c r="C158" t="str">
        <f t="shared" si="25"/>
        <v>test.Base64_20_</v>
      </c>
      <c r="D158">
        <v>32</v>
      </c>
      <c r="E158">
        <v>1</v>
      </c>
      <c r="F158">
        <v>0.9264184397163121</v>
      </c>
      <c r="G158" s="1" t="str">
        <f t="shared" si="26"/>
        <v/>
      </c>
      <c r="H158" s="1" t="str">
        <f t="shared" si="27"/>
        <v/>
      </c>
      <c r="I158" s="1" t="str">
        <f t="shared" si="28"/>
        <v/>
      </c>
      <c r="J158" s="1" t="str">
        <f t="shared" si="29"/>
        <v/>
      </c>
      <c r="K158" s="1">
        <f t="shared" si="30"/>
        <v>1</v>
      </c>
      <c r="L158" s="1" t="str">
        <f t="shared" si="31"/>
        <v/>
      </c>
    </row>
    <row r="159" spans="1:12">
      <c r="A159" t="s">
        <v>32</v>
      </c>
      <c r="B159">
        <v>20</v>
      </c>
      <c r="C159" t="str">
        <f t="shared" si="25"/>
        <v>test.Base64_20_</v>
      </c>
      <c r="D159">
        <v>33</v>
      </c>
      <c r="E159">
        <v>1</v>
      </c>
      <c r="F159">
        <v>1.2969858156028369</v>
      </c>
      <c r="G159" s="1" t="str">
        <f t="shared" si="26"/>
        <v/>
      </c>
      <c r="H159" s="1" t="str">
        <f t="shared" si="27"/>
        <v/>
      </c>
      <c r="I159" s="1" t="str">
        <f t="shared" si="28"/>
        <v/>
      </c>
      <c r="J159" s="1" t="str">
        <f t="shared" si="29"/>
        <v/>
      </c>
      <c r="K159" s="1" t="str">
        <f t="shared" si="30"/>
        <v/>
      </c>
      <c r="L159" s="1">
        <f t="shared" si="31"/>
        <v>1</v>
      </c>
    </row>
    <row r="160" spans="1:12">
      <c r="A160" t="s">
        <v>142</v>
      </c>
      <c r="B160">
        <v>2</v>
      </c>
      <c r="C160" t="str">
        <f t="shared" si="25"/>
        <v>test.Class11_2_</v>
      </c>
      <c r="D160">
        <v>1</v>
      </c>
      <c r="E160">
        <v>4.4642857142857144E-2</v>
      </c>
      <c r="F160">
        <v>4.8138056312443236E-2</v>
      </c>
      <c r="G160" s="1">
        <f t="shared" si="26"/>
        <v>4.4642857142857144E-2</v>
      </c>
      <c r="H160" s="1" t="str">
        <f t="shared" si="27"/>
        <v/>
      </c>
      <c r="I160" s="1" t="str">
        <f t="shared" si="28"/>
        <v/>
      </c>
      <c r="J160" s="1" t="str">
        <f t="shared" si="29"/>
        <v/>
      </c>
      <c r="K160" s="1" t="str">
        <f t="shared" si="30"/>
        <v/>
      </c>
      <c r="L160" s="1" t="str">
        <f t="shared" si="31"/>
        <v/>
      </c>
    </row>
    <row r="161" spans="1:12">
      <c r="A161" t="s">
        <v>142</v>
      </c>
      <c r="B161">
        <v>2</v>
      </c>
      <c r="C161" t="str">
        <f t="shared" si="25"/>
        <v>test.Class11_2_</v>
      </c>
      <c r="D161">
        <v>2</v>
      </c>
      <c r="E161">
        <v>0.5</v>
      </c>
      <c r="F161">
        <v>0.50832576445655464</v>
      </c>
      <c r="G161" s="1" t="str">
        <f t="shared" si="26"/>
        <v/>
      </c>
      <c r="H161" s="1" t="str">
        <f t="shared" si="27"/>
        <v/>
      </c>
      <c r="I161" s="1">
        <f t="shared" si="28"/>
        <v>0.5</v>
      </c>
      <c r="J161" s="1" t="str">
        <f t="shared" si="29"/>
        <v/>
      </c>
      <c r="K161" s="1" t="str">
        <f t="shared" si="30"/>
        <v/>
      </c>
      <c r="L161" s="1" t="str">
        <f t="shared" si="31"/>
        <v/>
      </c>
    </row>
    <row r="162" spans="1:12">
      <c r="A162" t="s">
        <v>142</v>
      </c>
      <c r="B162">
        <v>2</v>
      </c>
      <c r="C162" t="str">
        <f t="shared" si="25"/>
        <v>test.Class11_2_</v>
      </c>
      <c r="D162">
        <v>3</v>
      </c>
      <c r="E162">
        <v>1</v>
      </c>
      <c r="F162">
        <v>0.99818346957311532</v>
      </c>
      <c r="G162" s="1" t="str">
        <f t="shared" si="26"/>
        <v/>
      </c>
      <c r="H162" s="1" t="str">
        <f t="shared" si="27"/>
        <v/>
      </c>
      <c r="I162" s="1" t="str">
        <f t="shared" si="28"/>
        <v/>
      </c>
      <c r="J162" s="1" t="str">
        <f t="shared" si="29"/>
        <v/>
      </c>
      <c r="K162" s="1">
        <f t="shared" si="30"/>
        <v>1</v>
      </c>
      <c r="L162" s="1" t="str">
        <f t="shared" si="31"/>
        <v/>
      </c>
    </row>
    <row r="163" spans="1:12">
      <c r="A163" t="s">
        <v>142</v>
      </c>
      <c r="B163">
        <v>3</v>
      </c>
      <c r="C163" t="str">
        <f t="shared" si="25"/>
        <v>test.Class11_3_</v>
      </c>
      <c r="D163">
        <v>1</v>
      </c>
      <c r="E163">
        <v>0.93181818181818177</v>
      </c>
      <c r="F163">
        <v>0.98004434589800449</v>
      </c>
      <c r="G163" s="1" t="str">
        <f t="shared" si="26"/>
        <v/>
      </c>
      <c r="H163" s="1" t="str">
        <f t="shared" si="27"/>
        <v/>
      </c>
      <c r="I163" s="1" t="str">
        <f t="shared" si="28"/>
        <v/>
      </c>
      <c r="J163" s="1" t="str">
        <f t="shared" si="29"/>
        <v/>
      </c>
      <c r="K163" s="1">
        <f t="shared" si="30"/>
        <v>0.93181818181818177</v>
      </c>
      <c r="L163" s="1" t="str">
        <f t="shared" si="31"/>
        <v/>
      </c>
    </row>
    <row r="164" spans="1:12">
      <c r="A164" t="s">
        <v>142</v>
      </c>
      <c r="B164">
        <v>3</v>
      </c>
      <c r="C164" t="str">
        <f t="shared" si="25"/>
        <v>test.Class11_3_</v>
      </c>
      <c r="D164">
        <v>2</v>
      </c>
      <c r="E164">
        <v>1</v>
      </c>
      <c r="F164">
        <v>0.9992609016999261</v>
      </c>
      <c r="G164" s="1" t="str">
        <f t="shared" si="26"/>
        <v/>
      </c>
      <c r="H164" s="1" t="str">
        <f t="shared" si="27"/>
        <v/>
      </c>
      <c r="I164" s="1" t="str">
        <f t="shared" si="28"/>
        <v/>
      </c>
      <c r="J164" s="1" t="str">
        <f t="shared" si="29"/>
        <v/>
      </c>
      <c r="K164" s="1">
        <f t="shared" si="30"/>
        <v>1</v>
      </c>
      <c r="L164" s="1" t="str">
        <f t="shared" si="31"/>
        <v/>
      </c>
    </row>
    <row r="165" spans="1:12">
      <c r="A165" t="s">
        <v>142</v>
      </c>
      <c r="B165">
        <v>7</v>
      </c>
      <c r="C165" t="str">
        <f t="shared" si="25"/>
        <v>test.Class11_7_</v>
      </c>
      <c r="D165">
        <v>1</v>
      </c>
      <c r="E165">
        <v>0.97674418604651159</v>
      </c>
      <c r="F165">
        <v>0.98217054263565895</v>
      </c>
      <c r="G165" s="1" t="str">
        <f t="shared" si="26"/>
        <v/>
      </c>
      <c r="H165" s="1" t="str">
        <f t="shared" si="27"/>
        <v/>
      </c>
      <c r="I165" s="1" t="str">
        <f t="shared" si="28"/>
        <v/>
      </c>
      <c r="J165" s="1" t="str">
        <f t="shared" si="29"/>
        <v/>
      </c>
      <c r="K165" s="1">
        <f t="shared" si="30"/>
        <v>0.97674418604651159</v>
      </c>
      <c r="L165" s="1" t="str">
        <f t="shared" si="31"/>
        <v/>
      </c>
    </row>
    <row r="166" spans="1:12">
      <c r="A166" t="s">
        <v>142</v>
      </c>
      <c r="B166">
        <v>7</v>
      </c>
      <c r="C166" t="str">
        <f t="shared" si="25"/>
        <v>test.Class11_7_</v>
      </c>
      <c r="D166">
        <v>2</v>
      </c>
      <c r="E166">
        <v>1</v>
      </c>
      <c r="F166">
        <v>1.0023255813953489</v>
      </c>
      <c r="G166" s="1" t="str">
        <f t="shared" si="26"/>
        <v/>
      </c>
      <c r="H166" s="1" t="str">
        <f t="shared" si="27"/>
        <v/>
      </c>
      <c r="I166" s="1" t="str">
        <f t="shared" si="28"/>
        <v/>
      </c>
      <c r="J166" s="1" t="str">
        <f t="shared" si="29"/>
        <v/>
      </c>
      <c r="K166" s="1">
        <f t="shared" si="30"/>
        <v>1</v>
      </c>
      <c r="L166" s="1" t="str">
        <f t="shared" si="31"/>
        <v/>
      </c>
    </row>
    <row r="167" spans="1:12">
      <c r="A167" t="s">
        <v>142</v>
      </c>
      <c r="B167">
        <v>10</v>
      </c>
      <c r="C167" t="str">
        <f t="shared" si="25"/>
        <v>test.Class11_10_</v>
      </c>
      <c r="D167">
        <v>1</v>
      </c>
      <c r="E167">
        <v>0.11576354679802955</v>
      </c>
      <c r="F167">
        <v>0.16796774470275372</v>
      </c>
      <c r="G167" s="1">
        <f t="shared" si="26"/>
        <v>0.11576354679802955</v>
      </c>
      <c r="H167" s="1" t="str">
        <f t="shared" si="27"/>
        <v/>
      </c>
      <c r="I167" s="1" t="str">
        <f t="shared" si="28"/>
        <v/>
      </c>
      <c r="J167" s="1" t="str">
        <f t="shared" si="29"/>
        <v/>
      </c>
      <c r="K167" s="1" t="str">
        <f t="shared" si="30"/>
        <v/>
      </c>
      <c r="L167" s="1" t="str">
        <f t="shared" si="31"/>
        <v/>
      </c>
    </row>
    <row r="168" spans="1:12">
      <c r="A168" t="s">
        <v>142</v>
      </c>
      <c r="B168">
        <v>10</v>
      </c>
      <c r="C168" t="str">
        <f t="shared" si="25"/>
        <v>test.Class11_10_</v>
      </c>
      <c r="D168">
        <v>2</v>
      </c>
      <c r="E168">
        <v>0.11576354679802955</v>
      </c>
      <c r="F168">
        <v>0.17483057390409196</v>
      </c>
      <c r="G168" s="1">
        <f t="shared" si="26"/>
        <v>0.11576354679802955</v>
      </c>
      <c r="H168" s="1" t="str">
        <f t="shared" si="27"/>
        <v/>
      </c>
      <c r="I168" s="1" t="str">
        <f t="shared" si="28"/>
        <v/>
      </c>
      <c r="J168" s="1" t="str">
        <f t="shared" si="29"/>
        <v/>
      </c>
      <c r="K168" s="1" t="str">
        <f t="shared" si="30"/>
        <v/>
      </c>
      <c r="L168" s="1" t="str">
        <f t="shared" si="31"/>
        <v/>
      </c>
    </row>
    <row r="169" spans="1:12">
      <c r="A169" t="s">
        <v>142</v>
      </c>
      <c r="B169">
        <v>10</v>
      </c>
      <c r="C169" t="str">
        <f t="shared" si="25"/>
        <v>test.Class11_10_</v>
      </c>
      <c r="D169">
        <v>3</v>
      </c>
      <c r="E169">
        <v>0.20689655172413793</v>
      </c>
      <c r="F169">
        <v>0.25340996825941492</v>
      </c>
      <c r="G169" s="1" t="str">
        <f t="shared" si="26"/>
        <v/>
      </c>
      <c r="H169" s="1">
        <f t="shared" si="27"/>
        <v>0.20689655172413793</v>
      </c>
      <c r="I169" s="1" t="str">
        <f t="shared" si="28"/>
        <v/>
      </c>
      <c r="J169" s="1" t="str">
        <f t="shared" si="29"/>
        <v/>
      </c>
      <c r="K169" s="1" t="str">
        <f t="shared" si="30"/>
        <v/>
      </c>
      <c r="L169" s="1" t="str">
        <f t="shared" si="31"/>
        <v/>
      </c>
    </row>
    <row r="170" spans="1:12">
      <c r="A170" t="s">
        <v>142</v>
      </c>
      <c r="B170">
        <v>10</v>
      </c>
      <c r="C170" t="str">
        <f t="shared" si="25"/>
        <v>test.Class11_10_</v>
      </c>
      <c r="D170">
        <v>4</v>
      </c>
      <c r="E170">
        <v>0.20689655172413793</v>
      </c>
      <c r="F170">
        <v>0.25890023162048553</v>
      </c>
      <c r="G170" s="1" t="str">
        <f t="shared" si="26"/>
        <v/>
      </c>
      <c r="H170" s="1">
        <f t="shared" si="27"/>
        <v>0.20689655172413793</v>
      </c>
      <c r="I170" s="1" t="str">
        <f t="shared" si="28"/>
        <v/>
      </c>
      <c r="J170" s="1" t="str">
        <f t="shared" si="29"/>
        <v/>
      </c>
      <c r="K170" s="1" t="str">
        <f t="shared" si="30"/>
        <v/>
      </c>
      <c r="L170" s="1" t="str">
        <f t="shared" si="31"/>
        <v/>
      </c>
    </row>
    <row r="171" spans="1:12">
      <c r="A171" t="s">
        <v>142</v>
      </c>
      <c r="B171">
        <v>10</v>
      </c>
      <c r="C171" t="str">
        <f t="shared" si="25"/>
        <v>test.Class11_10_</v>
      </c>
      <c r="D171">
        <v>5</v>
      </c>
      <c r="E171">
        <v>0.20689655172413793</v>
      </c>
      <c r="F171">
        <v>0.26361842669640562</v>
      </c>
      <c r="G171" s="1" t="str">
        <f t="shared" si="26"/>
        <v/>
      </c>
      <c r="H171" s="1">
        <f t="shared" si="27"/>
        <v>0.20689655172413793</v>
      </c>
      <c r="I171" s="1" t="str">
        <f t="shared" si="28"/>
        <v/>
      </c>
      <c r="J171" s="1" t="str">
        <f t="shared" si="29"/>
        <v/>
      </c>
      <c r="K171" s="1" t="str">
        <f t="shared" si="30"/>
        <v/>
      </c>
      <c r="L171" s="1" t="str">
        <f t="shared" si="31"/>
        <v/>
      </c>
    </row>
    <row r="172" spans="1:12">
      <c r="A172" t="s">
        <v>142</v>
      </c>
      <c r="B172">
        <v>10</v>
      </c>
      <c r="C172" t="str">
        <f t="shared" si="25"/>
        <v>test.Class11_10_</v>
      </c>
      <c r="D172">
        <v>6</v>
      </c>
      <c r="E172">
        <v>0.20689655172413793</v>
      </c>
      <c r="F172">
        <v>0.2711675388178777</v>
      </c>
      <c r="G172" s="1" t="str">
        <f t="shared" si="26"/>
        <v/>
      </c>
      <c r="H172" s="1">
        <f t="shared" si="27"/>
        <v>0.20689655172413793</v>
      </c>
      <c r="I172" s="1" t="str">
        <f t="shared" si="28"/>
        <v/>
      </c>
      <c r="J172" s="1" t="str">
        <f t="shared" si="29"/>
        <v/>
      </c>
      <c r="K172" s="1" t="str">
        <f t="shared" si="30"/>
        <v/>
      </c>
      <c r="L172" s="1" t="str">
        <f t="shared" si="31"/>
        <v/>
      </c>
    </row>
    <row r="173" spans="1:12">
      <c r="A173" t="s">
        <v>142</v>
      </c>
      <c r="B173">
        <v>10</v>
      </c>
      <c r="C173" t="str">
        <f t="shared" si="25"/>
        <v>test.Class11_10_</v>
      </c>
      <c r="D173">
        <v>7</v>
      </c>
      <c r="E173">
        <v>0.22167487684729065</v>
      </c>
      <c r="F173">
        <v>0.27991764604958397</v>
      </c>
      <c r="G173" s="1" t="str">
        <f t="shared" si="26"/>
        <v/>
      </c>
      <c r="H173" s="1">
        <f t="shared" si="27"/>
        <v>0.22167487684729065</v>
      </c>
      <c r="I173" s="1" t="str">
        <f t="shared" si="28"/>
        <v/>
      </c>
      <c r="J173" s="1" t="str">
        <f t="shared" si="29"/>
        <v/>
      </c>
      <c r="K173" s="1" t="str">
        <f t="shared" si="30"/>
        <v/>
      </c>
      <c r="L173" s="1" t="str">
        <f t="shared" si="31"/>
        <v/>
      </c>
    </row>
    <row r="174" spans="1:12">
      <c r="A174" t="s">
        <v>142</v>
      </c>
      <c r="B174">
        <v>10</v>
      </c>
      <c r="C174" t="str">
        <f t="shared" si="25"/>
        <v>test.Class11_10_</v>
      </c>
      <c r="D174">
        <v>8</v>
      </c>
      <c r="E174">
        <v>0.22167487684729065</v>
      </c>
      <c r="F174">
        <v>0.28575105087072145</v>
      </c>
      <c r="G174" s="1" t="str">
        <f t="shared" si="26"/>
        <v/>
      </c>
      <c r="H174" s="1">
        <f t="shared" si="27"/>
        <v>0.22167487684729065</v>
      </c>
      <c r="I174" s="1" t="str">
        <f t="shared" si="28"/>
        <v/>
      </c>
      <c r="J174" s="1" t="str">
        <f t="shared" si="29"/>
        <v/>
      </c>
      <c r="K174" s="1" t="str">
        <f t="shared" si="30"/>
        <v/>
      </c>
      <c r="L174" s="1" t="str">
        <f t="shared" si="31"/>
        <v/>
      </c>
    </row>
    <row r="175" spans="1:12">
      <c r="A175" t="s">
        <v>142</v>
      </c>
      <c r="B175">
        <v>10</v>
      </c>
      <c r="C175" t="str">
        <f t="shared" si="25"/>
        <v>test.Class11_10_</v>
      </c>
      <c r="D175">
        <v>9</v>
      </c>
      <c r="E175">
        <v>0.22167487684729065</v>
      </c>
      <c r="F175">
        <v>0.29595950930771209</v>
      </c>
      <c r="G175" s="1" t="str">
        <f t="shared" si="26"/>
        <v/>
      </c>
      <c r="H175" s="1">
        <f t="shared" si="27"/>
        <v>0.22167487684729065</v>
      </c>
      <c r="I175" s="1" t="str">
        <f t="shared" si="28"/>
        <v/>
      </c>
      <c r="J175" s="1" t="str">
        <f t="shared" si="29"/>
        <v/>
      </c>
      <c r="K175" s="1" t="str">
        <f t="shared" si="30"/>
        <v/>
      </c>
      <c r="L175" s="1" t="str">
        <f t="shared" si="31"/>
        <v/>
      </c>
    </row>
    <row r="176" spans="1:12">
      <c r="A176" t="s">
        <v>142</v>
      </c>
      <c r="B176">
        <v>10</v>
      </c>
      <c r="C176" t="str">
        <f t="shared" si="25"/>
        <v>test.Class11_10_</v>
      </c>
      <c r="D176">
        <v>10</v>
      </c>
      <c r="E176">
        <v>0.22167487684729065</v>
      </c>
      <c r="F176">
        <v>0.29733207514797977</v>
      </c>
      <c r="G176" s="1" t="str">
        <f t="shared" si="26"/>
        <v/>
      </c>
      <c r="H176" s="1">
        <f t="shared" si="27"/>
        <v>0.22167487684729065</v>
      </c>
      <c r="I176" s="1" t="str">
        <f t="shared" si="28"/>
        <v/>
      </c>
      <c r="J176" s="1" t="str">
        <f t="shared" si="29"/>
        <v/>
      </c>
      <c r="K176" s="1" t="str">
        <f t="shared" si="30"/>
        <v/>
      </c>
      <c r="L176" s="1" t="str">
        <f t="shared" si="31"/>
        <v/>
      </c>
    </row>
    <row r="177" spans="1:12">
      <c r="A177" t="s">
        <v>142</v>
      </c>
      <c r="B177">
        <v>10</v>
      </c>
      <c r="C177" t="str">
        <f t="shared" si="25"/>
        <v>test.Class11_10_</v>
      </c>
      <c r="D177">
        <v>11</v>
      </c>
      <c r="E177">
        <v>0.22167487684729065</v>
      </c>
      <c r="F177">
        <v>0.35480826970918761</v>
      </c>
      <c r="G177" s="1" t="str">
        <f t="shared" si="26"/>
        <v/>
      </c>
      <c r="H177" s="1">
        <f t="shared" si="27"/>
        <v>0.22167487684729065</v>
      </c>
      <c r="I177" s="1" t="str">
        <f t="shared" si="28"/>
        <v/>
      </c>
      <c r="J177" s="1" t="str">
        <f t="shared" si="29"/>
        <v/>
      </c>
      <c r="K177" s="1" t="str">
        <f t="shared" si="30"/>
        <v/>
      </c>
      <c r="L177" s="1" t="str">
        <f t="shared" si="31"/>
        <v/>
      </c>
    </row>
    <row r="178" spans="1:12">
      <c r="A178" t="s">
        <v>142</v>
      </c>
      <c r="B178">
        <v>10</v>
      </c>
      <c r="C178" t="str">
        <f t="shared" si="25"/>
        <v>test.Class11_10_</v>
      </c>
      <c r="D178">
        <v>12</v>
      </c>
      <c r="E178">
        <v>0.22167487684729065</v>
      </c>
      <c r="F178">
        <v>0.36244316719567643</v>
      </c>
      <c r="G178" s="1" t="str">
        <f t="shared" si="26"/>
        <v/>
      </c>
      <c r="H178" s="1">
        <f t="shared" si="27"/>
        <v>0.22167487684729065</v>
      </c>
      <c r="I178" s="1" t="str">
        <f t="shared" si="28"/>
        <v/>
      </c>
      <c r="J178" s="1" t="str">
        <f t="shared" si="29"/>
        <v/>
      </c>
      <c r="K178" s="1" t="str">
        <f t="shared" si="30"/>
        <v/>
      </c>
      <c r="L178" s="1" t="str">
        <f t="shared" si="31"/>
        <v/>
      </c>
    </row>
    <row r="179" spans="1:12">
      <c r="A179" t="s">
        <v>142</v>
      </c>
      <c r="B179">
        <v>10</v>
      </c>
      <c r="C179" t="str">
        <f t="shared" si="25"/>
        <v>test.Class11_10_</v>
      </c>
      <c r="D179">
        <v>13</v>
      </c>
      <c r="E179">
        <v>0.22167487684729065</v>
      </c>
      <c r="F179">
        <v>0.36964913785708159</v>
      </c>
      <c r="G179" s="1" t="str">
        <f t="shared" si="26"/>
        <v/>
      </c>
      <c r="H179" s="1">
        <f t="shared" si="27"/>
        <v>0.22167487684729065</v>
      </c>
      <c r="I179" s="1" t="str">
        <f t="shared" si="28"/>
        <v/>
      </c>
      <c r="J179" s="1" t="str">
        <f t="shared" si="29"/>
        <v/>
      </c>
      <c r="K179" s="1" t="str">
        <f t="shared" si="30"/>
        <v/>
      </c>
      <c r="L179" s="1" t="str">
        <f t="shared" si="31"/>
        <v/>
      </c>
    </row>
    <row r="180" spans="1:12">
      <c r="A180" t="s">
        <v>142</v>
      </c>
      <c r="B180">
        <v>10</v>
      </c>
      <c r="C180" t="str">
        <f t="shared" si="25"/>
        <v>test.Class11_10_</v>
      </c>
      <c r="D180">
        <v>14</v>
      </c>
      <c r="E180">
        <v>0.22167487684729065</v>
      </c>
      <c r="F180">
        <v>0.37436733293300162</v>
      </c>
      <c r="G180" s="1" t="str">
        <f t="shared" si="26"/>
        <v/>
      </c>
      <c r="H180" s="1">
        <f t="shared" si="27"/>
        <v>0.22167487684729065</v>
      </c>
      <c r="I180" s="1" t="str">
        <f t="shared" si="28"/>
        <v/>
      </c>
      <c r="J180" s="1" t="str">
        <f t="shared" si="29"/>
        <v/>
      </c>
      <c r="K180" s="1" t="str">
        <f t="shared" si="30"/>
        <v/>
      </c>
      <c r="L180" s="1" t="str">
        <f t="shared" si="31"/>
        <v/>
      </c>
    </row>
    <row r="181" spans="1:12">
      <c r="A181" t="s">
        <v>142</v>
      </c>
      <c r="B181">
        <v>10</v>
      </c>
      <c r="C181" t="str">
        <f t="shared" si="25"/>
        <v>test.Class11_10_</v>
      </c>
      <c r="D181">
        <v>15</v>
      </c>
      <c r="E181">
        <v>0.22167487684729065</v>
      </c>
      <c r="F181">
        <v>0.37462468902805179</v>
      </c>
      <c r="G181" s="1" t="str">
        <f t="shared" si="26"/>
        <v/>
      </c>
      <c r="H181" s="1">
        <f t="shared" si="27"/>
        <v>0.22167487684729065</v>
      </c>
      <c r="I181" s="1" t="str">
        <f t="shared" si="28"/>
        <v/>
      </c>
      <c r="J181" s="1" t="str">
        <f t="shared" si="29"/>
        <v/>
      </c>
      <c r="K181" s="1" t="str">
        <f t="shared" si="30"/>
        <v/>
      </c>
      <c r="L181" s="1" t="str">
        <f t="shared" si="31"/>
        <v/>
      </c>
    </row>
    <row r="182" spans="1:12">
      <c r="A182" t="s">
        <v>142</v>
      </c>
      <c r="B182">
        <v>10</v>
      </c>
      <c r="C182" t="str">
        <f t="shared" si="25"/>
        <v>test.Class11_10_</v>
      </c>
      <c r="D182">
        <v>16</v>
      </c>
      <c r="E182">
        <v>0.22167487684729065</v>
      </c>
      <c r="F182">
        <v>0.37822767435875437</v>
      </c>
      <c r="G182" s="1" t="str">
        <f t="shared" si="26"/>
        <v/>
      </c>
      <c r="H182" s="1">
        <f t="shared" si="27"/>
        <v>0.22167487684729065</v>
      </c>
      <c r="I182" s="1" t="str">
        <f t="shared" si="28"/>
        <v/>
      </c>
      <c r="J182" s="1" t="str">
        <f t="shared" si="29"/>
        <v/>
      </c>
      <c r="K182" s="1" t="str">
        <f t="shared" si="30"/>
        <v/>
      </c>
      <c r="L182" s="1" t="str">
        <f t="shared" si="31"/>
        <v/>
      </c>
    </row>
    <row r="183" spans="1:12">
      <c r="A183" t="s">
        <v>142</v>
      </c>
      <c r="B183">
        <v>10</v>
      </c>
      <c r="C183" t="str">
        <f t="shared" si="25"/>
        <v>test.Class11_10_</v>
      </c>
      <c r="D183">
        <v>17</v>
      </c>
      <c r="E183">
        <v>0.33743842364532017</v>
      </c>
      <c r="F183">
        <v>0.38569100111520976</v>
      </c>
      <c r="G183" s="1" t="str">
        <f t="shared" si="26"/>
        <v/>
      </c>
      <c r="H183" s="1">
        <f t="shared" si="27"/>
        <v>0.33743842364532017</v>
      </c>
      <c r="I183" s="1" t="str">
        <f t="shared" si="28"/>
        <v/>
      </c>
      <c r="J183" s="1" t="str">
        <f t="shared" si="29"/>
        <v/>
      </c>
      <c r="K183" s="1" t="str">
        <f t="shared" si="30"/>
        <v/>
      </c>
      <c r="L183" s="1" t="str">
        <f t="shared" si="31"/>
        <v/>
      </c>
    </row>
    <row r="184" spans="1:12">
      <c r="A184" t="s">
        <v>142</v>
      </c>
      <c r="B184">
        <v>10</v>
      </c>
      <c r="C184" t="str">
        <f t="shared" si="25"/>
        <v>test.Class11_10_</v>
      </c>
      <c r="D184">
        <v>18</v>
      </c>
      <c r="E184">
        <v>0.45073891625615764</v>
      </c>
      <c r="F184">
        <v>0.38783563524062797</v>
      </c>
      <c r="G184" s="1" t="str">
        <f t="shared" si="26"/>
        <v/>
      </c>
      <c r="H184" s="1">
        <f t="shared" si="27"/>
        <v>0.45073891625615764</v>
      </c>
      <c r="I184" s="1" t="str">
        <f t="shared" si="28"/>
        <v/>
      </c>
      <c r="J184" s="1" t="str">
        <f t="shared" si="29"/>
        <v/>
      </c>
      <c r="K184" s="1" t="str">
        <f t="shared" si="30"/>
        <v/>
      </c>
      <c r="L184" s="1" t="str">
        <f t="shared" si="31"/>
        <v/>
      </c>
    </row>
    <row r="185" spans="1:12">
      <c r="A185" t="s">
        <v>142</v>
      </c>
      <c r="B185">
        <v>10</v>
      </c>
      <c r="C185" t="str">
        <f t="shared" si="25"/>
        <v>test.Class11_10_</v>
      </c>
      <c r="D185">
        <v>19</v>
      </c>
      <c r="E185">
        <v>0.58620689655172409</v>
      </c>
      <c r="F185">
        <v>0.39324011323668184</v>
      </c>
      <c r="G185" s="1" t="str">
        <f t="shared" si="26"/>
        <v/>
      </c>
      <c r="H185" s="1">
        <f t="shared" si="27"/>
        <v>0.58620689655172409</v>
      </c>
      <c r="I185" s="1" t="str">
        <f t="shared" si="28"/>
        <v/>
      </c>
      <c r="J185" s="1" t="str">
        <f t="shared" si="29"/>
        <v/>
      </c>
      <c r="K185" s="1" t="str">
        <f t="shared" si="30"/>
        <v/>
      </c>
      <c r="L185" s="1" t="str">
        <f t="shared" si="31"/>
        <v/>
      </c>
    </row>
    <row r="186" spans="1:12">
      <c r="A186" t="s">
        <v>142</v>
      </c>
      <c r="B186">
        <v>10</v>
      </c>
      <c r="C186" t="str">
        <f t="shared" si="25"/>
        <v>test.Class11_10_</v>
      </c>
      <c r="D186">
        <v>20</v>
      </c>
      <c r="E186">
        <v>0.58620689655172409</v>
      </c>
      <c r="F186">
        <v>0.40404906922878958</v>
      </c>
      <c r="G186" s="1" t="str">
        <f t="shared" si="26"/>
        <v/>
      </c>
      <c r="H186" s="1" t="str">
        <f t="shared" si="27"/>
        <v/>
      </c>
      <c r="I186" s="1">
        <f t="shared" si="28"/>
        <v>0.58620689655172409</v>
      </c>
      <c r="J186" s="1" t="str">
        <f t="shared" si="29"/>
        <v/>
      </c>
      <c r="K186" s="1" t="str">
        <f t="shared" si="30"/>
        <v/>
      </c>
      <c r="L186" s="1" t="str">
        <f t="shared" si="31"/>
        <v/>
      </c>
    </row>
    <row r="187" spans="1:12">
      <c r="A187" t="s">
        <v>142</v>
      </c>
      <c r="B187">
        <v>10</v>
      </c>
      <c r="C187" t="str">
        <f t="shared" si="25"/>
        <v>test.Class11_10_</v>
      </c>
      <c r="D187">
        <v>21</v>
      </c>
      <c r="E187">
        <v>0.58620689655172409</v>
      </c>
      <c r="F187">
        <v>0.40730891309942524</v>
      </c>
      <c r="G187" s="1" t="str">
        <f t="shared" si="26"/>
        <v/>
      </c>
      <c r="H187" s="1" t="str">
        <f t="shared" si="27"/>
        <v/>
      </c>
      <c r="I187" s="1">
        <f t="shared" si="28"/>
        <v>0.58620689655172409</v>
      </c>
      <c r="J187" s="1" t="str">
        <f t="shared" si="29"/>
        <v/>
      </c>
      <c r="K187" s="1" t="str">
        <f t="shared" si="30"/>
        <v/>
      </c>
      <c r="L187" s="1" t="str">
        <f t="shared" si="31"/>
        <v/>
      </c>
    </row>
    <row r="188" spans="1:12">
      <c r="A188" t="s">
        <v>142</v>
      </c>
      <c r="B188">
        <v>10</v>
      </c>
      <c r="C188" t="str">
        <f t="shared" si="25"/>
        <v>test.Class11_10_</v>
      </c>
      <c r="D188">
        <v>22</v>
      </c>
      <c r="E188">
        <v>0.58620689655172409</v>
      </c>
      <c r="F188">
        <v>0.41502959595093075</v>
      </c>
      <c r="G188" s="1" t="str">
        <f t="shared" si="26"/>
        <v/>
      </c>
      <c r="H188" s="1" t="str">
        <f t="shared" si="27"/>
        <v/>
      </c>
      <c r="I188" s="1">
        <f t="shared" si="28"/>
        <v>0.58620689655172409</v>
      </c>
      <c r="J188" s="1" t="str">
        <f t="shared" si="29"/>
        <v/>
      </c>
      <c r="K188" s="1" t="str">
        <f t="shared" si="30"/>
        <v/>
      </c>
      <c r="L188" s="1" t="str">
        <f t="shared" si="31"/>
        <v/>
      </c>
    </row>
    <row r="189" spans="1:12">
      <c r="A189" t="s">
        <v>142</v>
      </c>
      <c r="B189">
        <v>10</v>
      </c>
      <c r="C189" t="str">
        <f t="shared" si="25"/>
        <v>test.Class11_10_</v>
      </c>
      <c r="D189">
        <v>23</v>
      </c>
      <c r="E189">
        <v>0.77093596059113301</v>
      </c>
      <c r="F189">
        <v>0.47525092219267395</v>
      </c>
      <c r="G189" s="1" t="str">
        <f t="shared" si="26"/>
        <v/>
      </c>
      <c r="H189" s="1" t="str">
        <f t="shared" si="27"/>
        <v/>
      </c>
      <c r="I189" s="1">
        <f t="shared" si="28"/>
        <v>0.77093596059113301</v>
      </c>
      <c r="J189" s="1" t="str">
        <f t="shared" si="29"/>
        <v/>
      </c>
      <c r="K189" s="1" t="str">
        <f t="shared" si="30"/>
        <v/>
      </c>
      <c r="L189" s="1" t="str">
        <f t="shared" si="31"/>
        <v/>
      </c>
    </row>
    <row r="190" spans="1:12">
      <c r="A190" t="s">
        <v>142</v>
      </c>
      <c r="B190">
        <v>10</v>
      </c>
      <c r="C190" t="str">
        <f t="shared" si="25"/>
        <v>test.Class11_10_</v>
      </c>
      <c r="D190">
        <v>24</v>
      </c>
      <c r="E190">
        <v>0.77093596059113301</v>
      </c>
      <c r="F190">
        <v>0.48674616110491548</v>
      </c>
      <c r="G190" s="1" t="str">
        <f t="shared" si="26"/>
        <v/>
      </c>
      <c r="H190" s="1" t="str">
        <f t="shared" si="27"/>
        <v/>
      </c>
      <c r="I190" s="1">
        <f t="shared" si="28"/>
        <v>0.77093596059113301</v>
      </c>
      <c r="J190" s="1" t="str">
        <f t="shared" si="29"/>
        <v/>
      </c>
      <c r="K190" s="1" t="str">
        <f t="shared" si="30"/>
        <v/>
      </c>
      <c r="L190" s="1" t="str">
        <f t="shared" si="31"/>
        <v/>
      </c>
    </row>
    <row r="191" spans="1:12">
      <c r="A191" t="s">
        <v>142</v>
      </c>
      <c r="B191">
        <v>10</v>
      </c>
      <c r="C191" t="str">
        <f t="shared" si="25"/>
        <v>test.Class11_10_</v>
      </c>
      <c r="D191">
        <v>25</v>
      </c>
      <c r="E191">
        <v>0.77093596059113301</v>
      </c>
      <c r="F191">
        <v>0.49034914643561811</v>
      </c>
      <c r="G191" s="1" t="str">
        <f t="shared" si="26"/>
        <v/>
      </c>
      <c r="H191" s="1" t="str">
        <f t="shared" si="27"/>
        <v/>
      </c>
      <c r="I191" s="1">
        <f t="shared" si="28"/>
        <v>0.77093596059113301</v>
      </c>
      <c r="J191" s="1" t="str">
        <f t="shared" si="29"/>
        <v/>
      </c>
      <c r="K191" s="1" t="str">
        <f t="shared" si="30"/>
        <v/>
      </c>
      <c r="L191" s="1" t="str">
        <f t="shared" si="31"/>
        <v/>
      </c>
    </row>
    <row r="192" spans="1:12">
      <c r="A192" t="s">
        <v>142</v>
      </c>
      <c r="B192">
        <v>10</v>
      </c>
      <c r="C192" t="str">
        <f t="shared" si="25"/>
        <v>test.Class11_10_</v>
      </c>
      <c r="D192">
        <v>26</v>
      </c>
      <c r="E192">
        <v>0.77093596059113301</v>
      </c>
      <c r="F192">
        <v>0.49343741957622028</v>
      </c>
      <c r="G192" s="1" t="str">
        <f t="shared" si="26"/>
        <v/>
      </c>
      <c r="H192" s="1" t="str">
        <f t="shared" si="27"/>
        <v/>
      </c>
      <c r="I192" s="1">
        <f t="shared" si="28"/>
        <v>0.77093596059113301</v>
      </c>
      <c r="J192" s="1" t="str">
        <f t="shared" si="29"/>
        <v/>
      </c>
      <c r="K192" s="1" t="str">
        <f t="shared" si="30"/>
        <v/>
      </c>
      <c r="L192" s="1" t="str">
        <f t="shared" si="31"/>
        <v/>
      </c>
    </row>
    <row r="193" spans="1:12">
      <c r="A193" t="s">
        <v>142</v>
      </c>
      <c r="B193">
        <v>10</v>
      </c>
      <c r="C193" t="str">
        <f t="shared" si="25"/>
        <v>test.Class11_10_</v>
      </c>
      <c r="D193">
        <v>27</v>
      </c>
      <c r="E193">
        <v>0.77093596059113301</v>
      </c>
      <c r="F193">
        <v>0.49686883417688943</v>
      </c>
      <c r="G193" s="1" t="str">
        <f t="shared" si="26"/>
        <v/>
      </c>
      <c r="H193" s="1" t="str">
        <f t="shared" si="27"/>
        <v/>
      </c>
      <c r="I193" s="1">
        <f t="shared" si="28"/>
        <v>0.77093596059113301</v>
      </c>
      <c r="J193" s="1" t="str">
        <f t="shared" si="29"/>
        <v/>
      </c>
      <c r="K193" s="1" t="str">
        <f t="shared" si="30"/>
        <v/>
      </c>
      <c r="L193" s="1" t="str">
        <f t="shared" si="31"/>
        <v/>
      </c>
    </row>
    <row r="194" spans="1:12">
      <c r="A194" t="s">
        <v>142</v>
      </c>
      <c r="B194">
        <v>10</v>
      </c>
      <c r="C194" t="str">
        <f t="shared" si="25"/>
        <v>test.Class11_10_</v>
      </c>
      <c r="D194">
        <v>28</v>
      </c>
      <c r="E194">
        <v>0.77093596059113301</v>
      </c>
      <c r="F194">
        <v>0.50047181950759201</v>
      </c>
      <c r="G194" s="1" t="str">
        <f t="shared" si="26"/>
        <v/>
      </c>
      <c r="H194" s="1" t="str">
        <f t="shared" si="27"/>
        <v/>
      </c>
      <c r="I194" s="1">
        <f t="shared" si="28"/>
        <v>0.77093596059113301</v>
      </c>
      <c r="J194" s="1" t="str">
        <f t="shared" si="29"/>
        <v/>
      </c>
      <c r="K194" s="1" t="str">
        <f t="shared" si="30"/>
        <v/>
      </c>
      <c r="L194" s="1" t="str">
        <f t="shared" si="31"/>
        <v/>
      </c>
    </row>
    <row r="195" spans="1:12">
      <c r="A195" t="s">
        <v>142</v>
      </c>
      <c r="B195">
        <v>10</v>
      </c>
      <c r="C195" t="str">
        <f t="shared" ref="C195:C258" si="32">CONCATENATE(A195, "_",B195,"_")</f>
        <v>test.Class11_10_</v>
      </c>
      <c r="D195">
        <v>29</v>
      </c>
      <c r="E195">
        <v>0.77093596059113301</v>
      </c>
      <c r="F195">
        <v>0.50750621943896368</v>
      </c>
      <c r="G195" s="1" t="str">
        <f t="shared" ref="G195:G258" si="33">IF($F195 &lt;= 0.2,$E195,"")</f>
        <v/>
      </c>
      <c r="H195" s="1" t="str">
        <f t="shared" ref="H195:H258" si="34">IF(AND($F195 &gt; 0.2,$F195 &lt;= 0.4),$E195,"")</f>
        <v/>
      </c>
      <c r="I195" s="1">
        <f t="shared" ref="I195:I258" si="35">IF(AND($F195 &gt; 0.4,$F195 &lt;= 0.6),$E195,"")</f>
        <v>0.77093596059113301</v>
      </c>
      <c r="J195" s="1" t="str">
        <f t="shared" ref="J195:J258" si="36">IF(AND($F195 &gt; 0.6,$F195 &lt;= 0.8),$E195,"")</f>
        <v/>
      </c>
      <c r="K195" s="1" t="str">
        <f t="shared" ref="K195:K258" si="37">IF(AND($F195 &gt; 0.8, $F195 &lt;=1.1),$E195,"")</f>
        <v/>
      </c>
      <c r="L195" s="1" t="str">
        <f t="shared" ref="L195:L258" si="38">IF(AND($F195 &gt; 1.1),$E195,"")</f>
        <v/>
      </c>
    </row>
    <row r="196" spans="1:12">
      <c r="A196" t="s">
        <v>142</v>
      </c>
      <c r="B196">
        <v>10</v>
      </c>
      <c r="C196" t="str">
        <f t="shared" si="32"/>
        <v>test.Class11_10_</v>
      </c>
      <c r="D196">
        <v>30</v>
      </c>
      <c r="E196">
        <v>0.77093596059113301</v>
      </c>
      <c r="F196">
        <v>0.52251865831689115</v>
      </c>
      <c r="G196" s="1" t="str">
        <f t="shared" si="33"/>
        <v/>
      </c>
      <c r="H196" s="1" t="str">
        <f t="shared" si="34"/>
        <v/>
      </c>
      <c r="I196" s="1">
        <f t="shared" si="35"/>
        <v>0.77093596059113301</v>
      </c>
      <c r="J196" s="1" t="str">
        <f t="shared" si="36"/>
        <v/>
      </c>
      <c r="K196" s="1" t="str">
        <f t="shared" si="37"/>
        <v/>
      </c>
      <c r="L196" s="1" t="str">
        <f t="shared" si="38"/>
        <v/>
      </c>
    </row>
    <row r="197" spans="1:12">
      <c r="A197" t="s">
        <v>142</v>
      </c>
      <c r="B197">
        <v>10</v>
      </c>
      <c r="C197" t="str">
        <f t="shared" si="32"/>
        <v>test.Class11_10_</v>
      </c>
      <c r="D197">
        <v>31</v>
      </c>
      <c r="E197">
        <v>1</v>
      </c>
      <c r="F197">
        <v>0.59938234537187951</v>
      </c>
      <c r="G197" s="1" t="str">
        <f t="shared" si="33"/>
        <v/>
      </c>
      <c r="H197" s="1" t="str">
        <f t="shared" si="34"/>
        <v/>
      </c>
      <c r="I197" s="1">
        <f t="shared" si="35"/>
        <v>1</v>
      </c>
      <c r="J197" s="1" t="str">
        <f t="shared" si="36"/>
        <v/>
      </c>
      <c r="K197" s="1" t="str">
        <f t="shared" si="37"/>
        <v/>
      </c>
      <c r="L197" s="1" t="str">
        <f t="shared" si="38"/>
        <v/>
      </c>
    </row>
    <row r="198" spans="1:12">
      <c r="A198" t="s">
        <v>142</v>
      </c>
      <c r="B198">
        <v>10</v>
      </c>
      <c r="C198" t="str">
        <f t="shared" si="32"/>
        <v>test.Class11_10_</v>
      </c>
      <c r="D198">
        <v>32</v>
      </c>
      <c r="E198">
        <v>1</v>
      </c>
      <c r="F198">
        <v>0.60821823796860253</v>
      </c>
      <c r="G198" s="1" t="str">
        <f t="shared" si="33"/>
        <v/>
      </c>
      <c r="H198" s="1" t="str">
        <f t="shared" si="34"/>
        <v/>
      </c>
      <c r="I198" s="1" t="str">
        <f t="shared" si="35"/>
        <v/>
      </c>
      <c r="J198" s="1">
        <f t="shared" si="36"/>
        <v>1</v>
      </c>
      <c r="K198" s="1" t="str">
        <f t="shared" si="37"/>
        <v/>
      </c>
      <c r="L198" s="1" t="str">
        <f t="shared" si="38"/>
        <v/>
      </c>
    </row>
    <row r="199" spans="1:12">
      <c r="A199" t="s">
        <v>142</v>
      </c>
      <c r="B199">
        <v>11</v>
      </c>
      <c r="C199" t="str">
        <f t="shared" si="32"/>
        <v>test.Class11_11_</v>
      </c>
      <c r="D199">
        <v>1</v>
      </c>
      <c r="E199">
        <v>5.208333333333333E-3</v>
      </c>
      <c r="F199">
        <v>1.5986132511556242E-2</v>
      </c>
      <c r="G199" s="1">
        <f t="shared" si="33"/>
        <v>5.208333333333333E-3</v>
      </c>
      <c r="H199" s="1" t="str">
        <f t="shared" si="34"/>
        <v/>
      </c>
      <c r="I199" s="1" t="str">
        <f t="shared" si="35"/>
        <v/>
      </c>
      <c r="J199" s="1" t="str">
        <f t="shared" si="36"/>
        <v/>
      </c>
      <c r="K199" s="1" t="str">
        <f t="shared" si="37"/>
        <v/>
      </c>
      <c r="L199" s="1" t="str">
        <f t="shared" si="38"/>
        <v/>
      </c>
    </row>
    <row r="200" spans="1:12">
      <c r="A200" t="s">
        <v>142</v>
      </c>
      <c r="B200">
        <v>11</v>
      </c>
      <c r="C200" t="str">
        <f t="shared" si="32"/>
        <v>test.Class11_11_</v>
      </c>
      <c r="D200">
        <v>2</v>
      </c>
      <c r="E200">
        <v>0.38541666666666669</v>
      </c>
      <c r="F200">
        <v>0.40735747303543912</v>
      </c>
      <c r="G200" s="1" t="str">
        <f t="shared" si="33"/>
        <v/>
      </c>
      <c r="H200" s="1" t="str">
        <f t="shared" si="34"/>
        <v/>
      </c>
      <c r="I200" s="1">
        <f t="shared" si="35"/>
        <v>0.38541666666666669</v>
      </c>
      <c r="J200" s="1" t="str">
        <f t="shared" si="36"/>
        <v/>
      </c>
      <c r="K200" s="1" t="str">
        <f t="shared" si="37"/>
        <v/>
      </c>
      <c r="L200" s="1" t="str">
        <f t="shared" si="38"/>
        <v/>
      </c>
    </row>
    <row r="201" spans="1:12">
      <c r="A201" t="s">
        <v>142</v>
      </c>
      <c r="B201">
        <v>11</v>
      </c>
      <c r="C201" t="str">
        <f t="shared" si="32"/>
        <v>test.Class11_11_</v>
      </c>
      <c r="D201">
        <v>3</v>
      </c>
      <c r="E201">
        <v>0.41666666666666669</v>
      </c>
      <c r="F201">
        <v>0.43412942989214176</v>
      </c>
      <c r="G201" s="1" t="str">
        <f t="shared" si="33"/>
        <v/>
      </c>
      <c r="H201" s="1" t="str">
        <f t="shared" si="34"/>
        <v/>
      </c>
      <c r="I201" s="1">
        <f t="shared" si="35"/>
        <v>0.41666666666666669</v>
      </c>
      <c r="J201" s="1" t="str">
        <f t="shared" si="36"/>
        <v/>
      </c>
      <c r="K201" s="1" t="str">
        <f t="shared" si="37"/>
        <v/>
      </c>
      <c r="L201" s="1" t="str">
        <f t="shared" si="38"/>
        <v/>
      </c>
    </row>
    <row r="202" spans="1:12">
      <c r="A202" t="s">
        <v>142</v>
      </c>
      <c r="B202">
        <v>11</v>
      </c>
      <c r="C202" t="str">
        <f t="shared" si="32"/>
        <v>test.Class11_11_</v>
      </c>
      <c r="D202">
        <v>4</v>
      </c>
      <c r="E202">
        <v>0.55729166666666663</v>
      </c>
      <c r="F202">
        <v>0.51675654853620956</v>
      </c>
      <c r="G202" s="1" t="str">
        <f t="shared" si="33"/>
        <v/>
      </c>
      <c r="H202" s="1" t="str">
        <f t="shared" si="34"/>
        <v/>
      </c>
      <c r="I202" s="1">
        <f t="shared" si="35"/>
        <v>0.55729166666666663</v>
      </c>
      <c r="J202" s="1" t="str">
        <f t="shared" si="36"/>
        <v/>
      </c>
      <c r="K202" s="1" t="str">
        <f t="shared" si="37"/>
        <v/>
      </c>
      <c r="L202" s="1" t="str">
        <f t="shared" si="38"/>
        <v/>
      </c>
    </row>
    <row r="203" spans="1:12">
      <c r="A203" t="s">
        <v>142</v>
      </c>
      <c r="B203">
        <v>11</v>
      </c>
      <c r="C203" t="str">
        <f t="shared" si="32"/>
        <v>test.Class11_11_</v>
      </c>
      <c r="D203">
        <v>5</v>
      </c>
      <c r="E203">
        <v>0.69791666666666663</v>
      </c>
      <c r="F203">
        <v>0.51887519260400616</v>
      </c>
      <c r="G203" s="1" t="str">
        <f t="shared" si="33"/>
        <v/>
      </c>
      <c r="H203" s="1" t="str">
        <f t="shared" si="34"/>
        <v/>
      </c>
      <c r="I203" s="1">
        <f t="shared" si="35"/>
        <v>0.69791666666666663</v>
      </c>
      <c r="J203" s="1" t="str">
        <f t="shared" si="36"/>
        <v/>
      </c>
      <c r="K203" s="1" t="str">
        <f t="shared" si="37"/>
        <v/>
      </c>
      <c r="L203" s="1" t="str">
        <f t="shared" si="38"/>
        <v/>
      </c>
    </row>
    <row r="204" spans="1:12">
      <c r="A204" t="s">
        <v>142</v>
      </c>
      <c r="B204">
        <v>11</v>
      </c>
      <c r="C204" t="str">
        <f t="shared" si="32"/>
        <v>test.Class11_11_</v>
      </c>
      <c r="D204">
        <v>6</v>
      </c>
      <c r="E204">
        <v>0.69791666666666663</v>
      </c>
      <c r="F204">
        <v>0.54429892141756553</v>
      </c>
      <c r="G204" s="1" t="str">
        <f t="shared" si="33"/>
        <v/>
      </c>
      <c r="H204" s="1" t="str">
        <f t="shared" si="34"/>
        <v/>
      </c>
      <c r="I204" s="1">
        <f t="shared" si="35"/>
        <v>0.69791666666666663</v>
      </c>
      <c r="J204" s="1" t="str">
        <f t="shared" si="36"/>
        <v/>
      </c>
      <c r="K204" s="1" t="str">
        <f t="shared" si="37"/>
        <v/>
      </c>
      <c r="L204" s="1" t="str">
        <f t="shared" si="38"/>
        <v/>
      </c>
    </row>
    <row r="205" spans="1:12">
      <c r="A205" t="s">
        <v>142</v>
      </c>
      <c r="B205">
        <v>11</v>
      </c>
      <c r="C205" t="str">
        <f t="shared" si="32"/>
        <v>test.Class11_11_</v>
      </c>
      <c r="D205">
        <v>7</v>
      </c>
      <c r="E205">
        <v>0.83854166666666663</v>
      </c>
      <c r="F205">
        <v>0.5456471494607088</v>
      </c>
      <c r="G205" s="1" t="str">
        <f t="shared" si="33"/>
        <v/>
      </c>
      <c r="H205" s="1" t="str">
        <f t="shared" si="34"/>
        <v/>
      </c>
      <c r="I205" s="1">
        <f t="shared" si="35"/>
        <v>0.83854166666666663</v>
      </c>
      <c r="J205" s="1" t="str">
        <f t="shared" si="36"/>
        <v/>
      </c>
      <c r="K205" s="1" t="str">
        <f t="shared" si="37"/>
        <v/>
      </c>
      <c r="L205" s="1" t="str">
        <f t="shared" si="38"/>
        <v/>
      </c>
    </row>
    <row r="206" spans="1:12">
      <c r="A206" t="s">
        <v>142</v>
      </c>
      <c r="B206">
        <v>11</v>
      </c>
      <c r="C206" t="str">
        <f t="shared" si="32"/>
        <v>test.Class11_11_</v>
      </c>
      <c r="D206">
        <v>8</v>
      </c>
      <c r="E206">
        <v>0.83854166666666663</v>
      </c>
      <c r="F206">
        <v>0.54603235747303547</v>
      </c>
      <c r="G206" s="1" t="str">
        <f t="shared" si="33"/>
        <v/>
      </c>
      <c r="H206" s="1" t="str">
        <f t="shared" si="34"/>
        <v/>
      </c>
      <c r="I206" s="1">
        <f t="shared" si="35"/>
        <v>0.83854166666666663</v>
      </c>
      <c r="J206" s="1" t="str">
        <f t="shared" si="36"/>
        <v/>
      </c>
      <c r="K206" s="1" t="str">
        <f t="shared" si="37"/>
        <v/>
      </c>
      <c r="L206" s="1" t="str">
        <f t="shared" si="38"/>
        <v/>
      </c>
    </row>
    <row r="207" spans="1:12">
      <c r="A207" t="s">
        <v>142</v>
      </c>
      <c r="B207">
        <v>11</v>
      </c>
      <c r="C207" t="str">
        <f t="shared" si="32"/>
        <v>test.Class11_11_</v>
      </c>
      <c r="D207">
        <v>9</v>
      </c>
      <c r="E207">
        <v>0.83854166666666663</v>
      </c>
      <c r="F207">
        <v>0.54776579352850541</v>
      </c>
      <c r="G207" s="1" t="str">
        <f t="shared" si="33"/>
        <v/>
      </c>
      <c r="H207" s="1" t="str">
        <f t="shared" si="34"/>
        <v/>
      </c>
      <c r="I207" s="1">
        <f t="shared" si="35"/>
        <v>0.83854166666666663</v>
      </c>
      <c r="J207" s="1" t="str">
        <f t="shared" si="36"/>
        <v/>
      </c>
      <c r="K207" s="1" t="str">
        <f t="shared" si="37"/>
        <v/>
      </c>
      <c r="L207" s="1" t="str">
        <f t="shared" si="38"/>
        <v/>
      </c>
    </row>
    <row r="208" spans="1:12">
      <c r="A208" t="s">
        <v>142</v>
      </c>
      <c r="B208">
        <v>11</v>
      </c>
      <c r="C208" t="str">
        <f t="shared" si="32"/>
        <v>test.Class11_11_</v>
      </c>
      <c r="D208">
        <v>10</v>
      </c>
      <c r="E208">
        <v>0.97916666666666663</v>
      </c>
      <c r="F208">
        <v>0.55835901386748843</v>
      </c>
      <c r="G208" s="1" t="str">
        <f t="shared" si="33"/>
        <v/>
      </c>
      <c r="H208" s="1" t="str">
        <f t="shared" si="34"/>
        <v/>
      </c>
      <c r="I208" s="1">
        <f t="shared" si="35"/>
        <v>0.97916666666666663</v>
      </c>
      <c r="J208" s="1" t="str">
        <f t="shared" si="36"/>
        <v/>
      </c>
      <c r="K208" s="1" t="str">
        <f t="shared" si="37"/>
        <v/>
      </c>
      <c r="L208" s="1" t="str">
        <f t="shared" si="38"/>
        <v/>
      </c>
    </row>
    <row r="209" spans="1:12">
      <c r="A209" t="s">
        <v>142</v>
      </c>
      <c r="B209">
        <v>11</v>
      </c>
      <c r="C209" t="str">
        <f t="shared" si="32"/>
        <v>test.Class11_11_</v>
      </c>
      <c r="D209">
        <v>11</v>
      </c>
      <c r="E209">
        <v>0.97916666666666663</v>
      </c>
      <c r="F209">
        <v>0.55989984591679509</v>
      </c>
      <c r="G209" s="1" t="str">
        <f t="shared" si="33"/>
        <v/>
      </c>
      <c r="H209" s="1" t="str">
        <f t="shared" si="34"/>
        <v/>
      </c>
      <c r="I209" s="1">
        <f t="shared" si="35"/>
        <v>0.97916666666666663</v>
      </c>
      <c r="J209" s="1" t="str">
        <f t="shared" si="36"/>
        <v/>
      </c>
      <c r="K209" s="1" t="str">
        <f t="shared" si="37"/>
        <v/>
      </c>
      <c r="L209" s="1" t="str">
        <f t="shared" si="38"/>
        <v/>
      </c>
    </row>
    <row r="210" spans="1:12">
      <c r="A210" t="s">
        <v>142</v>
      </c>
      <c r="B210">
        <v>11</v>
      </c>
      <c r="C210" t="str">
        <f t="shared" si="32"/>
        <v>test.Class11_11_</v>
      </c>
      <c r="D210">
        <v>12</v>
      </c>
      <c r="E210">
        <v>1</v>
      </c>
      <c r="F210">
        <v>0.96976117103235748</v>
      </c>
      <c r="G210" s="1" t="str">
        <f t="shared" si="33"/>
        <v/>
      </c>
      <c r="H210" s="1" t="str">
        <f t="shared" si="34"/>
        <v/>
      </c>
      <c r="I210" s="1" t="str">
        <f t="shared" si="35"/>
        <v/>
      </c>
      <c r="J210" s="1" t="str">
        <f t="shared" si="36"/>
        <v/>
      </c>
      <c r="K210" s="1">
        <f t="shared" si="37"/>
        <v>1</v>
      </c>
      <c r="L210" s="1" t="str">
        <f t="shared" si="38"/>
        <v/>
      </c>
    </row>
    <row r="211" spans="1:12">
      <c r="A211" t="s">
        <v>142</v>
      </c>
      <c r="B211">
        <v>11</v>
      </c>
      <c r="C211" t="str">
        <f t="shared" si="32"/>
        <v>test.Class11_11_</v>
      </c>
      <c r="D211">
        <v>13</v>
      </c>
      <c r="E211">
        <v>1</v>
      </c>
      <c r="F211">
        <v>0.98863636363636365</v>
      </c>
      <c r="G211" s="1" t="str">
        <f t="shared" si="33"/>
        <v/>
      </c>
      <c r="H211" s="1" t="str">
        <f t="shared" si="34"/>
        <v/>
      </c>
      <c r="I211" s="1" t="str">
        <f t="shared" si="35"/>
        <v/>
      </c>
      <c r="J211" s="1" t="str">
        <f t="shared" si="36"/>
        <v/>
      </c>
      <c r="K211" s="1">
        <f t="shared" si="37"/>
        <v>1</v>
      </c>
      <c r="L211" s="1" t="str">
        <f t="shared" si="38"/>
        <v/>
      </c>
    </row>
    <row r="212" spans="1:12">
      <c r="A212" t="s">
        <v>142</v>
      </c>
      <c r="B212">
        <v>12</v>
      </c>
      <c r="C212" t="str">
        <f t="shared" si="32"/>
        <v>test.Class11_12_</v>
      </c>
      <c r="D212">
        <v>1</v>
      </c>
      <c r="E212">
        <v>8.4745762711864406E-3</v>
      </c>
      <c r="F212">
        <v>2.4285275130648633E-2</v>
      </c>
      <c r="G212" s="1">
        <f t="shared" si="33"/>
        <v>8.4745762711864406E-3</v>
      </c>
      <c r="H212" s="1" t="str">
        <f t="shared" si="34"/>
        <v/>
      </c>
      <c r="I212" s="1" t="str">
        <f t="shared" si="35"/>
        <v/>
      </c>
      <c r="J212" s="1" t="str">
        <f t="shared" si="36"/>
        <v/>
      </c>
      <c r="K212" s="1" t="str">
        <f t="shared" si="37"/>
        <v/>
      </c>
      <c r="L212" s="1" t="str">
        <f t="shared" si="38"/>
        <v/>
      </c>
    </row>
    <row r="213" spans="1:12">
      <c r="A213" t="s">
        <v>142</v>
      </c>
      <c r="B213">
        <v>12</v>
      </c>
      <c r="C213" t="str">
        <f t="shared" si="32"/>
        <v>test.Class11_12_</v>
      </c>
      <c r="D213">
        <v>2</v>
      </c>
      <c r="E213">
        <v>0.52542372881355937</v>
      </c>
      <c r="F213">
        <v>0.60159852443897943</v>
      </c>
      <c r="G213" s="1" t="str">
        <f t="shared" si="33"/>
        <v/>
      </c>
      <c r="H213" s="1" t="str">
        <f t="shared" si="34"/>
        <v/>
      </c>
      <c r="I213" s="1" t="str">
        <f t="shared" si="35"/>
        <v/>
      </c>
      <c r="J213" s="1">
        <f t="shared" si="36"/>
        <v>0.52542372881355937</v>
      </c>
      <c r="K213" s="1" t="str">
        <f t="shared" si="37"/>
        <v/>
      </c>
      <c r="L213" s="1" t="str">
        <f t="shared" si="38"/>
        <v/>
      </c>
    </row>
    <row r="214" spans="1:12">
      <c r="A214" t="s">
        <v>142</v>
      </c>
      <c r="B214">
        <v>12</v>
      </c>
      <c r="C214" t="str">
        <f t="shared" si="32"/>
        <v>test.Class11_12_</v>
      </c>
      <c r="D214">
        <v>3</v>
      </c>
      <c r="E214">
        <v>0.55932203389830504</v>
      </c>
      <c r="F214">
        <v>0.65201352597602213</v>
      </c>
      <c r="G214" s="1" t="str">
        <f t="shared" si="33"/>
        <v/>
      </c>
      <c r="H214" s="1" t="str">
        <f t="shared" si="34"/>
        <v/>
      </c>
      <c r="I214" s="1" t="str">
        <f t="shared" si="35"/>
        <v/>
      </c>
      <c r="J214" s="1">
        <f t="shared" si="36"/>
        <v>0.55932203389830504</v>
      </c>
      <c r="K214" s="1" t="str">
        <f t="shared" si="37"/>
        <v/>
      </c>
      <c r="L214" s="1" t="str">
        <f t="shared" si="38"/>
        <v/>
      </c>
    </row>
    <row r="215" spans="1:12">
      <c r="A215" t="s">
        <v>142</v>
      </c>
      <c r="B215">
        <v>12</v>
      </c>
      <c r="C215" t="str">
        <f t="shared" si="32"/>
        <v>test.Class11_12_</v>
      </c>
      <c r="D215">
        <v>4</v>
      </c>
      <c r="E215">
        <v>0.59322033898305082</v>
      </c>
      <c r="F215">
        <v>0.68521364893944048</v>
      </c>
      <c r="G215" s="1" t="str">
        <f t="shared" si="33"/>
        <v/>
      </c>
      <c r="H215" s="1" t="str">
        <f t="shared" si="34"/>
        <v/>
      </c>
      <c r="I215" s="1" t="str">
        <f t="shared" si="35"/>
        <v/>
      </c>
      <c r="J215" s="1">
        <f t="shared" si="36"/>
        <v>0.59322033898305082</v>
      </c>
      <c r="K215" s="1" t="str">
        <f t="shared" si="37"/>
        <v/>
      </c>
      <c r="L215" s="1" t="str">
        <f t="shared" si="38"/>
        <v/>
      </c>
    </row>
    <row r="216" spans="1:12">
      <c r="A216" t="s">
        <v>142</v>
      </c>
      <c r="B216">
        <v>12</v>
      </c>
      <c r="C216" t="str">
        <f t="shared" si="32"/>
        <v>test.Class11_12_</v>
      </c>
      <c r="D216">
        <v>5</v>
      </c>
      <c r="E216">
        <v>0.71186440677966101</v>
      </c>
      <c r="F216">
        <v>0.73224715647094984</v>
      </c>
      <c r="G216" s="1" t="str">
        <f t="shared" si="33"/>
        <v/>
      </c>
      <c r="H216" s="1" t="str">
        <f t="shared" si="34"/>
        <v/>
      </c>
      <c r="I216" s="1" t="str">
        <f t="shared" si="35"/>
        <v/>
      </c>
      <c r="J216" s="1">
        <f t="shared" si="36"/>
        <v>0.71186440677966101</v>
      </c>
      <c r="K216" s="1" t="str">
        <f t="shared" si="37"/>
        <v/>
      </c>
      <c r="L216" s="1" t="str">
        <f t="shared" si="38"/>
        <v/>
      </c>
    </row>
    <row r="217" spans="1:12">
      <c r="A217" t="s">
        <v>142</v>
      </c>
      <c r="B217">
        <v>12</v>
      </c>
      <c r="C217" t="str">
        <f t="shared" si="32"/>
        <v>test.Class11_12_</v>
      </c>
      <c r="D217">
        <v>6</v>
      </c>
      <c r="E217">
        <v>0.88983050847457623</v>
      </c>
      <c r="F217">
        <v>0.73778051029818625</v>
      </c>
      <c r="G217" s="1" t="str">
        <f t="shared" si="33"/>
        <v/>
      </c>
      <c r="H217" s="1" t="str">
        <f t="shared" si="34"/>
        <v/>
      </c>
      <c r="I217" s="1" t="str">
        <f t="shared" si="35"/>
        <v/>
      </c>
      <c r="J217" s="1">
        <f t="shared" si="36"/>
        <v>0.88983050847457623</v>
      </c>
      <c r="K217" s="1" t="str">
        <f t="shared" si="37"/>
        <v/>
      </c>
      <c r="L217" s="1" t="str">
        <f t="shared" si="38"/>
        <v/>
      </c>
    </row>
    <row r="218" spans="1:12">
      <c r="A218" t="s">
        <v>142</v>
      </c>
      <c r="B218">
        <v>12</v>
      </c>
      <c r="C218" t="str">
        <f t="shared" si="32"/>
        <v>test.Class11_12_</v>
      </c>
      <c r="D218">
        <v>7</v>
      </c>
      <c r="E218">
        <v>1</v>
      </c>
      <c r="F218">
        <v>0.7383953273901015</v>
      </c>
      <c r="G218" s="1" t="str">
        <f t="shared" si="33"/>
        <v/>
      </c>
      <c r="H218" s="1" t="str">
        <f t="shared" si="34"/>
        <v/>
      </c>
      <c r="I218" s="1" t="str">
        <f t="shared" si="35"/>
        <v/>
      </c>
      <c r="J218" s="1">
        <f t="shared" si="36"/>
        <v>1</v>
      </c>
      <c r="K218" s="1" t="str">
        <f t="shared" si="37"/>
        <v/>
      </c>
      <c r="L218" s="1" t="str">
        <f t="shared" si="38"/>
        <v/>
      </c>
    </row>
    <row r="219" spans="1:12">
      <c r="A219" t="s">
        <v>142</v>
      </c>
      <c r="B219">
        <v>12</v>
      </c>
      <c r="C219" t="str">
        <f t="shared" si="32"/>
        <v>test.Class11_12_</v>
      </c>
      <c r="D219">
        <v>8</v>
      </c>
      <c r="E219">
        <v>1</v>
      </c>
      <c r="F219">
        <v>0.7728250845373501</v>
      </c>
      <c r="G219" s="1" t="str">
        <f t="shared" si="33"/>
        <v/>
      </c>
      <c r="H219" s="1" t="str">
        <f t="shared" si="34"/>
        <v/>
      </c>
      <c r="I219" s="1" t="str">
        <f t="shared" si="35"/>
        <v/>
      </c>
      <c r="J219" s="1">
        <f t="shared" si="36"/>
        <v>1</v>
      </c>
      <c r="K219" s="1" t="str">
        <f t="shared" si="37"/>
        <v/>
      </c>
      <c r="L219" s="1" t="str">
        <f t="shared" si="38"/>
        <v/>
      </c>
    </row>
    <row r="220" spans="1:12">
      <c r="A220" t="s">
        <v>142</v>
      </c>
      <c r="B220">
        <v>12</v>
      </c>
      <c r="C220" t="str">
        <f t="shared" si="32"/>
        <v>test.Class11_12_</v>
      </c>
      <c r="D220">
        <v>9</v>
      </c>
      <c r="E220">
        <v>1</v>
      </c>
      <c r="F220">
        <v>0.796188134030126</v>
      </c>
      <c r="G220" s="1" t="str">
        <f t="shared" si="33"/>
        <v/>
      </c>
      <c r="H220" s="1" t="str">
        <f t="shared" si="34"/>
        <v/>
      </c>
      <c r="I220" s="1" t="str">
        <f t="shared" si="35"/>
        <v/>
      </c>
      <c r="J220" s="1">
        <f t="shared" si="36"/>
        <v>1</v>
      </c>
      <c r="K220" s="1" t="str">
        <f t="shared" si="37"/>
        <v/>
      </c>
      <c r="L220" s="1" t="str">
        <f t="shared" si="38"/>
        <v/>
      </c>
    </row>
    <row r="221" spans="1:12">
      <c r="A221" t="s">
        <v>142</v>
      </c>
      <c r="B221">
        <v>12</v>
      </c>
      <c r="C221" t="str">
        <f t="shared" si="32"/>
        <v>test.Class11_12_</v>
      </c>
      <c r="D221">
        <v>10</v>
      </c>
      <c r="E221">
        <v>1</v>
      </c>
      <c r="F221">
        <v>0.81155856132800497</v>
      </c>
      <c r="G221" s="1" t="str">
        <f t="shared" si="33"/>
        <v/>
      </c>
      <c r="H221" s="1" t="str">
        <f t="shared" si="34"/>
        <v/>
      </c>
      <c r="I221" s="1" t="str">
        <f t="shared" si="35"/>
        <v/>
      </c>
      <c r="J221" s="1" t="str">
        <f t="shared" si="36"/>
        <v/>
      </c>
      <c r="K221" s="1">
        <f t="shared" si="37"/>
        <v>1</v>
      </c>
      <c r="L221" s="1" t="str">
        <f t="shared" si="38"/>
        <v/>
      </c>
    </row>
    <row r="222" spans="1:12">
      <c r="A222" t="s">
        <v>142</v>
      </c>
      <c r="B222">
        <v>12</v>
      </c>
      <c r="C222" t="str">
        <f t="shared" si="32"/>
        <v>test.Class11_12_</v>
      </c>
      <c r="D222">
        <v>11</v>
      </c>
      <c r="E222">
        <v>1</v>
      </c>
      <c r="F222">
        <v>0.82416231171226562</v>
      </c>
      <c r="G222" s="1" t="str">
        <f t="shared" si="33"/>
        <v/>
      </c>
      <c r="H222" s="1" t="str">
        <f t="shared" si="34"/>
        <v/>
      </c>
      <c r="I222" s="1" t="str">
        <f t="shared" si="35"/>
        <v/>
      </c>
      <c r="J222" s="1" t="str">
        <f t="shared" si="36"/>
        <v/>
      </c>
      <c r="K222" s="1">
        <f t="shared" si="37"/>
        <v>1</v>
      </c>
      <c r="L222" s="1" t="str">
        <f t="shared" si="38"/>
        <v/>
      </c>
    </row>
    <row r="223" spans="1:12">
      <c r="A223" t="s">
        <v>142</v>
      </c>
      <c r="B223">
        <v>12</v>
      </c>
      <c r="C223" t="str">
        <f t="shared" si="32"/>
        <v>test.Class11_12_</v>
      </c>
      <c r="D223">
        <v>12</v>
      </c>
      <c r="E223">
        <v>1</v>
      </c>
      <c r="F223">
        <v>0.87088841069781742</v>
      </c>
      <c r="G223" s="1" t="str">
        <f t="shared" si="33"/>
        <v/>
      </c>
      <c r="H223" s="1" t="str">
        <f t="shared" si="34"/>
        <v/>
      </c>
      <c r="I223" s="1" t="str">
        <f t="shared" si="35"/>
        <v/>
      </c>
      <c r="J223" s="1" t="str">
        <f t="shared" si="36"/>
        <v/>
      </c>
      <c r="K223" s="1">
        <f t="shared" si="37"/>
        <v>1</v>
      </c>
      <c r="L223" s="1" t="str">
        <f t="shared" si="38"/>
        <v/>
      </c>
    </row>
    <row r="224" spans="1:12">
      <c r="A224" t="s">
        <v>142</v>
      </c>
      <c r="B224">
        <v>12</v>
      </c>
      <c r="C224" t="str">
        <f t="shared" si="32"/>
        <v>test.Class11_12_</v>
      </c>
      <c r="D224">
        <v>13</v>
      </c>
      <c r="E224">
        <v>1</v>
      </c>
      <c r="F224">
        <v>0.87365508761143562</v>
      </c>
      <c r="G224" s="1" t="str">
        <f t="shared" si="33"/>
        <v/>
      </c>
      <c r="H224" s="1" t="str">
        <f t="shared" si="34"/>
        <v/>
      </c>
      <c r="I224" s="1" t="str">
        <f t="shared" si="35"/>
        <v/>
      </c>
      <c r="J224" s="1" t="str">
        <f t="shared" si="36"/>
        <v/>
      </c>
      <c r="K224" s="1">
        <f t="shared" si="37"/>
        <v>1</v>
      </c>
      <c r="L224" s="1" t="str">
        <f t="shared" si="38"/>
        <v/>
      </c>
    </row>
    <row r="225" spans="1:12">
      <c r="A225" t="s">
        <v>142</v>
      </c>
      <c r="B225">
        <v>12</v>
      </c>
      <c r="C225" t="str">
        <f t="shared" si="32"/>
        <v>test.Class11_12_</v>
      </c>
      <c r="D225">
        <v>14</v>
      </c>
      <c r="E225">
        <v>1</v>
      </c>
      <c r="F225">
        <v>0.89363664309867819</v>
      </c>
      <c r="G225" s="1" t="str">
        <f t="shared" si="33"/>
        <v/>
      </c>
      <c r="H225" s="1" t="str">
        <f t="shared" si="34"/>
        <v/>
      </c>
      <c r="I225" s="1" t="str">
        <f t="shared" si="35"/>
        <v/>
      </c>
      <c r="J225" s="1" t="str">
        <f t="shared" si="36"/>
        <v/>
      </c>
      <c r="K225" s="1">
        <f t="shared" si="37"/>
        <v>1</v>
      </c>
      <c r="L225" s="1" t="str">
        <f t="shared" si="38"/>
        <v/>
      </c>
    </row>
    <row r="226" spans="1:12">
      <c r="A226" t="s">
        <v>142</v>
      </c>
      <c r="B226">
        <v>12</v>
      </c>
      <c r="C226" t="str">
        <f t="shared" si="32"/>
        <v>test.Class11_12_</v>
      </c>
      <c r="D226">
        <v>15</v>
      </c>
      <c r="E226">
        <v>1</v>
      </c>
      <c r="F226">
        <v>0.91238856440209037</v>
      </c>
      <c r="G226" s="1" t="str">
        <f t="shared" si="33"/>
        <v/>
      </c>
      <c r="H226" s="1" t="str">
        <f t="shared" si="34"/>
        <v/>
      </c>
      <c r="I226" s="1" t="str">
        <f t="shared" si="35"/>
        <v/>
      </c>
      <c r="J226" s="1" t="str">
        <f t="shared" si="36"/>
        <v/>
      </c>
      <c r="K226" s="1">
        <f t="shared" si="37"/>
        <v>1</v>
      </c>
      <c r="L226" s="1" t="str">
        <f t="shared" si="38"/>
        <v/>
      </c>
    </row>
    <row r="227" spans="1:12">
      <c r="A227" t="s">
        <v>142</v>
      </c>
      <c r="B227">
        <v>12</v>
      </c>
      <c r="C227" t="str">
        <f t="shared" si="32"/>
        <v>test.Class11_12_</v>
      </c>
      <c r="D227">
        <v>16</v>
      </c>
      <c r="E227">
        <v>1</v>
      </c>
      <c r="F227">
        <v>0.9560405779280664</v>
      </c>
      <c r="G227" s="1" t="str">
        <f t="shared" si="33"/>
        <v/>
      </c>
      <c r="H227" s="1" t="str">
        <f t="shared" si="34"/>
        <v/>
      </c>
      <c r="I227" s="1" t="str">
        <f t="shared" si="35"/>
        <v/>
      </c>
      <c r="J227" s="1" t="str">
        <f t="shared" si="36"/>
        <v/>
      </c>
      <c r="K227" s="1">
        <f t="shared" si="37"/>
        <v>1</v>
      </c>
      <c r="L227" s="1" t="str">
        <f t="shared" si="38"/>
        <v/>
      </c>
    </row>
    <row r="228" spans="1:12">
      <c r="A228" t="s">
        <v>142</v>
      </c>
      <c r="B228">
        <v>12</v>
      </c>
      <c r="C228" t="str">
        <f t="shared" si="32"/>
        <v>test.Class11_12_</v>
      </c>
      <c r="D228">
        <v>17</v>
      </c>
      <c r="E228">
        <v>1</v>
      </c>
      <c r="F228">
        <v>1.0079926221948969</v>
      </c>
      <c r="G228" s="1" t="str">
        <f t="shared" si="33"/>
        <v/>
      </c>
      <c r="H228" s="1" t="str">
        <f t="shared" si="34"/>
        <v/>
      </c>
      <c r="I228" s="1" t="str">
        <f t="shared" si="35"/>
        <v/>
      </c>
      <c r="J228" s="1" t="str">
        <f t="shared" si="36"/>
        <v/>
      </c>
      <c r="K228" s="1">
        <f t="shared" si="37"/>
        <v>1</v>
      </c>
      <c r="L228" s="1" t="str">
        <f t="shared" si="38"/>
        <v/>
      </c>
    </row>
    <row r="229" spans="1:12">
      <c r="A229" t="s">
        <v>206</v>
      </c>
      <c r="B229">
        <v>1</v>
      </c>
      <c r="C229" t="str">
        <f t="shared" si="32"/>
        <v>test.Class13_1_</v>
      </c>
      <c r="D229">
        <v>1</v>
      </c>
      <c r="E229">
        <v>0.20454545454545456</v>
      </c>
      <c r="F229">
        <v>0.38022813688212925</v>
      </c>
      <c r="G229" s="1" t="str">
        <f t="shared" si="33"/>
        <v/>
      </c>
      <c r="H229" s="1">
        <f t="shared" si="34"/>
        <v>0.20454545454545456</v>
      </c>
      <c r="I229" s="1" t="str">
        <f t="shared" si="35"/>
        <v/>
      </c>
      <c r="J229" s="1" t="str">
        <f t="shared" si="36"/>
        <v/>
      </c>
      <c r="K229" s="1" t="str">
        <f t="shared" si="37"/>
        <v/>
      </c>
      <c r="L229" s="1" t="str">
        <f t="shared" si="38"/>
        <v/>
      </c>
    </row>
    <row r="230" spans="1:12">
      <c r="A230" t="s">
        <v>206</v>
      </c>
      <c r="B230">
        <v>1</v>
      </c>
      <c r="C230" t="str">
        <f t="shared" si="32"/>
        <v>test.Class13_1_</v>
      </c>
      <c r="D230">
        <v>2</v>
      </c>
      <c r="E230">
        <v>0.38636363636363635</v>
      </c>
      <c r="F230">
        <v>0.45754119138149557</v>
      </c>
      <c r="G230" s="1" t="str">
        <f t="shared" si="33"/>
        <v/>
      </c>
      <c r="H230" s="1" t="str">
        <f t="shared" si="34"/>
        <v/>
      </c>
      <c r="I230" s="1">
        <f t="shared" si="35"/>
        <v>0.38636363636363635</v>
      </c>
      <c r="J230" s="1" t="str">
        <f t="shared" si="36"/>
        <v/>
      </c>
      <c r="K230" s="1" t="str">
        <f t="shared" si="37"/>
        <v/>
      </c>
      <c r="L230" s="1" t="str">
        <f t="shared" si="38"/>
        <v/>
      </c>
    </row>
    <row r="231" spans="1:12">
      <c r="A231" t="s">
        <v>206</v>
      </c>
      <c r="B231">
        <v>1</v>
      </c>
      <c r="C231" t="str">
        <f t="shared" si="32"/>
        <v>test.Class13_1_</v>
      </c>
      <c r="D231">
        <v>3</v>
      </c>
      <c r="E231">
        <v>0.38636363636363635</v>
      </c>
      <c r="F231">
        <v>0.49387410223912126</v>
      </c>
      <c r="G231" s="1" t="str">
        <f t="shared" si="33"/>
        <v/>
      </c>
      <c r="H231" s="1" t="str">
        <f t="shared" si="34"/>
        <v/>
      </c>
      <c r="I231" s="1">
        <f t="shared" si="35"/>
        <v>0.38636363636363635</v>
      </c>
      <c r="J231" s="1" t="str">
        <f t="shared" si="36"/>
        <v/>
      </c>
      <c r="K231" s="1" t="str">
        <f t="shared" si="37"/>
        <v/>
      </c>
      <c r="L231" s="1" t="str">
        <f t="shared" si="38"/>
        <v/>
      </c>
    </row>
    <row r="232" spans="1:12">
      <c r="A232" t="s">
        <v>206</v>
      </c>
      <c r="B232">
        <v>1</v>
      </c>
      <c r="C232" t="str">
        <f t="shared" si="32"/>
        <v>test.Class13_1_</v>
      </c>
      <c r="D232">
        <v>4</v>
      </c>
      <c r="E232">
        <v>0.38636363636363635</v>
      </c>
      <c r="F232">
        <v>0.49683143219264891</v>
      </c>
      <c r="G232" s="1" t="str">
        <f t="shared" si="33"/>
        <v/>
      </c>
      <c r="H232" s="1" t="str">
        <f t="shared" si="34"/>
        <v/>
      </c>
      <c r="I232" s="1">
        <f t="shared" si="35"/>
        <v>0.38636363636363635</v>
      </c>
      <c r="J232" s="1" t="str">
        <f t="shared" si="36"/>
        <v/>
      </c>
      <c r="K232" s="1" t="str">
        <f t="shared" si="37"/>
        <v/>
      </c>
      <c r="L232" s="1" t="str">
        <f t="shared" si="38"/>
        <v/>
      </c>
    </row>
    <row r="233" spans="1:12">
      <c r="A233" t="s">
        <v>206</v>
      </c>
      <c r="B233">
        <v>1</v>
      </c>
      <c r="C233" t="str">
        <f t="shared" si="32"/>
        <v>test.Class13_1_</v>
      </c>
      <c r="D233">
        <v>5</v>
      </c>
      <c r="E233">
        <v>1</v>
      </c>
      <c r="F233">
        <v>0.84537389100126747</v>
      </c>
      <c r="G233" s="1" t="str">
        <f t="shared" si="33"/>
        <v/>
      </c>
      <c r="H233" s="1" t="str">
        <f t="shared" si="34"/>
        <v/>
      </c>
      <c r="I233" s="1" t="str">
        <f t="shared" si="35"/>
        <v/>
      </c>
      <c r="J233" s="1" t="str">
        <f t="shared" si="36"/>
        <v/>
      </c>
      <c r="K233" s="1">
        <f t="shared" si="37"/>
        <v>1</v>
      </c>
      <c r="L233" s="1" t="str">
        <f t="shared" si="38"/>
        <v/>
      </c>
    </row>
    <row r="234" spans="1:12">
      <c r="A234" t="s">
        <v>206</v>
      </c>
      <c r="B234">
        <v>1</v>
      </c>
      <c r="C234" t="str">
        <f t="shared" si="32"/>
        <v>test.Class13_1_</v>
      </c>
      <c r="D234">
        <v>6</v>
      </c>
      <c r="E234">
        <v>1</v>
      </c>
      <c r="F234">
        <v>0.86861005492184196</v>
      </c>
      <c r="G234" s="1" t="str">
        <f t="shared" si="33"/>
        <v/>
      </c>
      <c r="H234" s="1" t="str">
        <f t="shared" si="34"/>
        <v/>
      </c>
      <c r="I234" s="1" t="str">
        <f t="shared" si="35"/>
        <v/>
      </c>
      <c r="J234" s="1" t="str">
        <f t="shared" si="36"/>
        <v/>
      </c>
      <c r="K234" s="1">
        <f t="shared" si="37"/>
        <v>1</v>
      </c>
      <c r="L234" s="1" t="str">
        <f t="shared" si="38"/>
        <v/>
      </c>
    </row>
    <row r="235" spans="1:12">
      <c r="A235" t="s">
        <v>206</v>
      </c>
      <c r="B235">
        <v>1</v>
      </c>
      <c r="C235" t="str">
        <f t="shared" si="32"/>
        <v>test.Class13_1_</v>
      </c>
      <c r="D235">
        <v>7</v>
      </c>
      <c r="E235">
        <v>1</v>
      </c>
      <c r="F235">
        <v>1.1094212082805239</v>
      </c>
      <c r="G235" s="1" t="str">
        <f t="shared" si="33"/>
        <v/>
      </c>
      <c r="H235" s="1" t="str">
        <f t="shared" si="34"/>
        <v/>
      </c>
      <c r="I235" s="1" t="str">
        <f t="shared" si="35"/>
        <v/>
      </c>
      <c r="J235" s="1" t="str">
        <f t="shared" si="36"/>
        <v/>
      </c>
      <c r="K235" s="1" t="str">
        <f t="shared" si="37"/>
        <v/>
      </c>
      <c r="L235" s="1">
        <f t="shared" si="38"/>
        <v>1</v>
      </c>
    </row>
    <row r="236" spans="1:12">
      <c r="A236" t="s">
        <v>214</v>
      </c>
      <c r="B236">
        <v>1</v>
      </c>
      <c r="C236" t="str">
        <f t="shared" si="32"/>
        <v>test.client_1_</v>
      </c>
      <c r="D236">
        <v>1</v>
      </c>
      <c r="E236">
        <v>7.7380952380952384E-2</v>
      </c>
      <c r="F236">
        <v>3.1700801424755121E-2</v>
      </c>
      <c r="G236" s="1">
        <f t="shared" si="33"/>
        <v>7.7380952380952384E-2</v>
      </c>
      <c r="H236" s="1" t="str">
        <f t="shared" si="34"/>
        <v/>
      </c>
      <c r="I236" s="1" t="str">
        <f t="shared" si="35"/>
        <v/>
      </c>
      <c r="J236" s="1" t="str">
        <f t="shared" si="36"/>
        <v/>
      </c>
      <c r="K236" s="1" t="str">
        <f t="shared" si="37"/>
        <v/>
      </c>
      <c r="L236" s="1" t="str">
        <f t="shared" si="38"/>
        <v/>
      </c>
    </row>
    <row r="237" spans="1:12">
      <c r="A237" t="s">
        <v>214</v>
      </c>
      <c r="B237">
        <v>1</v>
      </c>
      <c r="C237" t="str">
        <f t="shared" si="32"/>
        <v>test.client_1_</v>
      </c>
      <c r="D237">
        <v>2</v>
      </c>
      <c r="E237">
        <v>8.9285714285714288E-2</v>
      </c>
      <c r="F237">
        <v>3.7310774710596614E-2</v>
      </c>
      <c r="G237" s="1">
        <f t="shared" si="33"/>
        <v>8.9285714285714288E-2</v>
      </c>
      <c r="H237" s="1" t="str">
        <f t="shared" si="34"/>
        <v/>
      </c>
      <c r="I237" s="1" t="str">
        <f t="shared" si="35"/>
        <v/>
      </c>
      <c r="J237" s="1" t="str">
        <f t="shared" si="36"/>
        <v/>
      </c>
      <c r="K237" s="1" t="str">
        <f t="shared" si="37"/>
        <v/>
      </c>
      <c r="L237" s="1" t="str">
        <f t="shared" si="38"/>
        <v/>
      </c>
    </row>
    <row r="238" spans="1:12">
      <c r="A238" t="s">
        <v>214</v>
      </c>
      <c r="B238">
        <v>1</v>
      </c>
      <c r="C238" t="str">
        <f t="shared" si="32"/>
        <v>test.client_1_</v>
      </c>
      <c r="D238">
        <v>3</v>
      </c>
      <c r="E238">
        <v>0.125</v>
      </c>
      <c r="F238">
        <v>4.2475512021371328E-2</v>
      </c>
      <c r="G238" s="1">
        <f t="shared" si="33"/>
        <v>0.125</v>
      </c>
      <c r="H238" s="1" t="str">
        <f t="shared" si="34"/>
        <v/>
      </c>
      <c r="I238" s="1" t="str">
        <f t="shared" si="35"/>
        <v/>
      </c>
      <c r="J238" s="1" t="str">
        <f t="shared" si="36"/>
        <v/>
      </c>
      <c r="K238" s="1" t="str">
        <f t="shared" si="37"/>
        <v/>
      </c>
      <c r="L238" s="1" t="str">
        <f t="shared" si="38"/>
        <v/>
      </c>
    </row>
    <row r="239" spans="1:12">
      <c r="A239" t="s">
        <v>214</v>
      </c>
      <c r="B239">
        <v>1</v>
      </c>
      <c r="C239" t="str">
        <f t="shared" si="32"/>
        <v>test.client_1_</v>
      </c>
      <c r="D239">
        <v>4</v>
      </c>
      <c r="E239">
        <v>0.13690476190476192</v>
      </c>
      <c r="F239">
        <v>4.2742653606411399E-2</v>
      </c>
      <c r="G239" s="1">
        <f t="shared" si="33"/>
        <v>0.13690476190476192</v>
      </c>
      <c r="H239" s="1" t="str">
        <f t="shared" si="34"/>
        <v/>
      </c>
      <c r="I239" s="1" t="str">
        <f t="shared" si="35"/>
        <v/>
      </c>
      <c r="J239" s="1" t="str">
        <f t="shared" si="36"/>
        <v/>
      </c>
      <c r="K239" s="1" t="str">
        <f t="shared" si="37"/>
        <v/>
      </c>
      <c r="L239" s="1" t="str">
        <f t="shared" si="38"/>
        <v/>
      </c>
    </row>
    <row r="240" spans="1:12">
      <c r="A240" t="s">
        <v>214</v>
      </c>
      <c r="B240">
        <v>1</v>
      </c>
      <c r="C240" t="str">
        <f t="shared" si="32"/>
        <v>test.client_1_</v>
      </c>
      <c r="D240">
        <v>5</v>
      </c>
      <c r="E240">
        <v>0.14880952380952381</v>
      </c>
      <c r="F240">
        <v>4.3722172751558326E-2</v>
      </c>
      <c r="G240" s="1">
        <f t="shared" si="33"/>
        <v>0.14880952380952381</v>
      </c>
      <c r="H240" s="1" t="str">
        <f t="shared" si="34"/>
        <v/>
      </c>
      <c r="I240" s="1" t="str">
        <f t="shared" si="35"/>
        <v/>
      </c>
      <c r="J240" s="1" t="str">
        <f t="shared" si="36"/>
        <v/>
      </c>
      <c r="K240" s="1" t="str">
        <f t="shared" si="37"/>
        <v/>
      </c>
      <c r="L240" s="1" t="str">
        <f t="shared" si="38"/>
        <v/>
      </c>
    </row>
    <row r="241" spans="1:12">
      <c r="A241" t="s">
        <v>214</v>
      </c>
      <c r="B241">
        <v>1</v>
      </c>
      <c r="C241" t="str">
        <f t="shared" si="32"/>
        <v>test.client_1_</v>
      </c>
      <c r="D241">
        <v>6</v>
      </c>
      <c r="E241">
        <v>0.16071428571428573</v>
      </c>
      <c r="F241">
        <v>4.6304541406945683E-2</v>
      </c>
      <c r="G241" s="1">
        <f t="shared" si="33"/>
        <v>0.16071428571428573</v>
      </c>
      <c r="H241" s="1" t="str">
        <f t="shared" si="34"/>
        <v/>
      </c>
      <c r="I241" s="1" t="str">
        <f t="shared" si="35"/>
        <v/>
      </c>
      <c r="J241" s="1" t="str">
        <f t="shared" si="36"/>
        <v/>
      </c>
      <c r="K241" s="1" t="str">
        <f t="shared" si="37"/>
        <v/>
      </c>
      <c r="L241" s="1" t="str">
        <f t="shared" si="38"/>
        <v/>
      </c>
    </row>
    <row r="242" spans="1:12">
      <c r="A242" t="s">
        <v>214</v>
      </c>
      <c r="B242">
        <v>1</v>
      </c>
      <c r="C242" t="str">
        <f t="shared" si="32"/>
        <v>test.client_1_</v>
      </c>
      <c r="D242">
        <v>7</v>
      </c>
      <c r="E242">
        <v>0.17261904761904762</v>
      </c>
      <c r="F242">
        <v>4.7462154942119326E-2</v>
      </c>
      <c r="G242" s="1">
        <f t="shared" si="33"/>
        <v>0.17261904761904762</v>
      </c>
      <c r="H242" s="1" t="str">
        <f t="shared" si="34"/>
        <v/>
      </c>
      <c r="I242" s="1" t="str">
        <f t="shared" si="35"/>
        <v/>
      </c>
      <c r="J242" s="1" t="str">
        <f t="shared" si="36"/>
        <v/>
      </c>
      <c r="K242" s="1" t="str">
        <f t="shared" si="37"/>
        <v/>
      </c>
      <c r="L242" s="1" t="str">
        <f t="shared" si="38"/>
        <v/>
      </c>
    </row>
    <row r="243" spans="1:12">
      <c r="A243" t="s">
        <v>214</v>
      </c>
      <c r="B243">
        <v>1</v>
      </c>
      <c r="C243" t="str">
        <f t="shared" si="32"/>
        <v>test.client_1_</v>
      </c>
      <c r="D243">
        <v>8</v>
      </c>
      <c r="E243">
        <v>0.19047619047619047</v>
      </c>
      <c r="F243">
        <v>4.8886910062333033E-2</v>
      </c>
      <c r="G243" s="1">
        <f t="shared" si="33"/>
        <v>0.19047619047619047</v>
      </c>
      <c r="H243" s="1" t="str">
        <f t="shared" si="34"/>
        <v/>
      </c>
      <c r="I243" s="1" t="str">
        <f t="shared" si="35"/>
        <v/>
      </c>
      <c r="J243" s="1" t="str">
        <f t="shared" si="36"/>
        <v/>
      </c>
      <c r="K243" s="1" t="str">
        <f t="shared" si="37"/>
        <v/>
      </c>
      <c r="L243" s="1" t="str">
        <f t="shared" si="38"/>
        <v/>
      </c>
    </row>
    <row r="244" spans="1:12">
      <c r="A244" t="s">
        <v>214</v>
      </c>
      <c r="B244">
        <v>1</v>
      </c>
      <c r="C244" t="str">
        <f t="shared" si="32"/>
        <v>test.client_1_</v>
      </c>
      <c r="D244">
        <v>9</v>
      </c>
      <c r="E244">
        <v>0.20238095238095238</v>
      </c>
      <c r="F244">
        <v>5.1914514692787177E-2</v>
      </c>
      <c r="G244" s="1">
        <f t="shared" si="33"/>
        <v>0.20238095238095238</v>
      </c>
      <c r="H244" s="1" t="str">
        <f t="shared" si="34"/>
        <v/>
      </c>
      <c r="I244" s="1" t="str">
        <f t="shared" si="35"/>
        <v/>
      </c>
      <c r="J244" s="1" t="str">
        <f t="shared" si="36"/>
        <v/>
      </c>
      <c r="K244" s="1" t="str">
        <f t="shared" si="37"/>
        <v/>
      </c>
      <c r="L244" s="1" t="str">
        <f t="shared" si="38"/>
        <v/>
      </c>
    </row>
    <row r="245" spans="1:12">
      <c r="A245" t="s">
        <v>214</v>
      </c>
      <c r="B245">
        <v>1</v>
      </c>
      <c r="C245" t="str">
        <f t="shared" si="32"/>
        <v>test.client_1_</v>
      </c>
      <c r="D245">
        <v>10</v>
      </c>
      <c r="E245">
        <v>0.20833333333333334</v>
      </c>
      <c r="F245">
        <v>5.2270703472840609E-2</v>
      </c>
      <c r="G245" s="1">
        <f t="shared" si="33"/>
        <v>0.20833333333333334</v>
      </c>
      <c r="H245" s="1" t="str">
        <f t="shared" si="34"/>
        <v/>
      </c>
      <c r="I245" s="1" t="str">
        <f t="shared" si="35"/>
        <v/>
      </c>
      <c r="J245" s="1" t="str">
        <f t="shared" si="36"/>
        <v/>
      </c>
      <c r="K245" s="1" t="str">
        <f t="shared" si="37"/>
        <v/>
      </c>
      <c r="L245" s="1" t="str">
        <f t="shared" si="38"/>
        <v/>
      </c>
    </row>
    <row r="246" spans="1:12">
      <c r="A246" t="s">
        <v>214</v>
      </c>
      <c r="B246">
        <v>1</v>
      </c>
      <c r="C246" t="str">
        <f t="shared" si="32"/>
        <v>test.client_1_</v>
      </c>
      <c r="D246">
        <v>11</v>
      </c>
      <c r="E246">
        <v>0.22619047619047619</v>
      </c>
      <c r="F246">
        <v>5.3517364203027606E-2</v>
      </c>
      <c r="G246" s="1">
        <f t="shared" si="33"/>
        <v>0.22619047619047619</v>
      </c>
      <c r="H246" s="1" t="str">
        <f t="shared" si="34"/>
        <v/>
      </c>
      <c r="I246" s="1" t="str">
        <f t="shared" si="35"/>
        <v/>
      </c>
      <c r="J246" s="1" t="str">
        <f t="shared" si="36"/>
        <v/>
      </c>
      <c r="K246" s="1" t="str">
        <f t="shared" si="37"/>
        <v/>
      </c>
      <c r="L246" s="1" t="str">
        <f t="shared" si="38"/>
        <v/>
      </c>
    </row>
    <row r="247" spans="1:12">
      <c r="A247" t="s">
        <v>214</v>
      </c>
      <c r="B247">
        <v>1</v>
      </c>
      <c r="C247" t="str">
        <f t="shared" si="32"/>
        <v>test.client_1_</v>
      </c>
      <c r="D247">
        <v>12</v>
      </c>
      <c r="E247">
        <v>0.23214285714285715</v>
      </c>
      <c r="F247">
        <v>5.5387355298308107E-2</v>
      </c>
      <c r="G247" s="1">
        <f t="shared" si="33"/>
        <v>0.23214285714285715</v>
      </c>
      <c r="H247" s="1" t="str">
        <f t="shared" si="34"/>
        <v/>
      </c>
      <c r="I247" s="1" t="str">
        <f t="shared" si="35"/>
        <v/>
      </c>
      <c r="J247" s="1" t="str">
        <f t="shared" si="36"/>
        <v/>
      </c>
      <c r="K247" s="1" t="str">
        <f t="shared" si="37"/>
        <v/>
      </c>
      <c r="L247" s="1" t="str">
        <f t="shared" si="38"/>
        <v/>
      </c>
    </row>
    <row r="248" spans="1:12">
      <c r="A248" t="s">
        <v>214</v>
      </c>
      <c r="B248">
        <v>1</v>
      </c>
      <c r="C248" t="str">
        <f t="shared" si="32"/>
        <v>test.client_1_</v>
      </c>
      <c r="D248">
        <v>13</v>
      </c>
      <c r="E248">
        <v>0.24404761904761904</v>
      </c>
      <c r="F248">
        <v>5.6901157613535175E-2</v>
      </c>
      <c r="G248" s="1">
        <f t="shared" si="33"/>
        <v>0.24404761904761904</v>
      </c>
      <c r="H248" s="1" t="str">
        <f t="shared" si="34"/>
        <v/>
      </c>
      <c r="I248" s="1" t="str">
        <f t="shared" si="35"/>
        <v/>
      </c>
      <c r="J248" s="1" t="str">
        <f t="shared" si="36"/>
        <v/>
      </c>
      <c r="K248" s="1" t="str">
        <f t="shared" si="37"/>
        <v/>
      </c>
      <c r="L248" s="1" t="str">
        <f t="shared" si="38"/>
        <v/>
      </c>
    </row>
    <row r="249" spans="1:12">
      <c r="A249" t="s">
        <v>214</v>
      </c>
      <c r="B249">
        <v>1</v>
      </c>
      <c r="C249" t="str">
        <f t="shared" si="32"/>
        <v>test.client_1_</v>
      </c>
      <c r="D249">
        <v>14</v>
      </c>
      <c r="E249">
        <v>0.25595238095238093</v>
      </c>
      <c r="F249">
        <v>5.6990204808548529E-2</v>
      </c>
      <c r="G249" s="1">
        <f t="shared" si="33"/>
        <v>0.25595238095238093</v>
      </c>
      <c r="H249" s="1" t="str">
        <f t="shared" si="34"/>
        <v/>
      </c>
      <c r="I249" s="1" t="str">
        <f t="shared" si="35"/>
        <v/>
      </c>
      <c r="J249" s="1" t="str">
        <f t="shared" si="36"/>
        <v/>
      </c>
      <c r="K249" s="1" t="str">
        <f t="shared" si="37"/>
        <v/>
      </c>
      <c r="L249" s="1" t="str">
        <f t="shared" si="38"/>
        <v/>
      </c>
    </row>
    <row r="250" spans="1:12">
      <c r="A250" t="s">
        <v>214</v>
      </c>
      <c r="B250">
        <v>1</v>
      </c>
      <c r="C250" t="str">
        <f t="shared" si="32"/>
        <v>test.client_1_</v>
      </c>
      <c r="D250">
        <v>15</v>
      </c>
      <c r="E250">
        <v>0.26190476190476192</v>
      </c>
      <c r="F250">
        <v>5.8593054318788959E-2</v>
      </c>
      <c r="G250" s="1">
        <f t="shared" si="33"/>
        <v>0.26190476190476192</v>
      </c>
      <c r="H250" s="1" t="str">
        <f t="shared" si="34"/>
        <v/>
      </c>
      <c r="I250" s="1" t="str">
        <f t="shared" si="35"/>
        <v/>
      </c>
      <c r="J250" s="1" t="str">
        <f t="shared" si="36"/>
        <v/>
      </c>
      <c r="K250" s="1" t="str">
        <f t="shared" si="37"/>
        <v/>
      </c>
      <c r="L250" s="1" t="str">
        <f t="shared" si="38"/>
        <v/>
      </c>
    </row>
    <row r="251" spans="1:12">
      <c r="A251" t="s">
        <v>214</v>
      </c>
      <c r="B251">
        <v>1</v>
      </c>
      <c r="C251" t="str">
        <f t="shared" si="32"/>
        <v>test.client_1_</v>
      </c>
      <c r="D251">
        <v>16</v>
      </c>
      <c r="E251">
        <v>1</v>
      </c>
      <c r="F251">
        <v>0.97506678539626002</v>
      </c>
      <c r="G251" s="1" t="str">
        <f t="shared" si="33"/>
        <v/>
      </c>
      <c r="H251" s="1" t="str">
        <f t="shared" si="34"/>
        <v/>
      </c>
      <c r="I251" s="1" t="str">
        <f t="shared" si="35"/>
        <v/>
      </c>
      <c r="J251" s="1" t="str">
        <f t="shared" si="36"/>
        <v/>
      </c>
      <c r="K251" s="1">
        <f t="shared" si="37"/>
        <v>1</v>
      </c>
      <c r="L251" s="1" t="str">
        <f t="shared" si="38"/>
        <v/>
      </c>
    </row>
    <row r="252" spans="1:12">
      <c r="A252" t="s">
        <v>214</v>
      </c>
      <c r="B252">
        <v>3</v>
      </c>
      <c r="C252" t="str">
        <f t="shared" si="32"/>
        <v>test.client_3_</v>
      </c>
      <c r="D252">
        <v>1</v>
      </c>
      <c r="E252">
        <v>0.84036144578313254</v>
      </c>
      <c r="F252">
        <v>0.72227830614738853</v>
      </c>
      <c r="G252" s="1" t="str">
        <f t="shared" si="33"/>
        <v/>
      </c>
      <c r="H252" s="1" t="str">
        <f t="shared" si="34"/>
        <v/>
      </c>
      <c r="I252" s="1" t="str">
        <f t="shared" si="35"/>
        <v/>
      </c>
      <c r="J252" s="1">
        <f t="shared" si="36"/>
        <v>0.84036144578313254</v>
      </c>
      <c r="K252" s="1" t="str">
        <f t="shared" si="37"/>
        <v/>
      </c>
      <c r="L252" s="1" t="str">
        <f t="shared" si="38"/>
        <v/>
      </c>
    </row>
    <row r="253" spans="1:12">
      <c r="A253" t="s">
        <v>214</v>
      </c>
      <c r="B253">
        <v>3</v>
      </c>
      <c r="C253" t="str">
        <f t="shared" si="32"/>
        <v>test.client_3_</v>
      </c>
      <c r="D253">
        <v>2</v>
      </c>
      <c r="E253">
        <v>0.99698795180722888</v>
      </c>
      <c r="F253">
        <v>0.85792465862600287</v>
      </c>
      <c r="G253" s="1" t="str">
        <f t="shared" si="33"/>
        <v/>
      </c>
      <c r="H253" s="1" t="str">
        <f t="shared" si="34"/>
        <v/>
      </c>
      <c r="I253" s="1" t="str">
        <f t="shared" si="35"/>
        <v/>
      </c>
      <c r="J253" s="1" t="str">
        <f t="shared" si="36"/>
        <v/>
      </c>
      <c r="K253" s="1">
        <f t="shared" si="37"/>
        <v>0.99698795180722888</v>
      </c>
      <c r="L253" s="1" t="str">
        <f t="shared" si="38"/>
        <v/>
      </c>
    </row>
    <row r="254" spans="1:12">
      <c r="A254" t="s">
        <v>214</v>
      </c>
      <c r="B254">
        <v>3</v>
      </c>
      <c r="C254" t="str">
        <f t="shared" si="32"/>
        <v>test.client_3_</v>
      </c>
      <c r="D254">
        <v>3</v>
      </c>
      <c r="E254">
        <v>1</v>
      </c>
      <c r="F254">
        <v>0.96631422347377927</v>
      </c>
      <c r="G254" s="1" t="str">
        <f t="shared" si="33"/>
        <v/>
      </c>
      <c r="H254" s="1" t="str">
        <f t="shared" si="34"/>
        <v/>
      </c>
      <c r="I254" s="1" t="str">
        <f t="shared" si="35"/>
        <v/>
      </c>
      <c r="J254" s="1" t="str">
        <f t="shared" si="36"/>
        <v/>
      </c>
      <c r="K254" s="1">
        <f t="shared" si="37"/>
        <v>1</v>
      </c>
      <c r="L254" s="1" t="str">
        <f t="shared" si="38"/>
        <v/>
      </c>
    </row>
    <row r="255" spans="1:12">
      <c r="A255" t="s">
        <v>214</v>
      </c>
      <c r="B255">
        <v>4</v>
      </c>
      <c r="C255" t="str">
        <f t="shared" si="32"/>
        <v>test.client_4_</v>
      </c>
      <c r="D255">
        <v>1</v>
      </c>
      <c r="E255">
        <v>0.86821705426356588</v>
      </c>
      <c r="F255">
        <v>0.86906584992343028</v>
      </c>
      <c r="G255" s="1" t="str">
        <f t="shared" si="33"/>
        <v/>
      </c>
      <c r="H255" s="1" t="str">
        <f t="shared" si="34"/>
        <v/>
      </c>
      <c r="I255" s="1" t="str">
        <f t="shared" si="35"/>
        <v/>
      </c>
      <c r="J255" s="1" t="str">
        <f t="shared" si="36"/>
        <v/>
      </c>
      <c r="K255" s="1">
        <f t="shared" si="37"/>
        <v>0.86821705426356588</v>
      </c>
      <c r="L255" s="1" t="str">
        <f t="shared" si="38"/>
        <v/>
      </c>
    </row>
    <row r="256" spans="1:12">
      <c r="A256" t="s">
        <v>214</v>
      </c>
      <c r="B256">
        <v>4</v>
      </c>
      <c r="C256" t="str">
        <f t="shared" si="32"/>
        <v>test.client_4_</v>
      </c>
      <c r="D256">
        <v>2</v>
      </c>
      <c r="E256">
        <v>0.89922480620155043</v>
      </c>
      <c r="F256">
        <v>0.87161817253700868</v>
      </c>
      <c r="G256" s="1" t="str">
        <f t="shared" si="33"/>
        <v/>
      </c>
      <c r="H256" s="1" t="str">
        <f t="shared" si="34"/>
        <v/>
      </c>
      <c r="I256" s="1" t="str">
        <f t="shared" si="35"/>
        <v/>
      </c>
      <c r="J256" s="1" t="str">
        <f t="shared" si="36"/>
        <v/>
      </c>
      <c r="K256" s="1">
        <f t="shared" si="37"/>
        <v>0.89922480620155043</v>
      </c>
      <c r="L256" s="1" t="str">
        <f t="shared" si="38"/>
        <v/>
      </c>
    </row>
    <row r="257" spans="1:12">
      <c r="A257" t="s">
        <v>214</v>
      </c>
      <c r="B257">
        <v>4</v>
      </c>
      <c r="C257" t="str">
        <f t="shared" si="32"/>
        <v>test.client_4_</v>
      </c>
      <c r="D257">
        <v>3</v>
      </c>
      <c r="E257">
        <v>0.92248062015503873</v>
      </c>
      <c r="F257">
        <v>0.87723328228688102</v>
      </c>
      <c r="G257" s="1" t="str">
        <f t="shared" si="33"/>
        <v/>
      </c>
      <c r="H257" s="1" t="str">
        <f t="shared" si="34"/>
        <v/>
      </c>
      <c r="I257" s="1" t="str">
        <f t="shared" si="35"/>
        <v/>
      </c>
      <c r="J257" s="1" t="str">
        <f t="shared" si="36"/>
        <v/>
      </c>
      <c r="K257" s="1">
        <f t="shared" si="37"/>
        <v>0.92248062015503873</v>
      </c>
      <c r="L257" s="1" t="str">
        <f t="shared" si="38"/>
        <v/>
      </c>
    </row>
    <row r="258" spans="1:12">
      <c r="A258" t="s">
        <v>214</v>
      </c>
      <c r="B258">
        <v>4</v>
      </c>
      <c r="C258" t="str">
        <f t="shared" si="32"/>
        <v>test.client_4_</v>
      </c>
      <c r="D258">
        <v>4</v>
      </c>
      <c r="E258">
        <v>0.92248062015503873</v>
      </c>
      <c r="F258">
        <v>0.88591117917304751</v>
      </c>
      <c r="G258" s="1" t="str">
        <f t="shared" si="33"/>
        <v/>
      </c>
      <c r="H258" s="1" t="str">
        <f t="shared" si="34"/>
        <v/>
      </c>
      <c r="I258" s="1" t="str">
        <f t="shared" si="35"/>
        <v/>
      </c>
      <c r="J258" s="1" t="str">
        <f t="shared" si="36"/>
        <v/>
      </c>
      <c r="K258" s="1">
        <f t="shared" si="37"/>
        <v>0.92248062015503873</v>
      </c>
      <c r="L258" s="1" t="str">
        <f t="shared" si="38"/>
        <v/>
      </c>
    </row>
    <row r="259" spans="1:12">
      <c r="A259" t="s">
        <v>214</v>
      </c>
      <c r="B259">
        <v>4</v>
      </c>
      <c r="C259" t="str">
        <f t="shared" ref="C259:C322" si="39">CONCATENATE(A259, "_",B259,"_")</f>
        <v>test.client_4_</v>
      </c>
      <c r="D259">
        <v>5</v>
      </c>
      <c r="E259">
        <v>0.94573643410852715</v>
      </c>
      <c r="F259">
        <v>0.89535477284328735</v>
      </c>
      <c r="G259" s="1" t="str">
        <f t="shared" ref="G259:G322" si="40">IF($F259 &lt;= 0.2,$E259,"")</f>
        <v/>
      </c>
      <c r="H259" s="1" t="str">
        <f t="shared" ref="H259:H322" si="41">IF(AND($F259 &gt; 0.2,$F259 &lt;= 0.4),$E259,"")</f>
        <v/>
      </c>
      <c r="I259" s="1" t="str">
        <f t="shared" ref="I259:I322" si="42">IF(AND($F259 &gt; 0.4,$F259 &lt;= 0.6),$E259,"")</f>
        <v/>
      </c>
      <c r="J259" s="1" t="str">
        <f t="shared" ref="J259:J322" si="43">IF(AND($F259 &gt; 0.6,$F259 &lt;= 0.8),$E259,"")</f>
        <v/>
      </c>
      <c r="K259" s="1">
        <f t="shared" ref="K259:K322" si="44">IF(AND($F259 &gt; 0.8, $F259 &lt;=1.1),$E259,"")</f>
        <v>0.94573643410852715</v>
      </c>
      <c r="L259" s="1" t="str">
        <f t="shared" ref="L259:L322" si="45">IF(AND($F259 &gt; 1.1),$E259,"")</f>
        <v/>
      </c>
    </row>
    <row r="260" spans="1:12">
      <c r="A260" t="s">
        <v>214</v>
      </c>
      <c r="B260">
        <v>4</v>
      </c>
      <c r="C260" t="str">
        <f t="shared" si="39"/>
        <v>test.client_4_</v>
      </c>
      <c r="D260">
        <v>6</v>
      </c>
      <c r="E260">
        <v>1</v>
      </c>
      <c r="F260">
        <v>0.90122511485451762</v>
      </c>
      <c r="G260" s="1" t="str">
        <f t="shared" si="40"/>
        <v/>
      </c>
      <c r="H260" s="1" t="str">
        <f t="shared" si="41"/>
        <v/>
      </c>
      <c r="I260" s="1" t="str">
        <f t="shared" si="42"/>
        <v/>
      </c>
      <c r="J260" s="1" t="str">
        <f t="shared" si="43"/>
        <v/>
      </c>
      <c r="K260" s="1">
        <f t="shared" si="44"/>
        <v>1</v>
      </c>
      <c r="L260" s="1" t="str">
        <f t="shared" si="45"/>
        <v/>
      </c>
    </row>
    <row r="261" spans="1:12">
      <c r="A261" t="s">
        <v>214</v>
      </c>
      <c r="B261">
        <v>4</v>
      </c>
      <c r="C261" t="str">
        <f t="shared" si="39"/>
        <v>test.client_4_</v>
      </c>
      <c r="D261">
        <v>7</v>
      </c>
      <c r="E261">
        <v>1</v>
      </c>
      <c r="F261">
        <v>0.93899948953547729</v>
      </c>
      <c r="G261" s="1" t="str">
        <f t="shared" si="40"/>
        <v/>
      </c>
      <c r="H261" s="1" t="str">
        <f t="shared" si="41"/>
        <v/>
      </c>
      <c r="I261" s="1" t="str">
        <f t="shared" si="42"/>
        <v/>
      </c>
      <c r="J261" s="1" t="str">
        <f t="shared" si="43"/>
        <v/>
      </c>
      <c r="K261" s="1">
        <f t="shared" si="44"/>
        <v>1</v>
      </c>
      <c r="L261" s="1" t="str">
        <f t="shared" si="45"/>
        <v/>
      </c>
    </row>
    <row r="262" spans="1:12">
      <c r="A262" t="s">
        <v>214</v>
      </c>
      <c r="B262">
        <v>4</v>
      </c>
      <c r="C262" t="str">
        <f t="shared" si="39"/>
        <v>test.client_4_</v>
      </c>
      <c r="D262">
        <v>8</v>
      </c>
      <c r="E262">
        <v>1</v>
      </c>
      <c r="F262">
        <v>0.95635528330781006</v>
      </c>
      <c r="G262" s="1" t="str">
        <f t="shared" si="40"/>
        <v/>
      </c>
      <c r="H262" s="1" t="str">
        <f t="shared" si="41"/>
        <v/>
      </c>
      <c r="I262" s="1" t="str">
        <f t="shared" si="42"/>
        <v/>
      </c>
      <c r="J262" s="1" t="str">
        <f t="shared" si="43"/>
        <v/>
      </c>
      <c r="K262" s="1">
        <f t="shared" si="44"/>
        <v>1</v>
      </c>
      <c r="L262" s="1" t="str">
        <f t="shared" si="45"/>
        <v/>
      </c>
    </row>
    <row r="263" spans="1:12">
      <c r="A263" t="s">
        <v>214</v>
      </c>
      <c r="B263">
        <v>4</v>
      </c>
      <c r="C263" t="str">
        <f t="shared" si="39"/>
        <v>test.client_4_</v>
      </c>
      <c r="D263">
        <v>9</v>
      </c>
      <c r="E263">
        <v>1</v>
      </c>
      <c r="F263">
        <v>0.96273608984175596</v>
      </c>
      <c r="G263" s="1" t="str">
        <f t="shared" si="40"/>
        <v/>
      </c>
      <c r="H263" s="1" t="str">
        <f t="shared" si="41"/>
        <v/>
      </c>
      <c r="I263" s="1" t="str">
        <f t="shared" si="42"/>
        <v/>
      </c>
      <c r="J263" s="1" t="str">
        <f t="shared" si="43"/>
        <v/>
      </c>
      <c r="K263" s="1">
        <f t="shared" si="44"/>
        <v>1</v>
      </c>
      <c r="L263" s="1" t="str">
        <f t="shared" si="45"/>
        <v/>
      </c>
    </row>
    <row r="264" spans="1:12">
      <c r="A264" t="s">
        <v>214</v>
      </c>
      <c r="B264">
        <v>6</v>
      </c>
      <c r="C264" t="str">
        <f t="shared" si="39"/>
        <v>test.client_6_</v>
      </c>
      <c r="D264">
        <v>1</v>
      </c>
      <c r="E264">
        <v>0.64462809917355368</v>
      </c>
      <c r="F264">
        <v>0.61683298813782717</v>
      </c>
      <c r="G264" s="1" t="str">
        <f t="shared" si="40"/>
        <v/>
      </c>
      <c r="H264" s="1" t="str">
        <f t="shared" si="41"/>
        <v/>
      </c>
      <c r="I264" s="1" t="str">
        <f t="shared" si="42"/>
        <v/>
      </c>
      <c r="J264" s="1">
        <f t="shared" si="43"/>
        <v>0.64462809917355368</v>
      </c>
      <c r="K264" s="1" t="str">
        <f t="shared" si="44"/>
        <v/>
      </c>
      <c r="L264" s="1" t="str">
        <f t="shared" si="45"/>
        <v/>
      </c>
    </row>
    <row r="265" spans="1:12">
      <c r="A265" t="s">
        <v>214</v>
      </c>
      <c r="B265">
        <v>6</v>
      </c>
      <c r="C265" t="str">
        <f t="shared" si="39"/>
        <v>test.client_6_</v>
      </c>
      <c r="D265">
        <v>2</v>
      </c>
      <c r="E265">
        <v>1</v>
      </c>
      <c r="F265">
        <v>0.62568254565995107</v>
      </c>
      <c r="G265" s="1" t="str">
        <f t="shared" si="40"/>
        <v/>
      </c>
      <c r="H265" s="1" t="str">
        <f t="shared" si="41"/>
        <v/>
      </c>
      <c r="I265" s="1" t="str">
        <f t="shared" si="42"/>
        <v/>
      </c>
      <c r="J265" s="1">
        <f t="shared" si="43"/>
        <v>1</v>
      </c>
      <c r="K265" s="1" t="str">
        <f t="shared" si="44"/>
        <v/>
      </c>
      <c r="L265" s="1" t="str">
        <f t="shared" si="45"/>
        <v/>
      </c>
    </row>
    <row r="266" spans="1:12">
      <c r="A266" t="s">
        <v>214</v>
      </c>
      <c r="B266">
        <v>7</v>
      </c>
      <c r="C266" t="str">
        <f t="shared" si="39"/>
        <v>test.client_7_</v>
      </c>
      <c r="D266">
        <v>1</v>
      </c>
      <c r="E266">
        <v>2.3255813953488372E-2</v>
      </c>
      <c r="F266">
        <v>7.7755905511811024E-2</v>
      </c>
      <c r="G266" s="1">
        <f t="shared" si="40"/>
        <v>2.3255813953488372E-2</v>
      </c>
      <c r="H266" s="1" t="str">
        <f t="shared" si="41"/>
        <v/>
      </c>
      <c r="I266" s="1" t="str">
        <f t="shared" si="42"/>
        <v/>
      </c>
      <c r="J266" s="1" t="str">
        <f t="shared" si="43"/>
        <v/>
      </c>
      <c r="K266" s="1" t="str">
        <f t="shared" si="44"/>
        <v/>
      </c>
      <c r="L266" s="1" t="str">
        <f t="shared" si="45"/>
        <v/>
      </c>
    </row>
    <row r="267" spans="1:12">
      <c r="A267" t="s">
        <v>214</v>
      </c>
      <c r="B267">
        <v>7</v>
      </c>
      <c r="C267" t="str">
        <f t="shared" si="39"/>
        <v>test.client_7_</v>
      </c>
      <c r="D267">
        <v>2</v>
      </c>
      <c r="E267">
        <v>6.9767441860465115E-2</v>
      </c>
      <c r="F267">
        <v>0.13385826771653545</v>
      </c>
      <c r="G267" s="1">
        <f t="shared" si="40"/>
        <v>6.9767441860465115E-2</v>
      </c>
      <c r="H267" s="1" t="str">
        <f t="shared" si="41"/>
        <v/>
      </c>
      <c r="I267" s="1" t="str">
        <f t="shared" si="42"/>
        <v/>
      </c>
      <c r="J267" s="1" t="str">
        <f t="shared" si="43"/>
        <v/>
      </c>
      <c r="K267" s="1" t="str">
        <f t="shared" si="44"/>
        <v/>
      </c>
      <c r="L267" s="1" t="str">
        <f t="shared" si="45"/>
        <v/>
      </c>
    </row>
    <row r="268" spans="1:12">
      <c r="A268" t="s">
        <v>214</v>
      </c>
      <c r="B268">
        <v>7</v>
      </c>
      <c r="C268" t="str">
        <f t="shared" si="39"/>
        <v>test.client_7_</v>
      </c>
      <c r="D268">
        <v>3</v>
      </c>
      <c r="E268">
        <v>0.13953488372093023</v>
      </c>
      <c r="F268">
        <v>0.17224409448818898</v>
      </c>
      <c r="G268" s="1">
        <f t="shared" si="40"/>
        <v>0.13953488372093023</v>
      </c>
      <c r="H268" s="1" t="str">
        <f t="shared" si="41"/>
        <v/>
      </c>
      <c r="I268" s="1" t="str">
        <f t="shared" si="42"/>
        <v/>
      </c>
      <c r="J268" s="1" t="str">
        <f t="shared" si="43"/>
        <v/>
      </c>
      <c r="K268" s="1" t="str">
        <f t="shared" si="44"/>
        <v/>
      </c>
      <c r="L268" s="1" t="str">
        <f t="shared" si="45"/>
        <v/>
      </c>
    </row>
    <row r="269" spans="1:12">
      <c r="A269" t="s">
        <v>214</v>
      </c>
      <c r="B269">
        <v>7</v>
      </c>
      <c r="C269" t="str">
        <f t="shared" si="39"/>
        <v>test.client_7_</v>
      </c>
      <c r="D269">
        <v>4</v>
      </c>
      <c r="E269">
        <v>0.23255813953488372</v>
      </c>
      <c r="F269">
        <v>0.20570866141732283</v>
      </c>
      <c r="G269" s="1" t="str">
        <f t="shared" si="40"/>
        <v/>
      </c>
      <c r="H269" s="1">
        <f t="shared" si="41"/>
        <v>0.23255813953488372</v>
      </c>
      <c r="I269" s="1" t="str">
        <f t="shared" si="42"/>
        <v/>
      </c>
      <c r="J269" s="1" t="str">
        <f t="shared" si="43"/>
        <v/>
      </c>
      <c r="K269" s="1" t="str">
        <f t="shared" si="44"/>
        <v/>
      </c>
      <c r="L269" s="1" t="str">
        <f t="shared" si="45"/>
        <v/>
      </c>
    </row>
    <row r="270" spans="1:12">
      <c r="A270" t="s">
        <v>214</v>
      </c>
      <c r="B270">
        <v>7</v>
      </c>
      <c r="C270" t="str">
        <f t="shared" si="39"/>
        <v>test.client_7_</v>
      </c>
      <c r="D270">
        <v>5</v>
      </c>
      <c r="E270">
        <v>0.2558139534883721</v>
      </c>
      <c r="F270">
        <v>0.39763779527559057</v>
      </c>
      <c r="G270" s="1" t="str">
        <f t="shared" si="40"/>
        <v/>
      </c>
      <c r="H270" s="1">
        <f t="shared" si="41"/>
        <v>0.2558139534883721</v>
      </c>
      <c r="I270" s="1" t="str">
        <f t="shared" si="42"/>
        <v/>
      </c>
      <c r="J270" s="1" t="str">
        <f t="shared" si="43"/>
        <v/>
      </c>
      <c r="K270" s="1" t="str">
        <f t="shared" si="44"/>
        <v/>
      </c>
      <c r="L270" s="1" t="str">
        <f t="shared" si="45"/>
        <v/>
      </c>
    </row>
    <row r="271" spans="1:12">
      <c r="A271" t="s">
        <v>214</v>
      </c>
      <c r="B271">
        <v>7</v>
      </c>
      <c r="C271" t="str">
        <f t="shared" si="39"/>
        <v>test.client_7_</v>
      </c>
      <c r="D271">
        <v>6</v>
      </c>
      <c r="E271">
        <v>0.95348837209302328</v>
      </c>
      <c r="F271">
        <v>0.85039370078740162</v>
      </c>
      <c r="G271" s="1" t="str">
        <f t="shared" si="40"/>
        <v/>
      </c>
      <c r="H271" s="1" t="str">
        <f t="shared" si="41"/>
        <v/>
      </c>
      <c r="I271" s="1" t="str">
        <f t="shared" si="42"/>
        <v/>
      </c>
      <c r="J271" s="1" t="str">
        <f t="shared" si="43"/>
        <v/>
      </c>
      <c r="K271" s="1">
        <f t="shared" si="44"/>
        <v>0.95348837209302328</v>
      </c>
      <c r="L271" s="1" t="str">
        <f t="shared" si="45"/>
        <v/>
      </c>
    </row>
    <row r="272" spans="1:12">
      <c r="A272" t="s">
        <v>214</v>
      </c>
      <c r="B272">
        <v>7</v>
      </c>
      <c r="C272" t="str">
        <f t="shared" si="39"/>
        <v>test.client_7_</v>
      </c>
      <c r="D272">
        <v>7</v>
      </c>
      <c r="E272">
        <v>1</v>
      </c>
      <c r="F272">
        <v>1.014763779527559</v>
      </c>
      <c r="G272" s="1" t="str">
        <f t="shared" si="40"/>
        <v/>
      </c>
      <c r="H272" s="1" t="str">
        <f t="shared" si="41"/>
        <v/>
      </c>
      <c r="I272" s="1" t="str">
        <f t="shared" si="42"/>
        <v/>
      </c>
      <c r="J272" s="1" t="str">
        <f t="shared" si="43"/>
        <v/>
      </c>
      <c r="K272" s="1">
        <f t="shared" si="44"/>
        <v>1</v>
      </c>
      <c r="L272" s="1" t="str">
        <f t="shared" si="45"/>
        <v/>
      </c>
    </row>
    <row r="273" spans="1:12">
      <c r="A273" t="s">
        <v>247</v>
      </c>
      <c r="B273">
        <v>3</v>
      </c>
      <c r="C273" t="str">
        <f t="shared" si="39"/>
        <v>test.GeoEngine_3_</v>
      </c>
      <c r="D273">
        <v>1</v>
      </c>
      <c r="E273">
        <v>9.6774193548387094E-2</v>
      </c>
      <c r="F273">
        <v>6.7759562841530049E-2</v>
      </c>
      <c r="G273" s="1">
        <f t="shared" si="40"/>
        <v>9.6774193548387094E-2</v>
      </c>
      <c r="H273" s="1" t="str">
        <f t="shared" si="41"/>
        <v/>
      </c>
      <c r="I273" s="1" t="str">
        <f t="shared" si="42"/>
        <v/>
      </c>
      <c r="J273" s="1" t="str">
        <f t="shared" si="43"/>
        <v/>
      </c>
      <c r="K273" s="1" t="str">
        <f t="shared" si="44"/>
        <v/>
      </c>
      <c r="L273" s="1" t="str">
        <f t="shared" si="45"/>
        <v/>
      </c>
    </row>
    <row r="274" spans="1:12">
      <c r="A274" t="s">
        <v>247</v>
      </c>
      <c r="B274">
        <v>3</v>
      </c>
      <c r="C274" t="str">
        <f t="shared" si="39"/>
        <v>test.GeoEngine_3_</v>
      </c>
      <c r="D274">
        <v>2</v>
      </c>
      <c r="E274">
        <v>0.74193548387096775</v>
      </c>
      <c r="F274">
        <v>0.61639344262295082</v>
      </c>
      <c r="G274" s="1" t="str">
        <f t="shared" si="40"/>
        <v/>
      </c>
      <c r="H274" s="1" t="str">
        <f t="shared" si="41"/>
        <v/>
      </c>
      <c r="I274" s="1" t="str">
        <f t="shared" si="42"/>
        <v/>
      </c>
      <c r="J274" s="1">
        <f t="shared" si="43"/>
        <v>0.74193548387096775</v>
      </c>
      <c r="K274" s="1" t="str">
        <f t="shared" si="44"/>
        <v/>
      </c>
      <c r="L274" s="1" t="str">
        <f t="shared" si="45"/>
        <v/>
      </c>
    </row>
    <row r="275" spans="1:12">
      <c r="A275" t="s">
        <v>247</v>
      </c>
      <c r="B275">
        <v>3</v>
      </c>
      <c r="C275" t="str">
        <f t="shared" si="39"/>
        <v>test.GeoEngine_3_</v>
      </c>
      <c r="D275">
        <v>3</v>
      </c>
      <c r="E275">
        <v>1</v>
      </c>
      <c r="F275">
        <v>0.63103825136612024</v>
      </c>
      <c r="G275" s="1" t="str">
        <f t="shared" si="40"/>
        <v/>
      </c>
      <c r="H275" s="1" t="str">
        <f t="shared" si="41"/>
        <v/>
      </c>
      <c r="I275" s="1" t="str">
        <f t="shared" si="42"/>
        <v/>
      </c>
      <c r="J275" s="1">
        <f t="shared" si="43"/>
        <v>1</v>
      </c>
      <c r="K275" s="1" t="str">
        <f t="shared" si="44"/>
        <v/>
      </c>
      <c r="L275" s="1" t="str">
        <f t="shared" si="45"/>
        <v/>
      </c>
    </row>
    <row r="276" spans="1:12">
      <c r="A276" t="s">
        <v>247</v>
      </c>
      <c r="B276">
        <v>7</v>
      </c>
      <c r="C276" t="str">
        <f t="shared" si="39"/>
        <v>test.GeoEngine_7_</v>
      </c>
      <c r="D276">
        <v>1</v>
      </c>
      <c r="E276">
        <v>5.3571428571428568E-2</v>
      </c>
      <c r="F276">
        <v>9.3720712277413302E-3</v>
      </c>
      <c r="G276" s="1">
        <f t="shared" si="40"/>
        <v>5.3571428571428568E-2</v>
      </c>
      <c r="H276" s="1" t="str">
        <f t="shared" si="41"/>
        <v/>
      </c>
      <c r="I276" s="1" t="str">
        <f t="shared" si="42"/>
        <v/>
      </c>
      <c r="J276" s="1" t="str">
        <f t="shared" si="43"/>
        <v/>
      </c>
      <c r="K276" s="1" t="str">
        <f t="shared" si="44"/>
        <v/>
      </c>
      <c r="L276" s="1" t="str">
        <f t="shared" si="45"/>
        <v/>
      </c>
    </row>
    <row r="277" spans="1:12">
      <c r="A277" t="s">
        <v>247</v>
      </c>
      <c r="B277">
        <v>7</v>
      </c>
      <c r="C277" t="str">
        <f t="shared" si="39"/>
        <v>test.GeoEngine_7_</v>
      </c>
      <c r="D277">
        <v>2</v>
      </c>
      <c r="E277">
        <v>7.1428571428571425E-2</v>
      </c>
      <c r="F277">
        <v>2.5070290534208058E-2</v>
      </c>
      <c r="G277" s="1">
        <f t="shared" si="40"/>
        <v>7.1428571428571425E-2</v>
      </c>
      <c r="H277" s="1" t="str">
        <f t="shared" si="41"/>
        <v/>
      </c>
      <c r="I277" s="1" t="str">
        <f t="shared" si="42"/>
        <v/>
      </c>
      <c r="J277" s="1" t="str">
        <f t="shared" si="43"/>
        <v/>
      </c>
      <c r="K277" s="1" t="str">
        <f t="shared" si="44"/>
        <v/>
      </c>
      <c r="L277" s="1" t="str">
        <f t="shared" si="45"/>
        <v/>
      </c>
    </row>
    <row r="278" spans="1:12">
      <c r="A278" t="s">
        <v>247</v>
      </c>
      <c r="B278">
        <v>7</v>
      </c>
      <c r="C278" t="str">
        <f t="shared" si="39"/>
        <v>test.GeoEngine_7_</v>
      </c>
      <c r="D278">
        <v>3</v>
      </c>
      <c r="E278">
        <v>0.2857142857142857</v>
      </c>
      <c r="F278">
        <v>6.9821930646672914E-2</v>
      </c>
      <c r="G278" s="1">
        <f t="shared" si="40"/>
        <v>0.2857142857142857</v>
      </c>
      <c r="H278" s="1" t="str">
        <f t="shared" si="41"/>
        <v/>
      </c>
      <c r="I278" s="1" t="str">
        <f t="shared" si="42"/>
        <v/>
      </c>
      <c r="J278" s="1" t="str">
        <f t="shared" si="43"/>
        <v/>
      </c>
      <c r="K278" s="1" t="str">
        <f t="shared" si="44"/>
        <v/>
      </c>
      <c r="L278" s="1" t="str">
        <f t="shared" si="45"/>
        <v/>
      </c>
    </row>
    <row r="279" spans="1:12">
      <c r="A279" t="s">
        <v>247</v>
      </c>
      <c r="B279">
        <v>7</v>
      </c>
      <c r="C279" t="str">
        <f t="shared" si="39"/>
        <v>test.GeoEngine_7_</v>
      </c>
      <c r="D279">
        <v>4</v>
      </c>
      <c r="E279">
        <v>0.48214285714285715</v>
      </c>
      <c r="F279">
        <v>0.1021555763823805</v>
      </c>
      <c r="G279" s="1">
        <f t="shared" si="40"/>
        <v>0.48214285714285715</v>
      </c>
      <c r="H279" s="1" t="str">
        <f t="shared" si="41"/>
        <v/>
      </c>
      <c r="I279" s="1" t="str">
        <f t="shared" si="42"/>
        <v/>
      </c>
      <c r="J279" s="1" t="str">
        <f t="shared" si="43"/>
        <v/>
      </c>
      <c r="K279" s="1" t="str">
        <f t="shared" si="44"/>
        <v/>
      </c>
      <c r="L279" s="1" t="str">
        <f t="shared" si="45"/>
        <v/>
      </c>
    </row>
    <row r="280" spans="1:12">
      <c r="A280" t="s">
        <v>247</v>
      </c>
      <c r="B280">
        <v>7</v>
      </c>
      <c r="C280" t="str">
        <f t="shared" si="39"/>
        <v>test.GeoEngine_7_</v>
      </c>
      <c r="D280">
        <v>5</v>
      </c>
      <c r="E280">
        <v>0.5178571428571429</v>
      </c>
      <c r="F280">
        <v>0.10543580131208997</v>
      </c>
      <c r="G280" s="1">
        <f t="shared" si="40"/>
        <v>0.5178571428571429</v>
      </c>
      <c r="H280" s="1" t="str">
        <f t="shared" si="41"/>
        <v/>
      </c>
      <c r="I280" s="1" t="str">
        <f t="shared" si="42"/>
        <v/>
      </c>
      <c r="J280" s="1" t="str">
        <f t="shared" si="43"/>
        <v/>
      </c>
      <c r="K280" s="1" t="str">
        <f t="shared" si="44"/>
        <v/>
      </c>
      <c r="L280" s="1" t="str">
        <f t="shared" si="45"/>
        <v/>
      </c>
    </row>
    <row r="281" spans="1:12">
      <c r="A281" t="s">
        <v>247</v>
      </c>
      <c r="B281">
        <v>7</v>
      </c>
      <c r="C281" t="str">
        <f t="shared" si="39"/>
        <v>test.GeoEngine_7_</v>
      </c>
      <c r="D281">
        <v>6</v>
      </c>
      <c r="E281">
        <v>1</v>
      </c>
      <c r="F281">
        <v>0.97024367385192123</v>
      </c>
      <c r="G281" s="1" t="str">
        <f t="shared" si="40"/>
        <v/>
      </c>
      <c r="H281" s="1" t="str">
        <f t="shared" si="41"/>
        <v/>
      </c>
      <c r="I281" s="1" t="str">
        <f t="shared" si="42"/>
        <v/>
      </c>
      <c r="J281" s="1" t="str">
        <f t="shared" si="43"/>
        <v/>
      </c>
      <c r="K281" s="1">
        <f t="shared" si="44"/>
        <v>1</v>
      </c>
      <c r="L281" s="1" t="str">
        <f t="shared" si="45"/>
        <v/>
      </c>
    </row>
    <row r="282" spans="1:12">
      <c r="A282" t="s">
        <v>247</v>
      </c>
      <c r="B282">
        <v>8</v>
      </c>
      <c r="C282" t="str">
        <f t="shared" si="39"/>
        <v>test.GeoEngine_8_</v>
      </c>
      <c r="D282">
        <v>1</v>
      </c>
      <c r="E282">
        <v>4.6511627906976744E-2</v>
      </c>
      <c r="F282">
        <v>4.8996257230350462E-2</v>
      </c>
      <c r="G282" s="1">
        <f t="shared" si="40"/>
        <v>4.6511627906976744E-2</v>
      </c>
      <c r="H282" s="1" t="str">
        <f t="shared" si="41"/>
        <v/>
      </c>
      <c r="I282" s="1" t="str">
        <f t="shared" si="42"/>
        <v/>
      </c>
      <c r="J282" s="1" t="str">
        <f t="shared" si="43"/>
        <v/>
      </c>
      <c r="K282" s="1" t="str">
        <f t="shared" si="44"/>
        <v/>
      </c>
      <c r="L282" s="1" t="str">
        <f t="shared" si="45"/>
        <v/>
      </c>
    </row>
    <row r="283" spans="1:12">
      <c r="A283" t="s">
        <v>247</v>
      </c>
      <c r="B283">
        <v>8</v>
      </c>
      <c r="C283" t="str">
        <f t="shared" si="39"/>
        <v>test.GeoEngine_8_</v>
      </c>
      <c r="D283">
        <v>2</v>
      </c>
      <c r="E283">
        <v>0.1744186046511628</v>
      </c>
      <c r="F283">
        <v>0.12725416808438245</v>
      </c>
      <c r="G283" s="1">
        <f t="shared" si="40"/>
        <v>0.1744186046511628</v>
      </c>
      <c r="H283" s="1" t="str">
        <f t="shared" si="41"/>
        <v/>
      </c>
      <c r="I283" s="1" t="str">
        <f t="shared" si="42"/>
        <v/>
      </c>
      <c r="J283" s="1" t="str">
        <f t="shared" si="43"/>
        <v/>
      </c>
      <c r="K283" s="1" t="str">
        <f t="shared" si="44"/>
        <v/>
      </c>
      <c r="L283" s="1" t="str">
        <f t="shared" si="45"/>
        <v/>
      </c>
    </row>
    <row r="284" spans="1:12">
      <c r="A284" t="s">
        <v>247</v>
      </c>
      <c r="B284">
        <v>8</v>
      </c>
      <c r="C284" t="str">
        <f t="shared" si="39"/>
        <v>test.GeoEngine_8_</v>
      </c>
      <c r="D284">
        <v>3</v>
      </c>
      <c r="E284">
        <v>0.22093023255813954</v>
      </c>
      <c r="F284">
        <v>0.15005103776794829</v>
      </c>
      <c r="G284" s="1">
        <f t="shared" si="40"/>
        <v>0.22093023255813954</v>
      </c>
      <c r="H284" s="1" t="str">
        <f t="shared" si="41"/>
        <v/>
      </c>
      <c r="I284" s="1" t="str">
        <f t="shared" si="42"/>
        <v/>
      </c>
      <c r="J284" s="1" t="str">
        <f t="shared" si="43"/>
        <v/>
      </c>
      <c r="K284" s="1" t="str">
        <f t="shared" si="44"/>
        <v/>
      </c>
      <c r="L284" s="1" t="str">
        <f t="shared" si="45"/>
        <v/>
      </c>
    </row>
    <row r="285" spans="1:12">
      <c r="A285" t="s">
        <v>247</v>
      </c>
      <c r="B285">
        <v>8</v>
      </c>
      <c r="C285" t="str">
        <f t="shared" si="39"/>
        <v>test.GeoEngine_8_</v>
      </c>
      <c r="D285">
        <v>4</v>
      </c>
      <c r="E285">
        <v>0.33720930232558138</v>
      </c>
      <c r="F285">
        <v>0.17659067710105478</v>
      </c>
      <c r="G285" s="1">
        <f t="shared" si="40"/>
        <v>0.33720930232558138</v>
      </c>
      <c r="H285" s="1" t="str">
        <f t="shared" si="41"/>
        <v/>
      </c>
      <c r="I285" s="1" t="str">
        <f t="shared" si="42"/>
        <v/>
      </c>
      <c r="J285" s="1" t="str">
        <f t="shared" si="43"/>
        <v/>
      </c>
      <c r="K285" s="1" t="str">
        <f t="shared" si="44"/>
        <v/>
      </c>
      <c r="L285" s="1" t="str">
        <f t="shared" si="45"/>
        <v/>
      </c>
    </row>
    <row r="286" spans="1:12">
      <c r="A286" t="s">
        <v>247</v>
      </c>
      <c r="B286">
        <v>8</v>
      </c>
      <c r="C286" t="str">
        <f t="shared" si="39"/>
        <v>test.GeoEngine_8_</v>
      </c>
      <c r="D286">
        <v>5</v>
      </c>
      <c r="E286">
        <v>0.36046511627906974</v>
      </c>
      <c r="F286">
        <v>0.18645797890438925</v>
      </c>
      <c r="G286" s="1">
        <f t="shared" si="40"/>
        <v>0.36046511627906974</v>
      </c>
      <c r="H286" s="1" t="str">
        <f t="shared" si="41"/>
        <v/>
      </c>
      <c r="I286" s="1" t="str">
        <f t="shared" si="42"/>
        <v/>
      </c>
      <c r="J286" s="1" t="str">
        <f t="shared" si="43"/>
        <v/>
      </c>
      <c r="K286" s="1" t="str">
        <f t="shared" si="44"/>
        <v/>
      </c>
      <c r="L286" s="1" t="str">
        <f t="shared" si="45"/>
        <v/>
      </c>
    </row>
    <row r="287" spans="1:12">
      <c r="A287" t="s">
        <v>247</v>
      </c>
      <c r="B287">
        <v>8</v>
      </c>
      <c r="C287" t="str">
        <f t="shared" si="39"/>
        <v>test.GeoEngine_8_</v>
      </c>
      <c r="D287">
        <v>6</v>
      </c>
      <c r="E287">
        <v>0.7558139534883721</v>
      </c>
      <c r="F287">
        <v>0.74242939775433825</v>
      </c>
      <c r="G287" s="1" t="str">
        <f t="shared" si="40"/>
        <v/>
      </c>
      <c r="H287" s="1" t="str">
        <f t="shared" si="41"/>
        <v/>
      </c>
      <c r="I287" s="1" t="str">
        <f t="shared" si="42"/>
        <v/>
      </c>
      <c r="J287" s="1">
        <f t="shared" si="43"/>
        <v>0.7558139534883721</v>
      </c>
      <c r="K287" s="1" t="str">
        <f t="shared" si="44"/>
        <v/>
      </c>
      <c r="L287" s="1" t="str">
        <f t="shared" si="45"/>
        <v/>
      </c>
    </row>
    <row r="288" spans="1:12">
      <c r="A288" t="s">
        <v>247</v>
      </c>
      <c r="B288">
        <v>8</v>
      </c>
      <c r="C288" t="str">
        <f t="shared" si="39"/>
        <v>test.GeoEngine_8_</v>
      </c>
      <c r="D288">
        <v>7</v>
      </c>
      <c r="E288">
        <v>0.79069767441860461</v>
      </c>
      <c r="F288">
        <v>0.7645457638652603</v>
      </c>
      <c r="G288" s="1" t="str">
        <f t="shared" si="40"/>
        <v/>
      </c>
      <c r="H288" s="1" t="str">
        <f t="shared" si="41"/>
        <v/>
      </c>
      <c r="I288" s="1" t="str">
        <f t="shared" si="42"/>
        <v/>
      </c>
      <c r="J288" s="1">
        <f t="shared" si="43"/>
        <v>0.79069767441860461</v>
      </c>
      <c r="K288" s="1" t="str">
        <f t="shared" si="44"/>
        <v/>
      </c>
      <c r="L288" s="1" t="str">
        <f t="shared" si="45"/>
        <v/>
      </c>
    </row>
    <row r="289" spans="1:12">
      <c r="A289" t="s">
        <v>247</v>
      </c>
      <c r="B289">
        <v>8</v>
      </c>
      <c r="C289" t="str">
        <f t="shared" si="39"/>
        <v>test.GeoEngine_8_</v>
      </c>
      <c r="D289">
        <v>8</v>
      </c>
      <c r="E289">
        <v>0.81395348837209303</v>
      </c>
      <c r="F289">
        <v>0.77679482817284795</v>
      </c>
      <c r="G289" s="1" t="str">
        <f t="shared" si="40"/>
        <v/>
      </c>
      <c r="H289" s="1" t="str">
        <f t="shared" si="41"/>
        <v/>
      </c>
      <c r="I289" s="1" t="str">
        <f t="shared" si="42"/>
        <v/>
      </c>
      <c r="J289" s="1">
        <f t="shared" si="43"/>
        <v>0.81395348837209303</v>
      </c>
      <c r="K289" s="1" t="str">
        <f t="shared" si="44"/>
        <v/>
      </c>
      <c r="L289" s="1" t="str">
        <f t="shared" si="45"/>
        <v/>
      </c>
    </row>
    <row r="290" spans="1:12">
      <c r="A290" t="s">
        <v>247</v>
      </c>
      <c r="B290">
        <v>8</v>
      </c>
      <c r="C290" t="str">
        <f t="shared" si="39"/>
        <v>test.GeoEngine_8_</v>
      </c>
      <c r="D290">
        <v>9</v>
      </c>
      <c r="E290">
        <v>0.87209302325581395</v>
      </c>
      <c r="F290">
        <v>0.81150051037767945</v>
      </c>
      <c r="G290" s="1" t="str">
        <f t="shared" si="40"/>
        <v/>
      </c>
      <c r="H290" s="1" t="str">
        <f t="shared" si="41"/>
        <v/>
      </c>
      <c r="I290" s="1" t="str">
        <f t="shared" si="42"/>
        <v/>
      </c>
      <c r="J290" s="1" t="str">
        <f t="shared" si="43"/>
        <v/>
      </c>
      <c r="K290" s="1">
        <f t="shared" si="44"/>
        <v>0.87209302325581395</v>
      </c>
      <c r="L290" s="1" t="str">
        <f t="shared" si="45"/>
        <v/>
      </c>
    </row>
    <row r="291" spans="1:12">
      <c r="A291" t="s">
        <v>247</v>
      </c>
      <c r="B291">
        <v>8</v>
      </c>
      <c r="C291" t="str">
        <f t="shared" si="39"/>
        <v>test.GeoEngine_8_</v>
      </c>
      <c r="D291">
        <v>10</v>
      </c>
      <c r="E291">
        <v>0.91860465116279066</v>
      </c>
      <c r="F291">
        <v>0.85199047294998298</v>
      </c>
      <c r="G291" s="1" t="str">
        <f t="shared" si="40"/>
        <v/>
      </c>
      <c r="H291" s="1" t="str">
        <f t="shared" si="41"/>
        <v/>
      </c>
      <c r="I291" s="1" t="str">
        <f t="shared" si="42"/>
        <v/>
      </c>
      <c r="J291" s="1" t="str">
        <f t="shared" si="43"/>
        <v/>
      </c>
      <c r="K291" s="1">
        <f t="shared" si="44"/>
        <v>0.91860465116279066</v>
      </c>
      <c r="L291" s="1" t="str">
        <f t="shared" si="45"/>
        <v/>
      </c>
    </row>
    <row r="292" spans="1:12">
      <c r="A292" t="s">
        <v>247</v>
      </c>
      <c r="B292">
        <v>8</v>
      </c>
      <c r="C292" t="str">
        <f t="shared" si="39"/>
        <v>test.GeoEngine_8_</v>
      </c>
      <c r="D292">
        <v>11</v>
      </c>
      <c r="E292">
        <v>1</v>
      </c>
      <c r="F292">
        <v>0.93399115345355566</v>
      </c>
      <c r="G292" s="1" t="str">
        <f t="shared" si="40"/>
        <v/>
      </c>
      <c r="H292" s="1" t="str">
        <f t="shared" si="41"/>
        <v/>
      </c>
      <c r="I292" s="1" t="str">
        <f t="shared" si="42"/>
        <v/>
      </c>
      <c r="J292" s="1" t="str">
        <f t="shared" si="43"/>
        <v/>
      </c>
      <c r="K292" s="1">
        <f t="shared" si="44"/>
        <v>1</v>
      </c>
      <c r="L292" s="1" t="str">
        <f t="shared" si="45"/>
        <v/>
      </c>
    </row>
    <row r="293" spans="1:12">
      <c r="A293" t="s">
        <v>247</v>
      </c>
      <c r="B293">
        <v>9</v>
      </c>
      <c r="C293" t="str">
        <f t="shared" si="39"/>
        <v>test.GeoEngine_9_</v>
      </c>
      <c r="D293">
        <v>1</v>
      </c>
      <c r="E293">
        <v>8.6956521739130432E-2</v>
      </c>
      <c r="F293">
        <v>7.8548212351029253E-2</v>
      </c>
      <c r="G293" s="1">
        <f t="shared" si="40"/>
        <v>8.6956521739130432E-2</v>
      </c>
      <c r="H293" s="1" t="str">
        <f t="shared" si="41"/>
        <v/>
      </c>
      <c r="I293" s="1" t="str">
        <f t="shared" si="42"/>
        <v/>
      </c>
      <c r="J293" s="1" t="str">
        <f t="shared" si="43"/>
        <v/>
      </c>
      <c r="K293" s="1" t="str">
        <f t="shared" si="44"/>
        <v/>
      </c>
      <c r="L293" s="1" t="str">
        <f t="shared" si="45"/>
        <v/>
      </c>
    </row>
    <row r="294" spans="1:12">
      <c r="A294" t="s">
        <v>247</v>
      </c>
      <c r="B294">
        <v>9</v>
      </c>
      <c r="C294" t="str">
        <f t="shared" si="39"/>
        <v>test.GeoEngine_9_</v>
      </c>
      <c r="D294">
        <v>2</v>
      </c>
      <c r="E294">
        <v>0.19565217391304349</v>
      </c>
      <c r="F294">
        <v>0.13109425785482123</v>
      </c>
      <c r="G294" s="1">
        <f t="shared" si="40"/>
        <v>0.19565217391304349</v>
      </c>
      <c r="H294" s="1" t="str">
        <f t="shared" si="41"/>
        <v/>
      </c>
      <c r="I294" s="1" t="str">
        <f t="shared" si="42"/>
        <v/>
      </c>
      <c r="J294" s="1" t="str">
        <f t="shared" si="43"/>
        <v/>
      </c>
      <c r="K294" s="1" t="str">
        <f t="shared" si="44"/>
        <v/>
      </c>
      <c r="L294" s="1" t="str">
        <f t="shared" si="45"/>
        <v/>
      </c>
    </row>
    <row r="295" spans="1:12">
      <c r="A295" t="s">
        <v>247</v>
      </c>
      <c r="B295">
        <v>9</v>
      </c>
      <c r="C295" t="str">
        <f t="shared" si="39"/>
        <v>test.GeoEngine_9_</v>
      </c>
      <c r="D295">
        <v>3</v>
      </c>
      <c r="E295">
        <v>0.41304347826086957</v>
      </c>
      <c r="F295">
        <v>0.28114842903575299</v>
      </c>
      <c r="G295" s="1" t="str">
        <f t="shared" si="40"/>
        <v/>
      </c>
      <c r="H295" s="1">
        <f t="shared" si="41"/>
        <v>0.41304347826086957</v>
      </c>
      <c r="I295" s="1" t="str">
        <f t="shared" si="42"/>
        <v/>
      </c>
      <c r="J295" s="1" t="str">
        <f t="shared" si="43"/>
        <v/>
      </c>
      <c r="K295" s="1" t="str">
        <f t="shared" si="44"/>
        <v/>
      </c>
      <c r="L295" s="1" t="str">
        <f t="shared" si="45"/>
        <v/>
      </c>
    </row>
    <row r="296" spans="1:12">
      <c r="A296" t="s">
        <v>247</v>
      </c>
      <c r="B296">
        <v>9</v>
      </c>
      <c r="C296" t="str">
        <f t="shared" si="39"/>
        <v>test.GeoEngine_9_</v>
      </c>
      <c r="D296">
        <v>4</v>
      </c>
      <c r="E296">
        <v>0.45652173913043476</v>
      </c>
      <c r="F296">
        <v>0.30281690140845069</v>
      </c>
      <c r="G296" s="1" t="str">
        <f t="shared" si="40"/>
        <v/>
      </c>
      <c r="H296" s="1">
        <f t="shared" si="41"/>
        <v>0.45652173913043476</v>
      </c>
      <c r="I296" s="1" t="str">
        <f t="shared" si="42"/>
        <v/>
      </c>
      <c r="J296" s="1" t="str">
        <f t="shared" si="43"/>
        <v/>
      </c>
      <c r="K296" s="1" t="str">
        <f t="shared" si="44"/>
        <v/>
      </c>
      <c r="L296" s="1" t="str">
        <f t="shared" si="45"/>
        <v/>
      </c>
    </row>
    <row r="297" spans="1:12">
      <c r="A297" t="s">
        <v>247</v>
      </c>
      <c r="B297">
        <v>9</v>
      </c>
      <c r="C297" t="str">
        <f t="shared" si="39"/>
        <v>test.GeoEngine_9_</v>
      </c>
      <c r="D297">
        <v>5</v>
      </c>
      <c r="E297">
        <v>1</v>
      </c>
      <c r="F297">
        <v>0.99404117009750814</v>
      </c>
      <c r="G297" s="1" t="str">
        <f t="shared" si="40"/>
        <v/>
      </c>
      <c r="H297" s="1" t="str">
        <f t="shared" si="41"/>
        <v/>
      </c>
      <c r="I297" s="1" t="str">
        <f t="shared" si="42"/>
        <v/>
      </c>
      <c r="J297" s="1" t="str">
        <f t="shared" si="43"/>
        <v/>
      </c>
      <c r="K297" s="1">
        <f t="shared" si="44"/>
        <v>1</v>
      </c>
      <c r="L297" s="1" t="str">
        <f t="shared" si="45"/>
        <v/>
      </c>
    </row>
    <row r="298" spans="1:12">
      <c r="A298" t="s">
        <v>247</v>
      </c>
      <c r="B298">
        <v>10</v>
      </c>
      <c r="C298" t="str">
        <f t="shared" si="39"/>
        <v>test.GeoEngine_10_</v>
      </c>
      <c r="D298">
        <v>1</v>
      </c>
      <c r="E298">
        <v>3.3333333333333333E-2</v>
      </c>
      <c r="F298">
        <v>8.2191780821917804E-2</v>
      </c>
      <c r="G298" s="1">
        <f t="shared" si="40"/>
        <v>3.3333333333333333E-2</v>
      </c>
      <c r="H298" s="1" t="str">
        <f t="shared" si="41"/>
        <v/>
      </c>
      <c r="I298" s="1" t="str">
        <f t="shared" si="42"/>
        <v/>
      </c>
      <c r="J298" s="1" t="str">
        <f t="shared" si="43"/>
        <v/>
      </c>
      <c r="K298" s="1" t="str">
        <f t="shared" si="44"/>
        <v/>
      </c>
      <c r="L298" s="1" t="str">
        <f t="shared" si="45"/>
        <v/>
      </c>
    </row>
    <row r="299" spans="1:12">
      <c r="A299" t="s">
        <v>247</v>
      </c>
      <c r="B299">
        <v>10</v>
      </c>
      <c r="C299" t="str">
        <f t="shared" si="39"/>
        <v>test.GeoEngine_10_</v>
      </c>
      <c r="D299">
        <v>2</v>
      </c>
      <c r="E299">
        <v>0.2</v>
      </c>
      <c r="F299">
        <v>0.3367579908675799</v>
      </c>
      <c r="G299" s="1" t="str">
        <f t="shared" si="40"/>
        <v/>
      </c>
      <c r="H299" s="1">
        <f t="shared" si="41"/>
        <v>0.2</v>
      </c>
      <c r="I299" s="1" t="str">
        <f t="shared" si="42"/>
        <v/>
      </c>
      <c r="J299" s="1" t="str">
        <f t="shared" si="43"/>
        <v/>
      </c>
      <c r="K299" s="1" t="str">
        <f t="shared" si="44"/>
        <v/>
      </c>
      <c r="L299" s="1" t="str">
        <f t="shared" si="45"/>
        <v/>
      </c>
    </row>
    <row r="300" spans="1:12">
      <c r="A300" t="s">
        <v>247</v>
      </c>
      <c r="B300">
        <v>10</v>
      </c>
      <c r="C300" t="str">
        <f t="shared" si="39"/>
        <v>test.GeoEngine_10_</v>
      </c>
      <c r="D300">
        <v>3</v>
      </c>
      <c r="E300">
        <v>0.4</v>
      </c>
      <c r="F300">
        <v>0.52054794520547942</v>
      </c>
      <c r="G300" s="1" t="str">
        <f t="shared" si="40"/>
        <v/>
      </c>
      <c r="H300" s="1" t="str">
        <f t="shared" si="41"/>
        <v/>
      </c>
      <c r="I300" s="1">
        <f t="shared" si="42"/>
        <v>0.4</v>
      </c>
      <c r="J300" s="1" t="str">
        <f t="shared" si="43"/>
        <v/>
      </c>
      <c r="K300" s="1" t="str">
        <f t="shared" si="44"/>
        <v/>
      </c>
      <c r="L300" s="1" t="str">
        <f t="shared" si="45"/>
        <v/>
      </c>
    </row>
    <row r="301" spans="1:12">
      <c r="A301" t="s">
        <v>247</v>
      </c>
      <c r="B301">
        <v>10</v>
      </c>
      <c r="C301" t="str">
        <f t="shared" si="39"/>
        <v>test.GeoEngine_10_</v>
      </c>
      <c r="D301">
        <v>4</v>
      </c>
      <c r="E301">
        <v>0.43333333333333335</v>
      </c>
      <c r="F301">
        <v>0.5639269406392694</v>
      </c>
      <c r="G301" s="1" t="str">
        <f t="shared" si="40"/>
        <v/>
      </c>
      <c r="H301" s="1" t="str">
        <f t="shared" si="41"/>
        <v/>
      </c>
      <c r="I301" s="1">
        <f t="shared" si="42"/>
        <v>0.43333333333333335</v>
      </c>
      <c r="J301" s="1" t="str">
        <f t="shared" si="43"/>
        <v/>
      </c>
      <c r="K301" s="1" t="str">
        <f t="shared" si="44"/>
        <v/>
      </c>
      <c r="L301" s="1" t="str">
        <f t="shared" si="45"/>
        <v/>
      </c>
    </row>
    <row r="302" spans="1:12">
      <c r="A302" t="s">
        <v>247</v>
      </c>
      <c r="B302">
        <v>10</v>
      </c>
      <c r="C302" t="str">
        <f t="shared" si="39"/>
        <v>test.GeoEngine_10_</v>
      </c>
      <c r="D302">
        <v>5</v>
      </c>
      <c r="E302">
        <v>0.6333333333333333</v>
      </c>
      <c r="F302">
        <v>0.64611872146118721</v>
      </c>
      <c r="G302" s="1" t="str">
        <f t="shared" si="40"/>
        <v/>
      </c>
      <c r="H302" s="1" t="str">
        <f t="shared" si="41"/>
        <v/>
      </c>
      <c r="I302" s="1" t="str">
        <f t="shared" si="42"/>
        <v/>
      </c>
      <c r="J302" s="1">
        <f t="shared" si="43"/>
        <v>0.6333333333333333</v>
      </c>
      <c r="K302" s="1" t="str">
        <f t="shared" si="44"/>
        <v/>
      </c>
      <c r="L302" s="1" t="str">
        <f t="shared" si="45"/>
        <v/>
      </c>
    </row>
    <row r="303" spans="1:12">
      <c r="A303" t="s">
        <v>247</v>
      </c>
      <c r="B303">
        <v>10</v>
      </c>
      <c r="C303" t="str">
        <f t="shared" si="39"/>
        <v>test.GeoEngine_10_</v>
      </c>
      <c r="D303">
        <v>6</v>
      </c>
      <c r="E303">
        <v>0.6333333333333333</v>
      </c>
      <c r="F303">
        <v>0.7134703196347032</v>
      </c>
      <c r="G303" s="1" t="str">
        <f t="shared" si="40"/>
        <v/>
      </c>
      <c r="H303" s="1" t="str">
        <f t="shared" si="41"/>
        <v/>
      </c>
      <c r="I303" s="1" t="str">
        <f t="shared" si="42"/>
        <v/>
      </c>
      <c r="J303" s="1">
        <f t="shared" si="43"/>
        <v>0.6333333333333333</v>
      </c>
      <c r="K303" s="1" t="str">
        <f t="shared" si="44"/>
        <v/>
      </c>
      <c r="L303" s="1" t="str">
        <f t="shared" si="45"/>
        <v/>
      </c>
    </row>
    <row r="304" spans="1:12">
      <c r="A304" t="s">
        <v>247</v>
      </c>
      <c r="B304">
        <v>10</v>
      </c>
      <c r="C304" t="str">
        <f t="shared" si="39"/>
        <v>test.GeoEngine_10_</v>
      </c>
      <c r="D304">
        <v>7</v>
      </c>
      <c r="E304">
        <v>0.66666666666666663</v>
      </c>
      <c r="F304">
        <v>0.71575342465753422</v>
      </c>
      <c r="G304" s="1" t="str">
        <f t="shared" si="40"/>
        <v/>
      </c>
      <c r="H304" s="1" t="str">
        <f t="shared" si="41"/>
        <v/>
      </c>
      <c r="I304" s="1" t="str">
        <f t="shared" si="42"/>
        <v/>
      </c>
      <c r="J304" s="1">
        <f t="shared" si="43"/>
        <v>0.66666666666666663</v>
      </c>
      <c r="K304" s="1" t="str">
        <f t="shared" si="44"/>
        <v/>
      </c>
      <c r="L304" s="1" t="str">
        <f t="shared" si="45"/>
        <v/>
      </c>
    </row>
    <row r="305" spans="1:12">
      <c r="A305" t="s">
        <v>247</v>
      </c>
      <c r="B305">
        <v>10</v>
      </c>
      <c r="C305" t="str">
        <f t="shared" si="39"/>
        <v>test.GeoEngine_10_</v>
      </c>
      <c r="D305">
        <v>8</v>
      </c>
      <c r="E305">
        <v>0.8</v>
      </c>
      <c r="F305">
        <v>0.7226027397260274</v>
      </c>
      <c r="G305" s="1" t="str">
        <f t="shared" si="40"/>
        <v/>
      </c>
      <c r="H305" s="1" t="str">
        <f t="shared" si="41"/>
        <v/>
      </c>
      <c r="I305" s="1" t="str">
        <f t="shared" si="42"/>
        <v/>
      </c>
      <c r="J305" s="1">
        <f t="shared" si="43"/>
        <v>0.8</v>
      </c>
      <c r="K305" s="1" t="str">
        <f t="shared" si="44"/>
        <v/>
      </c>
      <c r="L305" s="1" t="str">
        <f t="shared" si="45"/>
        <v/>
      </c>
    </row>
    <row r="306" spans="1:12">
      <c r="A306" t="s">
        <v>247</v>
      </c>
      <c r="B306">
        <v>10</v>
      </c>
      <c r="C306" t="str">
        <f t="shared" si="39"/>
        <v>test.GeoEngine_10_</v>
      </c>
      <c r="D306">
        <v>9</v>
      </c>
      <c r="E306">
        <v>0.8</v>
      </c>
      <c r="F306">
        <v>0.76940639269406397</v>
      </c>
      <c r="G306" s="1" t="str">
        <f t="shared" si="40"/>
        <v/>
      </c>
      <c r="H306" s="1" t="str">
        <f t="shared" si="41"/>
        <v/>
      </c>
      <c r="I306" s="1" t="str">
        <f t="shared" si="42"/>
        <v/>
      </c>
      <c r="J306" s="1">
        <f t="shared" si="43"/>
        <v>0.8</v>
      </c>
      <c r="K306" s="1" t="str">
        <f t="shared" si="44"/>
        <v/>
      </c>
      <c r="L306" s="1" t="str">
        <f t="shared" si="45"/>
        <v/>
      </c>
    </row>
    <row r="307" spans="1:12">
      <c r="A307" t="s">
        <v>247</v>
      </c>
      <c r="B307">
        <v>10</v>
      </c>
      <c r="C307" t="str">
        <f t="shared" si="39"/>
        <v>test.GeoEngine_10_</v>
      </c>
      <c r="D307">
        <v>10</v>
      </c>
      <c r="E307">
        <v>0.8</v>
      </c>
      <c r="F307">
        <v>0.79452054794520544</v>
      </c>
      <c r="G307" s="1" t="str">
        <f t="shared" si="40"/>
        <v/>
      </c>
      <c r="H307" s="1" t="str">
        <f t="shared" si="41"/>
        <v/>
      </c>
      <c r="I307" s="1" t="str">
        <f t="shared" si="42"/>
        <v/>
      </c>
      <c r="J307" s="1">
        <f t="shared" si="43"/>
        <v>0.8</v>
      </c>
      <c r="K307" s="1" t="str">
        <f t="shared" si="44"/>
        <v/>
      </c>
      <c r="L307" s="1" t="str">
        <f t="shared" si="45"/>
        <v/>
      </c>
    </row>
    <row r="308" spans="1:12">
      <c r="A308" t="s">
        <v>247</v>
      </c>
      <c r="B308">
        <v>10</v>
      </c>
      <c r="C308" t="str">
        <f t="shared" si="39"/>
        <v>test.GeoEngine_10_</v>
      </c>
      <c r="D308">
        <v>11</v>
      </c>
      <c r="E308">
        <v>0.8</v>
      </c>
      <c r="F308">
        <v>0.79794520547945202</v>
      </c>
      <c r="G308" s="1" t="str">
        <f t="shared" si="40"/>
        <v/>
      </c>
      <c r="H308" s="1" t="str">
        <f t="shared" si="41"/>
        <v/>
      </c>
      <c r="I308" s="1" t="str">
        <f t="shared" si="42"/>
        <v/>
      </c>
      <c r="J308" s="1">
        <f t="shared" si="43"/>
        <v>0.8</v>
      </c>
      <c r="K308" s="1" t="str">
        <f t="shared" si="44"/>
        <v/>
      </c>
      <c r="L308" s="1" t="str">
        <f t="shared" si="45"/>
        <v/>
      </c>
    </row>
    <row r="309" spans="1:12">
      <c r="A309" t="s">
        <v>247</v>
      </c>
      <c r="B309">
        <v>10</v>
      </c>
      <c r="C309" t="str">
        <f t="shared" si="39"/>
        <v>test.GeoEngine_10_</v>
      </c>
      <c r="D309">
        <v>12</v>
      </c>
      <c r="E309">
        <v>0.93333333333333335</v>
      </c>
      <c r="F309">
        <v>0.80022831050228316</v>
      </c>
      <c r="G309" s="1" t="str">
        <f t="shared" si="40"/>
        <v/>
      </c>
      <c r="H309" s="1" t="str">
        <f t="shared" si="41"/>
        <v/>
      </c>
      <c r="I309" s="1" t="str">
        <f t="shared" si="42"/>
        <v/>
      </c>
      <c r="J309" s="1" t="str">
        <f t="shared" si="43"/>
        <v/>
      </c>
      <c r="K309" s="1">
        <f t="shared" si="44"/>
        <v>0.93333333333333335</v>
      </c>
      <c r="L309" s="1" t="str">
        <f t="shared" si="45"/>
        <v/>
      </c>
    </row>
    <row r="310" spans="1:12">
      <c r="A310" t="s">
        <v>247</v>
      </c>
      <c r="B310">
        <v>10</v>
      </c>
      <c r="C310" t="str">
        <f t="shared" si="39"/>
        <v>test.GeoEngine_10_</v>
      </c>
      <c r="D310">
        <v>13</v>
      </c>
      <c r="E310">
        <v>0.96666666666666667</v>
      </c>
      <c r="F310">
        <v>0.80136986301369861</v>
      </c>
      <c r="G310" s="1" t="str">
        <f t="shared" si="40"/>
        <v/>
      </c>
      <c r="H310" s="1" t="str">
        <f t="shared" si="41"/>
        <v/>
      </c>
      <c r="I310" s="1" t="str">
        <f t="shared" si="42"/>
        <v/>
      </c>
      <c r="J310" s="1" t="str">
        <f t="shared" si="43"/>
        <v/>
      </c>
      <c r="K310" s="1">
        <f t="shared" si="44"/>
        <v>0.96666666666666667</v>
      </c>
      <c r="L310" s="1" t="str">
        <f t="shared" si="45"/>
        <v/>
      </c>
    </row>
    <row r="311" spans="1:12">
      <c r="A311" t="s">
        <v>247</v>
      </c>
      <c r="B311">
        <v>10</v>
      </c>
      <c r="C311" t="str">
        <f t="shared" si="39"/>
        <v>test.GeoEngine_10_</v>
      </c>
      <c r="D311">
        <v>14</v>
      </c>
      <c r="E311">
        <v>1</v>
      </c>
      <c r="F311">
        <v>0.80936073059360736</v>
      </c>
      <c r="G311" s="1" t="str">
        <f t="shared" si="40"/>
        <v/>
      </c>
      <c r="H311" s="1" t="str">
        <f t="shared" si="41"/>
        <v/>
      </c>
      <c r="I311" s="1" t="str">
        <f t="shared" si="42"/>
        <v/>
      </c>
      <c r="J311" s="1" t="str">
        <f t="shared" si="43"/>
        <v/>
      </c>
      <c r="K311" s="1">
        <f t="shared" si="44"/>
        <v>1</v>
      </c>
      <c r="L311" s="1" t="str">
        <f t="shared" si="45"/>
        <v/>
      </c>
    </row>
    <row r="312" spans="1:12">
      <c r="A312" t="s">
        <v>247</v>
      </c>
      <c r="B312">
        <v>10</v>
      </c>
      <c r="C312" t="str">
        <f t="shared" si="39"/>
        <v>test.GeoEngine_10_</v>
      </c>
      <c r="D312">
        <v>15</v>
      </c>
      <c r="E312">
        <v>1</v>
      </c>
      <c r="F312">
        <v>0.8595890410958904</v>
      </c>
      <c r="G312" s="1" t="str">
        <f t="shared" si="40"/>
        <v/>
      </c>
      <c r="H312" s="1" t="str">
        <f t="shared" si="41"/>
        <v/>
      </c>
      <c r="I312" s="1" t="str">
        <f t="shared" si="42"/>
        <v/>
      </c>
      <c r="J312" s="1" t="str">
        <f t="shared" si="43"/>
        <v/>
      </c>
      <c r="K312" s="1">
        <f t="shared" si="44"/>
        <v>1</v>
      </c>
      <c r="L312" s="1" t="str">
        <f t="shared" si="45"/>
        <v/>
      </c>
    </row>
    <row r="313" spans="1:12">
      <c r="A313" t="s">
        <v>247</v>
      </c>
      <c r="B313">
        <v>10</v>
      </c>
      <c r="C313" t="str">
        <f t="shared" si="39"/>
        <v>test.GeoEngine_10_</v>
      </c>
      <c r="D313">
        <v>16</v>
      </c>
      <c r="E313">
        <v>1</v>
      </c>
      <c r="F313">
        <v>0.86073059360730597</v>
      </c>
      <c r="G313" s="1" t="str">
        <f t="shared" si="40"/>
        <v/>
      </c>
      <c r="H313" s="1" t="str">
        <f t="shared" si="41"/>
        <v/>
      </c>
      <c r="I313" s="1" t="str">
        <f t="shared" si="42"/>
        <v/>
      </c>
      <c r="J313" s="1" t="str">
        <f t="shared" si="43"/>
        <v/>
      </c>
      <c r="K313" s="1">
        <f t="shared" si="44"/>
        <v>1</v>
      </c>
      <c r="L313" s="1" t="str">
        <f t="shared" si="45"/>
        <v/>
      </c>
    </row>
    <row r="314" spans="1:12">
      <c r="A314" t="s">
        <v>247</v>
      </c>
      <c r="B314">
        <v>10</v>
      </c>
      <c r="C314" t="str">
        <f t="shared" si="39"/>
        <v>test.GeoEngine_10_</v>
      </c>
      <c r="D314">
        <v>17</v>
      </c>
      <c r="E314">
        <v>1</v>
      </c>
      <c r="F314">
        <v>0.86529680365296802</v>
      </c>
      <c r="G314" s="1" t="str">
        <f t="shared" si="40"/>
        <v/>
      </c>
      <c r="H314" s="1" t="str">
        <f t="shared" si="41"/>
        <v/>
      </c>
      <c r="I314" s="1" t="str">
        <f t="shared" si="42"/>
        <v/>
      </c>
      <c r="J314" s="1" t="str">
        <f t="shared" si="43"/>
        <v/>
      </c>
      <c r="K314" s="1">
        <f t="shared" si="44"/>
        <v>1</v>
      </c>
      <c r="L314" s="1" t="str">
        <f t="shared" si="45"/>
        <v/>
      </c>
    </row>
    <row r="315" spans="1:12">
      <c r="A315" t="s">
        <v>247</v>
      </c>
      <c r="B315">
        <v>10</v>
      </c>
      <c r="C315" t="str">
        <f t="shared" si="39"/>
        <v>test.GeoEngine_10_</v>
      </c>
      <c r="D315">
        <v>18</v>
      </c>
      <c r="E315">
        <v>1</v>
      </c>
      <c r="F315">
        <v>0.86643835616438358</v>
      </c>
      <c r="G315" s="1" t="str">
        <f t="shared" si="40"/>
        <v/>
      </c>
      <c r="H315" s="1" t="str">
        <f t="shared" si="41"/>
        <v/>
      </c>
      <c r="I315" s="1" t="str">
        <f t="shared" si="42"/>
        <v/>
      </c>
      <c r="J315" s="1" t="str">
        <f t="shared" si="43"/>
        <v/>
      </c>
      <c r="K315" s="1">
        <f t="shared" si="44"/>
        <v>1</v>
      </c>
      <c r="L315" s="1" t="str">
        <f t="shared" si="45"/>
        <v/>
      </c>
    </row>
    <row r="316" spans="1:12">
      <c r="A316" t="s">
        <v>247</v>
      </c>
      <c r="B316">
        <v>10</v>
      </c>
      <c r="C316" t="str">
        <f t="shared" si="39"/>
        <v>test.GeoEngine_10_</v>
      </c>
      <c r="D316">
        <v>19</v>
      </c>
      <c r="E316">
        <v>1</v>
      </c>
      <c r="F316">
        <v>0.86757990867579904</v>
      </c>
      <c r="G316" s="1" t="str">
        <f t="shared" si="40"/>
        <v/>
      </c>
      <c r="H316" s="1" t="str">
        <f t="shared" si="41"/>
        <v/>
      </c>
      <c r="I316" s="1" t="str">
        <f t="shared" si="42"/>
        <v/>
      </c>
      <c r="J316" s="1" t="str">
        <f t="shared" si="43"/>
        <v/>
      </c>
      <c r="K316" s="1">
        <f t="shared" si="44"/>
        <v>1</v>
      </c>
      <c r="L316" s="1" t="str">
        <f t="shared" si="45"/>
        <v/>
      </c>
    </row>
    <row r="317" spans="1:12">
      <c r="A317" t="s">
        <v>247</v>
      </c>
      <c r="B317">
        <v>10</v>
      </c>
      <c r="C317" t="str">
        <f t="shared" si="39"/>
        <v>test.GeoEngine_10_</v>
      </c>
      <c r="D317">
        <v>20</v>
      </c>
      <c r="E317">
        <v>1</v>
      </c>
      <c r="F317">
        <v>0.87442922374429222</v>
      </c>
      <c r="G317" s="1" t="str">
        <f t="shared" si="40"/>
        <v/>
      </c>
      <c r="H317" s="1" t="str">
        <f t="shared" si="41"/>
        <v/>
      </c>
      <c r="I317" s="1" t="str">
        <f t="shared" si="42"/>
        <v/>
      </c>
      <c r="J317" s="1" t="str">
        <f t="shared" si="43"/>
        <v/>
      </c>
      <c r="K317" s="1">
        <f t="shared" si="44"/>
        <v>1</v>
      </c>
      <c r="L317" s="1" t="str">
        <f t="shared" si="45"/>
        <v/>
      </c>
    </row>
    <row r="318" spans="1:12">
      <c r="A318" t="s">
        <v>247</v>
      </c>
      <c r="B318">
        <v>10</v>
      </c>
      <c r="C318" t="str">
        <f t="shared" si="39"/>
        <v>test.GeoEngine_10_</v>
      </c>
      <c r="D318">
        <v>21</v>
      </c>
      <c r="E318">
        <v>1</v>
      </c>
      <c r="F318">
        <v>0.87785388127853881</v>
      </c>
      <c r="G318" s="1" t="str">
        <f t="shared" si="40"/>
        <v/>
      </c>
      <c r="H318" s="1" t="str">
        <f t="shared" si="41"/>
        <v/>
      </c>
      <c r="I318" s="1" t="str">
        <f t="shared" si="42"/>
        <v/>
      </c>
      <c r="J318" s="1" t="str">
        <f t="shared" si="43"/>
        <v/>
      </c>
      <c r="K318" s="1">
        <f t="shared" si="44"/>
        <v>1</v>
      </c>
      <c r="L318" s="1" t="str">
        <f t="shared" si="45"/>
        <v/>
      </c>
    </row>
    <row r="319" spans="1:12">
      <c r="A319" t="s">
        <v>247</v>
      </c>
      <c r="B319">
        <v>10</v>
      </c>
      <c r="C319" t="str">
        <f t="shared" si="39"/>
        <v>test.GeoEngine_10_</v>
      </c>
      <c r="D319">
        <v>22</v>
      </c>
      <c r="E319">
        <v>1</v>
      </c>
      <c r="F319">
        <v>0.88470319634703198</v>
      </c>
      <c r="G319" s="1" t="str">
        <f t="shared" si="40"/>
        <v/>
      </c>
      <c r="H319" s="1" t="str">
        <f t="shared" si="41"/>
        <v/>
      </c>
      <c r="I319" s="1" t="str">
        <f t="shared" si="42"/>
        <v/>
      </c>
      <c r="J319" s="1" t="str">
        <f t="shared" si="43"/>
        <v/>
      </c>
      <c r="K319" s="1">
        <f t="shared" si="44"/>
        <v>1</v>
      </c>
      <c r="L319" s="1" t="str">
        <f t="shared" si="45"/>
        <v/>
      </c>
    </row>
    <row r="320" spans="1:12">
      <c r="A320" t="s">
        <v>247</v>
      </c>
      <c r="B320">
        <v>10</v>
      </c>
      <c r="C320" t="str">
        <f t="shared" si="39"/>
        <v>test.GeoEngine_10_</v>
      </c>
      <c r="D320">
        <v>23</v>
      </c>
      <c r="E320">
        <v>1</v>
      </c>
      <c r="F320">
        <v>0.90410958904109584</v>
      </c>
      <c r="G320" s="1" t="str">
        <f t="shared" si="40"/>
        <v/>
      </c>
      <c r="H320" s="1" t="str">
        <f t="shared" si="41"/>
        <v/>
      </c>
      <c r="I320" s="1" t="str">
        <f t="shared" si="42"/>
        <v/>
      </c>
      <c r="J320" s="1" t="str">
        <f t="shared" si="43"/>
        <v/>
      </c>
      <c r="K320" s="1">
        <f t="shared" si="44"/>
        <v>1</v>
      </c>
      <c r="L320" s="1" t="str">
        <f t="shared" si="45"/>
        <v/>
      </c>
    </row>
    <row r="321" spans="1:12">
      <c r="A321" t="s">
        <v>247</v>
      </c>
      <c r="B321">
        <v>10</v>
      </c>
      <c r="C321" t="str">
        <f t="shared" si="39"/>
        <v>test.GeoEngine_10_</v>
      </c>
      <c r="D321">
        <v>24</v>
      </c>
      <c r="E321">
        <v>1</v>
      </c>
      <c r="F321">
        <v>0.92123287671232879</v>
      </c>
      <c r="G321" s="1" t="str">
        <f t="shared" si="40"/>
        <v/>
      </c>
      <c r="H321" s="1" t="str">
        <f t="shared" si="41"/>
        <v/>
      </c>
      <c r="I321" s="1" t="str">
        <f t="shared" si="42"/>
        <v/>
      </c>
      <c r="J321" s="1" t="str">
        <f t="shared" si="43"/>
        <v/>
      </c>
      <c r="K321" s="1">
        <f t="shared" si="44"/>
        <v>1</v>
      </c>
      <c r="L321" s="1" t="str">
        <f t="shared" si="45"/>
        <v/>
      </c>
    </row>
    <row r="322" spans="1:12">
      <c r="A322" t="s">
        <v>247</v>
      </c>
      <c r="B322">
        <v>10</v>
      </c>
      <c r="C322" t="str">
        <f t="shared" si="39"/>
        <v>test.GeoEngine_10_</v>
      </c>
      <c r="D322">
        <v>25</v>
      </c>
      <c r="E322">
        <v>1</v>
      </c>
      <c r="F322">
        <v>0.92237442922374424</v>
      </c>
      <c r="G322" s="1" t="str">
        <f t="shared" si="40"/>
        <v/>
      </c>
      <c r="H322" s="1" t="str">
        <f t="shared" si="41"/>
        <v/>
      </c>
      <c r="I322" s="1" t="str">
        <f t="shared" si="42"/>
        <v/>
      </c>
      <c r="J322" s="1" t="str">
        <f t="shared" si="43"/>
        <v/>
      </c>
      <c r="K322" s="1">
        <f t="shared" si="44"/>
        <v>1</v>
      </c>
      <c r="L322" s="1" t="str">
        <f t="shared" si="45"/>
        <v/>
      </c>
    </row>
    <row r="323" spans="1:12">
      <c r="A323" t="s">
        <v>247</v>
      </c>
      <c r="B323">
        <v>10</v>
      </c>
      <c r="C323" t="str">
        <f t="shared" ref="C323:C386" si="46">CONCATENATE(A323, "_",B323,"_")</f>
        <v>test.GeoEngine_10_</v>
      </c>
      <c r="D323">
        <v>26</v>
      </c>
      <c r="E323">
        <v>1</v>
      </c>
      <c r="F323">
        <v>0.92351598173515981</v>
      </c>
      <c r="G323" s="1" t="str">
        <f t="shared" ref="G323:G386" si="47">IF($F323 &lt;= 0.2,$E323,"")</f>
        <v/>
      </c>
      <c r="H323" s="1" t="str">
        <f t="shared" ref="H323:H386" si="48">IF(AND($F323 &gt; 0.2,$F323 &lt;= 0.4),$E323,"")</f>
        <v/>
      </c>
      <c r="I323" s="1" t="str">
        <f t="shared" ref="I323:I386" si="49">IF(AND($F323 &gt; 0.4,$F323 &lt;= 0.6),$E323,"")</f>
        <v/>
      </c>
      <c r="J323" s="1" t="str">
        <f t="shared" ref="J323:J386" si="50">IF(AND($F323 &gt; 0.6,$F323 &lt;= 0.8),$E323,"")</f>
        <v/>
      </c>
      <c r="K323" s="1">
        <f t="shared" ref="K323:K386" si="51">IF(AND($F323 &gt; 0.8, $F323 &lt;=1.1),$E323,"")</f>
        <v>1</v>
      </c>
      <c r="L323" s="1" t="str">
        <f t="shared" ref="L323:L386" si="52">IF(AND($F323 &gt; 1.1),$E323,"")</f>
        <v/>
      </c>
    </row>
    <row r="324" spans="1:12">
      <c r="A324" t="s">
        <v>247</v>
      </c>
      <c r="B324">
        <v>10</v>
      </c>
      <c r="C324" t="str">
        <f t="shared" si="46"/>
        <v>test.GeoEngine_10_</v>
      </c>
      <c r="D324">
        <v>27</v>
      </c>
      <c r="E324">
        <v>1</v>
      </c>
      <c r="F324">
        <v>0.92465753424657537</v>
      </c>
      <c r="G324" s="1" t="str">
        <f t="shared" si="47"/>
        <v/>
      </c>
      <c r="H324" s="1" t="str">
        <f t="shared" si="48"/>
        <v/>
      </c>
      <c r="I324" s="1" t="str">
        <f t="shared" si="49"/>
        <v/>
      </c>
      <c r="J324" s="1" t="str">
        <f t="shared" si="50"/>
        <v/>
      </c>
      <c r="K324" s="1">
        <f t="shared" si="51"/>
        <v>1</v>
      </c>
      <c r="L324" s="1" t="str">
        <f t="shared" si="52"/>
        <v/>
      </c>
    </row>
    <row r="325" spans="1:12">
      <c r="A325" t="s">
        <v>247</v>
      </c>
      <c r="B325">
        <v>10</v>
      </c>
      <c r="C325" t="str">
        <f t="shared" si="46"/>
        <v>test.GeoEngine_10_</v>
      </c>
      <c r="D325">
        <v>28</v>
      </c>
      <c r="E325">
        <v>1</v>
      </c>
      <c r="F325">
        <v>0.92579908675799083</v>
      </c>
      <c r="G325" s="1" t="str">
        <f t="shared" si="47"/>
        <v/>
      </c>
      <c r="H325" s="1" t="str">
        <f t="shared" si="48"/>
        <v/>
      </c>
      <c r="I325" s="1" t="str">
        <f t="shared" si="49"/>
        <v/>
      </c>
      <c r="J325" s="1" t="str">
        <f t="shared" si="50"/>
        <v/>
      </c>
      <c r="K325" s="1">
        <f t="shared" si="51"/>
        <v>1</v>
      </c>
      <c r="L325" s="1" t="str">
        <f t="shared" si="52"/>
        <v/>
      </c>
    </row>
    <row r="326" spans="1:12">
      <c r="A326" t="s">
        <v>247</v>
      </c>
      <c r="B326">
        <v>10</v>
      </c>
      <c r="C326" t="str">
        <f t="shared" si="46"/>
        <v>test.GeoEngine_10_</v>
      </c>
      <c r="D326">
        <v>29</v>
      </c>
      <c r="E326">
        <v>1</v>
      </c>
      <c r="F326">
        <v>0.95547945205479456</v>
      </c>
      <c r="G326" s="1" t="str">
        <f t="shared" si="47"/>
        <v/>
      </c>
      <c r="H326" s="1" t="str">
        <f t="shared" si="48"/>
        <v/>
      </c>
      <c r="I326" s="1" t="str">
        <f t="shared" si="49"/>
        <v/>
      </c>
      <c r="J326" s="1" t="str">
        <f t="shared" si="50"/>
        <v/>
      </c>
      <c r="K326" s="1">
        <f t="shared" si="51"/>
        <v>1</v>
      </c>
      <c r="L326" s="1" t="str">
        <f t="shared" si="52"/>
        <v/>
      </c>
    </row>
    <row r="327" spans="1:12">
      <c r="A327" t="s">
        <v>247</v>
      </c>
      <c r="B327">
        <v>10</v>
      </c>
      <c r="C327" t="str">
        <f t="shared" si="46"/>
        <v>test.GeoEngine_10_</v>
      </c>
      <c r="D327">
        <v>30</v>
      </c>
      <c r="E327">
        <v>1</v>
      </c>
      <c r="F327">
        <v>0.96232876712328763</v>
      </c>
      <c r="G327" s="1" t="str">
        <f t="shared" si="47"/>
        <v/>
      </c>
      <c r="H327" s="1" t="str">
        <f t="shared" si="48"/>
        <v/>
      </c>
      <c r="I327" s="1" t="str">
        <f t="shared" si="49"/>
        <v/>
      </c>
      <c r="J327" s="1" t="str">
        <f t="shared" si="50"/>
        <v/>
      </c>
      <c r="K327" s="1">
        <f t="shared" si="51"/>
        <v>1</v>
      </c>
      <c r="L327" s="1" t="str">
        <f t="shared" si="52"/>
        <v/>
      </c>
    </row>
    <row r="328" spans="1:12">
      <c r="A328" t="s">
        <v>247</v>
      </c>
      <c r="B328">
        <v>10</v>
      </c>
      <c r="C328" t="str">
        <f t="shared" si="46"/>
        <v>test.GeoEngine_10_</v>
      </c>
      <c r="D328">
        <v>31</v>
      </c>
      <c r="E328">
        <v>1</v>
      </c>
      <c r="F328">
        <v>0.9817351598173516</v>
      </c>
      <c r="G328" s="1" t="str">
        <f t="shared" si="47"/>
        <v/>
      </c>
      <c r="H328" s="1" t="str">
        <f t="shared" si="48"/>
        <v/>
      </c>
      <c r="I328" s="1" t="str">
        <f t="shared" si="49"/>
        <v/>
      </c>
      <c r="J328" s="1" t="str">
        <f t="shared" si="50"/>
        <v/>
      </c>
      <c r="K328" s="1">
        <f t="shared" si="51"/>
        <v>1</v>
      </c>
      <c r="L328" s="1" t="str">
        <f t="shared" si="52"/>
        <v/>
      </c>
    </row>
    <row r="329" spans="1:12">
      <c r="A329" t="s">
        <v>247</v>
      </c>
      <c r="B329">
        <v>10</v>
      </c>
      <c r="C329" t="str">
        <f t="shared" si="46"/>
        <v>test.GeoEngine_10_</v>
      </c>
      <c r="D329">
        <v>32</v>
      </c>
      <c r="E329">
        <v>1</v>
      </c>
      <c r="F329">
        <v>1.0011415525114156</v>
      </c>
      <c r="G329" s="1" t="str">
        <f t="shared" si="47"/>
        <v/>
      </c>
      <c r="H329" s="1" t="str">
        <f t="shared" si="48"/>
        <v/>
      </c>
      <c r="I329" s="1" t="str">
        <f t="shared" si="49"/>
        <v/>
      </c>
      <c r="J329" s="1" t="str">
        <f t="shared" si="50"/>
        <v/>
      </c>
      <c r="K329" s="1">
        <f t="shared" si="51"/>
        <v>1</v>
      </c>
      <c r="L329" s="1" t="str">
        <f t="shared" si="52"/>
        <v/>
      </c>
    </row>
    <row r="330" spans="1:12">
      <c r="A330" t="s">
        <v>294</v>
      </c>
      <c r="B330">
        <v>3</v>
      </c>
      <c r="C330" t="str">
        <f t="shared" si="46"/>
        <v>test.FastBlurFilter_3_</v>
      </c>
      <c r="D330">
        <v>1</v>
      </c>
      <c r="E330">
        <v>0.8848920863309353</v>
      </c>
      <c r="F330">
        <v>0.96351189684966099</v>
      </c>
      <c r="G330" s="1" t="str">
        <f t="shared" si="47"/>
        <v/>
      </c>
      <c r="H330" s="1" t="str">
        <f t="shared" si="48"/>
        <v/>
      </c>
      <c r="I330" s="1" t="str">
        <f t="shared" si="49"/>
        <v/>
      </c>
      <c r="J330" s="1" t="str">
        <f t="shared" si="50"/>
        <v/>
      </c>
      <c r="K330" s="1">
        <f t="shared" si="51"/>
        <v>0.8848920863309353</v>
      </c>
      <c r="L330" s="1" t="str">
        <f t="shared" si="52"/>
        <v/>
      </c>
    </row>
    <row r="331" spans="1:12">
      <c r="A331" t="s">
        <v>294</v>
      </c>
      <c r="B331">
        <v>3</v>
      </c>
      <c r="C331" t="str">
        <f t="shared" si="46"/>
        <v>test.FastBlurFilter_3_</v>
      </c>
      <c r="D331">
        <v>2</v>
      </c>
      <c r="E331">
        <v>1</v>
      </c>
      <c r="F331">
        <v>0.97032433869466972</v>
      </c>
      <c r="G331" s="1" t="str">
        <f t="shared" si="47"/>
        <v/>
      </c>
      <c r="H331" s="1" t="str">
        <f t="shared" si="48"/>
        <v/>
      </c>
      <c r="I331" s="1" t="str">
        <f t="shared" si="49"/>
        <v/>
      </c>
      <c r="J331" s="1" t="str">
        <f t="shared" si="50"/>
        <v/>
      </c>
      <c r="K331" s="1">
        <f t="shared" si="51"/>
        <v>1</v>
      </c>
      <c r="L331" s="1" t="str">
        <f t="shared" si="52"/>
        <v/>
      </c>
    </row>
    <row r="332" spans="1:12">
      <c r="A332" t="s">
        <v>295</v>
      </c>
      <c r="B332">
        <v>2</v>
      </c>
      <c r="C332" t="str">
        <f t="shared" si="46"/>
        <v>test.ImageData_2_</v>
      </c>
      <c r="D332">
        <v>1</v>
      </c>
      <c r="E332">
        <v>0.25</v>
      </c>
      <c r="F332">
        <v>0.28025718608169442</v>
      </c>
      <c r="G332" s="1" t="str">
        <f t="shared" si="47"/>
        <v/>
      </c>
      <c r="H332" s="1">
        <f t="shared" si="48"/>
        <v>0.25</v>
      </c>
      <c r="I332" s="1" t="str">
        <f t="shared" si="49"/>
        <v/>
      </c>
      <c r="J332" s="1" t="str">
        <f t="shared" si="50"/>
        <v/>
      </c>
      <c r="K332" s="1" t="str">
        <f t="shared" si="51"/>
        <v/>
      </c>
      <c r="L332" s="1" t="str">
        <f t="shared" si="52"/>
        <v/>
      </c>
    </row>
    <row r="333" spans="1:12">
      <c r="A333" t="s">
        <v>295</v>
      </c>
      <c r="B333">
        <v>2</v>
      </c>
      <c r="C333" t="str">
        <f t="shared" si="46"/>
        <v>test.ImageData_2_</v>
      </c>
      <c r="D333">
        <v>2</v>
      </c>
      <c r="E333">
        <v>0.32142857142857145</v>
      </c>
      <c r="F333">
        <v>0.28668683812405449</v>
      </c>
      <c r="G333" s="1" t="str">
        <f t="shared" si="47"/>
        <v/>
      </c>
      <c r="H333" s="1">
        <f t="shared" si="48"/>
        <v>0.32142857142857145</v>
      </c>
      <c r="I333" s="1" t="str">
        <f t="shared" si="49"/>
        <v/>
      </c>
      <c r="J333" s="1" t="str">
        <f t="shared" si="50"/>
        <v/>
      </c>
      <c r="K333" s="1" t="str">
        <f t="shared" si="51"/>
        <v/>
      </c>
      <c r="L333" s="1" t="str">
        <f t="shared" si="52"/>
        <v/>
      </c>
    </row>
    <row r="334" spans="1:12">
      <c r="A334" t="s">
        <v>295</v>
      </c>
      <c r="B334">
        <v>2</v>
      </c>
      <c r="C334" t="str">
        <f t="shared" si="46"/>
        <v>test.ImageData_2_</v>
      </c>
      <c r="D334">
        <v>3</v>
      </c>
      <c r="E334">
        <v>0.35714285714285715</v>
      </c>
      <c r="F334">
        <v>0.29765506807866871</v>
      </c>
      <c r="G334" s="1" t="str">
        <f t="shared" si="47"/>
        <v/>
      </c>
      <c r="H334" s="1">
        <f t="shared" si="48"/>
        <v>0.35714285714285715</v>
      </c>
      <c r="I334" s="1" t="str">
        <f t="shared" si="49"/>
        <v/>
      </c>
      <c r="J334" s="1" t="str">
        <f t="shared" si="50"/>
        <v/>
      </c>
      <c r="K334" s="1" t="str">
        <f t="shared" si="51"/>
        <v/>
      </c>
      <c r="L334" s="1" t="str">
        <f t="shared" si="52"/>
        <v/>
      </c>
    </row>
    <row r="335" spans="1:12">
      <c r="A335" t="s">
        <v>295</v>
      </c>
      <c r="B335">
        <v>2</v>
      </c>
      <c r="C335" t="str">
        <f t="shared" si="46"/>
        <v>test.ImageData_2_</v>
      </c>
      <c r="D335">
        <v>4</v>
      </c>
      <c r="E335">
        <v>0.4732142857142857</v>
      </c>
      <c r="F335">
        <v>0.31164901664145234</v>
      </c>
      <c r="G335" s="1" t="str">
        <f t="shared" si="47"/>
        <v/>
      </c>
      <c r="H335" s="1">
        <f t="shared" si="48"/>
        <v>0.4732142857142857</v>
      </c>
      <c r="I335" s="1" t="str">
        <f t="shared" si="49"/>
        <v/>
      </c>
      <c r="J335" s="1" t="str">
        <f t="shared" si="50"/>
        <v/>
      </c>
      <c r="K335" s="1" t="str">
        <f t="shared" si="51"/>
        <v/>
      </c>
      <c r="L335" s="1" t="str">
        <f t="shared" si="52"/>
        <v/>
      </c>
    </row>
    <row r="336" spans="1:12">
      <c r="A336" t="s">
        <v>295</v>
      </c>
      <c r="B336">
        <v>2</v>
      </c>
      <c r="C336" t="str">
        <f t="shared" si="46"/>
        <v>test.ImageData_2_</v>
      </c>
      <c r="D336">
        <v>5</v>
      </c>
      <c r="E336">
        <v>0.5714285714285714</v>
      </c>
      <c r="F336">
        <v>0.31278366111951589</v>
      </c>
      <c r="G336" s="1" t="str">
        <f t="shared" si="47"/>
        <v/>
      </c>
      <c r="H336" s="1">
        <f t="shared" si="48"/>
        <v>0.5714285714285714</v>
      </c>
      <c r="I336" s="1" t="str">
        <f t="shared" si="49"/>
        <v/>
      </c>
      <c r="J336" s="1" t="str">
        <f t="shared" si="50"/>
        <v/>
      </c>
      <c r="K336" s="1" t="str">
        <f t="shared" si="51"/>
        <v/>
      </c>
      <c r="L336" s="1" t="str">
        <f t="shared" si="52"/>
        <v/>
      </c>
    </row>
    <row r="337" spans="1:12">
      <c r="A337" t="s">
        <v>295</v>
      </c>
      <c r="B337">
        <v>2</v>
      </c>
      <c r="C337" t="str">
        <f t="shared" si="46"/>
        <v>test.ImageData_2_</v>
      </c>
      <c r="D337">
        <v>6</v>
      </c>
      <c r="E337">
        <v>0.6696428571428571</v>
      </c>
      <c r="F337">
        <v>0.35438729198184571</v>
      </c>
      <c r="G337" s="1" t="str">
        <f t="shared" si="47"/>
        <v/>
      </c>
      <c r="H337" s="1">
        <f t="shared" si="48"/>
        <v>0.6696428571428571</v>
      </c>
      <c r="I337" s="1" t="str">
        <f t="shared" si="49"/>
        <v/>
      </c>
      <c r="J337" s="1" t="str">
        <f t="shared" si="50"/>
        <v/>
      </c>
      <c r="K337" s="1" t="str">
        <f t="shared" si="51"/>
        <v/>
      </c>
      <c r="L337" s="1" t="str">
        <f t="shared" si="52"/>
        <v/>
      </c>
    </row>
    <row r="338" spans="1:12">
      <c r="A338" t="s">
        <v>295</v>
      </c>
      <c r="B338">
        <v>2</v>
      </c>
      <c r="C338" t="str">
        <f t="shared" si="46"/>
        <v>test.ImageData_2_</v>
      </c>
      <c r="D338">
        <v>7</v>
      </c>
      <c r="E338">
        <v>0.8125</v>
      </c>
      <c r="F338">
        <v>0.41187594553706508</v>
      </c>
      <c r="G338" s="1" t="str">
        <f t="shared" si="47"/>
        <v/>
      </c>
      <c r="H338" s="1" t="str">
        <f t="shared" si="48"/>
        <v/>
      </c>
      <c r="I338" s="1">
        <f t="shared" si="49"/>
        <v>0.8125</v>
      </c>
      <c r="J338" s="1" t="str">
        <f t="shared" si="50"/>
        <v/>
      </c>
      <c r="K338" s="1" t="str">
        <f t="shared" si="51"/>
        <v/>
      </c>
      <c r="L338" s="1" t="str">
        <f t="shared" si="52"/>
        <v/>
      </c>
    </row>
    <row r="339" spans="1:12">
      <c r="A339" t="s">
        <v>295</v>
      </c>
      <c r="B339">
        <v>2</v>
      </c>
      <c r="C339" t="str">
        <f t="shared" si="46"/>
        <v>test.ImageData_2_</v>
      </c>
      <c r="D339">
        <v>8</v>
      </c>
      <c r="E339">
        <v>1</v>
      </c>
      <c r="F339">
        <v>0.4716338880484115</v>
      </c>
      <c r="G339" s="1" t="str">
        <f t="shared" si="47"/>
        <v/>
      </c>
      <c r="H339" s="1" t="str">
        <f t="shared" si="48"/>
        <v/>
      </c>
      <c r="I339" s="1">
        <f t="shared" si="49"/>
        <v>1</v>
      </c>
      <c r="J339" s="1" t="str">
        <f t="shared" si="50"/>
        <v/>
      </c>
      <c r="K339" s="1" t="str">
        <f t="shared" si="51"/>
        <v/>
      </c>
      <c r="L339" s="1" t="str">
        <f t="shared" si="52"/>
        <v/>
      </c>
    </row>
    <row r="340" spans="1:12">
      <c r="A340" t="s">
        <v>295</v>
      </c>
      <c r="B340">
        <v>3</v>
      </c>
      <c r="C340" t="str">
        <f t="shared" si="46"/>
        <v>test.ImageData_3_</v>
      </c>
      <c r="D340">
        <v>1</v>
      </c>
      <c r="E340">
        <v>0.10857142857142857</v>
      </c>
      <c r="F340">
        <v>7.158948685857322E-2</v>
      </c>
      <c r="G340" s="1">
        <f t="shared" si="47"/>
        <v>0.10857142857142857</v>
      </c>
      <c r="H340" s="1" t="str">
        <f t="shared" si="48"/>
        <v/>
      </c>
      <c r="I340" s="1" t="str">
        <f t="shared" si="49"/>
        <v/>
      </c>
      <c r="J340" s="1" t="str">
        <f t="shared" si="50"/>
        <v/>
      </c>
      <c r="K340" s="1" t="str">
        <f t="shared" si="51"/>
        <v/>
      </c>
      <c r="L340" s="1" t="str">
        <f t="shared" si="52"/>
        <v/>
      </c>
    </row>
    <row r="341" spans="1:12">
      <c r="A341" t="s">
        <v>295</v>
      </c>
      <c r="B341">
        <v>3</v>
      </c>
      <c r="C341" t="str">
        <f t="shared" si="46"/>
        <v>test.ImageData_3_</v>
      </c>
      <c r="D341">
        <v>2</v>
      </c>
      <c r="E341">
        <v>0.16</v>
      </c>
      <c r="F341">
        <v>0.11088861076345431</v>
      </c>
      <c r="G341" s="1">
        <f t="shared" si="47"/>
        <v>0.16</v>
      </c>
      <c r="H341" s="1" t="str">
        <f t="shared" si="48"/>
        <v/>
      </c>
      <c r="I341" s="1" t="str">
        <f t="shared" si="49"/>
        <v/>
      </c>
      <c r="J341" s="1" t="str">
        <f t="shared" si="50"/>
        <v/>
      </c>
      <c r="K341" s="1" t="str">
        <f t="shared" si="51"/>
        <v/>
      </c>
      <c r="L341" s="1" t="str">
        <f t="shared" si="52"/>
        <v/>
      </c>
    </row>
    <row r="342" spans="1:12">
      <c r="A342" t="s">
        <v>295</v>
      </c>
      <c r="B342">
        <v>3</v>
      </c>
      <c r="C342" t="str">
        <f t="shared" si="46"/>
        <v>test.ImageData_3_</v>
      </c>
      <c r="D342">
        <v>3</v>
      </c>
      <c r="E342">
        <v>0.36</v>
      </c>
      <c r="F342">
        <v>0.22265331664580726</v>
      </c>
      <c r="G342" s="1" t="str">
        <f t="shared" si="47"/>
        <v/>
      </c>
      <c r="H342" s="1">
        <f t="shared" si="48"/>
        <v>0.36</v>
      </c>
      <c r="I342" s="1" t="str">
        <f t="shared" si="49"/>
        <v/>
      </c>
      <c r="J342" s="1" t="str">
        <f t="shared" si="50"/>
        <v/>
      </c>
      <c r="K342" s="1" t="str">
        <f t="shared" si="51"/>
        <v/>
      </c>
      <c r="L342" s="1" t="str">
        <f t="shared" si="52"/>
        <v/>
      </c>
    </row>
    <row r="343" spans="1:12">
      <c r="A343" t="s">
        <v>295</v>
      </c>
      <c r="B343">
        <v>3</v>
      </c>
      <c r="C343" t="str">
        <f t="shared" si="46"/>
        <v>test.ImageData_3_</v>
      </c>
      <c r="D343">
        <v>4</v>
      </c>
      <c r="E343">
        <v>0.56000000000000005</v>
      </c>
      <c r="F343">
        <v>0.22590738423028786</v>
      </c>
      <c r="G343" s="1" t="str">
        <f t="shared" si="47"/>
        <v/>
      </c>
      <c r="H343" s="1">
        <f t="shared" si="48"/>
        <v>0.56000000000000005</v>
      </c>
      <c r="I343" s="1" t="str">
        <f t="shared" si="49"/>
        <v/>
      </c>
      <c r="J343" s="1" t="str">
        <f t="shared" si="50"/>
        <v/>
      </c>
      <c r="K343" s="1" t="str">
        <f t="shared" si="51"/>
        <v/>
      </c>
      <c r="L343" s="1" t="str">
        <f t="shared" si="52"/>
        <v/>
      </c>
    </row>
    <row r="344" spans="1:12">
      <c r="A344" t="s">
        <v>295</v>
      </c>
      <c r="B344">
        <v>3</v>
      </c>
      <c r="C344" t="str">
        <f t="shared" si="46"/>
        <v>test.ImageData_3_</v>
      </c>
      <c r="D344">
        <v>5</v>
      </c>
      <c r="E344">
        <v>0.88571428571428568</v>
      </c>
      <c r="F344">
        <v>0.31764705882352939</v>
      </c>
      <c r="G344" s="1" t="str">
        <f t="shared" si="47"/>
        <v/>
      </c>
      <c r="H344" s="1">
        <f t="shared" si="48"/>
        <v>0.88571428571428568</v>
      </c>
      <c r="I344" s="1" t="str">
        <f t="shared" si="49"/>
        <v/>
      </c>
      <c r="J344" s="1" t="str">
        <f t="shared" si="50"/>
        <v/>
      </c>
      <c r="K344" s="1" t="str">
        <f t="shared" si="51"/>
        <v/>
      </c>
      <c r="L344" s="1" t="str">
        <f t="shared" si="52"/>
        <v/>
      </c>
    </row>
    <row r="345" spans="1:12">
      <c r="A345" t="s">
        <v>295</v>
      </c>
      <c r="B345">
        <v>3</v>
      </c>
      <c r="C345" t="str">
        <f t="shared" si="46"/>
        <v>test.ImageData_3_</v>
      </c>
      <c r="D345">
        <v>6</v>
      </c>
      <c r="E345">
        <v>1</v>
      </c>
      <c r="F345">
        <v>0.54342928660826029</v>
      </c>
      <c r="G345" s="1" t="str">
        <f t="shared" si="47"/>
        <v/>
      </c>
      <c r="H345" s="1" t="str">
        <f t="shared" si="48"/>
        <v/>
      </c>
      <c r="I345" s="1">
        <f t="shared" si="49"/>
        <v>1</v>
      </c>
      <c r="J345" s="1" t="str">
        <f t="shared" si="50"/>
        <v/>
      </c>
      <c r="K345" s="1" t="str">
        <f t="shared" si="51"/>
        <v/>
      </c>
      <c r="L345" s="1" t="str">
        <f t="shared" si="52"/>
        <v/>
      </c>
    </row>
    <row r="346" spans="1:12">
      <c r="A346" t="s">
        <v>295</v>
      </c>
      <c r="B346">
        <v>4</v>
      </c>
      <c r="C346" t="str">
        <f t="shared" si="46"/>
        <v>test.ImageData_4_</v>
      </c>
      <c r="D346">
        <v>1</v>
      </c>
      <c r="E346">
        <v>0.10857142857142857</v>
      </c>
      <c r="F346">
        <v>2.6513744427934621E-2</v>
      </c>
      <c r="G346" s="1">
        <f t="shared" si="47"/>
        <v>0.10857142857142857</v>
      </c>
      <c r="H346" s="1" t="str">
        <f t="shared" si="48"/>
        <v/>
      </c>
      <c r="I346" s="1" t="str">
        <f t="shared" si="49"/>
        <v/>
      </c>
      <c r="J346" s="1" t="str">
        <f t="shared" si="50"/>
        <v/>
      </c>
      <c r="K346" s="1" t="str">
        <f t="shared" si="51"/>
        <v/>
      </c>
      <c r="L346" s="1" t="str">
        <f t="shared" si="52"/>
        <v/>
      </c>
    </row>
    <row r="347" spans="1:12">
      <c r="A347" t="s">
        <v>295</v>
      </c>
      <c r="B347">
        <v>4</v>
      </c>
      <c r="C347" t="str">
        <f t="shared" si="46"/>
        <v>test.ImageData_4_</v>
      </c>
      <c r="D347">
        <v>2</v>
      </c>
      <c r="E347">
        <v>0.11397058823529412</v>
      </c>
      <c r="F347">
        <v>5.1030832095096582E-2</v>
      </c>
      <c r="G347" s="1">
        <f t="shared" si="47"/>
        <v>0.11397058823529412</v>
      </c>
      <c r="H347" s="1" t="str">
        <f t="shared" si="48"/>
        <v/>
      </c>
      <c r="I347" s="1" t="str">
        <f t="shared" si="49"/>
        <v/>
      </c>
      <c r="J347" s="1" t="str">
        <f t="shared" si="50"/>
        <v/>
      </c>
      <c r="K347" s="1" t="str">
        <f t="shared" si="51"/>
        <v/>
      </c>
      <c r="L347" s="1" t="str">
        <f t="shared" si="52"/>
        <v/>
      </c>
    </row>
    <row r="348" spans="1:12">
      <c r="A348" t="s">
        <v>295</v>
      </c>
      <c r="B348">
        <v>4</v>
      </c>
      <c r="C348" t="str">
        <f t="shared" si="46"/>
        <v>test.ImageData_4_</v>
      </c>
      <c r="D348">
        <v>3</v>
      </c>
      <c r="E348">
        <v>0.24264705882352941</v>
      </c>
      <c r="F348">
        <v>8.3116641901931645E-2</v>
      </c>
      <c r="G348" s="1">
        <f t="shared" si="47"/>
        <v>0.24264705882352941</v>
      </c>
      <c r="H348" s="1" t="str">
        <f t="shared" si="48"/>
        <v/>
      </c>
      <c r="I348" s="1" t="str">
        <f t="shared" si="49"/>
        <v/>
      </c>
      <c r="J348" s="1" t="str">
        <f t="shared" si="50"/>
        <v/>
      </c>
      <c r="K348" s="1" t="str">
        <f t="shared" si="51"/>
        <v/>
      </c>
      <c r="L348" s="1" t="str">
        <f t="shared" si="52"/>
        <v/>
      </c>
    </row>
    <row r="349" spans="1:12">
      <c r="A349" t="s">
        <v>295</v>
      </c>
      <c r="B349">
        <v>4</v>
      </c>
      <c r="C349" t="str">
        <f t="shared" si="46"/>
        <v>test.ImageData_4_</v>
      </c>
      <c r="D349">
        <v>4</v>
      </c>
      <c r="E349">
        <v>0.37132352941176472</v>
      </c>
      <c r="F349">
        <v>8.4834695393759291E-2</v>
      </c>
      <c r="G349" s="1">
        <f t="shared" si="47"/>
        <v>0.37132352941176472</v>
      </c>
      <c r="H349" s="1" t="str">
        <f t="shared" si="48"/>
        <v/>
      </c>
      <c r="I349" s="1" t="str">
        <f t="shared" si="49"/>
        <v/>
      </c>
      <c r="J349" s="1" t="str">
        <f t="shared" si="50"/>
        <v/>
      </c>
      <c r="K349" s="1" t="str">
        <f t="shared" si="51"/>
        <v/>
      </c>
      <c r="L349" s="1" t="str">
        <f t="shared" si="52"/>
        <v/>
      </c>
    </row>
    <row r="350" spans="1:12">
      <c r="A350" t="s">
        <v>295</v>
      </c>
      <c r="B350">
        <v>4</v>
      </c>
      <c r="C350" t="str">
        <f t="shared" si="46"/>
        <v>test.ImageData_4_</v>
      </c>
      <c r="D350">
        <v>5</v>
      </c>
      <c r="E350">
        <v>0.56617647058823528</v>
      </c>
      <c r="F350">
        <v>0.11905646359583952</v>
      </c>
      <c r="G350" s="1">
        <f t="shared" si="47"/>
        <v>0.56617647058823528</v>
      </c>
      <c r="H350" s="1" t="str">
        <f t="shared" si="48"/>
        <v/>
      </c>
      <c r="I350" s="1" t="str">
        <f t="shared" si="49"/>
        <v/>
      </c>
      <c r="J350" s="1" t="str">
        <f t="shared" si="50"/>
        <v/>
      </c>
      <c r="K350" s="1" t="str">
        <f t="shared" si="51"/>
        <v/>
      </c>
      <c r="L350" s="1" t="str">
        <f t="shared" si="52"/>
        <v/>
      </c>
    </row>
    <row r="351" spans="1:12">
      <c r="A351" t="s">
        <v>295</v>
      </c>
      <c r="B351">
        <v>4</v>
      </c>
      <c r="C351" t="str">
        <f t="shared" si="46"/>
        <v>test.ImageData_4_</v>
      </c>
      <c r="D351">
        <v>6</v>
      </c>
      <c r="E351">
        <v>0.64338235294117652</v>
      </c>
      <c r="F351">
        <v>0.19994427934621101</v>
      </c>
      <c r="G351" s="1">
        <f t="shared" si="47"/>
        <v>0.64338235294117652</v>
      </c>
      <c r="H351" s="1" t="str">
        <f t="shared" si="48"/>
        <v/>
      </c>
      <c r="I351" s="1" t="str">
        <f t="shared" si="49"/>
        <v/>
      </c>
      <c r="J351" s="1" t="str">
        <f t="shared" si="50"/>
        <v/>
      </c>
      <c r="K351" s="1" t="str">
        <f t="shared" si="51"/>
        <v/>
      </c>
      <c r="L351" s="1" t="str">
        <f t="shared" si="52"/>
        <v/>
      </c>
    </row>
    <row r="352" spans="1:12">
      <c r="A352" t="s">
        <v>295</v>
      </c>
      <c r="B352">
        <v>4</v>
      </c>
      <c r="C352" t="str">
        <f t="shared" si="46"/>
        <v>test.ImageData_4_</v>
      </c>
      <c r="D352">
        <v>7</v>
      </c>
      <c r="E352">
        <v>0.74264705882352944</v>
      </c>
      <c r="F352">
        <v>0.23644130757800891</v>
      </c>
      <c r="G352" s="1" t="str">
        <f t="shared" si="47"/>
        <v/>
      </c>
      <c r="H352" s="1">
        <f t="shared" si="48"/>
        <v>0.74264705882352944</v>
      </c>
      <c r="I352" s="1" t="str">
        <f t="shared" si="49"/>
        <v/>
      </c>
      <c r="J352" s="1" t="str">
        <f t="shared" si="50"/>
        <v/>
      </c>
      <c r="K352" s="1" t="str">
        <f t="shared" si="51"/>
        <v/>
      </c>
      <c r="L352" s="1" t="str">
        <f t="shared" si="52"/>
        <v/>
      </c>
    </row>
    <row r="353" spans="1:12">
      <c r="A353" t="s">
        <v>295</v>
      </c>
      <c r="B353">
        <v>4</v>
      </c>
      <c r="C353" t="str">
        <f t="shared" si="46"/>
        <v>test.ImageData_4_</v>
      </c>
      <c r="D353">
        <v>8</v>
      </c>
      <c r="E353">
        <v>0.88235294117647056</v>
      </c>
      <c r="F353">
        <v>0.24930349182763745</v>
      </c>
      <c r="G353" s="1" t="str">
        <f t="shared" si="47"/>
        <v/>
      </c>
      <c r="H353" s="1">
        <f t="shared" si="48"/>
        <v>0.88235294117647056</v>
      </c>
      <c r="I353" s="1" t="str">
        <f t="shared" si="49"/>
        <v/>
      </c>
      <c r="J353" s="1" t="str">
        <f t="shared" si="50"/>
        <v/>
      </c>
      <c r="K353" s="1" t="str">
        <f t="shared" si="51"/>
        <v/>
      </c>
      <c r="L353" s="1" t="str">
        <f t="shared" si="52"/>
        <v/>
      </c>
    </row>
    <row r="354" spans="1:12">
      <c r="A354" t="s">
        <v>295</v>
      </c>
      <c r="B354">
        <v>4</v>
      </c>
      <c r="C354" t="str">
        <f t="shared" si="46"/>
        <v>test.ImageData_4_</v>
      </c>
      <c r="D354">
        <v>9</v>
      </c>
      <c r="E354">
        <v>1</v>
      </c>
      <c r="F354">
        <v>0.27089524517087665</v>
      </c>
      <c r="G354" s="1" t="str">
        <f t="shared" si="47"/>
        <v/>
      </c>
      <c r="H354" s="1">
        <f t="shared" si="48"/>
        <v>1</v>
      </c>
      <c r="I354" s="1" t="str">
        <f t="shared" si="49"/>
        <v/>
      </c>
      <c r="J354" s="1" t="str">
        <f t="shared" si="50"/>
        <v/>
      </c>
      <c r="K354" s="1" t="str">
        <f t="shared" si="51"/>
        <v/>
      </c>
      <c r="L354" s="1" t="str">
        <f t="shared" si="52"/>
        <v/>
      </c>
    </row>
    <row r="355" spans="1:12">
      <c r="A355" t="s">
        <v>295</v>
      </c>
      <c r="B355">
        <v>5</v>
      </c>
      <c r="C355" t="str">
        <f t="shared" si="46"/>
        <v>test.ImageData_5_</v>
      </c>
      <c r="D355">
        <v>1</v>
      </c>
      <c r="E355">
        <v>0.36363636363636365</v>
      </c>
      <c r="F355">
        <v>0.49431818181818182</v>
      </c>
      <c r="G355" s="1" t="str">
        <f t="shared" si="47"/>
        <v/>
      </c>
      <c r="H355" s="1" t="str">
        <f t="shared" si="48"/>
        <v/>
      </c>
      <c r="I355" s="1">
        <f t="shared" si="49"/>
        <v>0.36363636363636365</v>
      </c>
      <c r="J355" s="1" t="str">
        <f t="shared" si="50"/>
        <v/>
      </c>
      <c r="K355" s="1" t="str">
        <f t="shared" si="51"/>
        <v/>
      </c>
      <c r="L355" s="1" t="str">
        <f t="shared" si="52"/>
        <v/>
      </c>
    </row>
    <row r="356" spans="1:12">
      <c r="A356" t="s">
        <v>295</v>
      </c>
      <c r="B356">
        <v>5</v>
      </c>
      <c r="C356" t="str">
        <f t="shared" si="46"/>
        <v>test.ImageData_5_</v>
      </c>
      <c r="D356">
        <v>2</v>
      </c>
      <c r="E356">
        <v>0.54545454545454541</v>
      </c>
      <c r="F356">
        <v>0.72727272727272729</v>
      </c>
      <c r="G356" s="1" t="str">
        <f t="shared" si="47"/>
        <v/>
      </c>
      <c r="H356" s="1" t="str">
        <f t="shared" si="48"/>
        <v/>
      </c>
      <c r="I356" s="1" t="str">
        <f t="shared" si="49"/>
        <v/>
      </c>
      <c r="J356" s="1">
        <f t="shared" si="50"/>
        <v>0.54545454545454541</v>
      </c>
      <c r="K356" s="1" t="str">
        <f t="shared" si="51"/>
        <v/>
      </c>
      <c r="L356" s="1" t="str">
        <f t="shared" si="52"/>
        <v/>
      </c>
    </row>
    <row r="357" spans="1:12">
      <c r="A357" t="s">
        <v>295</v>
      </c>
      <c r="B357">
        <v>5</v>
      </c>
      <c r="C357" t="str">
        <f t="shared" si="46"/>
        <v>test.ImageData_5_</v>
      </c>
      <c r="D357">
        <v>3</v>
      </c>
      <c r="E357">
        <v>0.68181818181818177</v>
      </c>
      <c r="F357">
        <v>0.79119318181818177</v>
      </c>
      <c r="G357" s="1" t="str">
        <f t="shared" si="47"/>
        <v/>
      </c>
      <c r="H357" s="1" t="str">
        <f t="shared" si="48"/>
        <v/>
      </c>
      <c r="I357" s="1" t="str">
        <f t="shared" si="49"/>
        <v/>
      </c>
      <c r="J357" s="1">
        <f t="shared" si="50"/>
        <v>0.68181818181818177</v>
      </c>
      <c r="K357" s="1" t="str">
        <f t="shared" si="51"/>
        <v/>
      </c>
      <c r="L357" s="1" t="str">
        <f t="shared" si="52"/>
        <v/>
      </c>
    </row>
    <row r="358" spans="1:12">
      <c r="A358" t="s">
        <v>295</v>
      </c>
      <c r="B358">
        <v>5</v>
      </c>
      <c r="C358" t="str">
        <f t="shared" si="46"/>
        <v>test.ImageData_5_</v>
      </c>
      <c r="D358">
        <v>4</v>
      </c>
      <c r="E358">
        <v>0.77272727272727271</v>
      </c>
      <c r="F358">
        <v>0.86931818181818177</v>
      </c>
      <c r="G358" s="1" t="str">
        <f t="shared" si="47"/>
        <v/>
      </c>
      <c r="H358" s="1" t="str">
        <f t="shared" si="48"/>
        <v/>
      </c>
      <c r="I358" s="1" t="str">
        <f t="shared" si="49"/>
        <v/>
      </c>
      <c r="J358" s="1" t="str">
        <f t="shared" si="50"/>
        <v/>
      </c>
      <c r="K358" s="1">
        <f t="shared" si="51"/>
        <v>0.77272727272727271</v>
      </c>
      <c r="L358" s="1" t="str">
        <f t="shared" si="52"/>
        <v/>
      </c>
    </row>
    <row r="359" spans="1:12">
      <c r="A359" t="s">
        <v>295</v>
      </c>
      <c r="B359">
        <v>5</v>
      </c>
      <c r="C359" t="str">
        <f t="shared" si="46"/>
        <v>test.ImageData_5_</v>
      </c>
      <c r="D359">
        <v>5</v>
      </c>
      <c r="E359">
        <v>0.86363636363636365</v>
      </c>
      <c r="F359">
        <v>0.98863636363636365</v>
      </c>
      <c r="G359" s="1" t="str">
        <f t="shared" si="47"/>
        <v/>
      </c>
      <c r="H359" s="1" t="str">
        <f t="shared" si="48"/>
        <v/>
      </c>
      <c r="I359" s="1" t="str">
        <f t="shared" si="49"/>
        <v/>
      </c>
      <c r="J359" s="1" t="str">
        <f t="shared" si="50"/>
        <v/>
      </c>
      <c r="K359" s="1">
        <f t="shared" si="51"/>
        <v>0.86363636363636365</v>
      </c>
      <c r="L359" s="1" t="str">
        <f t="shared" si="52"/>
        <v/>
      </c>
    </row>
    <row r="360" spans="1:12">
      <c r="A360" t="s">
        <v>295</v>
      </c>
      <c r="B360">
        <v>5</v>
      </c>
      <c r="C360" t="str">
        <f t="shared" si="46"/>
        <v>test.ImageData_5_</v>
      </c>
      <c r="D360">
        <v>6</v>
      </c>
      <c r="E360">
        <v>1</v>
      </c>
      <c r="F360">
        <v>1.0227272727272727</v>
      </c>
      <c r="G360" s="1" t="str">
        <f t="shared" si="47"/>
        <v/>
      </c>
      <c r="H360" s="1" t="str">
        <f t="shared" si="48"/>
        <v/>
      </c>
      <c r="I360" s="1" t="str">
        <f t="shared" si="49"/>
        <v/>
      </c>
      <c r="J360" s="1" t="str">
        <f t="shared" si="50"/>
        <v/>
      </c>
      <c r="K360" s="1">
        <f t="shared" si="51"/>
        <v>1</v>
      </c>
      <c r="L360" s="1" t="str">
        <f t="shared" si="52"/>
        <v/>
      </c>
    </row>
    <row r="361" spans="1:12">
      <c r="A361" t="s">
        <v>295</v>
      </c>
      <c r="B361">
        <v>6</v>
      </c>
      <c r="C361" t="str">
        <f t="shared" si="46"/>
        <v>test.ImageData_6_</v>
      </c>
      <c r="D361">
        <v>1</v>
      </c>
      <c r="E361">
        <v>0.14285714285714285</v>
      </c>
      <c r="F361">
        <v>0.13114754098360656</v>
      </c>
      <c r="G361" s="1">
        <f t="shared" si="47"/>
        <v>0.14285714285714285</v>
      </c>
      <c r="H361" s="1" t="str">
        <f t="shared" si="48"/>
        <v/>
      </c>
      <c r="I361" s="1" t="str">
        <f t="shared" si="49"/>
        <v/>
      </c>
      <c r="J361" s="1" t="str">
        <f t="shared" si="50"/>
        <v/>
      </c>
      <c r="K361" s="1" t="str">
        <f t="shared" si="51"/>
        <v/>
      </c>
      <c r="L361" s="1" t="str">
        <f t="shared" si="52"/>
        <v/>
      </c>
    </row>
    <row r="362" spans="1:12">
      <c r="A362" t="s">
        <v>295</v>
      </c>
      <c r="B362">
        <v>6</v>
      </c>
      <c r="C362" t="str">
        <f t="shared" si="46"/>
        <v>test.ImageData_6_</v>
      </c>
      <c r="D362">
        <v>2</v>
      </c>
      <c r="E362">
        <v>0.33333333333333331</v>
      </c>
      <c r="F362">
        <v>0.38797814207650272</v>
      </c>
      <c r="G362" s="1" t="str">
        <f t="shared" si="47"/>
        <v/>
      </c>
      <c r="H362" s="1">
        <f t="shared" si="48"/>
        <v>0.33333333333333331</v>
      </c>
      <c r="I362" s="1" t="str">
        <f t="shared" si="49"/>
        <v/>
      </c>
      <c r="J362" s="1" t="str">
        <f t="shared" si="50"/>
        <v/>
      </c>
      <c r="K362" s="1" t="str">
        <f t="shared" si="51"/>
        <v/>
      </c>
      <c r="L362" s="1" t="str">
        <f t="shared" si="52"/>
        <v/>
      </c>
    </row>
    <row r="363" spans="1:12">
      <c r="A363" t="s">
        <v>295</v>
      </c>
      <c r="B363">
        <v>6</v>
      </c>
      <c r="C363" t="str">
        <f t="shared" si="46"/>
        <v>test.ImageData_6_</v>
      </c>
      <c r="D363">
        <v>3</v>
      </c>
      <c r="E363">
        <v>0.47619047619047616</v>
      </c>
      <c r="F363">
        <v>0.58743169398907102</v>
      </c>
      <c r="G363" s="1" t="str">
        <f t="shared" si="47"/>
        <v/>
      </c>
      <c r="H363" s="1" t="str">
        <f t="shared" si="48"/>
        <v/>
      </c>
      <c r="I363" s="1">
        <f t="shared" si="49"/>
        <v>0.47619047619047616</v>
      </c>
      <c r="J363" s="1" t="str">
        <f t="shared" si="50"/>
        <v/>
      </c>
      <c r="K363" s="1" t="str">
        <f t="shared" si="51"/>
        <v/>
      </c>
      <c r="L363" s="1" t="str">
        <f t="shared" si="52"/>
        <v/>
      </c>
    </row>
    <row r="364" spans="1:12">
      <c r="A364" t="s">
        <v>295</v>
      </c>
      <c r="B364">
        <v>6</v>
      </c>
      <c r="C364" t="str">
        <f t="shared" si="46"/>
        <v>test.ImageData_6_</v>
      </c>
      <c r="D364">
        <v>4</v>
      </c>
      <c r="E364">
        <v>0.66666666666666663</v>
      </c>
      <c r="F364">
        <v>0.64071038251366119</v>
      </c>
      <c r="G364" s="1" t="str">
        <f t="shared" si="47"/>
        <v/>
      </c>
      <c r="H364" s="1" t="str">
        <f t="shared" si="48"/>
        <v/>
      </c>
      <c r="I364" s="1" t="str">
        <f t="shared" si="49"/>
        <v/>
      </c>
      <c r="J364" s="1">
        <f t="shared" si="50"/>
        <v>0.66666666666666663</v>
      </c>
      <c r="K364" s="1" t="str">
        <f t="shared" si="51"/>
        <v/>
      </c>
      <c r="L364" s="1" t="str">
        <f t="shared" si="52"/>
        <v/>
      </c>
    </row>
    <row r="365" spans="1:12">
      <c r="A365" t="s">
        <v>295</v>
      </c>
      <c r="B365">
        <v>6</v>
      </c>
      <c r="C365" t="str">
        <f t="shared" si="46"/>
        <v>test.ImageData_6_</v>
      </c>
      <c r="D365">
        <v>5</v>
      </c>
      <c r="E365">
        <v>0.7142857142857143</v>
      </c>
      <c r="F365">
        <v>0.65437158469945356</v>
      </c>
      <c r="G365" s="1" t="str">
        <f t="shared" si="47"/>
        <v/>
      </c>
      <c r="H365" s="1" t="str">
        <f t="shared" si="48"/>
        <v/>
      </c>
      <c r="I365" s="1" t="str">
        <f t="shared" si="49"/>
        <v/>
      </c>
      <c r="J365" s="1">
        <f t="shared" si="50"/>
        <v>0.7142857142857143</v>
      </c>
      <c r="K365" s="1" t="str">
        <f t="shared" si="51"/>
        <v/>
      </c>
      <c r="L365" s="1" t="str">
        <f t="shared" si="52"/>
        <v/>
      </c>
    </row>
    <row r="366" spans="1:12">
      <c r="A366" t="s">
        <v>295</v>
      </c>
      <c r="B366">
        <v>6</v>
      </c>
      <c r="C366" t="str">
        <f t="shared" si="46"/>
        <v>test.ImageData_6_</v>
      </c>
      <c r="D366">
        <v>6</v>
      </c>
      <c r="E366">
        <v>0.8571428571428571</v>
      </c>
      <c r="F366">
        <v>0.74453551912568305</v>
      </c>
      <c r="G366" s="1" t="str">
        <f t="shared" si="47"/>
        <v/>
      </c>
      <c r="H366" s="1" t="str">
        <f t="shared" si="48"/>
        <v/>
      </c>
      <c r="I366" s="1" t="str">
        <f t="shared" si="49"/>
        <v/>
      </c>
      <c r="J366" s="1">
        <f t="shared" si="50"/>
        <v>0.8571428571428571</v>
      </c>
      <c r="K366" s="1" t="str">
        <f t="shared" si="51"/>
        <v/>
      </c>
      <c r="L366" s="1" t="str">
        <f t="shared" si="52"/>
        <v/>
      </c>
    </row>
    <row r="367" spans="1:12">
      <c r="A367" t="s">
        <v>295</v>
      </c>
      <c r="B367">
        <v>6</v>
      </c>
      <c r="C367" t="str">
        <f t="shared" si="46"/>
        <v>test.ImageData_6_</v>
      </c>
      <c r="D367">
        <v>7</v>
      </c>
      <c r="E367">
        <v>1</v>
      </c>
      <c r="F367">
        <v>0.84289617486338797</v>
      </c>
      <c r="G367" s="1" t="str">
        <f t="shared" si="47"/>
        <v/>
      </c>
      <c r="H367" s="1" t="str">
        <f t="shared" si="48"/>
        <v/>
      </c>
      <c r="I367" s="1" t="str">
        <f t="shared" si="49"/>
        <v/>
      </c>
      <c r="J367" s="1" t="str">
        <f t="shared" si="50"/>
        <v/>
      </c>
      <c r="K367" s="1">
        <f t="shared" si="51"/>
        <v>1</v>
      </c>
      <c r="L367" s="1" t="str">
        <f t="shared" si="52"/>
        <v/>
      </c>
    </row>
    <row r="368" spans="1:12">
      <c r="A368" t="s">
        <v>295</v>
      </c>
      <c r="B368">
        <v>6</v>
      </c>
      <c r="C368" t="str">
        <f t="shared" si="46"/>
        <v>test.ImageData_6_</v>
      </c>
      <c r="D368">
        <v>8</v>
      </c>
      <c r="E368">
        <v>1</v>
      </c>
      <c r="F368">
        <v>0.91256830601092898</v>
      </c>
      <c r="G368" s="1" t="str">
        <f t="shared" si="47"/>
        <v/>
      </c>
      <c r="H368" s="1" t="str">
        <f t="shared" si="48"/>
        <v/>
      </c>
      <c r="I368" s="1" t="str">
        <f t="shared" si="49"/>
        <v/>
      </c>
      <c r="J368" s="1" t="str">
        <f t="shared" si="50"/>
        <v/>
      </c>
      <c r="K368" s="1">
        <f t="shared" si="51"/>
        <v>1</v>
      </c>
      <c r="L368" s="1" t="str">
        <f t="shared" si="52"/>
        <v/>
      </c>
    </row>
    <row r="369" spans="1:12">
      <c r="A369" t="s">
        <v>295</v>
      </c>
      <c r="B369">
        <v>6</v>
      </c>
      <c r="C369" t="str">
        <f t="shared" si="46"/>
        <v>test.ImageData_6_</v>
      </c>
      <c r="D369">
        <v>9</v>
      </c>
      <c r="E369">
        <v>1</v>
      </c>
      <c r="F369">
        <v>0.98087431693989069</v>
      </c>
      <c r="G369" s="1" t="str">
        <f t="shared" si="47"/>
        <v/>
      </c>
      <c r="H369" s="1" t="str">
        <f t="shared" si="48"/>
        <v/>
      </c>
      <c r="I369" s="1" t="str">
        <f t="shared" si="49"/>
        <v/>
      </c>
      <c r="J369" s="1" t="str">
        <f t="shared" si="50"/>
        <v/>
      </c>
      <c r="K369" s="1">
        <f t="shared" si="51"/>
        <v>1</v>
      </c>
      <c r="L369" s="1" t="str">
        <f t="shared" si="52"/>
        <v/>
      </c>
    </row>
    <row r="370" spans="1:12">
      <c r="A370" t="s">
        <v>295</v>
      </c>
      <c r="B370">
        <v>6</v>
      </c>
      <c r="C370" t="str">
        <f t="shared" si="46"/>
        <v>test.ImageData_6_</v>
      </c>
      <c r="D370">
        <v>10</v>
      </c>
      <c r="E370">
        <v>1</v>
      </c>
      <c r="F370">
        <v>1.3087431693989071</v>
      </c>
      <c r="G370" s="1" t="str">
        <f t="shared" si="47"/>
        <v/>
      </c>
      <c r="H370" s="1" t="str">
        <f t="shared" si="48"/>
        <v/>
      </c>
      <c r="I370" s="1" t="str">
        <f t="shared" si="49"/>
        <v/>
      </c>
      <c r="J370" s="1" t="str">
        <f t="shared" si="50"/>
        <v/>
      </c>
      <c r="K370" s="1" t="str">
        <f t="shared" si="51"/>
        <v/>
      </c>
      <c r="L370" s="1">
        <f t="shared" si="52"/>
        <v>1</v>
      </c>
    </row>
    <row r="371" spans="1:12">
      <c r="A371" t="s">
        <v>295</v>
      </c>
      <c r="B371">
        <v>7</v>
      </c>
      <c r="C371" t="str">
        <f t="shared" si="46"/>
        <v>test.ImageData_7_</v>
      </c>
      <c r="D371">
        <v>1</v>
      </c>
      <c r="E371">
        <v>0.23333333333333334</v>
      </c>
      <c r="F371">
        <v>0.29101796407185626</v>
      </c>
      <c r="G371" s="1" t="str">
        <f t="shared" si="47"/>
        <v/>
      </c>
      <c r="H371" s="1">
        <f t="shared" si="48"/>
        <v>0.23333333333333334</v>
      </c>
      <c r="I371" s="1" t="str">
        <f t="shared" si="49"/>
        <v/>
      </c>
      <c r="J371" s="1" t="str">
        <f t="shared" si="50"/>
        <v/>
      </c>
      <c r="K371" s="1" t="str">
        <f t="shared" si="51"/>
        <v/>
      </c>
      <c r="L371" s="1" t="str">
        <f t="shared" si="52"/>
        <v/>
      </c>
    </row>
    <row r="372" spans="1:12">
      <c r="A372" t="s">
        <v>295</v>
      </c>
      <c r="B372">
        <v>7</v>
      </c>
      <c r="C372" t="str">
        <f t="shared" si="46"/>
        <v>test.ImageData_7_</v>
      </c>
      <c r="D372">
        <v>2</v>
      </c>
      <c r="E372">
        <v>0.26666666666666666</v>
      </c>
      <c r="F372">
        <v>0.29341317365269459</v>
      </c>
      <c r="G372" s="1" t="str">
        <f t="shared" si="47"/>
        <v/>
      </c>
      <c r="H372" s="1">
        <f t="shared" si="48"/>
        <v>0.26666666666666666</v>
      </c>
      <c r="I372" s="1" t="str">
        <f t="shared" si="49"/>
        <v/>
      </c>
      <c r="J372" s="1" t="str">
        <f t="shared" si="50"/>
        <v/>
      </c>
      <c r="K372" s="1" t="str">
        <f t="shared" si="51"/>
        <v/>
      </c>
      <c r="L372" s="1" t="str">
        <f t="shared" si="52"/>
        <v/>
      </c>
    </row>
    <row r="373" spans="1:12">
      <c r="A373" t="s">
        <v>295</v>
      </c>
      <c r="B373">
        <v>7</v>
      </c>
      <c r="C373" t="str">
        <f t="shared" si="46"/>
        <v>test.ImageData_7_</v>
      </c>
      <c r="D373">
        <v>3</v>
      </c>
      <c r="E373">
        <v>0.33333333333333331</v>
      </c>
      <c r="F373">
        <v>0.30379241516966066</v>
      </c>
      <c r="G373" s="1" t="str">
        <f t="shared" si="47"/>
        <v/>
      </c>
      <c r="H373" s="1">
        <f t="shared" si="48"/>
        <v>0.33333333333333331</v>
      </c>
      <c r="I373" s="1" t="str">
        <f t="shared" si="49"/>
        <v/>
      </c>
      <c r="J373" s="1" t="str">
        <f t="shared" si="50"/>
        <v/>
      </c>
      <c r="K373" s="1" t="str">
        <f t="shared" si="51"/>
        <v/>
      </c>
      <c r="L373" s="1" t="str">
        <f t="shared" si="52"/>
        <v/>
      </c>
    </row>
    <row r="374" spans="1:12">
      <c r="A374" t="s">
        <v>295</v>
      </c>
      <c r="B374">
        <v>7</v>
      </c>
      <c r="C374" t="str">
        <f t="shared" si="46"/>
        <v>test.ImageData_7_</v>
      </c>
      <c r="D374">
        <v>4</v>
      </c>
      <c r="E374">
        <v>0.42499999999999999</v>
      </c>
      <c r="F374">
        <v>0.31696606786427145</v>
      </c>
      <c r="G374" s="1" t="str">
        <f t="shared" si="47"/>
        <v/>
      </c>
      <c r="H374" s="1">
        <f t="shared" si="48"/>
        <v>0.42499999999999999</v>
      </c>
      <c r="I374" s="1" t="str">
        <f t="shared" si="49"/>
        <v/>
      </c>
      <c r="J374" s="1" t="str">
        <f t="shared" si="50"/>
        <v/>
      </c>
      <c r="K374" s="1" t="str">
        <f t="shared" si="51"/>
        <v/>
      </c>
      <c r="L374" s="1" t="str">
        <f t="shared" si="52"/>
        <v/>
      </c>
    </row>
    <row r="375" spans="1:12">
      <c r="A375" t="s">
        <v>295</v>
      </c>
      <c r="B375">
        <v>7</v>
      </c>
      <c r="C375" t="str">
        <f t="shared" si="46"/>
        <v>test.ImageData_7_</v>
      </c>
      <c r="D375">
        <v>5</v>
      </c>
      <c r="E375">
        <v>0.45833333333333331</v>
      </c>
      <c r="F375">
        <v>0.32495009980039918</v>
      </c>
      <c r="G375" s="1" t="str">
        <f t="shared" si="47"/>
        <v/>
      </c>
      <c r="H375" s="1">
        <f t="shared" si="48"/>
        <v>0.45833333333333331</v>
      </c>
      <c r="I375" s="1" t="str">
        <f t="shared" si="49"/>
        <v/>
      </c>
      <c r="J375" s="1" t="str">
        <f t="shared" si="50"/>
        <v/>
      </c>
      <c r="K375" s="1" t="str">
        <f t="shared" si="51"/>
        <v/>
      </c>
      <c r="L375" s="1" t="str">
        <f t="shared" si="52"/>
        <v/>
      </c>
    </row>
    <row r="376" spans="1:12">
      <c r="A376" t="s">
        <v>295</v>
      </c>
      <c r="B376">
        <v>7</v>
      </c>
      <c r="C376" t="str">
        <f t="shared" si="46"/>
        <v>test.ImageData_7_</v>
      </c>
      <c r="D376">
        <v>6</v>
      </c>
      <c r="E376">
        <v>0.59166666666666667</v>
      </c>
      <c r="F376">
        <v>0.33093812375249498</v>
      </c>
      <c r="G376" s="1" t="str">
        <f t="shared" si="47"/>
        <v/>
      </c>
      <c r="H376" s="1">
        <f t="shared" si="48"/>
        <v>0.59166666666666667</v>
      </c>
      <c r="I376" s="1" t="str">
        <f t="shared" si="49"/>
        <v/>
      </c>
      <c r="J376" s="1" t="str">
        <f t="shared" si="50"/>
        <v/>
      </c>
      <c r="K376" s="1" t="str">
        <f t="shared" si="51"/>
        <v/>
      </c>
      <c r="L376" s="1" t="str">
        <f t="shared" si="52"/>
        <v/>
      </c>
    </row>
    <row r="377" spans="1:12">
      <c r="A377" t="s">
        <v>295</v>
      </c>
      <c r="B377">
        <v>7</v>
      </c>
      <c r="C377" t="str">
        <f t="shared" si="46"/>
        <v>test.ImageData_7_</v>
      </c>
      <c r="D377">
        <v>7</v>
      </c>
      <c r="E377">
        <v>0.65</v>
      </c>
      <c r="F377">
        <v>0.35169660678642717</v>
      </c>
      <c r="G377" s="1" t="str">
        <f t="shared" si="47"/>
        <v/>
      </c>
      <c r="H377" s="1">
        <f t="shared" si="48"/>
        <v>0.65</v>
      </c>
      <c r="I377" s="1" t="str">
        <f t="shared" si="49"/>
        <v/>
      </c>
      <c r="J377" s="1" t="str">
        <f t="shared" si="50"/>
        <v/>
      </c>
      <c r="K377" s="1" t="str">
        <f t="shared" si="51"/>
        <v/>
      </c>
      <c r="L377" s="1" t="str">
        <f t="shared" si="52"/>
        <v/>
      </c>
    </row>
    <row r="378" spans="1:12">
      <c r="A378" t="s">
        <v>295</v>
      </c>
      <c r="B378">
        <v>7</v>
      </c>
      <c r="C378" t="str">
        <f t="shared" si="46"/>
        <v>test.ImageData_7_</v>
      </c>
      <c r="D378">
        <v>8</v>
      </c>
      <c r="E378">
        <v>0.73333333333333328</v>
      </c>
      <c r="F378">
        <v>0.36047904191616764</v>
      </c>
      <c r="G378" s="1" t="str">
        <f t="shared" si="47"/>
        <v/>
      </c>
      <c r="H378" s="1">
        <f t="shared" si="48"/>
        <v>0.73333333333333328</v>
      </c>
      <c r="I378" s="1" t="str">
        <f t="shared" si="49"/>
        <v/>
      </c>
      <c r="J378" s="1" t="str">
        <f t="shared" si="50"/>
        <v/>
      </c>
      <c r="K378" s="1" t="str">
        <f t="shared" si="51"/>
        <v/>
      </c>
      <c r="L378" s="1" t="str">
        <f t="shared" si="52"/>
        <v/>
      </c>
    </row>
    <row r="379" spans="1:12">
      <c r="A379" t="s">
        <v>295</v>
      </c>
      <c r="B379">
        <v>7</v>
      </c>
      <c r="C379" t="str">
        <f t="shared" si="46"/>
        <v>test.ImageData_7_</v>
      </c>
      <c r="D379">
        <v>9</v>
      </c>
      <c r="E379">
        <v>0.85</v>
      </c>
      <c r="F379">
        <v>0.41077844311377243</v>
      </c>
      <c r="G379" s="1" t="str">
        <f t="shared" si="47"/>
        <v/>
      </c>
      <c r="H379" s="1" t="str">
        <f t="shared" si="48"/>
        <v/>
      </c>
      <c r="I379" s="1">
        <f t="shared" si="49"/>
        <v>0.85</v>
      </c>
      <c r="J379" s="1" t="str">
        <f t="shared" si="50"/>
        <v/>
      </c>
      <c r="K379" s="1" t="str">
        <f t="shared" si="51"/>
        <v/>
      </c>
      <c r="L379" s="1" t="str">
        <f t="shared" si="52"/>
        <v/>
      </c>
    </row>
    <row r="380" spans="1:12">
      <c r="A380" t="s">
        <v>295</v>
      </c>
      <c r="B380">
        <v>7</v>
      </c>
      <c r="C380" t="str">
        <f t="shared" si="46"/>
        <v>test.ImageData_7_</v>
      </c>
      <c r="D380">
        <v>10</v>
      </c>
      <c r="E380">
        <v>1</v>
      </c>
      <c r="F380">
        <v>0.45948103792415168</v>
      </c>
      <c r="G380" s="1" t="str">
        <f t="shared" si="47"/>
        <v/>
      </c>
      <c r="H380" s="1" t="str">
        <f t="shared" si="48"/>
        <v/>
      </c>
      <c r="I380" s="1">
        <f t="shared" si="49"/>
        <v>1</v>
      </c>
      <c r="J380" s="1" t="str">
        <f t="shared" si="50"/>
        <v/>
      </c>
      <c r="K380" s="1" t="str">
        <f t="shared" si="51"/>
        <v/>
      </c>
      <c r="L380" s="1" t="str">
        <f t="shared" si="52"/>
        <v/>
      </c>
    </row>
    <row r="381" spans="1:12">
      <c r="A381" t="s">
        <v>295</v>
      </c>
      <c r="B381">
        <v>8</v>
      </c>
      <c r="C381" t="str">
        <f t="shared" si="46"/>
        <v>test.ImageData_8_</v>
      </c>
      <c r="D381">
        <v>1</v>
      </c>
      <c r="E381">
        <v>0.11728395061728394</v>
      </c>
      <c r="F381">
        <v>6.8961153992154883E-2</v>
      </c>
      <c r="G381" s="1">
        <f t="shared" si="47"/>
        <v>0.11728395061728394</v>
      </c>
      <c r="H381" s="1" t="str">
        <f t="shared" si="48"/>
        <v/>
      </c>
      <c r="I381" s="1" t="str">
        <f t="shared" si="49"/>
        <v/>
      </c>
      <c r="J381" s="1" t="str">
        <f t="shared" si="50"/>
        <v/>
      </c>
      <c r="K381" s="1" t="str">
        <f t="shared" si="51"/>
        <v/>
      </c>
      <c r="L381" s="1" t="str">
        <f t="shared" si="52"/>
        <v/>
      </c>
    </row>
    <row r="382" spans="1:12">
      <c r="A382" t="s">
        <v>295</v>
      </c>
      <c r="B382">
        <v>8</v>
      </c>
      <c r="C382" t="str">
        <f t="shared" si="46"/>
        <v>test.ImageData_8_</v>
      </c>
      <c r="D382">
        <v>2</v>
      </c>
      <c r="E382">
        <v>0.1728395061728395</v>
      </c>
      <c r="F382">
        <v>0.1118562571175503</v>
      </c>
      <c r="G382" s="1">
        <f t="shared" si="47"/>
        <v>0.1728395061728395</v>
      </c>
      <c r="H382" s="1" t="str">
        <f t="shared" si="48"/>
        <v/>
      </c>
      <c r="I382" s="1" t="str">
        <f t="shared" si="49"/>
        <v/>
      </c>
      <c r="J382" s="1" t="str">
        <f t="shared" si="50"/>
        <v/>
      </c>
      <c r="K382" s="1" t="str">
        <f t="shared" si="51"/>
        <v/>
      </c>
      <c r="L382" s="1" t="str">
        <f t="shared" si="52"/>
        <v/>
      </c>
    </row>
    <row r="383" spans="1:12">
      <c r="A383" t="s">
        <v>295</v>
      </c>
      <c r="B383">
        <v>8</v>
      </c>
      <c r="C383" t="str">
        <f t="shared" si="46"/>
        <v>test.ImageData_8_</v>
      </c>
      <c r="D383">
        <v>3</v>
      </c>
      <c r="E383">
        <v>0.3888888888888889</v>
      </c>
      <c r="F383">
        <v>0.23408832089080095</v>
      </c>
      <c r="G383" s="1" t="str">
        <f t="shared" si="47"/>
        <v/>
      </c>
      <c r="H383" s="1">
        <f t="shared" si="48"/>
        <v>0.3888888888888889</v>
      </c>
      <c r="I383" s="1" t="str">
        <f t="shared" si="49"/>
        <v/>
      </c>
      <c r="J383" s="1" t="str">
        <f t="shared" si="50"/>
        <v/>
      </c>
      <c r="K383" s="1" t="str">
        <f t="shared" si="51"/>
        <v/>
      </c>
      <c r="L383" s="1" t="str">
        <f t="shared" si="52"/>
        <v/>
      </c>
    </row>
    <row r="384" spans="1:12">
      <c r="A384" t="s">
        <v>295</v>
      </c>
      <c r="B384">
        <v>8</v>
      </c>
      <c r="C384" t="str">
        <f t="shared" si="46"/>
        <v>test.ImageData_8_</v>
      </c>
      <c r="D384">
        <v>4</v>
      </c>
      <c r="E384">
        <v>0.66049382716049387</v>
      </c>
      <c r="F384">
        <v>0.29355940781981527</v>
      </c>
      <c r="G384" s="1" t="str">
        <f t="shared" si="47"/>
        <v/>
      </c>
      <c r="H384" s="1">
        <f t="shared" si="48"/>
        <v>0.66049382716049387</v>
      </c>
      <c r="I384" s="1" t="str">
        <f t="shared" si="49"/>
        <v/>
      </c>
      <c r="J384" s="1" t="str">
        <f t="shared" si="50"/>
        <v/>
      </c>
      <c r="K384" s="1" t="str">
        <f t="shared" si="51"/>
        <v/>
      </c>
      <c r="L384" s="1" t="str">
        <f t="shared" si="52"/>
        <v/>
      </c>
    </row>
    <row r="385" spans="1:12">
      <c r="A385" t="s">
        <v>295</v>
      </c>
      <c r="B385">
        <v>8</v>
      </c>
      <c r="C385" t="str">
        <f t="shared" si="46"/>
        <v>test.ImageData_8_</v>
      </c>
      <c r="D385">
        <v>5</v>
      </c>
      <c r="E385">
        <v>0.86419753086419748</v>
      </c>
      <c r="F385">
        <v>0.3102619258509427</v>
      </c>
      <c r="G385" s="1" t="str">
        <f t="shared" si="47"/>
        <v/>
      </c>
      <c r="H385" s="1">
        <f t="shared" si="48"/>
        <v>0.86419753086419748</v>
      </c>
      <c r="I385" s="1" t="str">
        <f t="shared" si="49"/>
        <v/>
      </c>
      <c r="J385" s="1" t="str">
        <f t="shared" si="50"/>
        <v/>
      </c>
      <c r="K385" s="1" t="str">
        <f t="shared" si="51"/>
        <v/>
      </c>
      <c r="L385" s="1" t="str">
        <f t="shared" si="52"/>
        <v/>
      </c>
    </row>
    <row r="386" spans="1:12">
      <c r="A386" t="s">
        <v>295</v>
      </c>
      <c r="B386">
        <v>8</v>
      </c>
      <c r="C386" t="str">
        <f t="shared" si="46"/>
        <v>test.ImageData_8_</v>
      </c>
      <c r="D386">
        <v>6</v>
      </c>
      <c r="E386">
        <v>1</v>
      </c>
      <c r="F386">
        <v>0.55143616348222191</v>
      </c>
      <c r="G386" s="1" t="str">
        <f t="shared" si="47"/>
        <v/>
      </c>
      <c r="H386" s="1" t="str">
        <f t="shared" si="48"/>
        <v/>
      </c>
      <c r="I386" s="1">
        <f t="shared" si="49"/>
        <v>1</v>
      </c>
      <c r="J386" s="1" t="str">
        <f t="shared" si="50"/>
        <v/>
      </c>
      <c r="K386" s="1" t="str">
        <f t="shared" si="51"/>
        <v/>
      </c>
      <c r="L386" s="1" t="str">
        <f t="shared" si="52"/>
        <v/>
      </c>
    </row>
    <row r="387" spans="1:12">
      <c r="A387" t="s">
        <v>295</v>
      </c>
      <c r="B387">
        <v>9</v>
      </c>
      <c r="C387" t="str">
        <f t="shared" ref="C387:C450" si="53">CONCATENATE(A387, "_",B387,"_")</f>
        <v>test.ImageData_9_</v>
      </c>
      <c r="D387">
        <v>1</v>
      </c>
      <c r="E387">
        <v>7.3643410852713184E-2</v>
      </c>
      <c r="F387">
        <v>2.4346998789136827E-2</v>
      </c>
      <c r="G387" s="1">
        <f t="shared" ref="G387:G450" si="54">IF($F387 &lt;= 0.2,$E387,"")</f>
        <v>7.3643410852713184E-2</v>
      </c>
      <c r="H387" s="1" t="str">
        <f t="shared" ref="H387:H450" si="55">IF(AND($F387 &gt; 0.2,$F387 &lt;= 0.4),$E387,"")</f>
        <v/>
      </c>
      <c r="I387" s="1" t="str">
        <f t="shared" ref="I387:I450" si="56">IF(AND($F387 &gt; 0.4,$F387 &lt;= 0.6),$E387,"")</f>
        <v/>
      </c>
      <c r="J387" s="1" t="str">
        <f t="shared" ref="J387:J450" si="57">IF(AND($F387 &gt; 0.6,$F387 &lt;= 0.8),$E387,"")</f>
        <v/>
      </c>
      <c r="K387" s="1" t="str">
        <f t="shared" ref="K387:K450" si="58">IF(AND($F387 &gt; 0.8, $F387 &lt;=1.1),$E387,"")</f>
        <v/>
      </c>
      <c r="L387" s="1" t="str">
        <f t="shared" ref="L387:L450" si="59">IF(AND($F387 &gt; 1.1),$E387,"")</f>
        <v/>
      </c>
    </row>
    <row r="388" spans="1:12">
      <c r="A388" t="s">
        <v>295</v>
      </c>
      <c r="B388">
        <v>9</v>
      </c>
      <c r="C388" t="str">
        <f t="shared" si="53"/>
        <v>test.ImageData_9_</v>
      </c>
      <c r="D388">
        <v>2</v>
      </c>
      <c r="E388">
        <v>0.12015503875968993</v>
      </c>
      <c r="F388">
        <v>4.6229026120048436E-2</v>
      </c>
      <c r="G388" s="1">
        <f t="shared" si="54"/>
        <v>0.12015503875968993</v>
      </c>
      <c r="H388" s="1" t="str">
        <f t="shared" si="55"/>
        <v/>
      </c>
      <c r="I388" s="1" t="str">
        <f t="shared" si="56"/>
        <v/>
      </c>
      <c r="J388" s="1" t="str">
        <f t="shared" si="57"/>
        <v/>
      </c>
      <c r="K388" s="1" t="str">
        <f t="shared" si="58"/>
        <v/>
      </c>
      <c r="L388" s="1" t="str">
        <f t="shared" si="59"/>
        <v/>
      </c>
    </row>
    <row r="389" spans="1:12">
      <c r="A389" t="s">
        <v>295</v>
      </c>
      <c r="B389">
        <v>9</v>
      </c>
      <c r="C389" t="str">
        <f t="shared" si="53"/>
        <v>test.ImageData_9_</v>
      </c>
      <c r="D389">
        <v>3</v>
      </c>
      <c r="E389">
        <v>0.2558139534883721</v>
      </c>
      <c r="F389">
        <v>9.9896211728074724E-2</v>
      </c>
      <c r="G389" s="1">
        <f t="shared" si="54"/>
        <v>0.2558139534883721</v>
      </c>
      <c r="H389" s="1" t="str">
        <f t="shared" si="55"/>
        <v/>
      </c>
      <c r="I389" s="1" t="str">
        <f t="shared" si="56"/>
        <v/>
      </c>
      <c r="J389" s="1" t="str">
        <f t="shared" si="57"/>
        <v/>
      </c>
      <c r="K389" s="1" t="str">
        <f t="shared" si="58"/>
        <v/>
      </c>
      <c r="L389" s="1" t="str">
        <f t="shared" si="59"/>
        <v/>
      </c>
    </row>
    <row r="390" spans="1:12">
      <c r="A390" t="s">
        <v>295</v>
      </c>
      <c r="B390">
        <v>9</v>
      </c>
      <c r="C390" t="str">
        <f t="shared" si="53"/>
        <v>test.ImageData_9_</v>
      </c>
      <c r="D390">
        <v>4</v>
      </c>
      <c r="E390">
        <v>0.4263565891472868</v>
      </c>
      <c r="F390">
        <v>0.10789655768898114</v>
      </c>
      <c r="G390" s="1">
        <f t="shared" si="54"/>
        <v>0.4263565891472868</v>
      </c>
      <c r="H390" s="1" t="str">
        <f t="shared" si="55"/>
        <v/>
      </c>
      <c r="I390" s="1" t="str">
        <f t="shared" si="56"/>
        <v/>
      </c>
      <c r="J390" s="1" t="str">
        <f t="shared" si="57"/>
        <v/>
      </c>
      <c r="K390" s="1" t="str">
        <f t="shared" si="58"/>
        <v/>
      </c>
      <c r="L390" s="1" t="str">
        <f t="shared" si="59"/>
        <v/>
      </c>
    </row>
    <row r="391" spans="1:12">
      <c r="A391" t="s">
        <v>295</v>
      </c>
      <c r="B391">
        <v>9</v>
      </c>
      <c r="C391" t="str">
        <f t="shared" si="53"/>
        <v>test.ImageData_9_</v>
      </c>
      <c r="D391">
        <v>5</v>
      </c>
      <c r="E391">
        <v>0.55426356589147285</v>
      </c>
      <c r="F391">
        <v>0.10928040131465144</v>
      </c>
      <c r="G391" s="1">
        <f t="shared" si="54"/>
        <v>0.55426356589147285</v>
      </c>
      <c r="H391" s="1" t="str">
        <f t="shared" si="55"/>
        <v/>
      </c>
      <c r="I391" s="1" t="str">
        <f t="shared" si="56"/>
        <v/>
      </c>
      <c r="J391" s="1" t="str">
        <f t="shared" si="57"/>
        <v/>
      </c>
      <c r="K391" s="1" t="str">
        <f t="shared" si="58"/>
        <v/>
      </c>
      <c r="L391" s="1" t="str">
        <f t="shared" si="59"/>
        <v/>
      </c>
    </row>
    <row r="392" spans="1:12">
      <c r="A392" t="s">
        <v>295</v>
      </c>
      <c r="B392">
        <v>9</v>
      </c>
      <c r="C392" t="str">
        <f t="shared" si="53"/>
        <v>test.ImageData_9_</v>
      </c>
      <c r="D392">
        <v>6</v>
      </c>
      <c r="E392">
        <v>0.65891472868217049</v>
      </c>
      <c r="F392">
        <v>0.18664590901228162</v>
      </c>
      <c r="G392" s="1">
        <f t="shared" si="54"/>
        <v>0.65891472868217049</v>
      </c>
      <c r="H392" s="1" t="str">
        <f t="shared" si="55"/>
        <v/>
      </c>
      <c r="I392" s="1" t="str">
        <f t="shared" si="56"/>
        <v/>
      </c>
      <c r="J392" s="1" t="str">
        <f t="shared" si="57"/>
        <v/>
      </c>
      <c r="K392" s="1" t="str">
        <f t="shared" si="58"/>
        <v/>
      </c>
      <c r="L392" s="1" t="str">
        <f t="shared" si="59"/>
        <v/>
      </c>
    </row>
    <row r="393" spans="1:12">
      <c r="A393" t="s">
        <v>295</v>
      </c>
      <c r="B393">
        <v>9</v>
      </c>
      <c r="C393" t="str">
        <f t="shared" si="53"/>
        <v>test.ImageData_9_</v>
      </c>
      <c r="D393">
        <v>7</v>
      </c>
      <c r="E393">
        <v>0.77906976744186052</v>
      </c>
      <c r="F393">
        <v>0.21190105518076457</v>
      </c>
      <c r="G393" s="1" t="str">
        <f t="shared" si="54"/>
        <v/>
      </c>
      <c r="H393" s="1">
        <f t="shared" si="55"/>
        <v>0.77906976744186052</v>
      </c>
      <c r="I393" s="1" t="str">
        <f t="shared" si="56"/>
        <v/>
      </c>
      <c r="J393" s="1" t="str">
        <f t="shared" si="57"/>
        <v/>
      </c>
      <c r="K393" s="1" t="str">
        <f t="shared" si="58"/>
        <v/>
      </c>
      <c r="L393" s="1" t="str">
        <f t="shared" si="59"/>
        <v/>
      </c>
    </row>
    <row r="394" spans="1:12">
      <c r="A394" t="s">
        <v>295</v>
      </c>
      <c r="B394">
        <v>9</v>
      </c>
      <c r="C394" t="str">
        <f t="shared" si="53"/>
        <v>test.ImageData_9_</v>
      </c>
      <c r="D394">
        <v>8</v>
      </c>
      <c r="E394">
        <v>0.86434108527131781</v>
      </c>
      <c r="F394">
        <v>0.23404255319148937</v>
      </c>
      <c r="G394" s="1" t="str">
        <f t="shared" si="54"/>
        <v/>
      </c>
      <c r="H394" s="1">
        <f t="shared" si="55"/>
        <v>0.86434108527131781</v>
      </c>
      <c r="I394" s="1" t="str">
        <f t="shared" si="56"/>
        <v/>
      </c>
      <c r="J394" s="1" t="str">
        <f t="shared" si="57"/>
        <v/>
      </c>
      <c r="K394" s="1" t="str">
        <f t="shared" si="58"/>
        <v/>
      </c>
      <c r="L394" s="1" t="str">
        <f t="shared" si="59"/>
        <v/>
      </c>
    </row>
    <row r="395" spans="1:12">
      <c r="A395" t="s">
        <v>295</v>
      </c>
      <c r="B395">
        <v>9</v>
      </c>
      <c r="C395" t="str">
        <f t="shared" si="53"/>
        <v>test.ImageData_9_</v>
      </c>
      <c r="D395">
        <v>9</v>
      </c>
      <c r="E395">
        <v>1</v>
      </c>
      <c r="F395">
        <v>0.25821657152741739</v>
      </c>
      <c r="G395" s="1" t="str">
        <f t="shared" si="54"/>
        <v/>
      </c>
      <c r="H395" s="1">
        <f t="shared" si="55"/>
        <v>1</v>
      </c>
      <c r="I395" s="1" t="str">
        <f t="shared" si="56"/>
        <v/>
      </c>
      <c r="J395" s="1" t="str">
        <f t="shared" si="57"/>
        <v/>
      </c>
      <c r="K395" s="1" t="str">
        <f t="shared" si="58"/>
        <v/>
      </c>
      <c r="L395" s="1" t="str">
        <f t="shared" si="59"/>
        <v/>
      </c>
    </row>
    <row r="396" spans="1:12">
      <c r="A396" t="s">
        <v>295</v>
      </c>
      <c r="B396">
        <v>11</v>
      </c>
      <c r="C396" t="str">
        <f t="shared" si="53"/>
        <v>test.ImageData_11_</v>
      </c>
      <c r="D396">
        <v>1</v>
      </c>
      <c r="E396">
        <v>0.33962264150943394</v>
      </c>
      <c r="F396">
        <v>5.0989481190943126E-2</v>
      </c>
      <c r="G396" s="1">
        <f t="shared" si="54"/>
        <v>0.33962264150943394</v>
      </c>
      <c r="H396" s="1" t="str">
        <f t="shared" si="55"/>
        <v/>
      </c>
      <c r="I396" s="1" t="str">
        <f t="shared" si="56"/>
        <v/>
      </c>
      <c r="J396" s="1" t="str">
        <f t="shared" si="57"/>
        <v/>
      </c>
      <c r="K396" s="1" t="str">
        <f t="shared" si="58"/>
        <v/>
      </c>
      <c r="L396" s="1" t="str">
        <f t="shared" si="59"/>
        <v/>
      </c>
    </row>
    <row r="397" spans="1:12">
      <c r="A397" t="s">
        <v>295</v>
      </c>
      <c r="B397">
        <v>11</v>
      </c>
      <c r="C397" t="str">
        <f t="shared" si="53"/>
        <v>test.ImageData_11_</v>
      </c>
      <c r="D397">
        <v>2</v>
      </c>
      <c r="E397">
        <v>1</v>
      </c>
      <c r="F397">
        <v>0.96487787484400067</v>
      </c>
      <c r="G397" s="1" t="str">
        <f t="shared" si="54"/>
        <v/>
      </c>
      <c r="H397" s="1" t="str">
        <f t="shared" si="55"/>
        <v/>
      </c>
      <c r="I397" s="1" t="str">
        <f t="shared" si="56"/>
        <v/>
      </c>
      <c r="J397" s="1" t="str">
        <f t="shared" si="57"/>
        <v/>
      </c>
      <c r="K397" s="1">
        <f t="shared" si="58"/>
        <v>1</v>
      </c>
      <c r="L397" s="1" t="str">
        <f t="shared" si="59"/>
        <v/>
      </c>
    </row>
    <row r="398" spans="1:12">
      <c r="A398" t="s">
        <v>295</v>
      </c>
      <c r="B398">
        <v>13</v>
      </c>
      <c r="C398" t="str">
        <f t="shared" si="53"/>
        <v>test.ImageData_13_</v>
      </c>
      <c r="D398">
        <v>1</v>
      </c>
      <c r="E398">
        <v>1.3568521031207597E-3</v>
      </c>
      <c r="F398">
        <v>1.3987096774193549E-2</v>
      </c>
      <c r="G398" s="1">
        <f t="shared" si="54"/>
        <v>1.3568521031207597E-3</v>
      </c>
      <c r="H398" s="1" t="str">
        <f t="shared" si="55"/>
        <v/>
      </c>
      <c r="I398" s="1" t="str">
        <f t="shared" si="56"/>
        <v/>
      </c>
      <c r="J398" s="1" t="str">
        <f t="shared" si="57"/>
        <v/>
      </c>
      <c r="K398" s="1" t="str">
        <f t="shared" si="58"/>
        <v/>
      </c>
      <c r="L398" s="1" t="str">
        <f t="shared" si="59"/>
        <v/>
      </c>
    </row>
    <row r="399" spans="1:12">
      <c r="A399" t="s">
        <v>295</v>
      </c>
      <c r="B399">
        <v>13</v>
      </c>
      <c r="C399" t="str">
        <f t="shared" si="53"/>
        <v>test.ImageData_13_</v>
      </c>
      <c r="D399">
        <v>2</v>
      </c>
      <c r="E399">
        <v>5.4274084124830389E-3</v>
      </c>
      <c r="F399">
        <v>1.6103225806451613E-2</v>
      </c>
      <c r="G399" s="1">
        <f t="shared" si="54"/>
        <v>5.4274084124830389E-3</v>
      </c>
      <c r="H399" s="1" t="str">
        <f t="shared" si="55"/>
        <v/>
      </c>
      <c r="I399" s="1" t="str">
        <f t="shared" si="56"/>
        <v/>
      </c>
      <c r="J399" s="1" t="str">
        <f t="shared" si="57"/>
        <v/>
      </c>
      <c r="K399" s="1" t="str">
        <f t="shared" si="58"/>
        <v/>
      </c>
      <c r="L399" s="1" t="str">
        <f t="shared" si="59"/>
        <v/>
      </c>
    </row>
    <row r="400" spans="1:12">
      <c r="A400" t="s">
        <v>295</v>
      </c>
      <c r="B400">
        <v>13</v>
      </c>
      <c r="C400" t="str">
        <f t="shared" si="53"/>
        <v>test.ImageData_13_</v>
      </c>
      <c r="D400">
        <v>3</v>
      </c>
      <c r="E400">
        <v>6.7842605156037995E-3</v>
      </c>
      <c r="F400">
        <v>1.9922580645161291E-2</v>
      </c>
      <c r="G400" s="1">
        <f t="shared" si="54"/>
        <v>6.7842605156037995E-3</v>
      </c>
      <c r="H400" s="1" t="str">
        <f t="shared" si="55"/>
        <v/>
      </c>
      <c r="I400" s="1" t="str">
        <f t="shared" si="56"/>
        <v/>
      </c>
      <c r="J400" s="1" t="str">
        <f t="shared" si="57"/>
        <v/>
      </c>
      <c r="K400" s="1" t="str">
        <f t="shared" si="58"/>
        <v/>
      </c>
      <c r="L400" s="1" t="str">
        <f t="shared" si="59"/>
        <v/>
      </c>
    </row>
    <row r="401" spans="1:12">
      <c r="A401" t="s">
        <v>295</v>
      </c>
      <c r="B401">
        <v>13</v>
      </c>
      <c r="C401" t="str">
        <f t="shared" si="53"/>
        <v>test.ImageData_13_</v>
      </c>
      <c r="D401">
        <v>4</v>
      </c>
      <c r="E401">
        <v>1</v>
      </c>
      <c r="F401">
        <v>0.99014193548387097</v>
      </c>
      <c r="G401" s="1" t="str">
        <f t="shared" si="54"/>
        <v/>
      </c>
      <c r="H401" s="1" t="str">
        <f t="shared" si="55"/>
        <v/>
      </c>
      <c r="I401" s="1" t="str">
        <f t="shared" si="56"/>
        <v/>
      </c>
      <c r="J401" s="1" t="str">
        <f t="shared" si="57"/>
        <v/>
      </c>
      <c r="K401" s="1">
        <f t="shared" si="58"/>
        <v>1</v>
      </c>
      <c r="L401" s="1" t="str">
        <f t="shared" si="59"/>
        <v/>
      </c>
    </row>
    <row r="402" spans="1:12">
      <c r="A402" t="s">
        <v>295</v>
      </c>
      <c r="B402">
        <v>14</v>
      </c>
      <c r="C402" t="str">
        <f t="shared" si="53"/>
        <v>test.ImageData_14_</v>
      </c>
      <c r="D402">
        <v>1</v>
      </c>
      <c r="E402">
        <v>3.1315240083507308E-3</v>
      </c>
      <c r="F402">
        <v>3.1716881874701099E-2</v>
      </c>
      <c r="G402" s="1">
        <f t="shared" si="54"/>
        <v>3.1315240083507308E-3</v>
      </c>
      <c r="H402" s="1" t="str">
        <f t="shared" si="55"/>
        <v/>
      </c>
      <c r="I402" s="1" t="str">
        <f t="shared" si="56"/>
        <v/>
      </c>
      <c r="J402" s="1" t="str">
        <f t="shared" si="57"/>
        <v/>
      </c>
      <c r="K402" s="1" t="str">
        <f t="shared" si="58"/>
        <v/>
      </c>
      <c r="L402" s="1" t="str">
        <f t="shared" si="59"/>
        <v/>
      </c>
    </row>
    <row r="403" spans="1:12">
      <c r="A403" t="s">
        <v>295</v>
      </c>
      <c r="B403">
        <v>14</v>
      </c>
      <c r="C403" t="str">
        <f t="shared" si="53"/>
        <v>test.ImageData_14_</v>
      </c>
      <c r="D403">
        <v>2</v>
      </c>
      <c r="E403">
        <v>4.1753653444676405E-3</v>
      </c>
      <c r="F403">
        <v>3.4930655188904827E-2</v>
      </c>
      <c r="G403" s="1">
        <f t="shared" si="54"/>
        <v>4.1753653444676405E-3</v>
      </c>
      <c r="H403" s="1" t="str">
        <f t="shared" si="55"/>
        <v/>
      </c>
      <c r="I403" s="1" t="str">
        <f t="shared" si="56"/>
        <v/>
      </c>
      <c r="J403" s="1" t="str">
        <f t="shared" si="57"/>
        <v/>
      </c>
      <c r="K403" s="1" t="str">
        <f t="shared" si="58"/>
        <v/>
      </c>
      <c r="L403" s="1" t="str">
        <f t="shared" si="59"/>
        <v/>
      </c>
    </row>
    <row r="404" spans="1:12">
      <c r="A404" t="s">
        <v>295</v>
      </c>
      <c r="B404">
        <v>14</v>
      </c>
      <c r="C404" t="str">
        <f t="shared" si="53"/>
        <v>test.ImageData_14_</v>
      </c>
      <c r="D404">
        <v>3</v>
      </c>
      <c r="E404">
        <v>5.2192066805845511E-3</v>
      </c>
      <c r="F404">
        <v>3.5561932089909133E-2</v>
      </c>
      <c r="G404" s="1">
        <f t="shared" si="54"/>
        <v>5.2192066805845511E-3</v>
      </c>
      <c r="H404" s="1" t="str">
        <f t="shared" si="55"/>
        <v/>
      </c>
      <c r="I404" s="1" t="str">
        <f t="shared" si="56"/>
        <v/>
      </c>
      <c r="J404" s="1" t="str">
        <f t="shared" si="57"/>
        <v/>
      </c>
      <c r="K404" s="1" t="str">
        <f t="shared" si="58"/>
        <v/>
      </c>
      <c r="L404" s="1" t="str">
        <f t="shared" si="59"/>
        <v/>
      </c>
    </row>
    <row r="405" spans="1:12">
      <c r="A405" t="s">
        <v>295</v>
      </c>
      <c r="B405">
        <v>14</v>
      </c>
      <c r="C405" t="str">
        <f t="shared" si="53"/>
        <v>test.ImageData_14_</v>
      </c>
      <c r="D405">
        <v>4</v>
      </c>
      <c r="E405">
        <v>0.39874739039665968</v>
      </c>
      <c r="F405">
        <v>0.4415112386417982</v>
      </c>
      <c r="G405" s="1" t="str">
        <f t="shared" si="54"/>
        <v/>
      </c>
      <c r="H405" s="1" t="str">
        <f t="shared" si="55"/>
        <v/>
      </c>
      <c r="I405" s="1">
        <f t="shared" si="56"/>
        <v>0.39874739039665968</v>
      </c>
      <c r="J405" s="1" t="str">
        <f t="shared" si="57"/>
        <v/>
      </c>
      <c r="K405" s="1" t="str">
        <f t="shared" si="58"/>
        <v/>
      </c>
      <c r="L405" s="1" t="str">
        <f t="shared" si="59"/>
        <v/>
      </c>
    </row>
    <row r="406" spans="1:12">
      <c r="A406" t="s">
        <v>295</v>
      </c>
      <c r="B406">
        <v>14</v>
      </c>
      <c r="C406" t="str">
        <f t="shared" si="53"/>
        <v>test.ImageData_14_</v>
      </c>
      <c r="D406">
        <v>5</v>
      </c>
      <c r="E406">
        <v>0.58663883089770352</v>
      </c>
      <c r="F406">
        <v>0.4421616451458632</v>
      </c>
      <c r="G406" s="1" t="str">
        <f t="shared" si="54"/>
        <v/>
      </c>
      <c r="H406" s="1" t="str">
        <f t="shared" si="55"/>
        <v/>
      </c>
      <c r="I406" s="1">
        <f t="shared" si="56"/>
        <v>0.58663883089770352</v>
      </c>
      <c r="J406" s="1" t="str">
        <f t="shared" si="57"/>
        <v/>
      </c>
      <c r="K406" s="1" t="str">
        <f t="shared" si="58"/>
        <v/>
      </c>
      <c r="L406" s="1" t="str">
        <f t="shared" si="59"/>
        <v/>
      </c>
    </row>
    <row r="407" spans="1:12">
      <c r="A407" t="s">
        <v>295</v>
      </c>
      <c r="B407">
        <v>14</v>
      </c>
      <c r="C407" t="str">
        <f t="shared" si="53"/>
        <v>test.ImageData_14_</v>
      </c>
      <c r="D407">
        <v>6</v>
      </c>
      <c r="E407">
        <v>0.58768267223382042</v>
      </c>
      <c r="F407">
        <v>0.44759445241511236</v>
      </c>
      <c r="G407" s="1" t="str">
        <f t="shared" si="54"/>
        <v/>
      </c>
      <c r="H407" s="1" t="str">
        <f t="shared" si="55"/>
        <v/>
      </c>
      <c r="I407" s="1">
        <f t="shared" si="56"/>
        <v>0.58768267223382042</v>
      </c>
      <c r="J407" s="1" t="str">
        <f t="shared" si="57"/>
        <v/>
      </c>
      <c r="K407" s="1" t="str">
        <f t="shared" si="58"/>
        <v/>
      </c>
      <c r="L407" s="1" t="str">
        <f t="shared" si="59"/>
        <v/>
      </c>
    </row>
    <row r="408" spans="1:12">
      <c r="A408" t="s">
        <v>295</v>
      </c>
      <c r="B408">
        <v>14</v>
      </c>
      <c r="C408" t="str">
        <f t="shared" si="53"/>
        <v>test.ImageData_14_</v>
      </c>
      <c r="D408">
        <v>7</v>
      </c>
      <c r="E408">
        <v>0.58872651356993733</v>
      </c>
      <c r="F408">
        <v>0.44920133907221427</v>
      </c>
      <c r="G408" s="1" t="str">
        <f t="shared" si="54"/>
        <v/>
      </c>
      <c r="H408" s="1" t="str">
        <f t="shared" si="55"/>
        <v/>
      </c>
      <c r="I408" s="1">
        <f t="shared" si="56"/>
        <v>0.58872651356993733</v>
      </c>
      <c r="J408" s="1" t="str">
        <f t="shared" si="57"/>
        <v/>
      </c>
      <c r="K408" s="1" t="str">
        <f t="shared" si="58"/>
        <v/>
      </c>
      <c r="L408" s="1" t="str">
        <f t="shared" si="59"/>
        <v/>
      </c>
    </row>
    <row r="409" spans="1:12">
      <c r="A409" t="s">
        <v>295</v>
      </c>
      <c r="B409">
        <v>14</v>
      </c>
      <c r="C409" t="str">
        <f t="shared" si="53"/>
        <v>test.ImageData_14_</v>
      </c>
      <c r="D409">
        <v>8</v>
      </c>
      <c r="E409">
        <v>0.58872651356993733</v>
      </c>
      <c r="F409">
        <v>0.45423242467718794</v>
      </c>
      <c r="G409" s="1" t="str">
        <f t="shared" si="54"/>
        <v/>
      </c>
      <c r="H409" s="1" t="str">
        <f t="shared" si="55"/>
        <v/>
      </c>
      <c r="I409" s="1">
        <f t="shared" si="56"/>
        <v>0.58872651356993733</v>
      </c>
      <c r="J409" s="1" t="str">
        <f t="shared" si="57"/>
        <v/>
      </c>
      <c r="K409" s="1" t="str">
        <f t="shared" si="58"/>
        <v/>
      </c>
      <c r="L409" s="1" t="str">
        <f t="shared" si="59"/>
        <v/>
      </c>
    </row>
    <row r="410" spans="1:12">
      <c r="A410" t="s">
        <v>295</v>
      </c>
      <c r="B410">
        <v>14</v>
      </c>
      <c r="C410" t="str">
        <f t="shared" si="53"/>
        <v>test.ImageData_14_</v>
      </c>
      <c r="D410">
        <v>9</v>
      </c>
      <c r="E410">
        <v>0.58872651356993733</v>
      </c>
      <c r="F410">
        <v>0.4819894787183166</v>
      </c>
      <c r="G410" s="1" t="str">
        <f t="shared" si="54"/>
        <v/>
      </c>
      <c r="H410" s="1" t="str">
        <f t="shared" si="55"/>
        <v/>
      </c>
      <c r="I410" s="1">
        <f t="shared" si="56"/>
        <v>0.58872651356993733</v>
      </c>
      <c r="J410" s="1" t="str">
        <f t="shared" si="57"/>
        <v/>
      </c>
      <c r="K410" s="1" t="str">
        <f t="shared" si="58"/>
        <v/>
      </c>
      <c r="L410" s="1" t="str">
        <f t="shared" si="59"/>
        <v/>
      </c>
    </row>
    <row r="411" spans="1:12">
      <c r="A411" t="s">
        <v>295</v>
      </c>
      <c r="B411">
        <v>14</v>
      </c>
      <c r="C411" t="str">
        <f t="shared" si="53"/>
        <v>test.ImageData_14_</v>
      </c>
      <c r="D411">
        <v>10</v>
      </c>
      <c r="E411">
        <v>0.9989561586638831</v>
      </c>
      <c r="F411">
        <v>0.75072214251554281</v>
      </c>
      <c r="G411" s="1" t="str">
        <f t="shared" si="54"/>
        <v/>
      </c>
      <c r="H411" s="1" t="str">
        <f t="shared" si="55"/>
        <v/>
      </c>
      <c r="I411" s="1" t="str">
        <f t="shared" si="56"/>
        <v/>
      </c>
      <c r="J411" s="1">
        <f t="shared" si="57"/>
        <v>0.9989561586638831</v>
      </c>
      <c r="K411" s="1" t="str">
        <f t="shared" si="58"/>
        <v/>
      </c>
      <c r="L411" s="1" t="str">
        <f t="shared" si="59"/>
        <v/>
      </c>
    </row>
    <row r="412" spans="1:12">
      <c r="A412" t="s">
        <v>295</v>
      </c>
      <c r="B412">
        <v>14</v>
      </c>
      <c r="C412" t="str">
        <f t="shared" si="53"/>
        <v>test.ImageData_14_</v>
      </c>
      <c r="D412">
        <v>11</v>
      </c>
      <c r="E412">
        <v>1</v>
      </c>
      <c r="F412">
        <v>0.7521759923481588</v>
      </c>
      <c r="G412" s="1" t="str">
        <f t="shared" si="54"/>
        <v/>
      </c>
      <c r="H412" s="1" t="str">
        <f t="shared" si="55"/>
        <v/>
      </c>
      <c r="I412" s="1" t="str">
        <f t="shared" si="56"/>
        <v/>
      </c>
      <c r="J412" s="1">
        <f t="shared" si="57"/>
        <v>1</v>
      </c>
      <c r="K412" s="1" t="str">
        <f t="shared" si="58"/>
        <v/>
      </c>
      <c r="L412" s="1" t="str">
        <f t="shared" si="59"/>
        <v/>
      </c>
    </row>
    <row r="413" spans="1:12">
      <c r="A413" t="s">
        <v>295</v>
      </c>
      <c r="B413">
        <v>15</v>
      </c>
      <c r="C413" t="str">
        <f t="shared" si="53"/>
        <v>test.ImageData_15_</v>
      </c>
      <c r="D413">
        <v>1</v>
      </c>
      <c r="E413">
        <v>2.1008403361344537E-3</v>
      </c>
      <c r="F413">
        <v>1.1972592859718717E-2</v>
      </c>
      <c r="G413" s="1">
        <f t="shared" si="54"/>
        <v>2.1008403361344537E-3</v>
      </c>
      <c r="H413" s="1" t="str">
        <f t="shared" si="55"/>
        <v/>
      </c>
      <c r="I413" s="1" t="str">
        <f t="shared" si="56"/>
        <v/>
      </c>
      <c r="J413" s="1" t="str">
        <f t="shared" si="57"/>
        <v/>
      </c>
      <c r="K413" s="1" t="str">
        <f t="shared" si="58"/>
        <v/>
      </c>
      <c r="L413" s="1" t="str">
        <f t="shared" si="59"/>
        <v/>
      </c>
    </row>
    <row r="414" spans="1:12">
      <c r="A414" t="s">
        <v>295</v>
      </c>
      <c r="B414">
        <v>15</v>
      </c>
      <c r="C414" t="str">
        <f t="shared" si="53"/>
        <v>test.ImageData_15_</v>
      </c>
      <c r="D414">
        <v>2</v>
      </c>
      <c r="E414">
        <v>6.3025210084033615E-3</v>
      </c>
      <c r="F414">
        <v>1.6516408222142086E-2</v>
      </c>
      <c r="G414" s="1">
        <f t="shared" si="54"/>
        <v>6.3025210084033615E-3</v>
      </c>
      <c r="H414" s="1" t="str">
        <f t="shared" si="55"/>
        <v/>
      </c>
      <c r="I414" s="1" t="str">
        <f t="shared" si="56"/>
        <v/>
      </c>
      <c r="J414" s="1" t="str">
        <f t="shared" si="57"/>
        <v/>
      </c>
      <c r="K414" s="1" t="str">
        <f t="shared" si="58"/>
        <v/>
      </c>
      <c r="L414" s="1" t="str">
        <f t="shared" si="59"/>
        <v/>
      </c>
    </row>
    <row r="415" spans="1:12">
      <c r="A415" t="s">
        <v>295</v>
      </c>
      <c r="B415">
        <v>15</v>
      </c>
      <c r="C415" t="str">
        <f t="shared" si="53"/>
        <v>test.ImageData_15_</v>
      </c>
      <c r="D415">
        <v>3</v>
      </c>
      <c r="E415">
        <v>1.050420168067227E-2</v>
      </c>
      <c r="F415">
        <v>2.0555355210962856E-2</v>
      </c>
      <c r="G415" s="1">
        <f t="shared" si="54"/>
        <v>1.050420168067227E-2</v>
      </c>
      <c r="H415" s="1" t="str">
        <f t="shared" si="55"/>
        <v/>
      </c>
      <c r="I415" s="1" t="str">
        <f t="shared" si="56"/>
        <v/>
      </c>
      <c r="J415" s="1" t="str">
        <f t="shared" si="57"/>
        <v/>
      </c>
      <c r="K415" s="1" t="str">
        <f t="shared" si="58"/>
        <v/>
      </c>
      <c r="L415" s="1" t="str">
        <f t="shared" si="59"/>
        <v/>
      </c>
    </row>
    <row r="416" spans="1:12">
      <c r="A416" t="s">
        <v>295</v>
      </c>
      <c r="B416">
        <v>15</v>
      </c>
      <c r="C416" t="str">
        <f t="shared" si="53"/>
        <v>test.ImageData_15_</v>
      </c>
      <c r="D416">
        <v>4</v>
      </c>
      <c r="E416">
        <v>1</v>
      </c>
      <c r="F416">
        <v>0.99112874143526863</v>
      </c>
      <c r="G416" s="1" t="str">
        <f t="shared" si="54"/>
        <v/>
      </c>
      <c r="H416" s="1" t="str">
        <f t="shared" si="55"/>
        <v/>
      </c>
      <c r="I416" s="1" t="str">
        <f t="shared" si="56"/>
        <v/>
      </c>
      <c r="J416" s="1" t="str">
        <f t="shared" si="57"/>
        <v/>
      </c>
      <c r="K416" s="1">
        <f t="shared" si="58"/>
        <v>1</v>
      </c>
      <c r="L416" s="1" t="str">
        <f t="shared" si="59"/>
        <v/>
      </c>
    </row>
    <row r="417" spans="1:12">
      <c r="A417" t="s">
        <v>295</v>
      </c>
      <c r="B417">
        <v>16</v>
      </c>
      <c r="C417" t="str">
        <f t="shared" si="53"/>
        <v>test.ImageData_16_</v>
      </c>
      <c r="D417">
        <v>1</v>
      </c>
      <c r="E417">
        <v>1.6474464579901153E-3</v>
      </c>
      <c r="F417">
        <v>7.6115788259716296E-3</v>
      </c>
      <c r="G417" s="1">
        <f t="shared" si="54"/>
        <v>1.6474464579901153E-3</v>
      </c>
      <c r="H417" s="1" t="str">
        <f t="shared" si="55"/>
        <v/>
      </c>
      <c r="I417" s="1" t="str">
        <f t="shared" si="56"/>
        <v/>
      </c>
      <c r="J417" s="1" t="str">
        <f t="shared" si="57"/>
        <v/>
      </c>
      <c r="K417" s="1" t="str">
        <f t="shared" si="58"/>
        <v/>
      </c>
      <c r="L417" s="1" t="str">
        <f t="shared" si="59"/>
        <v/>
      </c>
    </row>
    <row r="418" spans="1:12">
      <c r="A418" t="s">
        <v>295</v>
      </c>
      <c r="B418">
        <v>16</v>
      </c>
      <c r="C418" t="str">
        <f t="shared" si="53"/>
        <v>test.ImageData_16_</v>
      </c>
      <c r="D418">
        <v>2</v>
      </c>
      <c r="E418">
        <v>4.9423393739703456E-3</v>
      </c>
      <c r="F418">
        <v>9.6490216430246412E-3</v>
      </c>
      <c r="G418" s="1">
        <f t="shared" si="54"/>
        <v>4.9423393739703456E-3</v>
      </c>
      <c r="H418" s="1" t="str">
        <f t="shared" si="55"/>
        <v/>
      </c>
      <c r="I418" s="1" t="str">
        <f t="shared" si="56"/>
        <v/>
      </c>
      <c r="J418" s="1" t="str">
        <f t="shared" si="57"/>
        <v/>
      </c>
      <c r="K418" s="1" t="str">
        <f t="shared" si="58"/>
        <v/>
      </c>
      <c r="L418" s="1" t="str">
        <f t="shared" si="59"/>
        <v/>
      </c>
    </row>
    <row r="419" spans="1:12">
      <c r="A419" t="s">
        <v>295</v>
      </c>
      <c r="B419">
        <v>16</v>
      </c>
      <c r="C419" t="str">
        <f t="shared" si="53"/>
        <v>test.ImageData_16_</v>
      </c>
      <c r="D419">
        <v>3</v>
      </c>
      <c r="E419">
        <v>8.2372322899505763E-3</v>
      </c>
      <c r="F419">
        <v>3.8250105716372586E-2</v>
      </c>
      <c r="G419" s="1">
        <f t="shared" si="54"/>
        <v>8.2372322899505763E-3</v>
      </c>
      <c r="H419" s="1" t="str">
        <f t="shared" si="55"/>
        <v/>
      </c>
      <c r="I419" s="1" t="str">
        <f t="shared" si="56"/>
        <v/>
      </c>
      <c r="J419" s="1" t="str">
        <f t="shared" si="57"/>
        <v/>
      </c>
      <c r="K419" s="1" t="str">
        <f t="shared" si="58"/>
        <v/>
      </c>
      <c r="L419" s="1" t="str">
        <f t="shared" si="59"/>
        <v/>
      </c>
    </row>
    <row r="420" spans="1:12">
      <c r="A420" t="s">
        <v>295</v>
      </c>
      <c r="B420">
        <v>16</v>
      </c>
      <c r="C420" t="str">
        <f t="shared" si="53"/>
        <v>test.ImageData_16_</v>
      </c>
      <c r="D420">
        <v>4</v>
      </c>
      <c r="E420">
        <v>1</v>
      </c>
      <c r="F420">
        <v>1.0715795948179756</v>
      </c>
      <c r="G420" s="1" t="str">
        <f t="shared" si="54"/>
        <v/>
      </c>
      <c r="H420" s="1" t="str">
        <f t="shared" si="55"/>
        <v/>
      </c>
      <c r="I420" s="1" t="str">
        <f t="shared" si="56"/>
        <v/>
      </c>
      <c r="J420" s="1" t="str">
        <f t="shared" si="57"/>
        <v/>
      </c>
      <c r="K420" s="1">
        <f t="shared" si="58"/>
        <v>1</v>
      </c>
      <c r="L420" s="1" t="str">
        <f t="shared" si="59"/>
        <v/>
      </c>
    </row>
    <row r="421" spans="1:12">
      <c r="A421" t="s">
        <v>295</v>
      </c>
      <c r="B421">
        <v>20</v>
      </c>
      <c r="C421" t="str">
        <f t="shared" si="53"/>
        <v>test.ImageData_20_</v>
      </c>
      <c r="D421">
        <v>1</v>
      </c>
      <c r="E421">
        <v>0.59259259259259256</v>
      </c>
      <c r="F421">
        <v>0.54224860335195535</v>
      </c>
      <c r="G421" s="1" t="str">
        <f t="shared" si="54"/>
        <v/>
      </c>
      <c r="H421" s="1" t="str">
        <f t="shared" si="55"/>
        <v/>
      </c>
      <c r="I421" s="1">
        <f t="shared" si="56"/>
        <v>0.59259259259259256</v>
      </c>
      <c r="J421" s="1" t="str">
        <f t="shared" si="57"/>
        <v/>
      </c>
      <c r="K421" s="1" t="str">
        <f t="shared" si="58"/>
        <v/>
      </c>
      <c r="L421" s="1" t="str">
        <f t="shared" si="59"/>
        <v/>
      </c>
    </row>
    <row r="422" spans="1:12">
      <c r="A422" t="s">
        <v>295</v>
      </c>
      <c r="B422">
        <v>20</v>
      </c>
      <c r="C422" t="str">
        <f t="shared" si="53"/>
        <v>test.ImageData_20_</v>
      </c>
      <c r="D422">
        <v>2</v>
      </c>
      <c r="E422">
        <v>1</v>
      </c>
      <c r="F422">
        <v>0.55935754189944131</v>
      </c>
      <c r="G422" s="1" t="str">
        <f t="shared" si="54"/>
        <v/>
      </c>
      <c r="H422" s="1" t="str">
        <f t="shared" si="55"/>
        <v/>
      </c>
      <c r="I422" s="1">
        <f t="shared" si="56"/>
        <v>1</v>
      </c>
      <c r="J422" s="1" t="str">
        <f t="shared" si="57"/>
        <v/>
      </c>
      <c r="K422" s="1" t="str">
        <f t="shared" si="58"/>
        <v/>
      </c>
      <c r="L422" s="1" t="str">
        <f t="shared" si="59"/>
        <v/>
      </c>
    </row>
    <row r="423" spans="1:12">
      <c r="A423" t="s">
        <v>295</v>
      </c>
      <c r="B423">
        <v>21</v>
      </c>
      <c r="C423" t="str">
        <f t="shared" si="53"/>
        <v>test.ImageData_21_</v>
      </c>
      <c r="D423">
        <v>1</v>
      </c>
      <c r="E423">
        <v>0.54385964912280704</v>
      </c>
      <c r="F423">
        <v>0.52016198518007928</v>
      </c>
      <c r="G423" s="1" t="str">
        <f t="shared" si="54"/>
        <v/>
      </c>
      <c r="H423" s="1" t="str">
        <f t="shared" si="55"/>
        <v/>
      </c>
      <c r="I423" s="1">
        <f t="shared" si="56"/>
        <v>0.54385964912280704</v>
      </c>
      <c r="J423" s="1" t="str">
        <f t="shared" si="57"/>
        <v/>
      </c>
      <c r="K423" s="1" t="str">
        <f t="shared" si="58"/>
        <v/>
      </c>
      <c r="L423" s="1" t="str">
        <f t="shared" si="59"/>
        <v/>
      </c>
    </row>
    <row r="424" spans="1:12">
      <c r="A424" t="s">
        <v>295</v>
      </c>
      <c r="B424">
        <v>21</v>
      </c>
      <c r="C424" t="str">
        <f t="shared" si="53"/>
        <v>test.ImageData_21_</v>
      </c>
      <c r="D424">
        <v>2</v>
      </c>
      <c r="E424">
        <v>1</v>
      </c>
      <c r="F424">
        <v>0.5364466655178356</v>
      </c>
      <c r="G424" s="1" t="str">
        <f t="shared" si="54"/>
        <v/>
      </c>
      <c r="H424" s="1" t="str">
        <f t="shared" si="55"/>
        <v/>
      </c>
      <c r="I424" s="1">
        <f t="shared" si="56"/>
        <v>1</v>
      </c>
      <c r="J424" s="1" t="str">
        <f t="shared" si="57"/>
        <v/>
      </c>
      <c r="K424" s="1" t="str">
        <f t="shared" si="58"/>
        <v/>
      </c>
      <c r="L424" s="1" t="str">
        <f t="shared" si="59"/>
        <v/>
      </c>
    </row>
    <row r="425" spans="1:12">
      <c r="A425" t="s">
        <v>344</v>
      </c>
      <c r="B425">
        <v>0</v>
      </c>
      <c r="C425" t="str">
        <f t="shared" si="53"/>
        <v>test.QRCodeDataBlockReader_0_</v>
      </c>
      <c r="D425">
        <v>1</v>
      </c>
      <c r="E425">
        <v>0.1</v>
      </c>
      <c r="F425">
        <v>0.40909090909090912</v>
      </c>
      <c r="G425" s="1" t="str">
        <f t="shared" si="54"/>
        <v/>
      </c>
      <c r="H425" s="1" t="str">
        <f t="shared" si="55"/>
        <v/>
      </c>
      <c r="I425" s="1">
        <f t="shared" si="56"/>
        <v>0.1</v>
      </c>
      <c r="J425" s="1" t="str">
        <f t="shared" si="57"/>
        <v/>
      </c>
      <c r="K425" s="1" t="str">
        <f t="shared" si="58"/>
        <v/>
      </c>
      <c r="L425" s="1" t="str">
        <f t="shared" si="59"/>
        <v/>
      </c>
    </row>
    <row r="426" spans="1:12">
      <c r="A426" t="s">
        <v>344</v>
      </c>
      <c r="B426">
        <v>0</v>
      </c>
      <c r="C426" t="str">
        <f t="shared" si="53"/>
        <v>test.QRCodeDataBlockReader_0_</v>
      </c>
      <c r="D426">
        <v>2</v>
      </c>
      <c r="E426">
        <v>0.4</v>
      </c>
      <c r="F426">
        <v>0.61931818181818177</v>
      </c>
      <c r="G426" s="1" t="str">
        <f t="shared" si="54"/>
        <v/>
      </c>
      <c r="H426" s="1" t="str">
        <f t="shared" si="55"/>
        <v/>
      </c>
      <c r="I426" s="1" t="str">
        <f t="shared" si="56"/>
        <v/>
      </c>
      <c r="J426" s="1">
        <f t="shared" si="57"/>
        <v>0.4</v>
      </c>
      <c r="K426" s="1" t="str">
        <f t="shared" si="58"/>
        <v/>
      </c>
      <c r="L426" s="1" t="str">
        <f t="shared" si="59"/>
        <v/>
      </c>
    </row>
    <row r="427" spans="1:12">
      <c r="A427" t="s">
        <v>344</v>
      </c>
      <c r="B427">
        <v>0</v>
      </c>
      <c r="C427" t="str">
        <f t="shared" si="53"/>
        <v>test.QRCodeDataBlockReader_0_</v>
      </c>
      <c r="D427">
        <v>3</v>
      </c>
      <c r="E427">
        <v>0.6</v>
      </c>
      <c r="F427">
        <v>0.71022727272727271</v>
      </c>
      <c r="G427" s="1" t="str">
        <f t="shared" si="54"/>
        <v/>
      </c>
      <c r="H427" s="1" t="str">
        <f t="shared" si="55"/>
        <v/>
      </c>
      <c r="I427" s="1" t="str">
        <f t="shared" si="56"/>
        <v/>
      </c>
      <c r="J427" s="1">
        <f t="shared" si="57"/>
        <v>0.6</v>
      </c>
      <c r="K427" s="1" t="str">
        <f t="shared" si="58"/>
        <v/>
      </c>
      <c r="L427" s="1" t="str">
        <f t="shared" si="59"/>
        <v/>
      </c>
    </row>
    <row r="428" spans="1:12">
      <c r="A428" t="s">
        <v>344</v>
      </c>
      <c r="B428">
        <v>0</v>
      </c>
      <c r="C428" t="str">
        <f t="shared" si="53"/>
        <v>test.QRCodeDataBlockReader_0_</v>
      </c>
      <c r="D428">
        <v>4</v>
      </c>
      <c r="E428">
        <v>1</v>
      </c>
      <c r="F428">
        <v>1.0170454545454546</v>
      </c>
      <c r="G428" s="1" t="str">
        <f t="shared" si="54"/>
        <v/>
      </c>
      <c r="H428" s="1" t="str">
        <f t="shared" si="55"/>
        <v/>
      </c>
      <c r="I428" s="1" t="str">
        <f t="shared" si="56"/>
        <v/>
      </c>
      <c r="J428" s="1" t="str">
        <f t="shared" si="57"/>
        <v/>
      </c>
      <c r="K428" s="1">
        <f t="shared" si="58"/>
        <v>1</v>
      </c>
      <c r="L428" s="1" t="str">
        <f t="shared" si="59"/>
        <v/>
      </c>
    </row>
    <row r="429" spans="1:12">
      <c r="A429" t="s">
        <v>344</v>
      </c>
      <c r="B429">
        <v>1</v>
      </c>
      <c r="C429" t="str">
        <f t="shared" si="53"/>
        <v>test.QRCodeDataBlockReader_1_</v>
      </c>
      <c r="D429">
        <v>1</v>
      </c>
      <c r="E429">
        <v>9.7345132743362831E-2</v>
      </c>
      <c r="F429">
        <v>8.3630598493856526E-2</v>
      </c>
      <c r="G429" s="1">
        <f t="shared" si="54"/>
        <v>9.7345132743362831E-2</v>
      </c>
      <c r="H429" s="1" t="str">
        <f t="shared" si="55"/>
        <v/>
      </c>
      <c r="I429" s="1" t="str">
        <f t="shared" si="56"/>
        <v/>
      </c>
      <c r="J429" s="1" t="str">
        <f t="shared" si="57"/>
        <v/>
      </c>
      <c r="K429" s="1" t="str">
        <f t="shared" si="58"/>
        <v/>
      </c>
      <c r="L429" s="1" t="str">
        <f t="shared" si="59"/>
        <v/>
      </c>
    </row>
    <row r="430" spans="1:12">
      <c r="A430" t="s">
        <v>344</v>
      </c>
      <c r="B430">
        <v>1</v>
      </c>
      <c r="C430" t="str">
        <f t="shared" si="53"/>
        <v>test.QRCodeDataBlockReader_1_</v>
      </c>
      <c r="D430">
        <v>2</v>
      </c>
      <c r="E430">
        <v>0.26548672566371684</v>
      </c>
      <c r="F430">
        <v>0.19949795217333863</v>
      </c>
      <c r="G430" s="1">
        <f t="shared" si="54"/>
        <v>0.26548672566371684</v>
      </c>
      <c r="H430" s="1" t="str">
        <f t="shared" si="55"/>
        <v/>
      </c>
      <c r="I430" s="1" t="str">
        <f t="shared" si="56"/>
        <v/>
      </c>
      <c r="J430" s="1" t="str">
        <f t="shared" si="57"/>
        <v/>
      </c>
      <c r="K430" s="1" t="str">
        <f t="shared" si="58"/>
        <v/>
      </c>
      <c r="L430" s="1" t="str">
        <f t="shared" si="59"/>
        <v/>
      </c>
    </row>
    <row r="431" spans="1:12">
      <c r="A431" t="s">
        <v>344</v>
      </c>
      <c r="B431">
        <v>1</v>
      </c>
      <c r="C431" t="str">
        <f t="shared" si="53"/>
        <v>test.QRCodeDataBlockReader_1_</v>
      </c>
      <c r="D431">
        <v>3</v>
      </c>
      <c r="E431">
        <v>0.51327433628318586</v>
      </c>
      <c r="F431">
        <v>0.28629937904610914</v>
      </c>
      <c r="G431" s="1" t="str">
        <f t="shared" si="54"/>
        <v/>
      </c>
      <c r="H431" s="1">
        <f t="shared" si="55"/>
        <v>0.51327433628318586</v>
      </c>
      <c r="I431" s="1" t="str">
        <f t="shared" si="56"/>
        <v/>
      </c>
      <c r="J431" s="1" t="str">
        <f t="shared" si="57"/>
        <v/>
      </c>
      <c r="K431" s="1" t="str">
        <f t="shared" si="58"/>
        <v/>
      </c>
      <c r="L431" s="1" t="str">
        <f t="shared" si="59"/>
        <v/>
      </c>
    </row>
    <row r="432" spans="1:12">
      <c r="A432" t="s">
        <v>344</v>
      </c>
      <c r="B432">
        <v>1</v>
      </c>
      <c r="C432" t="str">
        <f t="shared" si="53"/>
        <v>test.QRCodeDataBlockReader_1_</v>
      </c>
      <c r="D432">
        <v>4</v>
      </c>
      <c r="E432">
        <v>1</v>
      </c>
      <c r="F432">
        <v>0.61395164486722154</v>
      </c>
      <c r="G432" s="1" t="str">
        <f t="shared" si="54"/>
        <v/>
      </c>
      <c r="H432" s="1" t="str">
        <f t="shared" si="55"/>
        <v/>
      </c>
      <c r="I432" s="1" t="str">
        <f t="shared" si="56"/>
        <v/>
      </c>
      <c r="J432" s="1">
        <f t="shared" si="57"/>
        <v>1</v>
      </c>
      <c r="K432" s="1" t="str">
        <f t="shared" si="58"/>
        <v/>
      </c>
      <c r="L432" s="1" t="str">
        <f t="shared" si="59"/>
        <v/>
      </c>
    </row>
    <row r="433" spans="1:12">
      <c r="A433" t="s">
        <v>348</v>
      </c>
      <c r="B433">
        <v>1</v>
      </c>
      <c r="C433" t="str">
        <f t="shared" si="53"/>
        <v>test.StructurePanel_1_</v>
      </c>
      <c r="D433">
        <v>1</v>
      </c>
      <c r="E433">
        <v>0.10638297872340426</v>
      </c>
      <c r="F433">
        <v>0.12559923298178333</v>
      </c>
      <c r="G433" s="1">
        <f t="shared" si="54"/>
        <v>0.10638297872340426</v>
      </c>
      <c r="H433" s="1" t="str">
        <f t="shared" si="55"/>
        <v/>
      </c>
      <c r="I433" s="1" t="str">
        <f t="shared" si="56"/>
        <v/>
      </c>
      <c r="J433" s="1" t="str">
        <f t="shared" si="57"/>
        <v/>
      </c>
      <c r="K433" s="1" t="str">
        <f t="shared" si="58"/>
        <v/>
      </c>
      <c r="L433" s="1" t="str">
        <f t="shared" si="59"/>
        <v/>
      </c>
    </row>
    <row r="434" spans="1:12">
      <c r="A434" t="s">
        <v>348</v>
      </c>
      <c r="B434">
        <v>1</v>
      </c>
      <c r="C434" t="str">
        <f t="shared" si="53"/>
        <v>test.StructurePanel_1_</v>
      </c>
      <c r="D434">
        <v>2</v>
      </c>
      <c r="E434">
        <v>0.18085106382978725</v>
      </c>
      <c r="F434">
        <v>0.12783636944710769</v>
      </c>
      <c r="G434" s="1">
        <f t="shared" si="54"/>
        <v>0.18085106382978725</v>
      </c>
      <c r="H434" s="1" t="str">
        <f t="shared" si="55"/>
        <v/>
      </c>
      <c r="I434" s="1" t="str">
        <f t="shared" si="56"/>
        <v/>
      </c>
      <c r="J434" s="1" t="str">
        <f t="shared" si="57"/>
        <v/>
      </c>
      <c r="K434" s="1" t="str">
        <f t="shared" si="58"/>
        <v/>
      </c>
      <c r="L434" s="1" t="str">
        <f t="shared" si="59"/>
        <v/>
      </c>
    </row>
    <row r="435" spans="1:12">
      <c r="A435" t="s">
        <v>348</v>
      </c>
      <c r="B435">
        <v>1</v>
      </c>
      <c r="C435" t="str">
        <f t="shared" si="53"/>
        <v>test.StructurePanel_1_</v>
      </c>
      <c r="D435">
        <v>3</v>
      </c>
      <c r="E435">
        <v>0.2978723404255319</v>
      </c>
      <c r="F435">
        <v>0.23777564717162034</v>
      </c>
      <c r="G435" s="1" t="str">
        <f t="shared" si="54"/>
        <v/>
      </c>
      <c r="H435" s="1">
        <f t="shared" si="55"/>
        <v>0.2978723404255319</v>
      </c>
      <c r="I435" s="1" t="str">
        <f t="shared" si="56"/>
        <v/>
      </c>
      <c r="J435" s="1" t="str">
        <f t="shared" si="57"/>
        <v/>
      </c>
      <c r="K435" s="1" t="str">
        <f t="shared" si="58"/>
        <v/>
      </c>
      <c r="L435" s="1" t="str">
        <f t="shared" si="59"/>
        <v/>
      </c>
    </row>
    <row r="436" spans="1:12">
      <c r="A436" t="s">
        <v>348</v>
      </c>
      <c r="B436">
        <v>1</v>
      </c>
      <c r="C436" t="str">
        <f t="shared" si="53"/>
        <v>test.StructurePanel_1_</v>
      </c>
      <c r="D436">
        <v>4</v>
      </c>
      <c r="E436">
        <v>0.43617021276595747</v>
      </c>
      <c r="F436">
        <v>0.23873441994247363</v>
      </c>
      <c r="G436" s="1" t="str">
        <f t="shared" si="54"/>
        <v/>
      </c>
      <c r="H436" s="1">
        <f t="shared" si="55"/>
        <v>0.43617021276595747</v>
      </c>
      <c r="I436" s="1" t="str">
        <f t="shared" si="56"/>
        <v/>
      </c>
      <c r="J436" s="1" t="str">
        <f t="shared" si="57"/>
        <v/>
      </c>
      <c r="K436" s="1" t="str">
        <f t="shared" si="58"/>
        <v/>
      </c>
      <c r="L436" s="1" t="str">
        <f t="shared" si="59"/>
        <v/>
      </c>
    </row>
    <row r="437" spans="1:12">
      <c r="A437" t="s">
        <v>348</v>
      </c>
      <c r="B437">
        <v>1</v>
      </c>
      <c r="C437" t="str">
        <f t="shared" si="53"/>
        <v>test.StructurePanel_1_</v>
      </c>
      <c r="D437">
        <v>5</v>
      </c>
      <c r="E437">
        <v>0.56382978723404253</v>
      </c>
      <c r="F437">
        <v>0.25087887503994888</v>
      </c>
      <c r="G437" s="1" t="str">
        <f t="shared" si="54"/>
        <v/>
      </c>
      <c r="H437" s="1">
        <f t="shared" si="55"/>
        <v>0.56382978723404253</v>
      </c>
      <c r="I437" s="1" t="str">
        <f t="shared" si="56"/>
        <v/>
      </c>
      <c r="J437" s="1" t="str">
        <f t="shared" si="57"/>
        <v/>
      </c>
      <c r="K437" s="1" t="str">
        <f t="shared" si="58"/>
        <v/>
      </c>
      <c r="L437" s="1" t="str">
        <f t="shared" si="59"/>
        <v/>
      </c>
    </row>
    <row r="438" spans="1:12">
      <c r="A438" t="s">
        <v>348</v>
      </c>
      <c r="B438">
        <v>1</v>
      </c>
      <c r="C438" t="str">
        <f t="shared" si="53"/>
        <v>test.StructurePanel_1_</v>
      </c>
      <c r="D438">
        <v>6</v>
      </c>
      <c r="E438">
        <v>0.69148936170212771</v>
      </c>
      <c r="F438">
        <v>0.25343560242889102</v>
      </c>
      <c r="G438" s="1" t="str">
        <f t="shared" si="54"/>
        <v/>
      </c>
      <c r="H438" s="1">
        <f t="shared" si="55"/>
        <v>0.69148936170212771</v>
      </c>
      <c r="I438" s="1" t="str">
        <f t="shared" si="56"/>
        <v/>
      </c>
      <c r="J438" s="1" t="str">
        <f t="shared" si="57"/>
        <v/>
      </c>
      <c r="K438" s="1" t="str">
        <f t="shared" si="58"/>
        <v/>
      </c>
      <c r="L438" s="1" t="str">
        <f t="shared" si="59"/>
        <v/>
      </c>
    </row>
    <row r="439" spans="1:12">
      <c r="A439" t="s">
        <v>348</v>
      </c>
      <c r="B439">
        <v>1</v>
      </c>
      <c r="C439" t="str">
        <f t="shared" si="53"/>
        <v>test.StructurePanel_1_</v>
      </c>
      <c r="D439">
        <v>7</v>
      </c>
      <c r="E439">
        <v>0.85106382978723405</v>
      </c>
      <c r="F439">
        <v>0.26206455736657081</v>
      </c>
      <c r="G439" s="1" t="str">
        <f t="shared" si="54"/>
        <v/>
      </c>
      <c r="H439" s="1">
        <f t="shared" si="55"/>
        <v>0.85106382978723405</v>
      </c>
      <c r="I439" s="1" t="str">
        <f t="shared" si="56"/>
        <v/>
      </c>
      <c r="J439" s="1" t="str">
        <f t="shared" si="57"/>
        <v/>
      </c>
      <c r="K439" s="1" t="str">
        <f t="shared" si="58"/>
        <v/>
      </c>
      <c r="L439" s="1" t="str">
        <f t="shared" si="59"/>
        <v/>
      </c>
    </row>
    <row r="440" spans="1:12">
      <c r="A440" t="s">
        <v>348</v>
      </c>
      <c r="B440">
        <v>1</v>
      </c>
      <c r="C440" t="str">
        <f t="shared" si="53"/>
        <v>test.StructurePanel_1_</v>
      </c>
      <c r="D440">
        <v>8</v>
      </c>
      <c r="E440">
        <v>1</v>
      </c>
      <c r="F440">
        <v>0.50942793224672422</v>
      </c>
      <c r="G440" s="1" t="str">
        <f t="shared" si="54"/>
        <v/>
      </c>
      <c r="H440" s="1" t="str">
        <f t="shared" si="55"/>
        <v/>
      </c>
      <c r="I440" s="1">
        <f t="shared" si="56"/>
        <v>1</v>
      </c>
      <c r="J440" s="1" t="str">
        <f t="shared" si="57"/>
        <v/>
      </c>
      <c r="K440" s="1" t="str">
        <f t="shared" si="58"/>
        <v/>
      </c>
      <c r="L440" s="1" t="str">
        <f t="shared" si="59"/>
        <v/>
      </c>
    </row>
    <row r="441" spans="1:12">
      <c r="A441" t="s">
        <v>354</v>
      </c>
      <c r="B441">
        <v>1</v>
      </c>
      <c r="C441" t="str">
        <f t="shared" si="53"/>
        <v>test.WorldController_1_</v>
      </c>
      <c r="D441">
        <v>1</v>
      </c>
      <c r="E441">
        <v>0.21301775147928995</v>
      </c>
      <c r="F441">
        <v>0.20127418593676263</v>
      </c>
      <c r="G441" s="1" t="str">
        <f t="shared" si="54"/>
        <v/>
      </c>
      <c r="H441" s="1">
        <f t="shared" si="55"/>
        <v>0.21301775147928995</v>
      </c>
      <c r="I441" s="1" t="str">
        <f t="shared" si="56"/>
        <v/>
      </c>
      <c r="J441" s="1" t="str">
        <f t="shared" si="57"/>
        <v/>
      </c>
      <c r="K441" s="1" t="str">
        <f t="shared" si="58"/>
        <v/>
      </c>
      <c r="L441" s="1" t="str">
        <f t="shared" si="59"/>
        <v/>
      </c>
    </row>
    <row r="442" spans="1:12">
      <c r="A442" t="s">
        <v>354</v>
      </c>
      <c r="B442">
        <v>1</v>
      </c>
      <c r="C442" t="str">
        <f t="shared" si="53"/>
        <v>test.WorldController_1_</v>
      </c>
      <c r="D442">
        <v>2</v>
      </c>
      <c r="E442">
        <v>0.41420118343195267</v>
      </c>
      <c r="F442">
        <v>0.21338681768129622</v>
      </c>
      <c r="G442" s="1" t="str">
        <f t="shared" si="54"/>
        <v/>
      </c>
      <c r="H442" s="1">
        <f t="shared" si="55"/>
        <v>0.41420118343195267</v>
      </c>
      <c r="I442" s="1" t="str">
        <f t="shared" si="56"/>
        <v/>
      </c>
      <c r="J442" s="1" t="str">
        <f t="shared" si="57"/>
        <v/>
      </c>
      <c r="K442" s="1" t="str">
        <f t="shared" si="58"/>
        <v/>
      </c>
      <c r="L442" s="1" t="str">
        <f t="shared" si="59"/>
        <v/>
      </c>
    </row>
    <row r="443" spans="1:12">
      <c r="A443" t="s">
        <v>354</v>
      </c>
      <c r="B443">
        <v>1</v>
      </c>
      <c r="C443" t="str">
        <f t="shared" si="53"/>
        <v>test.WorldController_1_</v>
      </c>
      <c r="D443">
        <v>3</v>
      </c>
      <c r="E443">
        <v>0.60946745562130178</v>
      </c>
      <c r="F443">
        <v>0.23485921031933302</v>
      </c>
      <c r="G443" s="1" t="str">
        <f t="shared" si="54"/>
        <v/>
      </c>
      <c r="H443" s="1">
        <f t="shared" si="55"/>
        <v>0.60946745562130178</v>
      </c>
      <c r="I443" s="1" t="str">
        <f t="shared" si="56"/>
        <v/>
      </c>
      <c r="J443" s="1" t="str">
        <f t="shared" si="57"/>
        <v/>
      </c>
      <c r="K443" s="1" t="str">
        <f t="shared" si="58"/>
        <v/>
      </c>
      <c r="L443" s="1" t="str">
        <f t="shared" si="59"/>
        <v/>
      </c>
    </row>
    <row r="444" spans="1:12">
      <c r="A444" t="s">
        <v>354</v>
      </c>
      <c r="B444">
        <v>1</v>
      </c>
      <c r="C444" t="str">
        <f t="shared" si="53"/>
        <v>test.WorldController_1_</v>
      </c>
      <c r="D444">
        <v>4</v>
      </c>
      <c r="E444">
        <v>0.79881656804733725</v>
      </c>
      <c r="F444">
        <v>0.24217398143778512</v>
      </c>
      <c r="G444" s="1" t="str">
        <f t="shared" si="54"/>
        <v/>
      </c>
      <c r="H444" s="1">
        <f t="shared" si="55"/>
        <v>0.79881656804733725</v>
      </c>
      <c r="I444" s="1" t="str">
        <f t="shared" si="56"/>
        <v/>
      </c>
      <c r="J444" s="1" t="str">
        <f t="shared" si="57"/>
        <v/>
      </c>
      <c r="K444" s="1" t="str">
        <f t="shared" si="58"/>
        <v/>
      </c>
      <c r="L444" s="1" t="str">
        <f t="shared" si="59"/>
        <v/>
      </c>
    </row>
    <row r="445" spans="1:12">
      <c r="A445" t="s">
        <v>354</v>
      </c>
      <c r="B445">
        <v>1</v>
      </c>
      <c r="C445" t="str">
        <f t="shared" si="53"/>
        <v>test.WorldController_1_</v>
      </c>
      <c r="D445">
        <v>5</v>
      </c>
      <c r="E445">
        <v>1</v>
      </c>
      <c r="F445">
        <v>0.26093282995123485</v>
      </c>
      <c r="G445" s="1" t="str">
        <f t="shared" si="54"/>
        <v/>
      </c>
      <c r="H445" s="1">
        <f t="shared" si="55"/>
        <v>1</v>
      </c>
      <c r="I445" s="1" t="str">
        <f t="shared" si="56"/>
        <v/>
      </c>
      <c r="J445" s="1" t="str">
        <f t="shared" si="57"/>
        <v/>
      </c>
      <c r="K445" s="1" t="str">
        <f t="shared" si="58"/>
        <v/>
      </c>
      <c r="L445" s="1" t="str">
        <f t="shared" si="59"/>
        <v/>
      </c>
    </row>
    <row r="446" spans="1:12">
      <c r="A446" t="s">
        <v>358</v>
      </c>
      <c r="B446">
        <v>5</v>
      </c>
      <c r="C446" t="str">
        <f t="shared" si="53"/>
        <v>test.TIFFFaxDecoder_5_</v>
      </c>
      <c r="D446">
        <v>1</v>
      </c>
      <c r="E446">
        <v>0.31707317073170732</v>
      </c>
      <c r="F446">
        <v>0.19754929948614344</v>
      </c>
      <c r="G446" s="1">
        <f t="shared" si="54"/>
        <v>0.31707317073170732</v>
      </c>
      <c r="H446" s="1" t="str">
        <f t="shared" si="55"/>
        <v/>
      </c>
      <c r="I446" s="1" t="str">
        <f t="shared" si="56"/>
        <v/>
      </c>
      <c r="J446" s="1" t="str">
        <f t="shared" si="57"/>
        <v/>
      </c>
      <c r="K446" s="1" t="str">
        <f t="shared" si="58"/>
        <v/>
      </c>
      <c r="L446" s="1" t="str">
        <f t="shared" si="59"/>
        <v/>
      </c>
    </row>
    <row r="447" spans="1:12">
      <c r="A447" t="s">
        <v>358</v>
      </c>
      <c r="B447">
        <v>5</v>
      </c>
      <c r="C447" t="str">
        <f t="shared" si="53"/>
        <v>test.TIFFFaxDecoder_5_</v>
      </c>
      <c r="D447">
        <v>2</v>
      </c>
      <c r="E447">
        <v>0.35772357723577236</v>
      </c>
      <c r="F447">
        <v>0.20079933242566647</v>
      </c>
      <c r="G447" s="1" t="str">
        <f t="shared" si="54"/>
        <v/>
      </c>
      <c r="H447" s="1">
        <f t="shared" si="55"/>
        <v>0.35772357723577236</v>
      </c>
      <c r="I447" s="1" t="str">
        <f t="shared" si="56"/>
        <v/>
      </c>
      <c r="J447" s="1" t="str">
        <f t="shared" si="57"/>
        <v/>
      </c>
      <c r="K447" s="1" t="str">
        <f t="shared" si="58"/>
        <v/>
      </c>
      <c r="L447" s="1" t="str">
        <f t="shared" si="59"/>
        <v/>
      </c>
    </row>
    <row r="448" spans="1:12">
      <c r="A448" t="s">
        <v>358</v>
      </c>
      <c r="B448">
        <v>5</v>
      </c>
      <c r="C448" t="str">
        <f t="shared" si="53"/>
        <v>test.TIFFFaxDecoder_5_</v>
      </c>
      <c r="D448">
        <v>3</v>
      </c>
      <c r="E448">
        <v>0.44715447154471544</v>
      </c>
      <c r="F448">
        <v>0.29680706223373887</v>
      </c>
      <c r="G448" s="1" t="str">
        <f t="shared" si="54"/>
        <v/>
      </c>
      <c r="H448" s="1">
        <f t="shared" si="55"/>
        <v>0.44715447154471544</v>
      </c>
      <c r="I448" s="1" t="str">
        <f t="shared" si="56"/>
        <v/>
      </c>
      <c r="J448" s="1" t="str">
        <f t="shared" si="57"/>
        <v/>
      </c>
      <c r="K448" s="1" t="str">
        <f t="shared" si="58"/>
        <v/>
      </c>
      <c r="L448" s="1" t="str">
        <f t="shared" si="59"/>
        <v/>
      </c>
    </row>
    <row r="449" spans="1:12">
      <c r="A449" t="s">
        <v>358</v>
      </c>
      <c r="B449">
        <v>5</v>
      </c>
      <c r="C449" t="str">
        <f t="shared" si="53"/>
        <v>test.TIFFFaxDecoder_5_</v>
      </c>
      <c r="D449">
        <v>4</v>
      </c>
      <c r="E449">
        <v>0.57723577235772361</v>
      </c>
      <c r="F449">
        <v>0.47889674557512407</v>
      </c>
      <c r="G449" s="1" t="str">
        <f t="shared" si="54"/>
        <v/>
      </c>
      <c r="H449" s="1" t="str">
        <f t="shared" si="55"/>
        <v/>
      </c>
      <c r="I449" s="1">
        <f t="shared" si="56"/>
        <v>0.57723577235772361</v>
      </c>
      <c r="J449" s="1" t="str">
        <f t="shared" si="57"/>
        <v/>
      </c>
      <c r="K449" s="1" t="str">
        <f t="shared" si="58"/>
        <v/>
      </c>
      <c r="L449" s="1" t="str">
        <f t="shared" si="59"/>
        <v/>
      </c>
    </row>
    <row r="450" spans="1:12">
      <c r="A450" t="s">
        <v>358</v>
      </c>
      <c r="B450">
        <v>5</v>
      </c>
      <c r="C450" t="str">
        <f t="shared" si="53"/>
        <v>test.TIFFFaxDecoder_5_</v>
      </c>
      <c r="D450">
        <v>5</v>
      </c>
      <c r="E450">
        <v>1</v>
      </c>
      <c r="F450">
        <v>0.74557512407220339</v>
      </c>
      <c r="G450" s="1" t="str">
        <f t="shared" si="54"/>
        <v/>
      </c>
      <c r="H450" s="1" t="str">
        <f t="shared" si="55"/>
        <v/>
      </c>
      <c r="I450" s="1" t="str">
        <f t="shared" si="56"/>
        <v/>
      </c>
      <c r="J450" s="1">
        <f t="shared" si="57"/>
        <v>1</v>
      </c>
      <c r="K450" s="1" t="str">
        <f t="shared" si="58"/>
        <v/>
      </c>
      <c r="L450" s="1" t="str">
        <f t="shared" si="59"/>
        <v/>
      </c>
    </row>
    <row r="451" spans="1:12">
      <c r="A451" t="s">
        <v>358</v>
      </c>
      <c r="B451">
        <v>7</v>
      </c>
      <c r="C451" t="str">
        <f t="shared" ref="C451:C514" si="60">CONCATENATE(A451, "_",B451,"_")</f>
        <v>test.TIFFFaxDecoder_7_</v>
      </c>
      <c r="D451">
        <v>1</v>
      </c>
      <c r="E451">
        <v>0.30303030303030304</v>
      </c>
      <c r="F451">
        <v>0.25132978723404253</v>
      </c>
      <c r="G451" s="1" t="str">
        <f t="shared" ref="G451:G514" si="61">IF($F451 &lt;= 0.2,$E451,"")</f>
        <v/>
      </c>
      <c r="H451" s="1">
        <f t="shared" ref="H451:H514" si="62">IF(AND($F451 &gt; 0.2,$F451 &lt;= 0.4),$E451,"")</f>
        <v>0.30303030303030304</v>
      </c>
      <c r="I451" s="1" t="str">
        <f t="shared" ref="I451:I514" si="63">IF(AND($F451 &gt; 0.4,$F451 &lt;= 0.6),$E451,"")</f>
        <v/>
      </c>
      <c r="J451" s="1" t="str">
        <f t="shared" ref="J451:J514" si="64">IF(AND($F451 &gt; 0.6,$F451 &lt;= 0.8),$E451,"")</f>
        <v/>
      </c>
      <c r="K451" s="1" t="str">
        <f t="shared" ref="K451:K514" si="65">IF(AND($F451 &gt; 0.8, $F451 &lt;=1.1),$E451,"")</f>
        <v/>
      </c>
      <c r="L451" s="1" t="str">
        <f t="shared" ref="L451:L513" si="66">IF(AND($F451 &gt; 1.1),$E451,"")</f>
        <v/>
      </c>
    </row>
    <row r="452" spans="1:12">
      <c r="A452" t="s">
        <v>358</v>
      </c>
      <c r="B452">
        <v>7</v>
      </c>
      <c r="C452" t="str">
        <f t="shared" si="60"/>
        <v>test.TIFFFaxDecoder_7_</v>
      </c>
      <c r="D452">
        <v>2</v>
      </c>
      <c r="E452">
        <v>0.66666666666666663</v>
      </c>
      <c r="F452">
        <v>0.49867021276595747</v>
      </c>
      <c r="G452" s="1" t="str">
        <f t="shared" si="61"/>
        <v/>
      </c>
      <c r="H452" s="1" t="str">
        <f t="shared" si="62"/>
        <v/>
      </c>
      <c r="I452" s="1">
        <f t="shared" si="63"/>
        <v>0.66666666666666663</v>
      </c>
      <c r="J452" s="1" t="str">
        <f t="shared" si="64"/>
        <v/>
      </c>
      <c r="K452" s="1" t="str">
        <f t="shared" si="65"/>
        <v/>
      </c>
      <c r="L452" s="1" t="str">
        <f t="shared" si="66"/>
        <v/>
      </c>
    </row>
    <row r="453" spans="1:12">
      <c r="A453" t="s">
        <v>358</v>
      </c>
      <c r="B453">
        <v>7</v>
      </c>
      <c r="C453" t="str">
        <f t="shared" si="60"/>
        <v>test.TIFFFaxDecoder_7_</v>
      </c>
      <c r="D453">
        <v>3</v>
      </c>
      <c r="E453">
        <v>1</v>
      </c>
      <c r="F453">
        <v>0.8271276595744681</v>
      </c>
      <c r="G453" s="1" t="str">
        <f t="shared" si="61"/>
        <v/>
      </c>
      <c r="H453" s="1" t="str">
        <f t="shared" si="62"/>
        <v/>
      </c>
      <c r="I453" s="1" t="str">
        <f t="shared" si="63"/>
        <v/>
      </c>
      <c r="J453" s="1" t="str">
        <f t="shared" si="64"/>
        <v/>
      </c>
      <c r="K453" s="1">
        <f t="shared" si="65"/>
        <v>1</v>
      </c>
      <c r="L453" s="1" t="str">
        <f t="shared" si="66"/>
        <v/>
      </c>
    </row>
    <row r="454" spans="1:12">
      <c r="A454" t="s">
        <v>358</v>
      </c>
      <c r="B454">
        <v>9</v>
      </c>
      <c r="C454" t="str">
        <f t="shared" si="60"/>
        <v>test.TIFFFaxDecoder_9_</v>
      </c>
      <c r="D454">
        <v>1</v>
      </c>
      <c r="E454">
        <v>0.1388888888888889</v>
      </c>
      <c r="F454">
        <v>0.24807197943444731</v>
      </c>
      <c r="G454" s="1" t="str">
        <f t="shared" si="61"/>
        <v/>
      </c>
      <c r="H454" s="1">
        <f t="shared" si="62"/>
        <v>0.1388888888888889</v>
      </c>
      <c r="I454" s="1" t="str">
        <f t="shared" si="63"/>
        <v/>
      </c>
      <c r="J454" s="1" t="str">
        <f t="shared" si="64"/>
        <v/>
      </c>
      <c r="K454" s="1" t="str">
        <f t="shared" si="65"/>
        <v/>
      </c>
      <c r="L454" s="1" t="str">
        <f t="shared" si="66"/>
        <v/>
      </c>
    </row>
    <row r="455" spans="1:12">
      <c r="A455" t="s">
        <v>358</v>
      </c>
      <c r="B455">
        <v>9</v>
      </c>
      <c r="C455" t="str">
        <f t="shared" si="60"/>
        <v>test.TIFFFaxDecoder_9_</v>
      </c>
      <c r="D455">
        <v>2</v>
      </c>
      <c r="E455">
        <v>0.30555555555555558</v>
      </c>
      <c r="F455">
        <v>0.24935732647814909</v>
      </c>
      <c r="G455" s="1" t="str">
        <f t="shared" si="61"/>
        <v/>
      </c>
      <c r="H455" s="1">
        <f t="shared" si="62"/>
        <v>0.30555555555555558</v>
      </c>
      <c r="I455" s="1" t="str">
        <f t="shared" si="63"/>
        <v/>
      </c>
      <c r="J455" s="1" t="str">
        <f t="shared" si="64"/>
        <v/>
      </c>
      <c r="K455" s="1" t="str">
        <f t="shared" si="65"/>
        <v/>
      </c>
      <c r="L455" s="1" t="str">
        <f t="shared" si="66"/>
        <v/>
      </c>
    </row>
    <row r="456" spans="1:12">
      <c r="A456" t="s">
        <v>358</v>
      </c>
      <c r="B456">
        <v>9</v>
      </c>
      <c r="C456" t="str">
        <f t="shared" si="60"/>
        <v>test.TIFFFaxDecoder_9_</v>
      </c>
      <c r="D456">
        <v>3</v>
      </c>
      <c r="E456">
        <v>0.33333333333333331</v>
      </c>
      <c r="F456">
        <v>0.25964010282776351</v>
      </c>
      <c r="G456" s="1" t="str">
        <f t="shared" si="61"/>
        <v/>
      </c>
      <c r="H456" s="1">
        <f t="shared" si="62"/>
        <v>0.33333333333333331</v>
      </c>
      <c r="I456" s="1" t="str">
        <f t="shared" si="63"/>
        <v/>
      </c>
      <c r="J456" s="1" t="str">
        <f t="shared" si="64"/>
        <v/>
      </c>
      <c r="K456" s="1" t="str">
        <f t="shared" si="65"/>
        <v/>
      </c>
      <c r="L456" s="1" t="str">
        <f t="shared" si="66"/>
        <v/>
      </c>
    </row>
    <row r="457" spans="1:12">
      <c r="A457" t="s">
        <v>358</v>
      </c>
      <c r="B457">
        <v>9</v>
      </c>
      <c r="C457" t="str">
        <f t="shared" si="60"/>
        <v>test.TIFFFaxDecoder_9_</v>
      </c>
      <c r="D457">
        <v>4</v>
      </c>
      <c r="E457">
        <v>0.47222222222222221</v>
      </c>
      <c r="F457">
        <v>0.29048843187660667</v>
      </c>
      <c r="G457" s="1" t="str">
        <f t="shared" si="61"/>
        <v/>
      </c>
      <c r="H457" s="1">
        <f t="shared" si="62"/>
        <v>0.47222222222222221</v>
      </c>
      <c r="I457" s="1" t="str">
        <f t="shared" si="63"/>
        <v/>
      </c>
      <c r="J457" s="1" t="str">
        <f t="shared" si="64"/>
        <v/>
      </c>
      <c r="K457" s="1" t="str">
        <f t="shared" si="65"/>
        <v/>
      </c>
      <c r="L457" s="1" t="str">
        <f t="shared" si="66"/>
        <v/>
      </c>
    </row>
    <row r="458" spans="1:12">
      <c r="A458" t="s">
        <v>358</v>
      </c>
      <c r="B458">
        <v>9</v>
      </c>
      <c r="C458" t="str">
        <f t="shared" si="60"/>
        <v>test.TIFFFaxDecoder_9_</v>
      </c>
      <c r="D458">
        <v>5</v>
      </c>
      <c r="E458">
        <v>0.5</v>
      </c>
      <c r="F458">
        <v>0.31362467866323906</v>
      </c>
      <c r="G458" s="1" t="str">
        <f t="shared" si="61"/>
        <v/>
      </c>
      <c r="H458" s="1">
        <f t="shared" si="62"/>
        <v>0.5</v>
      </c>
      <c r="I458" s="1" t="str">
        <f t="shared" si="63"/>
        <v/>
      </c>
      <c r="J458" s="1" t="str">
        <f t="shared" si="64"/>
        <v/>
      </c>
      <c r="K458" s="1" t="str">
        <f t="shared" si="65"/>
        <v/>
      </c>
      <c r="L458" s="1" t="str">
        <f t="shared" si="66"/>
        <v/>
      </c>
    </row>
    <row r="459" spans="1:12">
      <c r="A459" t="s">
        <v>358</v>
      </c>
      <c r="B459">
        <v>9</v>
      </c>
      <c r="C459" t="str">
        <f t="shared" si="60"/>
        <v>test.TIFFFaxDecoder_9_</v>
      </c>
      <c r="D459">
        <v>6</v>
      </c>
      <c r="E459">
        <v>0.55555555555555558</v>
      </c>
      <c r="F459">
        <v>0.31491002570694088</v>
      </c>
      <c r="G459" s="1" t="str">
        <f t="shared" si="61"/>
        <v/>
      </c>
      <c r="H459" s="1">
        <f t="shared" si="62"/>
        <v>0.55555555555555558</v>
      </c>
      <c r="I459" s="1" t="str">
        <f t="shared" si="63"/>
        <v/>
      </c>
      <c r="J459" s="1" t="str">
        <f t="shared" si="64"/>
        <v/>
      </c>
      <c r="K459" s="1" t="str">
        <f t="shared" si="65"/>
        <v/>
      </c>
      <c r="L459" s="1" t="str">
        <f t="shared" si="66"/>
        <v/>
      </c>
    </row>
    <row r="460" spans="1:12">
      <c r="A460" t="s">
        <v>358</v>
      </c>
      <c r="B460">
        <v>9</v>
      </c>
      <c r="C460" t="str">
        <f t="shared" si="60"/>
        <v>test.TIFFFaxDecoder_9_</v>
      </c>
      <c r="D460">
        <v>7</v>
      </c>
      <c r="E460">
        <v>0.55555555555555558</v>
      </c>
      <c r="F460">
        <v>0.32005141388174807</v>
      </c>
      <c r="G460" s="1" t="str">
        <f t="shared" si="61"/>
        <v/>
      </c>
      <c r="H460" s="1">
        <f t="shared" si="62"/>
        <v>0.55555555555555558</v>
      </c>
      <c r="I460" s="1" t="str">
        <f t="shared" si="63"/>
        <v/>
      </c>
      <c r="J460" s="1" t="str">
        <f t="shared" si="64"/>
        <v/>
      </c>
      <c r="K460" s="1" t="str">
        <f t="shared" si="65"/>
        <v/>
      </c>
      <c r="L460" s="1" t="str">
        <f t="shared" si="66"/>
        <v/>
      </c>
    </row>
    <row r="461" spans="1:12">
      <c r="A461" t="s">
        <v>358</v>
      </c>
      <c r="B461">
        <v>9</v>
      </c>
      <c r="C461" t="str">
        <f t="shared" si="60"/>
        <v>test.TIFFFaxDecoder_9_</v>
      </c>
      <c r="D461">
        <v>8</v>
      </c>
      <c r="E461">
        <v>0.63888888888888884</v>
      </c>
      <c r="F461">
        <v>0.32390745501285345</v>
      </c>
      <c r="G461" s="1" t="str">
        <f t="shared" si="61"/>
        <v/>
      </c>
      <c r="H461" s="1">
        <f t="shared" si="62"/>
        <v>0.63888888888888884</v>
      </c>
      <c r="I461" s="1" t="str">
        <f t="shared" si="63"/>
        <v/>
      </c>
      <c r="J461" s="1" t="str">
        <f t="shared" si="64"/>
        <v/>
      </c>
      <c r="K461" s="1" t="str">
        <f t="shared" si="65"/>
        <v/>
      </c>
      <c r="L461" s="1" t="str">
        <f t="shared" si="66"/>
        <v/>
      </c>
    </row>
    <row r="462" spans="1:12">
      <c r="A462" t="s">
        <v>358</v>
      </c>
      <c r="B462">
        <v>9</v>
      </c>
      <c r="C462" t="str">
        <f t="shared" si="60"/>
        <v>test.TIFFFaxDecoder_9_</v>
      </c>
      <c r="D462">
        <v>9</v>
      </c>
      <c r="E462">
        <v>0.66666666666666663</v>
      </c>
      <c r="F462">
        <v>0.39203084832904883</v>
      </c>
      <c r="G462" s="1" t="str">
        <f t="shared" si="61"/>
        <v/>
      </c>
      <c r="H462" s="1">
        <f t="shared" si="62"/>
        <v>0.66666666666666663</v>
      </c>
      <c r="I462" s="1" t="str">
        <f t="shared" si="63"/>
        <v/>
      </c>
      <c r="J462" s="1" t="str">
        <f t="shared" si="64"/>
        <v/>
      </c>
      <c r="K462" s="1" t="str">
        <f t="shared" si="65"/>
        <v/>
      </c>
      <c r="L462" s="1" t="str">
        <f t="shared" si="66"/>
        <v/>
      </c>
    </row>
    <row r="463" spans="1:12">
      <c r="A463" t="s">
        <v>358</v>
      </c>
      <c r="B463">
        <v>9</v>
      </c>
      <c r="C463" t="str">
        <f t="shared" si="60"/>
        <v>test.TIFFFaxDecoder_9_</v>
      </c>
      <c r="D463">
        <v>10</v>
      </c>
      <c r="E463">
        <v>0.66666666666666663</v>
      </c>
      <c r="F463">
        <v>0.39460154241645246</v>
      </c>
      <c r="G463" s="1" t="str">
        <f t="shared" si="61"/>
        <v/>
      </c>
      <c r="H463" s="1">
        <f t="shared" si="62"/>
        <v>0.66666666666666663</v>
      </c>
      <c r="I463" s="1" t="str">
        <f t="shared" si="63"/>
        <v/>
      </c>
      <c r="J463" s="1" t="str">
        <f t="shared" si="64"/>
        <v/>
      </c>
      <c r="K463" s="1" t="str">
        <f t="shared" si="65"/>
        <v/>
      </c>
      <c r="L463" s="1" t="str">
        <f t="shared" si="66"/>
        <v/>
      </c>
    </row>
    <row r="464" spans="1:12">
      <c r="A464" t="s">
        <v>358</v>
      </c>
      <c r="B464">
        <v>9</v>
      </c>
      <c r="C464" t="str">
        <f t="shared" si="60"/>
        <v>test.TIFFFaxDecoder_9_</v>
      </c>
      <c r="D464">
        <v>11</v>
      </c>
      <c r="E464">
        <v>0.66666666666666663</v>
      </c>
      <c r="F464">
        <v>0.39717223650385602</v>
      </c>
      <c r="G464" s="1" t="str">
        <f t="shared" si="61"/>
        <v/>
      </c>
      <c r="H464" s="1">
        <f t="shared" si="62"/>
        <v>0.66666666666666663</v>
      </c>
      <c r="I464" s="1" t="str">
        <f t="shared" si="63"/>
        <v/>
      </c>
      <c r="J464" s="1" t="str">
        <f t="shared" si="64"/>
        <v/>
      </c>
      <c r="K464" s="1" t="str">
        <f t="shared" si="65"/>
        <v/>
      </c>
      <c r="L464" s="1" t="str">
        <f t="shared" si="66"/>
        <v/>
      </c>
    </row>
    <row r="465" spans="1:12">
      <c r="A465" t="s">
        <v>358</v>
      </c>
      <c r="B465">
        <v>9</v>
      </c>
      <c r="C465" t="str">
        <f t="shared" si="60"/>
        <v>test.TIFFFaxDecoder_9_</v>
      </c>
      <c r="D465">
        <v>12</v>
      </c>
      <c r="E465">
        <v>0.66666666666666663</v>
      </c>
      <c r="F465">
        <v>0.45115681233933164</v>
      </c>
      <c r="G465" s="1" t="str">
        <f t="shared" si="61"/>
        <v/>
      </c>
      <c r="H465" s="1" t="str">
        <f t="shared" si="62"/>
        <v/>
      </c>
      <c r="I465" s="1">
        <f t="shared" si="63"/>
        <v>0.66666666666666663</v>
      </c>
      <c r="J465" s="1" t="str">
        <f t="shared" si="64"/>
        <v/>
      </c>
      <c r="K465" s="1" t="str">
        <f t="shared" si="65"/>
        <v/>
      </c>
      <c r="L465" s="1" t="str">
        <f t="shared" si="66"/>
        <v/>
      </c>
    </row>
    <row r="466" spans="1:12">
      <c r="A466" t="s">
        <v>358</v>
      </c>
      <c r="B466">
        <v>9</v>
      </c>
      <c r="C466" t="str">
        <f t="shared" si="60"/>
        <v>test.TIFFFaxDecoder_9_</v>
      </c>
      <c r="D466">
        <v>13</v>
      </c>
      <c r="E466">
        <v>0.66666666666666663</v>
      </c>
      <c r="F466">
        <v>0.4588688946015424</v>
      </c>
      <c r="G466" s="1" t="str">
        <f t="shared" si="61"/>
        <v/>
      </c>
      <c r="H466" s="1" t="str">
        <f t="shared" si="62"/>
        <v/>
      </c>
      <c r="I466" s="1">
        <f t="shared" si="63"/>
        <v>0.66666666666666663</v>
      </c>
      <c r="J466" s="1" t="str">
        <f t="shared" si="64"/>
        <v/>
      </c>
      <c r="K466" s="1" t="str">
        <f t="shared" si="65"/>
        <v/>
      </c>
      <c r="L466" s="1" t="str">
        <f t="shared" si="66"/>
        <v/>
      </c>
    </row>
    <row r="467" spans="1:12">
      <c r="A467" t="s">
        <v>358</v>
      </c>
      <c r="B467">
        <v>9</v>
      </c>
      <c r="C467" t="str">
        <f t="shared" si="60"/>
        <v>test.TIFFFaxDecoder_9_</v>
      </c>
      <c r="D467">
        <v>14</v>
      </c>
      <c r="E467">
        <v>0.77777777777777779</v>
      </c>
      <c r="F467">
        <v>0.46786632390745503</v>
      </c>
      <c r="G467" s="1" t="str">
        <f t="shared" si="61"/>
        <v/>
      </c>
      <c r="H467" s="1" t="str">
        <f t="shared" si="62"/>
        <v/>
      </c>
      <c r="I467" s="1">
        <f t="shared" si="63"/>
        <v>0.77777777777777779</v>
      </c>
      <c r="J467" s="1" t="str">
        <f t="shared" si="64"/>
        <v/>
      </c>
      <c r="K467" s="1" t="str">
        <f t="shared" si="65"/>
        <v/>
      </c>
      <c r="L467" s="1" t="str">
        <f t="shared" si="66"/>
        <v/>
      </c>
    </row>
    <row r="468" spans="1:12">
      <c r="A468" t="s">
        <v>358</v>
      </c>
      <c r="B468">
        <v>9</v>
      </c>
      <c r="C468" t="str">
        <f t="shared" si="60"/>
        <v>test.TIFFFaxDecoder_9_</v>
      </c>
      <c r="D468">
        <v>15</v>
      </c>
      <c r="E468">
        <v>0.97222222222222221</v>
      </c>
      <c r="F468">
        <v>0.63239074550128538</v>
      </c>
      <c r="G468" s="1" t="str">
        <f t="shared" si="61"/>
        <v/>
      </c>
      <c r="H468" s="1" t="str">
        <f t="shared" si="62"/>
        <v/>
      </c>
      <c r="I468" s="1" t="str">
        <f t="shared" si="63"/>
        <v/>
      </c>
      <c r="J468" s="1">
        <f t="shared" si="64"/>
        <v>0.97222222222222221</v>
      </c>
      <c r="K468" s="1" t="str">
        <f t="shared" si="65"/>
        <v/>
      </c>
      <c r="L468" s="1" t="str">
        <f t="shared" si="66"/>
        <v/>
      </c>
    </row>
    <row r="469" spans="1:12">
      <c r="A469" t="s">
        <v>358</v>
      </c>
      <c r="B469">
        <v>9</v>
      </c>
      <c r="C469" t="str">
        <f t="shared" si="60"/>
        <v>test.TIFFFaxDecoder_9_</v>
      </c>
      <c r="D469">
        <v>16</v>
      </c>
      <c r="E469">
        <v>0.97222222222222221</v>
      </c>
      <c r="F469">
        <v>0.65424164524421591</v>
      </c>
      <c r="G469" s="1" t="str">
        <f t="shared" si="61"/>
        <v/>
      </c>
      <c r="H469" s="1" t="str">
        <f t="shared" si="62"/>
        <v/>
      </c>
      <c r="I469" s="1" t="str">
        <f t="shared" si="63"/>
        <v/>
      </c>
      <c r="J469" s="1">
        <f t="shared" si="64"/>
        <v>0.97222222222222221</v>
      </c>
      <c r="K469" s="1" t="str">
        <f t="shared" si="65"/>
        <v/>
      </c>
      <c r="L469" s="1" t="str">
        <f t="shared" si="66"/>
        <v/>
      </c>
    </row>
    <row r="470" spans="1:12">
      <c r="A470" t="s">
        <v>358</v>
      </c>
      <c r="B470">
        <v>9</v>
      </c>
      <c r="C470" t="str">
        <f t="shared" si="60"/>
        <v>test.TIFFFaxDecoder_9_</v>
      </c>
      <c r="D470">
        <v>17</v>
      </c>
      <c r="E470">
        <v>1</v>
      </c>
      <c r="F470">
        <v>0.69537275064267356</v>
      </c>
      <c r="G470" s="1" t="str">
        <f t="shared" si="61"/>
        <v/>
      </c>
      <c r="H470" s="1" t="str">
        <f t="shared" si="62"/>
        <v/>
      </c>
      <c r="I470" s="1" t="str">
        <f t="shared" si="63"/>
        <v/>
      </c>
      <c r="J470" s="1">
        <f t="shared" si="64"/>
        <v>1</v>
      </c>
      <c r="K470" s="1" t="str">
        <f t="shared" si="65"/>
        <v/>
      </c>
      <c r="L470" s="1" t="str">
        <f t="shared" si="66"/>
        <v/>
      </c>
    </row>
    <row r="471" spans="1:12">
      <c r="A471" t="s">
        <v>358</v>
      </c>
      <c r="B471">
        <v>9</v>
      </c>
      <c r="C471" t="str">
        <f t="shared" si="60"/>
        <v>test.TIFFFaxDecoder_9_</v>
      </c>
      <c r="D471">
        <v>18</v>
      </c>
      <c r="E471">
        <v>1</v>
      </c>
      <c r="F471">
        <v>0.72107969151670948</v>
      </c>
      <c r="G471" s="1" t="str">
        <f t="shared" si="61"/>
        <v/>
      </c>
      <c r="H471" s="1" t="str">
        <f t="shared" si="62"/>
        <v/>
      </c>
      <c r="I471" s="1" t="str">
        <f t="shared" si="63"/>
        <v/>
      </c>
      <c r="J471" s="1">
        <f t="shared" si="64"/>
        <v>1</v>
      </c>
      <c r="K471" s="1" t="str">
        <f t="shared" si="65"/>
        <v/>
      </c>
      <c r="L471" s="1" t="str">
        <f t="shared" si="66"/>
        <v/>
      </c>
    </row>
    <row r="472" spans="1:12">
      <c r="A472" t="s">
        <v>358</v>
      </c>
      <c r="B472">
        <v>10</v>
      </c>
      <c r="C472" t="str">
        <f t="shared" si="60"/>
        <v>test.TIFFFaxDecoder_10_</v>
      </c>
      <c r="D472">
        <v>1</v>
      </c>
      <c r="E472">
        <v>0.8</v>
      </c>
      <c r="F472">
        <v>0.99333333333333329</v>
      </c>
      <c r="G472" s="1" t="str">
        <f t="shared" si="61"/>
        <v/>
      </c>
      <c r="H472" s="1" t="str">
        <f t="shared" si="62"/>
        <v/>
      </c>
      <c r="I472" s="1" t="str">
        <f t="shared" si="63"/>
        <v/>
      </c>
      <c r="J472" s="1" t="str">
        <f t="shared" si="64"/>
        <v/>
      </c>
      <c r="K472" s="1">
        <f t="shared" si="65"/>
        <v>0.8</v>
      </c>
      <c r="L472" s="1" t="str">
        <f t="shared" si="66"/>
        <v/>
      </c>
    </row>
    <row r="473" spans="1:12">
      <c r="A473" t="s">
        <v>358</v>
      </c>
      <c r="B473">
        <v>10</v>
      </c>
      <c r="C473" t="str">
        <f t="shared" si="60"/>
        <v>test.TIFFFaxDecoder_10_</v>
      </c>
      <c r="D473">
        <v>2</v>
      </c>
      <c r="E473">
        <v>0.8666666666666667</v>
      </c>
      <c r="F473">
        <v>1.0077777777777779</v>
      </c>
      <c r="G473" s="1" t="str">
        <f t="shared" si="61"/>
        <v/>
      </c>
      <c r="H473" s="1" t="str">
        <f t="shared" si="62"/>
        <v/>
      </c>
      <c r="I473" s="1" t="str">
        <f t="shared" si="63"/>
        <v/>
      </c>
      <c r="J473" s="1" t="str">
        <f t="shared" si="64"/>
        <v/>
      </c>
      <c r="K473" s="1">
        <f t="shared" si="65"/>
        <v>0.8666666666666667</v>
      </c>
      <c r="L473" s="1" t="str">
        <f t="shared" si="66"/>
        <v/>
      </c>
    </row>
    <row r="474" spans="1:12">
      <c r="A474" t="s">
        <v>358</v>
      </c>
      <c r="B474">
        <v>10</v>
      </c>
      <c r="C474" t="str">
        <f t="shared" si="60"/>
        <v>test.TIFFFaxDecoder_10_</v>
      </c>
      <c r="D474">
        <v>3</v>
      </c>
      <c r="E474">
        <v>1</v>
      </c>
      <c r="F474">
        <v>1.0266666666666666</v>
      </c>
      <c r="G474" s="1" t="str">
        <f t="shared" si="61"/>
        <v/>
      </c>
      <c r="H474" s="1" t="str">
        <f t="shared" si="62"/>
        <v/>
      </c>
      <c r="I474" s="1" t="str">
        <f t="shared" si="63"/>
        <v/>
      </c>
      <c r="J474" s="1" t="str">
        <f t="shared" si="64"/>
        <v/>
      </c>
      <c r="K474" s="1">
        <f t="shared" si="65"/>
        <v>1</v>
      </c>
      <c r="L474" s="1" t="str">
        <f t="shared" si="66"/>
        <v/>
      </c>
    </row>
    <row r="475" spans="1:12">
      <c r="A475" t="s">
        <v>358</v>
      </c>
      <c r="B475">
        <v>10</v>
      </c>
      <c r="C475" t="str">
        <f t="shared" si="60"/>
        <v>test.TIFFFaxDecoder_10_</v>
      </c>
      <c r="D475">
        <v>4</v>
      </c>
      <c r="E475">
        <v>1</v>
      </c>
      <c r="F475">
        <v>1.7455555555555555</v>
      </c>
      <c r="G475" s="1" t="str">
        <f t="shared" si="61"/>
        <v/>
      </c>
      <c r="H475" s="1" t="str">
        <f t="shared" si="62"/>
        <v/>
      </c>
      <c r="I475" s="1" t="str">
        <f t="shared" si="63"/>
        <v/>
      </c>
      <c r="J475" s="1" t="str">
        <f t="shared" si="64"/>
        <v/>
      </c>
      <c r="K475" s="1" t="str">
        <f t="shared" si="65"/>
        <v/>
      </c>
      <c r="L475" s="1">
        <f t="shared" si="66"/>
        <v>1</v>
      </c>
    </row>
    <row r="476" spans="1:12">
      <c r="A476" t="s">
        <v>358</v>
      </c>
      <c r="B476">
        <v>11</v>
      </c>
      <c r="C476" t="str">
        <f t="shared" si="60"/>
        <v>test.TIFFFaxDecoder_11_</v>
      </c>
      <c r="D476">
        <v>1</v>
      </c>
      <c r="E476">
        <v>7.9545454545454544E-2</v>
      </c>
      <c r="F476">
        <v>0.11365079365079366</v>
      </c>
      <c r="G476" s="1">
        <f t="shared" si="61"/>
        <v>7.9545454545454544E-2</v>
      </c>
      <c r="H476" s="1" t="str">
        <f t="shared" si="62"/>
        <v/>
      </c>
      <c r="I476" s="1" t="str">
        <f t="shared" si="63"/>
        <v/>
      </c>
      <c r="J476" s="1" t="str">
        <f t="shared" si="64"/>
        <v/>
      </c>
      <c r="K476" s="1" t="str">
        <f t="shared" si="65"/>
        <v/>
      </c>
      <c r="L476" s="1" t="str">
        <f t="shared" si="66"/>
        <v/>
      </c>
    </row>
    <row r="477" spans="1:12">
      <c r="A477" t="s">
        <v>358</v>
      </c>
      <c r="B477">
        <v>11</v>
      </c>
      <c r="C477" t="str">
        <f t="shared" si="60"/>
        <v>test.TIFFFaxDecoder_11_</v>
      </c>
      <c r="D477">
        <v>2</v>
      </c>
      <c r="E477">
        <v>0.38636363636363635</v>
      </c>
      <c r="F477">
        <v>0.43873015873015875</v>
      </c>
      <c r="G477" s="1" t="str">
        <f t="shared" si="61"/>
        <v/>
      </c>
      <c r="H477" s="1" t="str">
        <f t="shared" si="62"/>
        <v/>
      </c>
      <c r="I477" s="1">
        <f t="shared" si="63"/>
        <v>0.38636363636363635</v>
      </c>
      <c r="J477" s="1" t="str">
        <f t="shared" si="64"/>
        <v/>
      </c>
      <c r="K477" s="1" t="str">
        <f t="shared" si="65"/>
        <v/>
      </c>
      <c r="L477" s="1" t="str">
        <f t="shared" si="66"/>
        <v/>
      </c>
    </row>
    <row r="478" spans="1:12">
      <c r="A478" t="s">
        <v>358</v>
      </c>
      <c r="B478">
        <v>11</v>
      </c>
      <c r="C478" t="str">
        <f t="shared" si="60"/>
        <v>test.TIFFFaxDecoder_11_</v>
      </c>
      <c r="D478">
        <v>3</v>
      </c>
      <c r="E478">
        <v>0.48863636363636365</v>
      </c>
      <c r="F478">
        <v>0.45587301587301587</v>
      </c>
      <c r="G478" s="1" t="str">
        <f t="shared" si="61"/>
        <v/>
      </c>
      <c r="H478" s="1" t="str">
        <f t="shared" si="62"/>
        <v/>
      </c>
      <c r="I478" s="1">
        <f t="shared" si="63"/>
        <v>0.48863636363636365</v>
      </c>
      <c r="J478" s="1" t="str">
        <f t="shared" si="64"/>
        <v/>
      </c>
      <c r="K478" s="1" t="str">
        <f t="shared" si="65"/>
        <v/>
      </c>
      <c r="L478" s="1" t="str">
        <f t="shared" si="66"/>
        <v/>
      </c>
    </row>
    <row r="479" spans="1:12">
      <c r="A479" t="s">
        <v>358</v>
      </c>
      <c r="B479">
        <v>11</v>
      </c>
      <c r="C479" t="str">
        <f t="shared" si="60"/>
        <v>test.TIFFFaxDecoder_11_</v>
      </c>
      <c r="D479">
        <v>4</v>
      </c>
      <c r="E479">
        <v>0.52272727272727271</v>
      </c>
      <c r="F479">
        <v>0.4615873015873016</v>
      </c>
      <c r="G479" s="1" t="str">
        <f t="shared" si="61"/>
        <v/>
      </c>
      <c r="H479" s="1" t="str">
        <f t="shared" si="62"/>
        <v/>
      </c>
      <c r="I479" s="1">
        <f t="shared" si="63"/>
        <v>0.52272727272727271</v>
      </c>
      <c r="J479" s="1" t="str">
        <f t="shared" si="64"/>
        <v/>
      </c>
      <c r="K479" s="1" t="str">
        <f t="shared" si="65"/>
        <v/>
      </c>
      <c r="L479" s="1" t="str">
        <f t="shared" si="66"/>
        <v/>
      </c>
    </row>
    <row r="480" spans="1:12">
      <c r="A480" t="s">
        <v>358</v>
      </c>
      <c r="B480">
        <v>11</v>
      </c>
      <c r="C480" t="str">
        <f t="shared" si="60"/>
        <v>test.TIFFFaxDecoder_11_</v>
      </c>
      <c r="D480">
        <v>5</v>
      </c>
      <c r="E480">
        <v>0.61363636363636365</v>
      </c>
      <c r="F480">
        <v>0.47682539682539682</v>
      </c>
      <c r="G480" s="1" t="str">
        <f t="shared" si="61"/>
        <v/>
      </c>
      <c r="H480" s="1" t="str">
        <f t="shared" si="62"/>
        <v/>
      </c>
      <c r="I480" s="1">
        <f t="shared" si="63"/>
        <v>0.61363636363636365</v>
      </c>
      <c r="J480" s="1" t="str">
        <f t="shared" si="64"/>
        <v/>
      </c>
      <c r="K480" s="1" t="str">
        <f t="shared" si="65"/>
        <v/>
      </c>
      <c r="L480" s="1" t="str">
        <f t="shared" si="66"/>
        <v/>
      </c>
    </row>
    <row r="481" spans="1:12">
      <c r="A481" t="s">
        <v>358</v>
      </c>
      <c r="B481">
        <v>11</v>
      </c>
      <c r="C481" t="str">
        <f t="shared" si="60"/>
        <v>test.TIFFFaxDecoder_11_</v>
      </c>
      <c r="D481">
        <v>6</v>
      </c>
      <c r="E481">
        <v>0.61363636363636365</v>
      </c>
      <c r="F481">
        <v>0.50730158730158725</v>
      </c>
      <c r="G481" s="1" t="str">
        <f t="shared" si="61"/>
        <v/>
      </c>
      <c r="H481" s="1" t="str">
        <f t="shared" si="62"/>
        <v/>
      </c>
      <c r="I481" s="1">
        <f t="shared" si="63"/>
        <v>0.61363636363636365</v>
      </c>
      <c r="J481" s="1" t="str">
        <f t="shared" si="64"/>
        <v/>
      </c>
      <c r="K481" s="1" t="str">
        <f t="shared" si="65"/>
        <v/>
      </c>
      <c r="L481" s="1" t="str">
        <f t="shared" si="66"/>
        <v/>
      </c>
    </row>
    <row r="482" spans="1:12">
      <c r="A482" t="s">
        <v>358</v>
      </c>
      <c r="B482">
        <v>11</v>
      </c>
      <c r="C482" t="str">
        <f t="shared" si="60"/>
        <v>test.TIFFFaxDecoder_11_</v>
      </c>
      <c r="D482">
        <v>7</v>
      </c>
      <c r="E482">
        <v>0.61363636363636365</v>
      </c>
      <c r="F482">
        <v>0.52317460317460318</v>
      </c>
      <c r="G482" s="1" t="str">
        <f t="shared" si="61"/>
        <v/>
      </c>
      <c r="H482" s="1" t="str">
        <f t="shared" si="62"/>
        <v/>
      </c>
      <c r="I482" s="1">
        <f t="shared" si="63"/>
        <v>0.61363636363636365</v>
      </c>
      <c r="J482" s="1" t="str">
        <f t="shared" si="64"/>
        <v/>
      </c>
      <c r="K482" s="1" t="str">
        <f t="shared" si="65"/>
        <v/>
      </c>
      <c r="L482" s="1" t="str">
        <f t="shared" si="66"/>
        <v/>
      </c>
    </row>
    <row r="483" spans="1:12">
      <c r="A483" t="s">
        <v>358</v>
      </c>
      <c r="B483">
        <v>11</v>
      </c>
      <c r="C483" t="str">
        <f t="shared" si="60"/>
        <v>test.TIFFFaxDecoder_11_</v>
      </c>
      <c r="D483">
        <v>8</v>
      </c>
      <c r="E483">
        <v>0.71590909090909094</v>
      </c>
      <c r="F483">
        <v>0.55555555555555558</v>
      </c>
      <c r="G483" s="1" t="str">
        <f t="shared" si="61"/>
        <v/>
      </c>
      <c r="H483" s="1" t="str">
        <f t="shared" si="62"/>
        <v/>
      </c>
      <c r="I483" s="1">
        <f t="shared" si="63"/>
        <v>0.71590909090909094</v>
      </c>
      <c r="J483" s="1" t="str">
        <f t="shared" si="64"/>
        <v/>
      </c>
      <c r="K483" s="1" t="str">
        <f t="shared" si="65"/>
        <v/>
      </c>
      <c r="L483" s="1" t="str">
        <f t="shared" si="66"/>
        <v/>
      </c>
    </row>
    <row r="484" spans="1:12">
      <c r="A484" t="s">
        <v>358</v>
      </c>
      <c r="B484">
        <v>11</v>
      </c>
      <c r="C484" t="str">
        <f t="shared" si="60"/>
        <v>test.TIFFFaxDecoder_11_</v>
      </c>
      <c r="D484">
        <v>9</v>
      </c>
      <c r="E484">
        <v>0.77272727272727271</v>
      </c>
      <c r="F484">
        <v>0.55682539682539678</v>
      </c>
      <c r="G484" s="1" t="str">
        <f t="shared" si="61"/>
        <v/>
      </c>
      <c r="H484" s="1" t="str">
        <f t="shared" si="62"/>
        <v/>
      </c>
      <c r="I484" s="1">
        <f t="shared" si="63"/>
        <v>0.77272727272727271</v>
      </c>
      <c r="J484" s="1" t="str">
        <f t="shared" si="64"/>
        <v/>
      </c>
      <c r="K484" s="1" t="str">
        <f t="shared" si="65"/>
        <v/>
      </c>
      <c r="L484" s="1" t="str">
        <f t="shared" si="66"/>
        <v/>
      </c>
    </row>
    <row r="485" spans="1:12">
      <c r="A485" t="s">
        <v>358</v>
      </c>
      <c r="B485">
        <v>11</v>
      </c>
      <c r="C485" t="str">
        <f t="shared" si="60"/>
        <v>test.TIFFFaxDecoder_11_</v>
      </c>
      <c r="D485">
        <v>10</v>
      </c>
      <c r="E485">
        <v>0.77272727272727271</v>
      </c>
      <c r="F485">
        <v>0.57079365079365074</v>
      </c>
      <c r="G485" s="1" t="str">
        <f t="shared" si="61"/>
        <v/>
      </c>
      <c r="H485" s="1" t="str">
        <f t="shared" si="62"/>
        <v/>
      </c>
      <c r="I485" s="1">
        <f t="shared" si="63"/>
        <v>0.77272727272727271</v>
      </c>
      <c r="J485" s="1" t="str">
        <f t="shared" si="64"/>
        <v/>
      </c>
      <c r="K485" s="1" t="str">
        <f t="shared" si="65"/>
        <v/>
      </c>
      <c r="L485" s="1" t="str">
        <f t="shared" si="66"/>
        <v/>
      </c>
    </row>
    <row r="486" spans="1:12">
      <c r="A486" t="s">
        <v>358</v>
      </c>
      <c r="B486">
        <v>11</v>
      </c>
      <c r="C486" t="str">
        <f t="shared" si="60"/>
        <v>test.TIFFFaxDecoder_11_</v>
      </c>
      <c r="D486">
        <v>11</v>
      </c>
      <c r="E486">
        <v>0.77272727272727271</v>
      </c>
      <c r="F486">
        <v>0.57587301587301587</v>
      </c>
      <c r="G486" s="1" t="str">
        <f t="shared" si="61"/>
        <v/>
      </c>
      <c r="H486" s="1" t="str">
        <f t="shared" si="62"/>
        <v/>
      </c>
      <c r="I486" s="1">
        <f t="shared" si="63"/>
        <v>0.77272727272727271</v>
      </c>
      <c r="J486" s="1" t="str">
        <f t="shared" si="64"/>
        <v/>
      </c>
      <c r="K486" s="1" t="str">
        <f t="shared" si="65"/>
        <v/>
      </c>
      <c r="L486" s="1" t="str">
        <f t="shared" si="66"/>
        <v/>
      </c>
    </row>
    <row r="487" spans="1:12">
      <c r="A487" t="s">
        <v>358</v>
      </c>
      <c r="B487">
        <v>11</v>
      </c>
      <c r="C487" t="str">
        <f t="shared" si="60"/>
        <v>test.TIFFFaxDecoder_11_</v>
      </c>
      <c r="D487">
        <v>12</v>
      </c>
      <c r="E487">
        <v>0.77272727272727271</v>
      </c>
      <c r="F487">
        <v>0.57841269841269838</v>
      </c>
      <c r="G487" s="1" t="str">
        <f t="shared" si="61"/>
        <v/>
      </c>
      <c r="H487" s="1" t="str">
        <f t="shared" si="62"/>
        <v/>
      </c>
      <c r="I487" s="1">
        <f t="shared" si="63"/>
        <v>0.77272727272727271</v>
      </c>
      <c r="J487" s="1" t="str">
        <f t="shared" si="64"/>
        <v/>
      </c>
      <c r="K487" s="1" t="str">
        <f t="shared" si="65"/>
        <v/>
      </c>
      <c r="L487" s="1" t="str">
        <f t="shared" si="66"/>
        <v/>
      </c>
    </row>
    <row r="488" spans="1:12">
      <c r="A488" t="s">
        <v>358</v>
      </c>
      <c r="B488">
        <v>11</v>
      </c>
      <c r="C488" t="str">
        <f t="shared" si="60"/>
        <v>test.TIFFFaxDecoder_11_</v>
      </c>
      <c r="D488">
        <v>13</v>
      </c>
      <c r="E488">
        <v>0.77272727272727271</v>
      </c>
      <c r="F488">
        <v>0.57968253968253969</v>
      </c>
      <c r="G488" s="1" t="str">
        <f t="shared" si="61"/>
        <v/>
      </c>
      <c r="H488" s="1" t="str">
        <f t="shared" si="62"/>
        <v/>
      </c>
      <c r="I488" s="1">
        <f t="shared" si="63"/>
        <v>0.77272727272727271</v>
      </c>
      <c r="J488" s="1" t="str">
        <f t="shared" si="64"/>
        <v/>
      </c>
      <c r="K488" s="1" t="str">
        <f t="shared" si="65"/>
        <v/>
      </c>
      <c r="L488" s="1" t="str">
        <f t="shared" si="66"/>
        <v/>
      </c>
    </row>
    <row r="489" spans="1:12">
      <c r="A489" t="s">
        <v>358</v>
      </c>
      <c r="B489">
        <v>11</v>
      </c>
      <c r="C489" t="str">
        <f t="shared" si="60"/>
        <v>test.TIFFFaxDecoder_11_</v>
      </c>
      <c r="D489">
        <v>14</v>
      </c>
      <c r="E489">
        <v>0.88636363636363635</v>
      </c>
      <c r="F489">
        <v>0.5822222222222222</v>
      </c>
      <c r="G489" s="1" t="str">
        <f t="shared" si="61"/>
        <v/>
      </c>
      <c r="H489" s="1" t="str">
        <f t="shared" si="62"/>
        <v/>
      </c>
      <c r="I489" s="1">
        <f t="shared" si="63"/>
        <v>0.88636363636363635</v>
      </c>
      <c r="J489" s="1" t="str">
        <f t="shared" si="64"/>
        <v/>
      </c>
      <c r="K489" s="1" t="str">
        <f t="shared" si="65"/>
        <v/>
      </c>
      <c r="L489" s="1" t="str">
        <f t="shared" si="66"/>
        <v/>
      </c>
    </row>
    <row r="490" spans="1:12">
      <c r="A490" t="s">
        <v>358</v>
      </c>
      <c r="B490">
        <v>11</v>
      </c>
      <c r="C490" t="str">
        <f t="shared" si="60"/>
        <v>test.TIFFFaxDecoder_11_</v>
      </c>
      <c r="D490">
        <v>15</v>
      </c>
      <c r="E490">
        <v>1</v>
      </c>
      <c r="F490">
        <v>0.58349206349206351</v>
      </c>
      <c r="G490" s="1" t="str">
        <f t="shared" si="61"/>
        <v/>
      </c>
      <c r="H490" s="1" t="str">
        <f t="shared" si="62"/>
        <v/>
      </c>
      <c r="I490" s="1">
        <f t="shared" si="63"/>
        <v>1</v>
      </c>
      <c r="J490" s="1" t="str">
        <f t="shared" si="64"/>
        <v/>
      </c>
      <c r="K490" s="1" t="str">
        <f t="shared" si="65"/>
        <v/>
      </c>
      <c r="L490" s="1" t="str">
        <f t="shared" si="66"/>
        <v/>
      </c>
    </row>
    <row r="491" spans="1:12">
      <c r="A491" t="s">
        <v>358</v>
      </c>
      <c r="B491">
        <v>11</v>
      </c>
      <c r="C491" t="str">
        <f t="shared" si="60"/>
        <v>test.TIFFFaxDecoder_11_</v>
      </c>
      <c r="D491">
        <v>16</v>
      </c>
      <c r="E491">
        <v>1</v>
      </c>
      <c r="F491">
        <v>0.59682539682539681</v>
      </c>
      <c r="G491" s="1" t="str">
        <f t="shared" si="61"/>
        <v/>
      </c>
      <c r="H491" s="1" t="str">
        <f t="shared" si="62"/>
        <v/>
      </c>
      <c r="I491" s="1">
        <f t="shared" si="63"/>
        <v>1</v>
      </c>
      <c r="J491" s="1" t="str">
        <f t="shared" si="64"/>
        <v/>
      </c>
      <c r="K491" s="1" t="str">
        <f t="shared" si="65"/>
        <v/>
      </c>
      <c r="L491" s="1" t="str">
        <f t="shared" si="66"/>
        <v/>
      </c>
    </row>
    <row r="492" spans="1:12">
      <c r="A492" t="s">
        <v>358</v>
      </c>
      <c r="B492">
        <v>11</v>
      </c>
      <c r="C492" t="str">
        <f t="shared" si="60"/>
        <v>test.TIFFFaxDecoder_11_</v>
      </c>
      <c r="D492">
        <v>17</v>
      </c>
      <c r="E492">
        <v>1</v>
      </c>
      <c r="F492">
        <v>0.59746031746031747</v>
      </c>
      <c r="G492" s="1" t="str">
        <f t="shared" si="61"/>
        <v/>
      </c>
      <c r="H492" s="1" t="str">
        <f t="shared" si="62"/>
        <v/>
      </c>
      <c r="I492" s="1">
        <f t="shared" si="63"/>
        <v>1</v>
      </c>
      <c r="J492" s="1" t="str">
        <f t="shared" si="64"/>
        <v/>
      </c>
      <c r="K492" s="1" t="str">
        <f t="shared" si="65"/>
        <v/>
      </c>
      <c r="L492" s="1" t="str">
        <f t="shared" si="66"/>
        <v/>
      </c>
    </row>
    <row r="493" spans="1:12">
      <c r="A493" t="s">
        <v>358</v>
      </c>
      <c r="B493">
        <v>11</v>
      </c>
      <c r="C493" t="str">
        <f t="shared" si="60"/>
        <v>test.TIFFFaxDecoder_11_</v>
      </c>
      <c r="D493">
        <v>18</v>
      </c>
      <c r="E493">
        <v>1</v>
      </c>
      <c r="F493">
        <v>0.62158730158730158</v>
      </c>
      <c r="G493" s="1" t="str">
        <f t="shared" si="61"/>
        <v/>
      </c>
      <c r="H493" s="1" t="str">
        <f t="shared" si="62"/>
        <v/>
      </c>
      <c r="I493" s="1" t="str">
        <f t="shared" si="63"/>
        <v/>
      </c>
      <c r="J493" s="1">
        <f t="shared" si="64"/>
        <v>1</v>
      </c>
      <c r="K493" s="1" t="str">
        <f t="shared" si="65"/>
        <v/>
      </c>
      <c r="L493" s="1" t="str">
        <f t="shared" si="66"/>
        <v/>
      </c>
    </row>
    <row r="494" spans="1:12">
      <c r="A494" t="s">
        <v>358</v>
      </c>
      <c r="B494">
        <v>11</v>
      </c>
      <c r="C494" t="str">
        <f t="shared" si="60"/>
        <v>test.TIFFFaxDecoder_11_</v>
      </c>
      <c r="D494">
        <v>19</v>
      </c>
      <c r="E494">
        <v>1</v>
      </c>
      <c r="F494">
        <v>0.63492063492063489</v>
      </c>
      <c r="G494" s="1" t="str">
        <f t="shared" si="61"/>
        <v/>
      </c>
      <c r="H494" s="1" t="str">
        <f t="shared" si="62"/>
        <v/>
      </c>
      <c r="I494" s="1" t="str">
        <f t="shared" si="63"/>
        <v/>
      </c>
      <c r="J494" s="1">
        <f t="shared" si="64"/>
        <v>1</v>
      </c>
      <c r="K494" s="1" t="str">
        <f t="shared" si="65"/>
        <v/>
      </c>
      <c r="L494" s="1" t="str">
        <f t="shared" si="66"/>
        <v/>
      </c>
    </row>
    <row r="495" spans="1:12">
      <c r="A495" t="s">
        <v>358</v>
      </c>
      <c r="B495">
        <v>12</v>
      </c>
      <c r="C495" t="str">
        <f t="shared" si="60"/>
        <v>test.TIFFFaxDecoder_12_</v>
      </c>
      <c r="D495">
        <v>1</v>
      </c>
      <c r="E495">
        <v>0.125</v>
      </c>
      <c r="F495">
        <v>0.18338727076591155</v>
      </c>
      <c r="G495" s="1">
        <f t="shared" si="61"/>
        <v>0.125</v>
      </c>
      <c r="H495" s="1" t="str">
        <f t="shared" si="62"/>
        <v/>
      </c>
      <c r="I495" s="1" t="str">
        <f t="shared" si="63"/>
        <v/>
      </c>
      <c r="J495" s="1" t="str">
        <f t="shared" si="64"/>
        <v/>
      </c>
      <c r="K495" s="1" t="str">
        <f t="shared" si="65"/>
        <v/>
      </c>
      <c r="L495" s="1" t="str">
        <f t="shared" si="66"/>
        <v/>
      </c>
    </row>
    <row r="496" spans="1:12">
      <c r="A496" t="s">
        <v>358</v>
      </c>
      <c r="B496">
        <v>12</v>
      </c>
      <c r="C496" t="str">
        <f t="shared" si="60"/>
        <v>test.TIFFFaxDecoder_12_</v>
      </c>
      <c r="D496">
        <v>2</v>
      </c>
      <c r="E496">
        <v>0.5</v>
      </c>
      <c r="F496">
        <v>0.56850053937432576</v>
      </c>
      <c r="G496" s="1" t="str">
        <f t="shared" si="61"/>
        <v/>
      </c>
      <c r="H496" s="1" t="str">
        <f t="shared" si="62"/>
        <v/>
      </c>
      <c r="I496" s="1">
        <f t="shared" si="63"/>
        <v>0.5</v>
      </c>
      <c r="J496" s="1" t="str">
        <f t="shared" si="64"/>
        <v/>
      </c>
      <c r="K496" s="1" t="str">
        <f t="shared" si="65"/>
        <v/>
      </c>
      <c r="L496" s="1" t="str">
        <f t="shared" si="66"/>
        <v/>
      </c>
    </row>
    <row r="497" spans="1:12">
      <c r="A497" t="s">
        <v>358</v>
      </c>
      <c r="B497">
        <v>12</v>
      </c>
      <c r="C497" t="str">
        <f t="shared" si="60"/>
        <v>test.TIFFFaxDecoder_12_</v>
      </c>
      <c r="D497">
        <v>3</v>
      </c>
      <c r="E497">
        <v>0.5714285714285714</v>
      </c>
      <c r="F497">
        <v>0.58468176914778858</v>
      </c>
      <c r="G497" s="1" t="str">
        <f t="shared" si="61"/>
        <v/>
      </c>
      <c r="H497" s="1" t="str">
        <f t="shared" si="62"/>
        <v/>
      </c>
      <c r="I497" s="1">
        <f t="shared" si="63"/>
        <v>0.5714285714285714</v>
      </c>
      <c r="J497" s="1" t="str">
        <f t="shared" si="64"/>
        <v/>
      </c>
      <c r="K497" s="1" t="str">
        <f t="shared" si="65"/>
        <v/>
      </c>
      <c r="L497" s="1" t="str">
        <f t="shared" si="66"/>
        <v/>
      </c>
    </row>
    <row r="498" spans="1:12">
      <c r="A498" t="s">
        <v>358</v>
      </c>
      <c r="B498">
        <v>12</v>
      </c>
      <c r="C498" t="str">
        <f t="shared" si="60"/>
        <v>test.TIFFFaxDecoder_12_</v>
      </c>
      <c r="D498">
        <v>4</v>
      </c>
      <c r="E498">
        <v>0.7678571428571429</v>
      </c>
      <c r="F498">
        <v>0.60841423948220064</v>
      </c>
      <c r="G498" s="1" t="str">
        <f t="shared" si="61"/>
        <v/>
      </c>
      <c r="H498" s="1" t="str">
        <f t="shared" si="62"/>
        <v/>
      </c>
      <c r="I498" s="1" t="str">
        <f t="shared" si="63"/>
        <v/>
      </c>
      <c r="J498" s="1">
        <f t="shared" si="64"/>
        <v>0.7678571428571429</v>
      </c>
      <c r="K498" s="1" t="str">
        <f t="shared" si="65"/>
        <v/>
      </c>
      <c r="L498" s="1" t="str">
        <f t="shared" si="66"/>
        <v/>
      </c>
    </row>
    <row r="499" spans="1:12">
      <c r="A499" t="s">
        <v>358</v>
      </c>
      <c r="B499">
        <v>12</v>
      </c>
      <c r="C499" t="str">
        <f t="shared" si="60"/>
        <v>test.TIFFFaxDecoder_12_</v>
      </c>
      <c r="D499">
        <v>5</v>
      </c>
      <c r="E499">
        <v>0.7678571428571429</v>
      </c>
      <c r="F499">
        <v>0.62351672060409924</v>
      </c>
      <c r="G499" s="1" t="str">
        <f t="shared" si="61"/>
        <v/>
      </c>
      <c r="H499" s="1" t="str">
        <f t="shared" si="62"/>
        <v/>
      </c>
      <c r="I499" s="1" t="str">
        <f t="shared" si="63"/>
        <v/>
      </c>
      <c r="J499" s="1">
        <f t="shared" si="64"/>
        <v>0.7678571428571429</v>
      </c>
      <c r="K499" s="1" t="str">
        <f t="shared" si="65"/>
        <v/>
      </c>
      <c r="L499" s="1" t="str">
        <f t="shared" si="66"/>
        <v/>
      </c>
    </row>
    <row r="500" spans="1:12">
      <c r="A500" t="s">
        <v>358</v>
      </c>
      <c r="B500">
        <v>12</v>
      </c>
      <c r="C500" t="str">
        <f t="shared" si="60"/>
        <v>test.TIFFFaxDecoder_12_</v>
      </c>
      <c r="D500">
        <v>6</v>
      </c>
      <c r="E500">
        <v>0.8928571428571429</v>
      </c>
      <c r="F500">
        <v>0.63646170442286942</v>
      </c>
      <c r="G500" s="1" t="str">
        <f t="shared" si="61"/>
        <v/>
      </c>
      <c r="H500" s="1" t="str">
        <f t="shared" si="62"/>
        <v/>
      </c>
      <c r="I500" s="1" t="str">
        <f t="shared" si="63"/>
        <v/>
      </c>
      <c r="J500" s="1">
        <f t="shared" si="64"/>
        <v>0.8928571428571429</v>
      </c>
      <c r="K500" s="1" t="str">
        <f t="shared" si="65"/>
        <v/>
      </c>
      <c r="L500" s="1" t="str">
        <f t="shared" si="66"/>
        <v/>
      </c>
    </row>
    <row r="501" spans="1:12">
      <c r="A501" t="s">
        <v>358</v>
      </c>
      <c r="B501">
        <v>12</v>
      </c>
      <c r="C501" t="str">
        <f t="shared" si="60"/>
        <v>test.TIFFFaxDecoder_12_</v>
      </c>
      <c r="D501">
        <v>7</v>
      </c>
      <c r="E501">
        <v>1</v>
      </c>
      <c r="F501">
        <v>0.65803667745415317</v>
      </c>
      <c r="G501" s="1" t="str">
        <f t="shared" si="61"/>
        <v/>
      </c>
      <c r="H501" s="1" t="str">
        <f t="shared" si="62"/>
        <v/>
      </c>
      <c r="I501" s="1" t="str">
        <f t="shared" si="63"/>
        <v/>
      </c>
      <c r="J501" s="1">
        <f t="shared" si="64"/>
        <v>1</v>
      </c>
      <c r="K501" s="1" t="str">
        <f t="shared" si="65"/>
        <v/>
      </c>
      <c r="L501" s="1" t="str">
        <f t="shared" si="66"/>
        <v/>
      </c>
    </row>
    <row r="502" spans="1:12">
      <c r="A502" t="s">
        <v>358</v>
      </c>
      <c r="B502">
        <v>12</v>
      </c>
      <c r="C502" t="str">
        <f t="shared" si="60"/>
        <v>test.TIFFFaxDecoder_12_</v>
      </c>
      <c r="D502">
        <v>8</v>
      </c>
      <c r="E502">
        <v>1</v>
      </c>
      <c r="F502">
        <v>0.66882416396979505</v>
      </c>
      <c r="G502" s="1" t="str">
        <f t="shared" si="61"/>
        <v/>
      </c>
      <c r="H502" s="1" t="str">
        <f t="shared" si="62"/>
        <v/>
      </c>
      <c r="I502" s="1" t="str">
        <f t="shared" si="63"/>
        <v/>
      </c>
      <c r="J502" s="1">
        <f t="shared" si="64"/>
        <v>1</v>
      </c>
      <c r="K502" s="1" t="str">
        <f t="shared" si="65"/>
        <v/>
      </c>
      <c r="L502" s="1" t="str">
        <f t="shared" si="66"/>
        <v/>
      </c>
    </row>
    <row r="503" spans="1:12">
      <c r="A503" t="s">
        <v>358</v>
      </c>
      <c r="B503">
        <v>12</v>
      </c>
      <c r="C503" t="str">
        <f t="shared" si="60"/>
        <v>test.TIFFFaxDecoder_12_</v>
      </c>
      <c r="D503">
        <v>9</v>
      </c>
      <c r="E503">
        <v>1</v>
      </c>
      <c r="F503">
        <v>0.7195253505933118</v>
      </c>
      <c r="G503" s="1" t="str">
        <f t="shared" si="61"/>
        <v/>
      </c>
      <c r="H503" s="1" t="str">
        <f t="shared" si="62"/>
        <v/>
      </c>
      <c r="I503" s="1" t="str">
        <f t="shared" si="63"/>
        <v/>
      </c>
      <c r="J503" s="1">
        <f t="shared" si="64"/>
        <v>1</v>
      </c>
      <c r="K503" s="1" t="str">
        <f t="shared" si="65"/>
        <v/>
      </c>
      <c r="L503" s="1" t="str">
        <f t="shared" si="66"/>
        <v/>
      </c>
    </row>
    <row r="504" spans="1:12">
      <c r="A504" t="s">
        <v>358</v>
      </c>
      <c r="B504">
        <v>13</v>
      </c>
      <c r="C504" t="str">
        <f t="shared" si="60"/>
        <v>test.TIFFFaxDecoder_13_</v>
      </c>
      <c r="D504">
        <v>1</v>
      </c>
      <c r="E504">
        <v>0.42857142857142855</v>
      </c>
      <c r="F504">
        <v>0.64534883720930236</v>
      </c>
      <c r="G504" s="1" t="str">
        <f t="shared" si="61"/>
        <v/>
      </c>
      <c r="H504" s="1" t="str">
        <f t="shared" si="62"/>
        <v/>
      </c>
      <c r="I504" s="1" t="str">
        <f t="shared" si="63"/>
        <v/>
      </c>
      <c r="J504" s="1">
        <f t="shared" si="64"/>
        <v>0.42857142857142855</v>
      </c>
      <c r="K504" s="1" t="str">
        <f t="shared" si="65"/>
        <v/>
      </c>
      <c r="L504" s="1" t="str">
        <f t="shared" si="66"/>
        <v/>
      </c>
    </row>
    <row r="505" spans="1:12">
      <c r="A505" t="s">
        <v>358</v>
      </c>
      <c r="B505">
        <v>13</v>
      </c>
      <c r="C505" t="str">
        <f t="shared" si="60"/>
        <v>test.TIFFFaxDecoder_13_</v>
      </c>
      <c r="D505">
        <v>2</v>
      </c>
      <c r="E505">
        <v>1</v>
      </c>
      <c r="F505">
        <v>1.0465116279069768</v>
      </c>
      <c r="G505" s="1" t="str">
        <f t="shared" si="61"/>
        <v/>
      </c>
      <c r="H505" s="1" t="str">
        <f t="shared" si="62"/>
        <v/>
      </c>
      <c r="I505" s="1" t="str">
        <f t="shared" si="63"/>
        <v/>
      </c>
      <c r="J505" s="1" t="str">
        <f t="shared" si="64"/>
        <v/>
      </c>
      <c r="K505" s="1">
        <f t="shared" si="65"/>
        <v>1</v>
      </c>
      <c r="L505" s="1" t="str">
        <f t="shared" si="66"/>
        <v/>
      </c>
    </row>
    <row r="506" spans="1:12">
      <c r="A506" t="s">
        <v>405</v>
      </c>
      <c r="B506">
        <v>2</v>
      </c>
      <c r="C506" t="str">
        <f t="shared" si="60"/>
        <v>test.TIFFFaxEncoder_2_</v>
      </c>
      <c r="D506">
        <v>1</v>
      </c>
      <c r="E506">
        <v>0.352112676056338</v>
      </c>
      <c r="F506">
        <v>0.29969727547931385</v>
      </c>
      <c r="G506" s="1" t="str">
        <f t="shared" si="61"/>
        <v/>
      </c>
      <c r="H506" s="1">
        <f t="shared" si="62"/>
        <v>0.352112676056338</v>
      </c>
      <c r="I506" s="1" t="str">
        <f t="shared" si="63"/>
        <v/>
      </c>
      <c r="J506" s="1" t="str">
        <f t="shared" si="64"/>
        <v/>
      </c>
      <c r="K506" s="1" t="str">
        <f t="shared" si="65"/>
        <v/>
      </c>
      <c r="L506" s="1" t="str">
        <f t="shared" si="66"/>
        <v/>
      </c>
    </row>
    <row r="507" spans="1:12">
      <c r="A507" t="s">
        <v>405</v>
      </c>
      <c r="B507">
        <v>2</v>
      </c>
      <c r="C507" t="str">
        <f t="shared" si="60"/>
        <v>test.TIFFFaxEncoder_2_</v>
      </c>
      <c r="D507">
        <v>2</v>
      </c>
      <c r="E507">
        <v>0.70422535211267601</v>
      </c>
      <c r="F507">
        <v>0.43945509586276488</v>
      </c>
      <c r="G507" s="1" t="str">
        <f t="shared" si="61"/>
        <v/>
      </c>
      <c r="H507" s="1" t="str">
        <f t="shared" si="62"/>
        <v/>
      </c>
      <c r="I507" s="1">
        <f t="shared" si="63"/>
        <v>0.70422535211267601</v>
      </c>
      <c r="J507" s="1" t="str">
        <f t="shared" si="64"/>
        <v/>
      </c>
      <c r="K507" s="1" t="str">
        <f t="shared" si="65"/>
        <v/>
      </c>
      <c r="L507" s="1" t="str">
        <f t="shared" si="66"/>
        <v/>
      </c>
    </row>
    <row r="508" spans="1:12">
      <c r="A508" t="s">
        <v>405</v>
      </c>
      <c r="B508">
        <v>2</v>
      </c>
      <c r="C508" t="str">
        <f t="shared" si="60"/>
        <v>test.TIFFFaxEncoder_2_</v>
      </c>
      <c r="D508">
        <v>3</v>
      </c>
      <c r="E508">
        <v>1</v>
      </c>
      <c r="F508">
        <v>0.65338042381432893</v>
      </c>
      <c r="G508" s="1" t="str">
        <f t="shared" si="61"/>
        <v/>
      </c>
      <c r="H508" s="1" t="str">
        <f t="shared" si="62"/>
        <v/>
      </c>
      <c r="I508" s="1" t="str">
        <f t="shared" si="63"/>
        <v/>
      </c>
      <c r="J508" s="1">
        <f t="shared" si="64"/>
        <v>1</v>
      </c>
      <c r="K508" s="1" t="str">
        <f t="shared" si="65"/>
        <v/>
      </c>
      <c r="L508" s="1" t="str">
        <f t="shared" si="66"/>
        <v/>
      </c>
    </row>
    <row r="509" spans="1:12">
      <c r="A509" t="s">
        <v>405</v>
      </c>
      <c r="B509">
        <v>6</v>
      </c>
      <c r="C509" t="str">
        <f t="shared" si="60"/>
        <v>test.TIFFFaxEncoder_6_</v>
      </c>
      <c r="D509">
        <v>1</v>
      </c>
      <c r="E509">
        <v>0.67741935483870963</v>
      </c>
      <c r="F509">
        <v>0.76019777503090236</v>
      </c>
      <c r="G509" s="1" t="str">
        <f t="shared" si="61"/>
        <v/>
      </c>
      <c r="H509" s="1" t="str">
        <f t="shared" si="62"/>
        <v/>
      </c>
      <c r="I509" s="1" t="str">
        <f t="shared" si="63"/>
        <v/>
      </c>
      <c r="J509" s="1">
        <f t="shared" si="64"/>
        <v>0.67741935483870963</v>
      </c>
      <c r="K509" s="1" t="str">
        <f t="shared" si="65"/>
        <v/>
      </c>
      <c r="L509" s="1" t="str">
        <f t="shared" si="66"/>
        <v/>
      </c>
    </row>
    <row r="510" spans="1:12">
      <c r="A510" t="s">
        <v>405</v>
      </c>
      <c r="B510">
        <v>6</v>
      </c>
      <c r="C510" t="str">
        <f t="shared" si="60"/>
        <v>test.TIFFFaxEncoder_6_</v>
      </c>
      <c r="D510">
        <v>2</v>
      </c>
      <c r="E510">
        <v>0.74193548387096775</v>
      </c>
      <c r="F510">
        <v>0.76885043263288011</v>
      </c>
      <c r="G510" s="1" t="str">
        <f t="shared" si="61"/>
        <v/>
      </c>
      <c r="H510" s="1" t="str">
        <f t="shared" si="62"/>
        <v/>
      </c>
      <c r="I510" s="1" t="str">
        <f t="shared" si="63"/>
        <v/>
      </c>
      <c r="J510" s="1">
        <f t="shared" si="64"/>
        <v>0.74193548387096775</v>
      </c>
      <c r="K510" s="1" t="str">
        <f t="shared" si="65"/>
        <v/>
      </c>
      <c r="L510" s="1" t="str">
        <f t="shared" si="66"/>
        <v/>
      </c>
    </row>
    <row r="511" spans="1:12">
      <c r="A511" t="s">
        <v>405</v>
      </c>
      <c r="B511">
        <v>6</v>
      </c>
      <c r="C511" t="str">
        <f t="shared" si="60"/>
        <v>test.TIFFFaxEncoder_6_</v>
      </c>
      <c r="D511">
        <v>3</v>
      </c>
      <c r="E511">
        <v>0.967741935483871</v>
      </c>
      <c r="F511">
        <v>0.86773794808405436</v>
      </c>
      <c r="G511" s="1" t="str">
        <f t="shared" si="61"/>
        <v/>
      </c>
      <c r="H511" s="1" t="str">
        <f t="shared" si="62"/>
        <v/>
      </c>
      <c r="I511" s="1" t="str">
        <f t="shared" si="63"/>
        <v/>
      </c>
      <c r="J511" s="1" t="str">
        <f t="shared" si="64"/>
        <v/>
      </c>
      <c r="K511" s="1">
        <f t="shared" si="65"/>
        <v>0.967741935483871</v>
      </c>
      <c r="L511" s="1" t="str">
        <f t="shared" si="66"/>
        <v/>
      </c>
    </row>
    <row r="512" spans="1:12">
      <c r="A512" t="s">
        <v>405</v>
      </c>
      <c r="B512">
        <v>6</v>
      </c>
      <c r="C512" t="str">
        <f t="shared" si="60"/>
        <v>test.TIFFFaxEncoder_6_</v>
      </c>
      <c r="D512">
        <v>4</v>
      </c>
      <c r="E512">
        <v>0.967741935483871</v>
      </c>
      <c r="F512">
        <v>0.87268232385661315</v>
      </c>
      <c r="G512" s="1" t="str">
        <f t="shared" si="61"/>
        <v/>
      </c>
      <c r="H512" s="1" t="str">
        <f t="shared" si="62"/>
        <v/>
      </c>
      <c r="I512" s="1" t="str">
        <f t="shared" si="63"/>
        <v/>
      </c>
      <c r="J512" s="1" t="str">
        <f t="shared" si="64"/>
        <v/>
      </c>
      <c r="K512" s="1">
        <f t="shared" si="65"/>
        <v>0.967741935483871</v>
      </c>
      <c r="L512" s="1" t="str">
        <f t="shared" si="66"/>
        <v/>
      </c>
    </row>
    <row r="513" spans="1:12">
      <c r="A513" t="s">
        <v>405</v>
      </c>
      <c r="B513">
        <v>6</v>
      </c>
      <c r="C513" t="str">
        <f t="shared" si="60"/>
        <v>test.TIFFFaxEncoder_6_</v>
      </c>
      <c r="D513">
        <v>5</v>
      </c>
      <c r="E513">
        <v>1</v>
      </c>
      <c r="F513">
        <v>0.88009888751545118</v>
      </c>
      <c r="G513" s="1" t="str">
        <f t="shared" si="61"/>
        <v/>
      </c>
      <c r="H513" s="1" t="str">
        <f t="shared" si="62"/>
        <v/>
      </c>
      <c r="I513" s="1" t="str">
        <f t="shared" si="63"/>
        <v/>
      </c>
      <c r="J513" s="1" t="str">
        <f t="shared" si="64"/>
        <v/>
      </c>
      <c r="K513" s="1">
        <f t="shared" si="65"/>
        <v>1</v>
      </c>
      <c r="L513" s="1" t="str">
        <f t="shared" si="66"/>
        <v/>
      </c>
    </row>
    <row r="514" spans="1:12">
      <c r="A514" t="s">
        <v>405</v>
      </c>
      <c r="B514">
        <v>6</v>
      </c>
      <c r="C514" t="str">
        <f t="shared" si="60"/>
        <v>test.TIFFFaxEncoder_6_</v>
      </c>
      <c r="D514">
        <v>6</v>
      </c>
      <c r="E514">
        <v>1</v>
      </c>
      <c r="F514">
        <v>0.88998763906056866</v>
      </c>
      <c r="G514" s="1" t="str">
        <f t="shared" si="61"/>
        <v/>
      </c>
      <c r="H514" s="1" t="str">
        <f t="shared" si="62"/>
        <v/>
      </c>
      <c r="I514" s="1" t="str">
        <f t="shared" si="63"/>
        <v/>
      </c>
      <c r="J514" s="1" t="str">
        <f t="shared" si="64"/>
        <v/>
      </c>
      <c r="K514" s="1">
        <f t="shared" si="65"/>
        <v>1</v>
      </c>
    </row>
    <row r="515" spans="1:12">
      <c r="A515" t="s">
        <v>405</v>
      </c>
      <c r="B515">
        <v>8</v>
      </c>
      <c r="C515" t="str">
        <f t="shared" ref="C515:C516" si="67">CONCATENATE(A515, "_",B515,"_")</f>
        <v>test.TIFFFaxEncoder_8_</v>
      </c>
      <c r="D515">
        <v>1</v>
      </c>
      <c r="E515">
        <v>0.89655172413793105</v>
      </c>
      <c r="F515">
        <v>0.94816414686825057</v>
      </c>
      <c r="G515" s="1" t="str">
        <f t="shared" ref="G515:G516" si="68">IF($F515 &lt;= 0.2,$E515,"")</f>
        <v/>
      </c>
      <c r="H515" s="1" t="str">
        <f t="shared" ref="H515:H516" si="69">IF(AND($F515 &gt; 0.2,$F515 &lt;= 0.4),$E515,"")</f>
        <v/>
      </c>
      <c r="I515" s="1" t="str">
        <f t="shared" ref="I515:I516" si="70">IF(AND($F515 &gt; 0.4,$F515 &lt;= 0.6),$E515,"")</f>
        <v/>
      </c>
      <c r="J515" s="1" t="str">
        <f t="shared" ref="J515:J516" si="71">IF(AND($F515 &gt; 0.6,$F515 &lt;= 0.8),$E515,"")</f>
        <v/>
      </c>
      <c r="K515" s="1">
        <f t="shared" ref="K515:K516" si="72">IF(AND($F515 &gt; 0.8, $F515 &lt;=1.1),$E515,"")</f>
        <v>0.89655172413793105</v>
      </c>
    </row>
    <row r="516" spans="1:12">
      <c r="A516" t="s">
        <v>405</v>
      </c>
      <c r="B516">
        <v>8</v>
      </c>
      <c r="C516" t="str">
        <f t="shared" si="67"/>
        <v>test.TIFFFaxEncoder_8_</v>
      </c>
      <c r="D516">
        <v>2</v>
      </c>
      <c r="E516">
        <v>1</v>
      </c>
      <c r="F516">
        <v>0.95680345572354208</v>
      </c>
      <c r="G516" s="1" t="str">
        <f t="shared" si="68"/>
        <v/>
      </c>
      <c r="H516" s="1" t="str">
        <f t="shared" si="69"/>
        <v/>
      </c>
      <c r="I516" s="1" t="str">
        <f t="shared" si="70"/>
        <v/>
      </c>
      <c r="J516" s="1" t="str">
        <f t="shared" si="71"/>
        <v/>
      </c>
      <c r="K516" s="1">
        <f t="shared" si="72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opLeftCell="A17" workbookViewId="0">
      <selection activeCell="B49" sqref="B49"/>
    </sheetView>
  </sheetViews>
  <sheetFormatPr baseColWidth="10" defaultRowHeight="15" x14ac:dyDescent="0"/>
  <cols>
    <col min="1" max="1" width="26" customWidth="1"/>
  </cols>
  <sheetData>
    <row r="1" spans="1:5">
      <c r="A1" t="s">
        <v>509</v>
      </c>
      <c r="B1" t="s">
        <v>516</v>
      </c>
      <c r="C1" t="s">
        <v>517</v>
      </c>
      <c r="D1" t="s">
        <v>518</v>
      </c>
      <c r="E1" t="s">
        <v>519</v>
      </c>
    </row>
    <row r="2" spans="1:5">
      <c r="A2" t="s">
        <v>4</v>
      </c>
      <c r="B2">
        <v>1</v>
      </c>
      <c r="C2">
        <v>2</v>
      </c>
      <c r="D2">
        <v>60</v>
      </c>
      <c r="E2">
        <v>8</v>
      </c>
    </row>
    <row r="3" spans="1:5">
      <c r="A3" t="s">
        <v>4</v>
      </c>
      <c r="B3">
        <v>2</v>
      </c>
      <c r="C3">
        <v>3</v>
      </c>
      <c r="D3">
        <v>60</v>
      </c>
      <c r="E3">
        <v>15</v>
      </c>
    </row>
    <row r="4" spans="1:5">
      <c r="A4" t="s">
        <v>4</v>
      </c>
      <c r="B4">
        <v>6</v>
      </c>
      <c r="C4">
        <v>3</v>
      </c>
      <c r="D4">
        <v>60</v>
      </c>
      <c r="E4">
        <v>5</v>
      </c>
    </row>
    <row r="5" spans="1:5">
      <c r="A5" t="s">
        <v>4</v>
      </c>
      <c r="B5">
        <v>9</v>
      </c>
      <c r="C5">
        <v>3</v>
      </c>
      <c r="D5">
        <v>60</v>
      </c>
      <c r="E5">
        <v>10</v>
      </c>
    </row>
    <row r="6" spans="1:5">
      <c r="A6" t="s">
        <v>32</v>
      </c>
      <c r="B6">
        <v>2</v>
      </c>
      <c r="C6">
        <v>3</v>
      </c>
      <c r="D6">
        <v>60</v>
      </c>
      <c r="E6">
        <v>4</v>
      </c>
    </row>
    <row r="7" spans="1:5">
      <c r="A7" t="s">
        <v>32</v>
      </c>
      <c r="B7">
        <v>4</v>
      </c>
      <c r="C7">
        <v>3</v>
      </c>
      <c r="D7">
        <v>60</v>
      </c>
      <c r="E7">
        <v>4</v>
      </c>
    </row>
    <row r="8" spans="1:5">
      <c r="A8" t="s">
        <v>32</v>
      </c>
      <c r="B8">
        <v>13</v>
      </c>
      <c r="C8">
        <v>3</v>
      </c>
      <c r="D8">
        <v>60</v>
      </c>
      <c r="E8">
        <v>2</v>
      </c>
    </row>
    <row r="9" spans="1:5">
      <c r="A9" t="s">
        <v>32</v>
      </c>
      <c r="B9">
        <v>16</v>
      </c>
      <c r="C9">
        <v>3</v>
      </c>
      <c r="D9">
        <v>60</v>
      </c>
      <c r="E9">
        <v>4</v>
      </c>
    </row>
    <row r="10" spans="1:5">
      <c r="A10" t="s">
        <v>32</v>
      </c>
      <c r="B10">
        <v>18</v>
      </c>
      <c r="C10">
        <v>3</v>
      </c>
      <c r="D10">
        <v>60</v>
      </c>
      <c r="E10">
        <v>25</v>
      </c>
    </row>
    <row r="11" spans="1:5">
      <c r="A11" t="s">
        <v>32</v>
      </c>
      <c r="B11">
        <v>19</v>
      </c>
      <c r="C11">
        <v>3</v>
      </c>
      <c r="D11">
        <v>60</v>
      </c>
      <c r="E11">
        <v>25</v>
      </c>
    </row>
    <row r="12" spans="1:5">
      <c r="A12" t="s">
        <v>32</v>
      </c>
      <c r="B12">
        <v>20</v>
      </c>
      <c r="C12">
        <v>3</v>
      </c>
      <c r="D12">
        <v>60</v>
      </c>
      <c r="E12">
        <v>21</v>
      </c>
    </row>
    <row r="13" spans="1:5">
      <c r="A13" t="s">
        <v>142</v>
      </c>
      <c r="B13">
        <v>10</v>
      </c>
      <c r="C13">
        <v>15</v>
      </c>
      <c r="D13">
        <v>30</v>
      </c>
      <c r="E13">
        <v>32</v>
      </c>
    </row>
    <row r="14" spans="1:5">
      <c r="A14" t="s">
        <v>142</v>
      </c>
      <c r="B14">
        <v>11</v>
      </c>
      <c r="C14">
        <v>20</v>
      </c>
      <c r="D14">
        <v>15</v>
      </c>
      <c r="E14">
        <v>12</v>
      </c>
    </row>
    <row r="15" spans="1:5">
      <c r="A15" t="s">
        <v>142</v>
      </c>
      <c r="B15">
        <v>12</v>
      </c>
      <c r="C15">
        <v>20</v>
      </c>
      <c r="D15">
        <v>30</v>
      </c>
      <c r="E15">
        <v>12</v>
      </c>
    </row>
    <row r="16" spans="1:5">
      <c r="A16" t="s">
        <v>214</v>
      </c>
      <c r="B16">
        <v>1</v>
      </c>
      <c r="C16">
        <v>3</v>
      </c>
      <c r="D16">
        <v>60</v>
      </c>
      <c r="E16">
        <v>7</v>
      </c>
    </row>
    <row r="17" spans="1:5">
      <c r="A17" t="s">
        <v>214</v>
      </c>
      <c r="B17">
        <v>3</v>
      </c>
      <c r="C17">
        <v>3</v>
      </c>
      <c r="D17">
        <v>60</v>
      </c>
      <c r="E17">
        <v>3</v>
      </c>
    </row>
    <row r="18" spans="1:5">
      <c r="A18" t="s">
        <v>214</v>
      </c>
      <c r="B18">
        <v>4</v>
      </c>
      <c r="C18">
        <v>5</v>
      </c>
      <c r="D18">
        <v>60</v>
      </c>
      <c r="E18">
        <v>16</v>
      </c>
    </row>
    <row r="19" spans="1:5">
      <c r="A19" t="s">
        <v>214</v>
      </c>
      <c r="B19">
        <v>6</v>
      </c>
      <c r="C19">
        <v>3</v>
      </c>
      <c r="D19">
        <v>60</v>
      </c>
      <c r="E19">
        <v>2</v>
      </c>
    </row>
    <row r="20" spans="1:5">
      <c r="A20" t="s">
        <v>214</v>
      </c>
      <c r="B20">
        <v>7</v>
      </c>
      <c r="C20">
        <v>3</v>
      </c>
      <c r="D20">
        <v>70</v>
      </c>
      <c r="E20">
        <v>6</v>
      </c>
    </row>
    <row r="21" spans="1:5">
      <c r="A21" t="s">
        <v>247</v>
      </c>
      <c r="B21">
        <v>3</v>
      </c>
      <c r="C21">
        <v>3</v>
      </c>
      <c r="D21">
        <v>60</v>
      </c>
      <c r="E21">
        <v>3</v>
      </c>
    </row>
    <row r="22" spans="1:5">
      <c r="A22" t="s">
        <v>247</v>
      </c>
      <c r="B22">
        <v>7</v>
      </c>
      <c r="C22">
        <v>3</v>
      </c>
      <c r="D22">
        <v>60</v>
      </c>
      <c r="E22">
        <v>10</v>
      </c>
    </row>
    <row r="23" spans="1:5">
      <c r="A23" t="s">
        <v>247</v>
      </c>
      <c r="B23">
        <v>8</v>
      </c>
      <c r="C23">
        <v>3</v>
      </c>
      <c r="D23">
        <v>60</v>
      </c>
      <c r="E23">
        <v>12</v>
      </c>
    </row>
    <row r="24" spans="1:5">
      <c r="A24" t="s">
        <v>247</v>
      </c>
      <c r="B24">
        <v>9</v>
      </c>
      <c r="C24">
        <v>3</v>
      </c>
      <c r="D24">
        <v>60</v>
      </c>
      <c r="E24">
        <v>4</v>
      </c>
    </row>
    <row r="25" spans="1:5">
      <c r="A25" t="s">
        <v>247</v>
      </c>
      <c r="B25">
        <v>10</v>
      </c>
      <c r="C25">
        <v>3</v>
      </c>
      <c r="D25">
        <v>60</v>
      </c>
      <c r="E25">
        <v>32</v>
      </c>
    </row>
    <row r="26" spans="1:5">
      <c r="A26" t="s">
        <v>294</v>
      </c>
      <c r="B26">
        <v>3</v>
      </c>
      <c r="C26">
        <v>3</v>
      </c>
      <c r="D26">
        <v>60</v>
      </c>
      <c r="E26">
        <v>2</v>
      </c>
    </row>
    <row r="27" spans="1:5">
      <c r="A27" t="s">
        <v>520</v>
      </c>
      <c r="B27">
        <v>2</v>
      </c>
      <c r="C27">
        <v>3</v>
      </c>
      <c r="D27">
        <v>75</v>
      </c>
      <c r="E27">
        <v>3</v>
      </c>
    </row>
    <row r="28" spans="1:5">
      <c r="A28" t="s">
        <v>295</v>
      </c>
      <c r="B28">
        <v>2</v>
      </c>
      <c r="C28">
        <v>3</v>
      </c>
      <c r="D28">
        <v>60</v>
      </c>
      <c r="E28">
        <v>8</v>
      </c>
    </row>
    <row r="29" spans="1:5">
      <c r="A29" t="s">
        <v>295</v>
      </c>
      <c r="B29">
        <v>3</v>
      </c>
      <c r="C29">
        <v>3</v>
      </c>
      <c r="D29">
        <v>60</v>
      </c>
      <c r="E29">
        <v>6</v>
      </c>
    </row>
    <row r="30" spans="1:5">
      <c r="A30" t="s">
        <v>295</v>
      </c>
      <c r="B30">
        <v>4</v>
      </c>
      <c r="C30">
        <v>3</v>
      </c>
      <c r="D30">
        <v>60</v>
      </c>
      <c r="E30">
        <v>9</v>
      </c>
    </row>
    <row r="31" spans="1:5">
      <c r="A31" t="s">
        <v>295</v>
      </c>
      <c r="B31">
        <v>6</v>
      </c>
      <c r="C31">
        <v>3</v>
      </c>
      <c r="D31">
        <v>60</v>
      </c>
      <c r="E31">
        <v>2</v>
      </c>
    </row>
    <row r="32" spans="1:5">
      <c r="A32" t="s">
        <v>295</v>
      </c>
      <c r="B32">
        <v>7</v>
      </c>
      <c r="C32">
        <v>3</v>
      </c>
      <c r="D32">
        <v>60</v>
      </c>
      <c r="E32">
        <v>10</v>
      </c>
    </row>
    <row r="33" spans="1:5">
      <c r="A33" t="s">
        <v>295</v>
      </c>
      <c r="B33">
        <v>8</v>
      </c>
      <c r="C33">
        <v>3</v>
      </c>
      <c r="D33">
        <v>60</v>
      </c>
      <c r="E33">
        <v>6</v>
      </c>
    </row>
    <row r="34" spans="1:5">
      <c r="A34" t="s">
        <v>295</v>
      </c>
      <c r="B34">
        <v>9</v>
      </c>
      <c r="C34">
        <v>3</v>
      </c>
      <c r="D34">
        <v>60</v>
      </c>
      <c r="E34">
        <v>9</v>
      </c>
    </row>
    <row r="35" spans="1:5">
      <c r="A35" t="s">
        <v>295</v>
      </c>
      <c r="B35">
        <v>11</v>
      </c>
      <c r="C35">
        <v>3</v>
      </c>
      <c r="D35">
        <v>60</v>
      </c>
      <c r="E35">
        <v>2</v>
      </c>
    </row>
    <row r="36" spans="1:5">
      <c r="A36" t="s">
        <v>295</v>
      </c>
      <c r="B36">
        <v>13</v>
      </c>
      <c r="C36">
        <v>3</v>
      </c>
      <c r="D36">
        <v>60</v>
      </c>
      <c r="E36">
        <v>4</v>
      </c>
    </row>
    <row r="37" spans="1:5">
      <c r="A37" t="s">
        <v>295</v>
      </c>
      <c r="B37">
        <v>14</v>
      </c>
      <c r="C37">
        <v>3</v>
      </c>
      <c r="D37">
        <v>60</v>
      </c>
      <c r="E37">
        <v>9</v>
      </c>
    </row>
    <row r="38" spans="1:5">
      <c r="A38" t="s">
        <v>295</v>
      </c>
      <c r="B38">
        <v>15</v>
      </c>
      <c r="C38">
        <v>3</v>
      </c>
      <c r="D38">
        <v>60</v>
      </c>
      <c r="E38">
        <v>4</v>
      </c>
    </row>
    <row r="39" spans="1:5">
      <c r="A39" t="s">
        <v>295</v>
      </c>
      <c r="B39">
        <v>16</v>
      </c>
      <c r="C39">
        <v>3</v>
      </c>
      <c r="D39">
        <v>60</v>
      </c>
      <c r="E39">
        <v>4</v>
      </c>
    </row>
    <row r="40" spans="1:5">
      <c r="A40" t="s">
        <v>295</v>
      </c>
      <c r="B40">
        <v>20</v>
      </c>
      <c r="C40">
        <v>3</v>
      </c>
      <c r="D40">
        <v>60</v>
      </c>
      <c r="E40">
        <v>2</v>
      </c>
    </row>
    <row r="41" spans="1:5">
      <c r="A41" t="s">
        <v>295</v>
      </c>
      <c r="B41">
        <v>21</v>
      </c>
      <c r="C41">
        <v>3</v>
      </c>
      <c r="D41">
        <v>60</v>
      </c>
      <c r="E41">
        <v>2</v>
      </c>
    </row>
    <row r="42" spans="1:5">
      <c r="A42" t="s">
        <v>344</v>
      </c>
      <c r="B42">
        <v>0</v>
      </c>
      <c r="C42">
        <v>3</v>
      </c>
      <c r="D42">
        <v>60</v>
      </c>
      <c r="E42">
        <v>3</v>
      </c>
    </row>
    <row r="43" spans="1:5">
      <c r="A43" t="s">
        <v>344</v>
      </c>
      <c r="B43">
        <v>1</v>
      </c>
      <c r="C43">
        <v>3</v>
      </c>
      <c r="D43">
        <v>60</v>
      </c>
      <c r="E43">
        <v>4</v>
      </c>
    </row>
    <row r="44" spans="1:5">
      <c r="A44" t="s">
        <v>348</v>
      </c>
      <c r="B44">
        <v>1</v>
      </c>
      <c r="C44">
        <v>3</v>
      </c>
      <c r="D44">
        <v>60</v>
      </c>
      <c r="E44">
        <v>8</v>
      </c>
    </row>
    <row r="45" spans="1:5">
      <c r="A45" t="s">
        <v>521</v>
      </c>
      <c r="B45">
        <v>5</v>
      </c>
      <c r="C45">
        <v>3</v>
      </c>
      <c r="D45">
        <v>60</v>
      </c>
      <c r="E45">
        <v>18</v>
      </c>
    </row>
    <row r="46" spans="1:5">
      <c r="A46" t="s">
        <v>521</v>
      </c>
      <c r="B46">
        <v>6</v>
      </c>
      <c r="C46">
        <v>3</v>
      </c>
      <c r="D46">
        <v>60</v>
      </c>
      <c r="E46">
        <v>15</v>
      </c>
    </row>
    <row r="47" spans="1:5">
      <c r="A47" t="s">
        <v>358</v>
      </c>
      <c r="B47">
        <v>9</v>
      </c>
      <c r="C47">
        <v>3</v>
      </c>
      <c r="D47">
        <v>60</v>
      </c>
      <c r="E47">
        <v>18</v>
      </c>
    </row>
    <row r="48" spans="1:5">
      <c r="A48" t="s">
        <v>358</v>
      </c>
      <c r="B48">
        <v>10</v>
      </c>
      <c r="C48">
        <v>3</v>
      </c>
      <c r="D48">
        <v>60</v>
      </c>
      <c r="E48">
        <v>4</v>
      </c>
    </row>
    <row r="49" spans="1:5">
      <c r="A49" t="s">
        <v>358</v>
      </c>
      <c r="B49">
        <v>11</v>
      </c>
      <c r="C49">
        <v>3</v>
      </c>
      <c r="D49">
        <v>60</v>
      </c>
      <c r="E49">
        <v>19</v>
      </c>
    </row>
    <row r="50" spans="1:5">
      <c r="A50" t="s">
        <v>358</v>
      </c>
      <c r="B50">
        <v>12</v>
      </c>
      <c r="C50">
        <v>3</v>
      </c>
      <c r="D50">
        <v>60</v>
      </c>
      <c r="E50">
        <v>9</v>
      </c>
    </row>
    <row r="51" spans="1:5">
      <c r="A51" t="s">
        <v>358</v>
      </c>
      <c r="B51">
        <v>13</v>
      </c>
      <c r="C51">
        <v>3</v>
      </c>
      <c r="D51">
        <v>60</v>
      </c>
      <c r="E51">
        <v>2</v>
      </c>
    </row>
    <row r="52" spans="1:5">
      <c r="A52" t="s">
        <v>405</v>
      </c>
      <c r="B52">
        <v>2</v>
      </c>
      <c r="C52">
        <v>3</v>
      </c>
      <c r="D52">
        <v>60</v>
      </c>
      <c r="E52">
        <v>7</v>
      </c>
    </row>
    <row r="53" spans="1:5">
      <c r="A53" t="s">
        <v>405</v>
      </c>
      <c r="B53">
        <v>6</v>
      </c>
      <c r="C53">
        <v>3</v>
      </c>
      <c r="D53">
        <v>60</v>
      </c>
      <c r="E53">
        <v>6</v>
      </c>
    </row>
    <row r="54" spans="1:5">
      <c r="A54" t="s">
        <v>405</v>
      </c>
      <c r="B54">
        <v>8</v>
      </c>
      <c r="C54">
        <v>3</v>
      </c>
      <c r="D54">
        <v>60</v>
      </c>
      <c r="E54">
        <v>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RD c1 vs f</vt:lpstr>
      <vt:lpstr>RD c1 compare</vt:lpstr>
      <vt:lpstr>RD c2 vs f</vt:lpstr>
      <vt:lpstr>RD c2 compare</vt:lpstr>
      <vt:lpstr>VA c1 vs f satunsat</vt:lpstr>
      <vt:lpstr>VA c1 vs f time</vt:lpstr>
      <vt:lpstr>VA c1 compare</vt:lpstr>
      <vt:lpstr>VA c2 vs f satunsat</vt:lpstr>
      <vt:lpstr>VA c2 vs f time</vt:lpstr>
      <vt:lpstr>VA c2 compare</vt:lpstr>
      <vt:lpstr>artifacts</vt:lpstr>
    </vt:vector>
  </TitlesOfParts>
  <Company>Boise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Sherman</dc:creator>
  <cp:lastModifiedBy>Elena Sherman</cp:lastModifiedBy>
  <dcterms:created xsi:type="dcterms:W3CDTF">2017-10-19T19:30:28Z</dcterms:created>
  <dcterms:modified xsi:type="dcterms:W3CDTF">2018-01-26T19:21:20Z</dcterms:modified>
</cp:coreProperties>
</file>