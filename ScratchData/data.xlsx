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showInkAnnotation="0" autoCompressPictures="0"/>
  <bookViews>
    <workbookView xWindow="2800" yWindow="0" windowWidth="28420" windowHeight="17740" tabRatio="680" firstSheet="2" activeTab="3"/>
  </bookViews>
  <sheets>
    <sheet name="Sheet1" sheetId="1" r:id="rId1"/>
    <sheet name="time" sheetId="2" r:id="rId2"/>
    <sheet name="Sheet2" sheetId="3" r:id="rId3"/>
    <sheet name="cleanedData" sheetId="4" r:id="rId4"/>
    <sheet name="TestPathData" sheetId="5" r:id="rId5"/>
    <sheet name="Time Data Test" sheetId="6" r:id="rId6"/>
    <sheet name="SatUnsatData Test" sheetId="7" r:id="rId7"/>
    <sheet name="Compare Test" sheetId="8" r:id="rId8"/>
    <sheet name="Time Data Full" sheetId="9" r:id="rId9"/>
    <sheet name="SatUnsatData Full" sheetId="10" r:id="rId10"/>
    <sheet name="Compare" sheetId="11" r:id="rId11"/>
    <sheet name="Sheet3" sheetId="13" r:id="rId1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70" i="4" l="1"/>
  <c r="C2" i="11"/>
  <c r="G2" i="11"/>
  <c r="C3" i="11"/>
  <c r="G3" i="11"/>
  <c r="H2" i="11"/>
  <c r="I2" i="11"/>
  <c r="J2" i="11"/>
  <c r="K2" i="11"/>
  <c r="L2" i="11"/>
  <c r="H3" i="11"/>
  <c r="I3" i="11"/>
  <c r="J3" i="11"/>
  <c r="K3" i="11"/>
  <c r="L3" i="11"/>
  <c r="C4" i="11"/>
  <c r="G4" i="11"/>
  <c r="H4" i="11"/>
  <c r="I4" i="11"/>
  <c r="J4" i="11"/>
  <c r="K4" i="11"/>
  <c r="L4" i="11"/>
  <c r="C5" i="11"/>
  <c r="G5" i="11"/>
  <c r="H5" i="11"/>
  <c r="I5" i="11"/>
  <c r="J5" i="11"/>
  <c r="K5" i="11"/>
  <c r="L5" i="11"/>
  <c r="C6" i="11"/>
  <c r="G6" i="11"/>
  <c r="H6" i="11"/>
  <c r="I6" i="11"/>
  <c r="J6" i="11"/>
  <c r="K6" i="11"/>
  <c r="L6" i="11"/>
  <c r="C7" i="11"/>
  <c r="G7" i="11"/>
  <c r="H7" i="11"/>
  <c r="I7" i="11"/>
  <c r="J7" i="11"/>
  <c r="K7" i="11"/>
  <c r="L7" i="11"/>
  <c r="C8" i="11"/>
  <c r="G8" i="11"/>
  <c r="H8" i="11"/>
  <c r="I8" i="11"/>
  <c r="J8" i="11"/>
  <c r="K8" i="11"/>
  <c r="L8" i="11"/>
  <c r="C9" i="11"/>
  <c r="G9" i="11"/>
  <c r="H9" i="11"/>
  <c r="I9" i="11"/>
  <c r="J9" i="11"/>
  <c r="K9" i="11"/>
  <c r="L9" i="11"/>
  <c r="C10" i="11"/>
  <c r="G10" i="11"/>
  <c r="H10" i="11"/>
  <c r="I10" i="11"/>
  <c r="J10" i="11"/>
  <c r="K10" i="11"/>
  <c r="L10" i="11"/>
  <c r="C11" i="11"/>
  <c r="G11" i="11"/>
  <c r="H11" i="11"/>
  <c r="I11" i="11"/>
  <c r="J11" i="11"/>
  <c r="K11" i="11"/>
  <c r="L11" i="11"/>
  <c r="C12" i="11"/>
  <c r="G12" i="11"/>
  <c r="H12" i="11"/>
  <c r="I12" i="11"/>
  <c r="J12" i="11"/>
  <c r="K12" i="11"/>
  <c r="L12" i="11"/>
  <c r="C13" i="11"/>
  <c r="G13" i="11"/>
  <c r="H13" i="11"/>
  <c r="I13" i="11"/>
  <c r="J13" i="11"/>
  <c r="K13" i="11"/>
  <c r="L13" i="11"/>
  <c r="C14" i="11"/>
  <c r="G14" i="11"/>
  <c r="H14" i="11"/>
  <c r="I14" i="11"/>
  <c r="J14" i="11"/>
  <c r="K14" i="11"/>
  <c r="L14" i="11"/>
  <c r="C15" i="11"/>
  <c r="G15" i="11"/>
  <c r="H15" i="11"/>
  <c r="I15" i="11"/>
  <c r="J15" i="11"/>
  <c r="K15" i="11"/>
  <c r="L15" i="11"/>
  <c r="C16" i="11"/>
  <c r="G16" i="11"/>
  <c r="H16" i="11"/>
  <c r="I16" i="11"/>
  <c r="J16" i="11"/>
  <c r="K16" i="11"/>
  <c r="L16" i="11"/>
  <c r="C17" i="11"/>
  <c r="G17" i="11"/>
  <c r="H17" i="11"/>
  <c r="I17" i="11"/>
  <c r="J17" i="11"/>
  <c r="K17" i="11"/>
  <c r="L17" i="11"/>
  <c r="C18" i="11"/>
  <c r="G18" i="11"/>
  <c r="H18" i="11"/>
  <c r="I18" i="11"/>
  <c r="J18" i="11"/>
  <c r="K18" i="11"/>
  <c r="L18" i="11"/>
  <c r="C19" i="11"/>
  <c r="G19" i="11"/>
  <c r="H19" i="11"/>
  <c r="I19" i="11"/>
  <c r="J19" i="11"/>
  <c r="K19" i="11"/>
  <c r="L19" i="11"/>
  <c r="C20" i="11"/>
  <c r="G20" i="11"/>
  <c r="H20" i="11"/>
  <c r="I20" i="11"/>
  <c r="J20" i="11"/>
  <c r="K20" i="11"/>
  <c r="L20" i="11"/>
  <c r="C21" i="11"/>
  <c r="G21" i="11"/>
  <c r="H21" i="11"/>
  <c r="I21" i="11"/>
  <c r="J21" i="11"/>
  <c r="K21" i="11"/>
  <c r="L21" i="11"/>
  <c r="C22" i="11"/>
  <c r="G22" i="11"/>
  <c r="H22" i="11"/>
  <c r="I22" i="11"/>
  <c r="J22" i="11"/>
  <c r="K22" i="11"/>
  <c r="L22" i="11"/>
  <c r="C23" i="11"/>
  <c r="G23" i="11"/>
  <c r="H23" i="11"/>
  <c r="I23" i="11"/>
  <c r="J23" i="11"/>
  <c r="K23" i="11"/>
  <c r="L23" i="11"/>
  <c r="C24" i="11"/>
  <c r="G24" i="11"/>
  <c r="H24" i="11"/>
  <c r="I24" i="11"/>
  <c r="J24" i="11"/>
  <c r="K24" i="11"/>
  <c r="L24" i="11"/>
  <c r="C25" i="11"/>
  <c r="G25" i="11"/>
  <c r="H25" i="11"/>
  <c r="I25" i="11"/>
  <c r="J25" i="11"/>
  <c r="K25" i="11"/>
  <c r="L25" i="11"/>
  <c r="C26" i="11"/>
  <c r="G26" i="11"/>
  <c r="H26" i="11"/>
  <c r="I26" i="11"/>
  <c r="J26" i="11"/>
  <c r="K26" i="11"/>
  <c r="L26" i="11"/>
  <c r="C27" i="11"/>
  <c r="G27" i="11"/>
  <c r="H27" i="11"/>
  <c r="I27" i="11"/>
  <c r="J27" i="11"/>
  <c r="K27" i="11"/>
  <c r="L27" i="11"/>
  <c r="C28" i="11"/>
  <c r="G28" i="11"/>
  <c r="H28" i="11"/>
  <c r="I28" i="11"/>
  <c r="J28" i="11"/>
  <c r="K28" i="11"/>
  <c r="L28" i="11"/>
  <c r="C29" i="11"/>
  <c r="G29" i="11"/>
  <c r="H29" i="11"/>
  <c r="I29" i="11"/>
  <c r="J29" i="11"/>
  <c r="K29" i="11"/>
  <c r="L29" i="11"/>
  <c r="C30" i="11"/>
  <c r="G30" i="11"/>
  <c r="H30" i="11"/>
  <c r="I30" i="11"/>
  <c r="J30" i="11"/>
  <c r="K30" i="11"/>
  <c r="L30" i="11"/>
  <c r="C31" i="11"/>
  <c r="G31" i="11"/>
  <c r="H31" i="11"/>
  <c r="I31" i="11"/>
  <c r="J31" i="11"/>
  <c r="K31" i="11"/>
  <c r="L31" i="11"/>
  <c r="C32" i="11"/>
  <c r="G32" i="11"/>
  <c r="H32" i="11"/>
  <c r="I32" i="11"/>
  <c r="J32" i="11"/>
  <c r="K32" i="11"/>
  <c r="L32" i="11"/>
  <c r="C33" i="11"/>
  <c r="G33" i="11"/>
  <c r="H33" i="11"/>
  <c r="I33" i="11"/>
  <c r="J33" i="11"/>
  <c r="K33" i="11"/>
  <c r="L33" i="11"/>
  <c r="C34" i="11"/>
  <c r="G34" i="11"/>
  <c r="H34" i="11"/>
  <c r="I34" i="11"/>
  <c r="J34" i="11"/>
  <c r="K34" i="11"/>
  <c r="L34" i="11"/>
  <c r="C35" i="11"/>
  <c r="G35" i="11"/>
  <c r="H35" i="11"/>
  <c r="I35" i="11"/>
  <c r="J35" i="11"/>
  <c r="K35" i="11"/>
  <c r="L35" i="11"/>
  <c r="C36" i="11"/>
  <c r="G36" i="11"/>
  <c r="H36" i="11"/>
  <c r="I36" i="11"/>
  <c r="J36" i="11"/>
  <c r="K36" i="11"/>
  <c r="L36" i="11"/>
  <c r="C37" i="11"/>
  <c r="G37" i="11"/>
  <c r="H37" i="11"/>
  <c r="I37" i="11"/>
  <c r="J37" i="11"/>
  <c r="K37" i="11"/>
  <c r="L37" i="11"/>
  <c r="C38" i="11"/>
  <c r="G38" i="11"/>
  <c r="H38" i="11"/>
  <c r="I38" i="11"/>
  <c r="J38" i="11"/>
  <c r="K38" i="11"/>
  <c r="L38" i="11"/>
  <c r="C39" i="11"/>
  <c r="G39" i="11"/>
  <c r="H39" i="11"/>
  <c r="I39" i="11"/>
  <c r="J39" i="11"/>
  <c r="K39" i="11"/>
  <c r="L39" i="11"/>
  <c r="C40" i="11"/>
  <c r="G40" i="11"/>
  <c r="H40" i="11"/>
  <c r="I40" i="11"/>
  <c r="J40" i="11"/>
  <c r="K40" i="11"/>
  <c r="L40" i="11"/>
  <c r="C41" i="11"/>
  <c r="G41" i="11"/>
  <c r="H41" i="11"/>
  <c r="I41" i="11"/>
  <c r="J41" i="11"/>
  <c r="K41" i="11"/>
  <c r="L41" i="11"/>
  <c r="C42" i="11"/>
  <c r="G42" i="11"/>
  <c r="H42" i="11"/>
  <c r="I42" i="11"/>
  <c r="J42" i="11"/>
  <c r="K42" i="11"/>
  <c r="L42" i="11"/>
  <c r="C43" i="11"/>
  <c r="G43" i="11"/>
  <c r="H43" i="11"/>
  <c r="I43" i="11"/>
  <c r="J43" i="11"/>
  <c r="K43" i="11"/>
  <c r="L43" i="11"/>
  <c r="C44" i="11"/>
  <c r="G44" i="11"/>
  <c r="H44" i="11"/>
  <c r="I44" i="11"/>
  <c r="J44" i="11"/>
  <c r="K44" i="11"/>
  <c r="L44" i="11"/>
  <c r="C45" i="11"/>
  <c r="G45" i="11"/>
  <c r="H45" i="11"/>
  <c r="I45" i="11"/>
  <c r="J45" i="11"/>
  <c r="K45" i="11"/>
  <c r="L45" i="11"/>
  <c r="C46" i="11"/>
  <c r="G46" i="11"/>
  <c r="H46" i="11"/>
  <c r="I46" i="11"/>
  <c r="J46" i="11"/>
  <c r="K46" i="11"/>
  <c r="L46" i="11"/>
  <c r="C47" i="11"/>
  <c r="G47" i="11"/>
  <c r="H47" i="11"/>
  <c r="I47" i="11"/>
  <c r="J47" i="11"/>
  <c r="K47" i="11"/>
  <c r="L47" i="11"/>
  <c r="C48" i="11"/>
  <c r="G48" i="11"/>
  <c r="H48" i="11"/>
  <c r="I48" i="11"/>
  <c r="J48" i="11"/>
  <c r="K48" i="11"/>
  <c r="L48" i="11"/>
  <c r="C49" i="11"/>
  <c r="G49" i="11"/>
  <c r="H49" i="11"/>
  <c r="I49" i="11"/>
  <c r="J49" i="11"/>
  <c r="K49" i="11"/>
  <c r="L49" i="11"/>
  <c r="C50" i="11"/>
  <c r="G50" i="11"/>
  <c r="H50" i="11"/>
  <c r="I50" i="11"/>
  <c r="J50" i="11"/>
  <c r="K50" i="11"/>
  <c r="L50" i="11"/>
  <c r="C51" i="11"/>
  <c r="G51" i="11"/>
  <c r="H51" i="11"/>
  <c r="I51" i="11"/>
  <c r="J51" i="11"/>
  <c r="K51" i="11"/>
  <c r="L51" i="11"/>
  <c r="C52" i="11"/>
  <c r="G52" i="11"/>
  <c r="H52" i="11"/>
  <c r="I52" i="11"/>
  <c r="J52" i="11"/>
  <c r="K52" i="11"/>
  <c r="L52" i="11"/>
  <c r="C53" i="11"/>
  <c r="G53" i="11"/>
  <c r="H53" i="11"/>
  <c r="I53" i="11"/>
  <c r="J53" i="11"/>
  <c r="K53" i="11"/>
  <c r="L53" i="11"/>
  <c r="C54" i="11"/>
  <c r="G54" i="11"/>
  <c r="H54" i="11"/>
  <c r="I54" i="11"/>
  <c r="J54" i="11"/>
  <c r="K54" i="11"/>
  <c r="L54" i="11"/>
  <c r="C55" i="11"/>
  <c r="G55" i="11"/>
  <c r="H55" i="11"/>
  <c r="I55" i="11"/>
  <c r="J55" i="11"/>
  <c r="K55" i="11"/>
  <c r="L55" i="11"/>
  <c r="C56" i="11"/>
  <c r="G56" i="11"/>
  <c r="H56" i="11"/>
  <c r="I56" i="11"/>
  <c r="J56" i="11"/>
  <c r="K56" i="11"/>
  <c r="L56" i="11"/>
  <c r="C57" i="11"/>
  <c r="G57" i="11"/>
  <c r="H57" i="11"/>
  <c r="I57" i="11"/>
  <c r="J57" i="11"/>
  <c r="K57" i="11"/>
  <c r="L57" i="11"/>
  <c r="C58" i="11"/>
  <c r="G58" i="11"/>
  <c r="H58" i="11"/>
  <c r="I58" i="11"/>
  <c r="J58" i="11"/>
  <c r="K58" i="11"/>
  <c r="L58" i="11"/>
  <c r="C59" i="11"/>
  <c r="G59" i="11"/>
  <c r="H59" i="11"/>
  <c r="I59" i="11"/>
  <c r="J59" i="11"/>
  <c r="K59" i="11"/>
  <c r="L59" i="11"/>
  <c r="C60" i="11"/>
  <c r="G60" i="11"/>
  <c r="H60" i="11"/>
  <c r="I60" i="11"/>
  <c r="J60" i="11"/>
  <c r="K60" i="11"/>
  <c r="L60" i="11"/>
  <c r="C61" i="11"/>
  <c r="G61" i="11"/>
  <c r="H61" i="11"/>
  <c r="I61" i="11"/>
  <c r="J61" i="11"/>
  <c r="K61" i="11"/>
  <c r="L61" i="11"/>
  <c r="C62" i="11"/>
  <c r="G62" i="11"/>
  <c r="H62" i="11"/>
  <c r="I62" i="11"/>
  <c r="J62" i="11"/>
  <c r="K62" i="11"/>
  <c r="L62" i="11"/>
  <c r="C63" i="11"/>
  <c r="G63" i="11"/>
  <c r="H63" i="11"/>
  <c r="I63" i="11"/>
  <c r="J63" i="11"/>
  <c r="K63" i="11"/>
  <c r="L63" i="11"/>
  <c r="C64" i="11"/>
  <c r="G64" i="11"/>
  <c r="H64" i="11"/>
  <c r="I64" i="11"/>
  <c r="J64" i="11"/>
  <c r="K64" i="11"/>
  <c r="L64" i="11"/>
  <c r="C65" i="11"/>
  <c r="G65" i="11"/>
  <c r="H65" i="11"/>
  <c r="I65" i="11"/>
  <c r="J65" i="11"/>
  <c r="K65" i="11"/>
  <c r="L65" i="11"/>
  <c r="C66" i="11"/>
  <c r="G66" i="11"/>
  <c r="H66" i="11"/>
  <c r="I66" i="11"/>
  <c r="J66" i="11"/>
  <c r="K66" i="11"/>
  <c r="L66" i="11"/>
  <c r="C67" i="11"/>
  <c r="G67" i="11"/>
  <c r="H67" i="11"/>
  <c r="I67" i="11"/>
  <c r="J67" i="11"/>
  <c r="K67" i="11"/>
  <c r="L67" i="11"/>
  <c r="C68" i="11"/>
  <c r="G68" i="11"/>
  <c r="H68" i="11"/>
  <c r="I68" i="11"/>
  <c r="J68" i="11"/>
  <c r="K68" i="11"/>
  <c r="L68" i="11"/>
  <c r="C69" i="11"/>
  <c r="G69" i="11"/>
  <c r="H69" i="11"/>
  <c r="I69" i="11"/>
  <c r="J69" i="11"/>
  <c r="K69" i="11"/>
  <c r="L69" i="11"/>
  <c r="C70" i="11"/>
  <c r="G70" i="11"/>
  <c r="H70" i="11"/>
  <c r="I70" i="11"/>
  <c r="J70" i="11"/>
  <c r="K70" i="11"/>
  <c r="L70" i="11"/>
  <c r="C71" i="11"/>
  <c r="G71" i="11"/>
  <c r="H71" i="11"/>
  <c r="I71" i="11"/>
  <c r="J71" i="11"/>
  <c r="K71" i="11"/>
  <c r="L71" i="11"/>
  <c r="C72" i="11"/>
  <c r="G72" i="11"/>
  <c r="H72" i="11"/>
  <c r="I72" i="11"/>
  <c r="J72" i="11"/>
  <c r="K72" i="11"/>
  <c r="L72" i="11"/>
  <c r="C73" i="11"/>
  <c r="G73" i="11"/>
  <c r="H73" i="11"/>
  <c r="I73" i="11"/>
  <c r="J73" i="11"/>
  <c r="K73" i="11"/>
  <c r="L73" i="11"/>
  <c r="C74" i="11"/>
  <c r="G74" i="11"/>
  <c r="H74" i="11"/>
  <c r="I74" i="11"/>
  <c r="J74" i="11"/>
  <c r="K74" i="11"/>
  <c r="L74" i="11"/>
  <c r="C75" i="11"/>
  <c r="G75" i="11"/>
  <c r="H75" i="11"/>
  <c r="I75" i="11"/>
  <c r="J75" i="11"/>
  <c r="K75" i="11"/>
  <c r="L75" i="11"/>
  <c r="C76" i="11"/>
  <c r="G76" i="11"/>
  <c r="H76" i="11"/>
  <c r="I76" i="11"/>
  <c r="J76" i="11"/>
  <c r="K76" i="11"/>
  <c r="L76" i="11"/>
  <c r="C77" i="11"/>
  <c r="G77" i="11"/>
  <c r="H77" i="11"/>
  <c r="I77" i="11"/>
  <c r="J77" i="11"/>
  <c r="K77" i="11"/>
  <c r="L77" i="11"/>
  <c r="C78" i="11"/>
  <c r="G78" i="11"/>
  <c r="H78" i="11"/>
  <c r="I78" i="11"/>
  <c r="J78" i="11"/>
  <c r="K78" i="11"/>
  <c r="L78" i="11"/>
  <c r="C79" i="11"/>
  <c r="G79" i="11"/>
  <c r="H79" i="11"/>
  <c r="I79" i="11"/>
  <c r="J79" i="11"/>
  <c r="K79" i="11"/>
  <c r="L79" i="11"/>
  <c r="C80" i="11"/>
  <c r="G80" i="11"/>
  <c r="H80" i="11"/>
  <c r="I80" i="11"/>
  <c r="J80" i="11"/>
  <c r="K80" i="11"/>
  <c r="L80" i="11"/>
  <c r="C81" i="11"/>
  <c r="G81" i="11"/>
  <c r="H81" i="11"/>
  <c r="I81" i="11"/>
  <c r="J81" i="11"/>
  <c r="K81" i="11"/>
  <c r="L81" i="11"/>
  <c r="C82" i="11"/>
  <c r="G82" i="11"/>
  <c r="H82" i="11"/>
  <c r="I82" i="11"/>
  <c r="J82" i="11"/>
  <c r="K82" i="11"/>
  <c r="L82" i="11"/>
  <c r="C83" i="11"/>
  <c r="G83" i="11"/>
  <c r="H83" i="11"/>
  <c r="I83" i="11"/>
  <c r="J83" i="11"/>
  <c r="K83" i="11"/>
  <c r="L83" i="11"/>
  <c r="C84" i="11"/>
  <c r="G84" i="11"/>
  <c r="H84" i="11"/>
  <c r="I84" i="11"/>
  <c r="J84" i="11"/>
  <c r="K84" i="11"/>
  <c r="L84" i="11"/>
  <c r="C85" i="11"/>
  <c r="G85" i="11"/>
  <c r="H85" i="11"/>
  <c r="I85" i="11"/>
  <c r="J85" i="11"/>
  <c r="K85" i="11"/>
  <c r="L85" i="11"/>
  <c r="C86" i="11"/>
  <c r="G86" i="11"/>
  <c r="H86" i="11"/>
  <c r="I86" i="11"/>
  <c r="J86" i="11"/>
  <c r="K86" i="11"/>
  <c r="L86" i="11"/>
  <c r="C87" i="11"/>
  <c r="G87" i="11"/>
  <c r="H87" i="11"/>
  <c r="I87" i="11"/>
  <c r="J87" i="11"/>
  <c r="K87" i="11"/>
  <c r="L87" i="11"/>
  <c r="C88" i="11"/>
  <c r="G88" i="11"/>
  <c r="H88" i="11"/>
  <c r="I88" i="11"/>
  <c r="J88" i="11"/>
  <c r="K88" i="11"/>
  <c r="L88" i="11"/>
  <c r="C89" i="11"/>
  <c r="G89" i="11"/>
  <c r="H89" i="11"/>
  <c r="I89" i="11"/>
  <c r="J89" i="11"/>
  <c r="K89" i="11"/>
  <c r="L89" i="11"/>
  <c r="C90" i="11"/>
  <c r="G90" i="11"/>
  <c r="H90" i="11"/>
  <c r="I90" i="11"/>
  <c r="J90" i="11"/>
  <c r="K90" i="11"/>
  <c r="L90" i="11"/>
  <c r="C91" i="11"/>
  <c r="G91" i="11"/>
  <c r="H91" i="11"/>
  <c r="I91" i="11"/>
  <c r="J91" i="11"/>
  <c r="K91" i="11"/>
  <c r="L91" i="11"/>
  <c r="C92" i="11"/>
  <c r="G92" i="11"/>
  <c r="H92" i="11"/>
  <c r="I92" i="11"/>
  <c r="J92" i="11"/>
  <c r="K92" i="11"/>
  <c r="L92" i="11"/>
  <c r="C93" i="11"/>
  <c r="G93" i="11"/>
  <c r="H93" i="11"/>
  <c r="I93" i="11"/>
  <c r="J93" i="11"/>
  <c r="K93" i="11"/>
  <c r="L93" i="11"/>
  <c r="C94" i="11"/>
  <c r="G94" i="11"/>
  <c r="H94" i="11"/>
  <c r="I94" i="11"/>
  <c r="J94" i="11"/>
  <c r="K94" i="11"/>
  <c r="L94" i="11"/>
  <c r="C95" i="11"/>
  <c r="G95" i="11"/>
  <c r="H95" i="11"/>
  <c r="I95" i="11"/>
  <c r="J95" i="11"/>
  <c r="K95" i="11"/>
  <c r="L95" i="11"/>
  <c r="C96" i="11"/>
  <c r="G96" i="11"/>
  <c r="H96" i="11"/>
  <c r="I96" i="11"/>
  <c r="J96" i="11"/>
  <c r="K96" i="11"/>
  <c r="L96" i="11"/>
  <c r="C97" i="11"/>
  <c r="G97" i="11"/>
  <c r="H97" i="11"/>
  <c r="I97" i="11"/>
  <c r="J97" i="11"/>
  <c r="K97" i="11"/>
  <c r="L97" i="11"/>
  <c r="C98" i="11"/>
  <c r="G98" i="11"/>
  <c r="H98" i="11"/>
  <c r="I98" i="11"/>
  <c r="J98" i="11"/>
  <c r="K98" i="11"/>
  <c r="L98" i="11"/>
  <c r="C99" i="11"/>
  <c r="G99" i="11"/>
  <c r="H99" i="11"/>
  <c r="I99" i="11"/>
  <c r="J99" i="11"/>
  <c r="K99" i="11"/>
  <c r="L99" i="11"/>
  <c r="C100" i="11"/>
  <c r="G100" i="11"/>
  <c r="H100" i="11"/>
  <c r="I100" i="11"/>
  <c r="J100" i="11"/>
  <c r="K100" i="11"/>
  <c r="L100" i="11"/>
  <c r="C101" i="11"/>
  <c r="G101" i="11"/>
  <c r="H101" i="11"/>
  <c r="I101" i="11"/>
  <c r="J101" i="11"/>
  <c r="K101" i="11"/>
  <c r="L101" i="11"/>
  <c r="C102" i="11"/>
  <c r="G102" i="11"/>
  <c r="H102" i="11"/>
  <c r="I102" i="11"/>
  <c r="J102" i="11"/>
  <c r="K102" i="11"/>
  <c r="L102" i="11"/>
  <c r="C103" i="11"/>
  <c r="G103" i="11"/>
  <c r="H103" i="11"/>
  <c r="I103" i="11"/>
  <c r="J103" i="11"/>
  <c r="K103" i="11"/>
  <c r="L103" i="11"/>
  <c r="C104" i="11"/>
  <c r="G104" i="11"/>
  <c r="H104" i="11"/>
  <c r="I104" i="11"/>
  <c r="J104" i="11"/>
  <c r="K104" i="11"/>
  <c r="L104" i="11"/>
  <c r="C105" i="11"/>
  <c r="G105" i="11"/>
  <c r="H105" i="11"/>
  <c r="I105" i="11"/>
  <c r="J105" i="11"/>
  <c r="K105" i="11"/>
  <c r="L105" i="11"/>
  <c r="C106" i="11"/>
  <c r="G106" i="11"/>
  <c r="H106" i="11"/>
  <c r="I106" i="11"/>
  <c r="J106" i="11"/>
  <c r="K106" i="11"/>
  <c r="L106" i="11"/>
  <c r="C107" i="11"/>
  <c r="G107" i="11"/>
  <c r="H107" i="11"/>
  <c r="I107" i="11"/>
  <c r="J107" i="11"/>
  <c r="K107" i="11"/>
  <c r="L107" i="11"/>
  <c r="C108" i="11"/>
  <c r="G108" i="11"/>
  <c r="H108" i="11"/>
  <c r="I108" i="11"/>
  <c r="J108" i="11"/>
  <c r="K108" i="11"/>
  <c r="L108" i="11"/>
  <c r="C109" i="11"/>
  <c r="G109" i="11"/>
  <c r="H109" i="11"/>
  <c r="I109" i="11"/>
  <c r="J109" i="11"/>
  <c r="K109" i="11"/>
  <c r="L109" i="11"/>
  <c r="C110" i="11"/>
  <c r="G110" i="11"/>
  <c r="H110" i="11"/>
  <c r="I110" i="11"/>
  <c r="J110" i="11"/>
  <c r="K110" i="11"/>
  <c r="L110" i="11"/>
  <c r="C111" i="11"/>
  <c r="G111" i="11"/>
  <c r="H111" i="11"/>
  <c r="I111" i="11"/>
  <c r="J111" i="11"/>
  <c r="K111" i="11"/>
  <c r="L111" i="11"/>
  <c r="C112" i="11"/>
  <c r="G112" i="11"/>
  <c r="H112" i="11"/>
  <c r="I112" i="11"/>
  <c r="J112" i="11"/>
  <c r="K112" i="11"/>
  <c r="L112" i="11"/>
  <c r="C113" i="11"/>
  <c r="G113" i="11"/>
  <c r="H113" i="11"/>
  <c r="I113" i="11"/>
  <c r="J113" i="11"/>
  <c r="K113" i="11"/>
  <c r="L113" i="11"/>
  <c r="C114" i="11"/>
  <c r="G114" i="11"/>
  <c r="H114" i="11"/>
  <c r="I114" i="11"/>
  <c r="J114" i="11"/>
  <c r="K114" i="11"/>
  <c r="L114" i="11"/>
  <c r="C115" i="11"/>
  <c r="G115" i="11"/>
  <c r="H115" i="11"/>
  <c r="I115" i="11"/>
  <c r="J115" i="11"/>
  <c r="K115" i="11"/>
  <c r="L115" i="11"/>
  <c r="C116" i="11"/>
  <c r="G116" i="11"/>
  <c r="H116" i="11"/>
  <c r="I116" i="11"/>
  <c r="J116" i="11"/>
  <c r="K116" i="11"/>
  <c r="L116" i="11"/>
  <c r="C117" i="11"/>
  <c r="G117" i="11"/>
  <c r="H117" i="11"/>
  <c r="I117" i="11"/>
  <c r="J117" i="11"/>
  <c r="K117" i="11"/>
  <c r="L117" i="11"/>
  <c r="C118" i="11"/>
  <c r="G118" i="11"/>
  <c r="H118" i="11"/>
  <c r="I118" i="11"/>
  <c r="J118" i="11"/>
  <c r="K118" i="11"/>
  <c r="L118" i="11"/>
  <c r="C119" i="11"/>
  <c r="G119" i="11"/>
  <c r="H119" i="11"/>
  <c r="I119" i="11"/>
  <c r="J119" i="11"/>
  <c r="K119" i="11"/>
  <c r="L119" i="11"/>
  <c r="C120" i="11"/>
  <c r="G120" i="11"/>
  <c r="H120" i="11"/>
  <c r="I120" i="11"/>
  <c r="J120" i="11"/>
  <c r="K120" i="11"/>
  <c r="L120" i="11"/>
  <c r="C121" i="11"/>
  <c r="G121" i="11"/>
  <c r="H121" i="11"/>
  <c r="I121" i="11"/>
  <c r="J121" i="11"/>
  <c r="K121" i="11"/>
  <c r="L121" i="11"/>
  <c r="C122" i="11"/>
  <c r="G122" i="11"/>
  <c r="H122" i="11"/>
  <c r="I122" i="11"/>
  <c r="J122" i="11"/>
  <c r="K122" i="11"/>
  <c r="L122" i="11"/>
  <c r="C123" i="11"/>
  <c r="G123" i="11"/>
  <c r="H123" i="11"/>
  <c r="I123" i="11"/>
  <c r="J123" i="11"/>
  <c r="K123" i="11"/>
  <c r="L123" i="11"/>
  <c r="C124" i="11"/>
  <c r="G124" i="11"/>
  <c r="H124" i="11"/>
  <c r="I124" i="11"/>
  <c r="J124" i="11"/>
  <c r="K124" i="11"/>
  <c r="L124" i="11"/>
  <c r="C125" i="11"/>
  <c r="G125" i="11"/>
  <c r="H125" i="11"/>
  <c r="I125" i="11"/>
  <c r="J125" i="11"/>
  <c r="K125" i="11"/>
  <c r="L125" i="11"/>
  <c r="C126" i="11"/>
  <c r="G126" i="11"/>
  <c r="H126" i="11"/>
  <c r="I126" i="11"/>
  <c r="J126" i="11"/>
  <c r="K126" i="11"/>
  <c r="L126" i="11"/>
  <c r="C127" i="11"/>
  <c r="G127" i="11"/>
  <c r="H127" i="11"/>
  <c r="I127" i="11"/>
  <c r="J127" i="11"/>
  <c r="K127" i="11"/>
  <c r="L127" i="11"/>
  <c r="C128" i="11"/>
  <c r="G128" i="11"/>
  <c r="H128" i="11"/>
  <c r="I128" i="11"/>
  <c r="J128" i="11"/>
  <c r="K128" i="11"/>
  <c r="L128" i="11"/>
  <c r="C129" i="11"/>
  <c r="G129" i="11"/>
  <c r="H129" i="11"/>
  <c r="I129" i="11"/>
  <c r="J129" i="11"/>
  <c r="K129" i="11"/>
  <c r="L129" i="11"/>
  <c r="C130" i="11"/>
  <c r="G130" i="11"/>
  <c r="H130" i="11"/>
  <c r="I130" i="11"/>
  <c r="J130" i="11"/>
  <c r="K130" i="11"/>
  <c r="L130" i="11"/>
  <c r="C131" i="11"/>
  <c r="G131" i="11"/>
  <c r="H131" i="11"/>
  <c r="I131" i="11"/>
  <c r="J131" i="11"/>
  <c r="K131" i="11"/>
  <c r="L131" i="11"/>
  <c r="C132" i="11"/>
  <c r="G132" i="11"/>
  <c r="H132" i="11"/>
  <c r="I132" i="11"/>
  <c r="J132" i="11"/>
  <c r="K132" i="11"/>
  <c r="L132" i="11"/>
  <c r="C133" i="11"/>
  <c r="G133" i="11"/>
  <c r="H133" i="11"/>
  <c r="I133" i="11"/>
  <c r="J133" i="11"/>
  <c r="K133" i="11"/>
  <c r="L133" i="11"/>
  <c r="C134" i="11"/>
  <c r="G134" i="11"/>
  <c r="H134" i="11"/>
  <c r="I134" i="11"/>
  <c r="J134" i="11"/>
  <c r="K134" i="11"/>
  <c r="L134" i="11"/>
  <c r="C135" i="11"/>
  <c r="G135" i="11"/>
  <c r="H135" i="11"/>
  <c r="I135" i="11"/>
  <c r="J135" i="11"/>
  <c r="K135" i="11"/>
  <c r="L135" i="11"/>
  <c r="C136" i="11"/>
  <c r="G136" i="11"/>
  <c r="H136" i="11"/>
  <c r="I136" i="11"/>
  <c r="J136" i="11"/>
  <c r="K136" i="11"/>
  <c r="L136" i="11"/>
  <c r="C137" i="11"/>
  <c r="G137" i="11"/>
  <c r="H137" i="11"/>
  <c r="I137" i="11"/>
  <c r="J137" i="11"/>
  <c r="K137" i="11"/>
  <c r="L137" i="11"/>
  <c r="C138" i="11"/>
  <c r="G138" i="11"/>
  <c r="H138" i="11"/>
  <c r="I138" i="11"/>
  <c r="J138" i="11"/>
  <c r="K138" i="11"/>
  <c r="L138" i="11"/>
  <c r="C139" i="11"/>
  <c r="G139" i="11"/>
  <c r="H139" i="11"/>
  <c r="I139" i="11"/>
  <c r="J139" i="11"/>
  <c r="K139" i="11"/>
  <c r="L139" i="11"/>
  <c r="C140" i="11"/>
  <c r="G140" i="11"/>
  <c r="H140" i="11"/>
  <c r="I140" i="11"/>
  <c r="J140" i="11"/>
  <c r="K140" i="11"/>
  <c r="L140" i="11"/>
  <c r="C141" i="11"/>
  <c r="G141" i="11"/>
  <c r="H141" i="11"/>
  <c r="I141" i="11"/>
  <c r="J141" i="11"/>
  <c r="K141" i="11"/>
  <c r="L141" i="11"/>
  <c r="C142" i="11"/>
  <c r="G142" i="11"/>
  <c r="H142" i="11"/>
  <c r="I142" i="11"/>
  <c r="J142" i="11"/>
  <c r="K142" i="11"/>
  <c r="L142" i="11"/>
  <c r="C143" i="11"/>
  <c r="G143" i="11"/>
  <c r="H143" i="11"/>
  <c r="I143" i="11"/>
  <c r="J143" i="11"/>
  <c r="K143" i="11"/>
  <c r="L143" i="11"/>
  <c r="C144" i="11"/>
  <c r="G144" i="11"/>
  <c r="H144" i="11"/>
  <c r="I144" i="11"/>
  <c r="J144" i="11"/>
  <c r="K144" i="11"/>
  <c r="L144" i="11"/>
  <c r="C145" i="11"/>
  <c r="G145" i="11"/>
  <c r="H145" i="11"/>
  <c r="I145" i="11"/>
  <c r="J145" i="11"/>
  <c r="K145" i="11"/>
  <c r="L145" i="11"/>
  <c r="C146" i="11"/>
  <c r="G146" i="11"/>
  <c r="H146" i="11"/>
  <c r="I146" i="11"/>
  <c r="J146" i="11"/>
  <c r="K146" i="11"/>
  <c r="L146" i="11"/>
  <c r="C147" i="11"/>
  <c r="G147" i="11"/>
  <c r="H147" i="11"/>
  <c r="I147" i="11"/>
  <c r="J147" i="11"/>
  <c r="K147" i="11"/>
  <c r="L147" i="11"/>
  <c r="C148" i="11"/>
  <c r="G148" i="11"/>
  <c r="H148" i="11"/>
  <c r="I148" i="11"/>
  <c r="J148" i="11"/>
  <c r="K148" i="11"/>
  <c r="L148" i="11"/>
  <c r="C149" i="11"/>
  <c r="G149" i="11"/>
  <c r="H149" i="11"/>
  <c r="I149" i="11"/>
  <c r="J149" i="11"/>
  <c r="K149" i="11"/>
  <c r="L149" i="11"/>
  <c r="C150" i="11"/>
  <c r="G150" i="11"/>
  <c r="H150" i="11"/>
  <c r="I150" i="11"/>
  <c r="J150" i="11"/>
  <c r="K150" i="11"/>
  <c r="L150" i="11"/>
  <c r="C151" i="11"/>
  <c r="G151" i="11"/>
  <c r="H151" i="11"/>
  <c r="I151" i="11"/>
  <c r="J151" i="11"/>
  <c r="K151" i="11"/>
  <c r="L151" i="11"/>
  <c r="C152" i="11"/>
  <c r="G152" i="11"/>
  <c r="H152" i="11"/>
  <c r="I152" i="11"/>
  <c r="J152" i="11"/>
  <c r="K152" i="11"/>
  <c r="L152" i="11"/>
  <c r="C153" i="11"/>
  <c r="G153" i="11"/>
  <c r="H153" i="11"/>
  <c r="I153" i="11"/>
  <c r="J153" i="11"/>
  <c r="K153" i="11"/>
  <c r="L153" i="11"/>
  <c r="C154" i="11"/>
  <c r="G154" i="11"/>
  <c r="H154" i="11"/>
  <c r="I154" i="11"/>
  <c r="J154" i="11"/>
  <c r="K154" i="11"/>
  <c r="L154" i="11"/>
  <c r="C155" i="11"/>
  <c r="G155" i="11"/>
  <c r="H155" i="11"/>
  <c r="I155" i="11"/>
  <c r="J155" i="11"/>
  <c r="K155" i="11"/>
  <c r="L155" i="11"/>
  <c r="C156" i="11"/>
  <c r="G156" i="11"/>
  <c r="H156" i="11"/>
  <c r="I156" i="11"/>
  <c r="J156" i="11"/>
  <c r="K156" i="11"/>
  <c r="L156" i="11"/>
  <c r="C157" i="11"/>
  <c r="G157" i="11"/>
  <c r="H157" i="11"/>
  <c r="I157" i="11"/>
  <c r="J157" i="11"/>
  <c r="K157" i="11"/>
  <c r="L157" i="11"/>
  <c r="C158" i="11"/>
  <c r="G158" i="11"/>
  <c r="H158" i="11"/>
  <c r="I158" i="11"/>
  <c r="J158" i="11"/>
  <c r="K158" i="11"/>
  <c r="L158" i="11"/>
  <c r="C159" i="11"/>
  <c r="G159" i="11"/>
  <c r="H159" i="11"/>
  <c r="I159" i="11"/>
  <c r="J159" i="11"/>
  <c r="K159" i="11"/>
  <c r="L159" i="11"/>
  <c r="C160" i="11"/>
  <c r="G160" i="11"/>
  <c r="H160" i="11"/>
  <c r="I160" i="11"/>
  <c r="J160" i="11"/>
  <c r="K160" i="11"/>
  <c r="L160" i="11"/>
  <c r="C161" i="11"/>
  <c r="G161" i="11"/>
  <c r="H161" i="11"/>
  <c r="I161" i="11"/>
  <c r="J161" i="11"/>
  <c r="K161" i="11"/>
  <c r="L161" i="11"/>
  <c r="C162" i="11"/>
  <c r="G162" i="11"/>
  <c r="H162" i="11"/>
  <c r="I162" i="11"/>
  <c r="J162" i="11"/>
  <c r="K162" i="11"/>
  <c r="L162" i="11"/>
  <c r="C163" i="11"/>
  <c r="G163" i="11"/>
  <c r="H163" i="11"/>
  <c r="I163" i="11"/>
  <c r="J163" i="11"/>
  <c r="K163" i="11"/>
  <c r="L163" i="11"/>
  <c r="C164" i="11"/>
  <c r="G164" i="11"/>
  <c r="H164" i="11"/>
  <c r="I164" i="11"/>
  <c r="J164" i="11"/>
  <c r="K164" i="11"/>
  <c r="L164" i="11"/>
  <c r="C165" i="11"/>
  <c r="G165" i="11"/>
  <c r="H165" i="11"/>
  <c r="I165" i="11"/>
  <c r="J165" i="11"/>
  <c r="K165" i="11"/>
  <c r="L165" i="11"/>
  <c r="C166" i="11"/>
  <c r="G166" i="11"/>
  <c r="H166" i="11"/>
  <c r="I166" i="11"/>
  <c r="J166" i="11"/>
  <c r="K166" i="11"/>
  <c r="L166" i="11"/>
  <c r="C167" i="11"/>
  <c r="G167" i="11"/>
  <c r="H167" i="11"/>
  <c r="I167" i="11"/>
  <c r="J167" i="11"/>
  <c r="K167" i="11"/>
  <c r="L167" i="11"/>
  <c r="C168" i="11"/>
  <c r="G168" i="11"/>
  <c r="H168" i="11"/>
  <c r="I168" i="11"/>
  <c r="J168" i="11"/>
  <c r="K168" i="11"/>
  <c r="L168" i="11"/>
  <c r="C169" i="11"/>
  <c r="G169" i="11"/>
  <c r="H169" i="11"/>
  <c r="I169" i="11"/>
  <c r="J169" i="11"/>
  <c r="K169" i="11"/>
  <c r="L169" i="11"/>
  <c r="C170" i="11"/>
  <c r="G170" i="11"/>
  <c r="H170" i="11"/>
  <c r="I170" i="11"/>
  <c r="J170" i="11"/>
  <c r="K170" i="11"/>
  <c r="L170" i="11"/>
  <c r="C171" i="11"/>
  <c r="G171" i="11"/>
  <c r="H171" i="11"/>
  <c r="I171" i="11"/>
  <c r="J171" i="11"/>
  <c r="K171" i="11"/>
  <c r="L171" i="11"/>
  <c r="C172" i="11"/>
  <c r="G172" i="11"/>
  <c r="H172" i="11"/>
  <c r="I172" i="11"/>
  <c r="J172" i="11"/>
  <c r="K172" i="11"/>
  <c r="L172" i="11"/>
  <c r="C173" i="11"/>
  <c r="G173" i="11"/>
  <c r="H173" i="11"/>
  <c r="I173" i="11"/>
  <c r="J173" i="11"/>
  <c r="K173" i="11"/>
  <c r="L173" i="11"/>
  <c r="C174" i="11"/>
  <c r="G174" i="11"/>
  <c r="H174" i="11"/>
  <c r="I174" i="11"/>
  <c r="J174" i="11"/>
  <c r="K174" i="11"/>
  <c r="L174" i="11"/>
  <c r="C175" i="11"/>
  <c r="G175" i="11"/>
  <c r="H175" i="11"/>
  <c r="I175" i="11"/>
  <c r="J175" i="11"/>
  <c r="K175" i="11"/>
  <c r="L175" i="11"/>
  <c r="C176" i="11"/>
  <c r="G176" i="11"/>
  <c r="H176" i="11"/>
  <c r="I176" i="11"/>
  <c r="J176" i="11"/>
  <c r="K176" i="11"/>
  <c r="L176" i="11"/>
  <c r="C177" i="11"/>
  <c r="G177" i="11"/>
  <c r="H177" i="11"/>
  <c r="I177" i="11"/>
  <c r="J177" i="11"/>
  <c r="K177" i="11"/>
  <c r="L177" i="11"/>
  <c r="C178" i="11"/>
  <c r="G178" i="11"/>
  <c r="H178" i="11"/>
  <c r="I178" i="11"/>
  <c r="J178" i="11"/>
  <c r="K178" i="11"/>
  <c r="L178" i="11"/>
  <c r="C179" i="11"/>
  <c r="G179" i="11"/>
  <c r="H179" i="11"/>
  <c r="I179" i="11"/>
  <c r="J179" i="11"/>
  <c r="K179" i="11"/>
  <c r="L179" i="11"/>
  <c r="C180" i="11"/>
  <c r="G180" i="11"/>
  <c r="H180" i="11"/>
  <c r="I180" i="11"/>
  <c r="J180" i="11"/>
  <c r="K180" i="11"/>
  <c r="L180" i="11"/>
  <c r="C181" i="11"/>
  <c r="G181" i="11"/>
  <c r="H181" i="11"/>
  <c r="I181" i="11"/>
  <c r="J181" i="11"/>
  <c r="K181" i="11"/>
  <c r="L181" i="11"/>
  <c r="C182" i="11"/>
  <c r="G182" i="11"/>
  <c r="H182" i="11"/>
  <c r="I182" i="11"/>
  <c r="J182" i="11"/>
  <c r="K182" i="11"/>
  <c r="L182" i="11"/>
  <c r="C183" i="11"/>
  <c r="G183" i="11"/>
  <c r="H183" i="11"/>
  <c r="I183" i="11"/>
  <c r="J183" i="11"/>
  <c r="K183" i="11"/>
  <c r="L183" i="11"/>
  <c r="C184" i="11"/>
  <c r="G184" i="11"/>
  <c r="H184" i="11"/>
  <c r="I184" i="11"/>
  <c r="J184" i="11"/>
  <c r="K184" i="11"/>
  <c r="L184" i="11"/>
  <c r="C185" i="11"/>
  <c r="G185" i="11"/>
  <c r="H185" i="11"/>
  <c r="I185" i="11"/>
  <c r="J185" i="11"/>
  <c r="K185" i="11"/>
  <c r="L185" i="11"/>
  <c r="C186" i="11"/>
  <c r="G186" i="11"/>
  <c r="H186" i="11"/>
  <c r="I186" i="11"/>
  <c r="J186" i="11"/>
  <c r="K186" i="11"/>
  <c r="L186" i="11"/>
  <c r="C187" i="11"/>
  <c r="G187" i="11"/>
  <c r="H187" i="11"/>
  <c r="I187" i="11"/>
  <c r="J187" i="11"/>
  <c r="K187" i="11"/>
  <c r="L187" i="11"/>
  <c r="C188" i="11"/>
  <c r="G188" i="11"/>
  <c r="H188" i="11"/>
  <c r="I188" i="11"/>
  <c r="J188" i="11"/>
  <c r="K188" i="11"/>
  <c r="L188" i="11"/>
  <c r="C189" i="11"/>
  <c r="G189" i="11"/>
  <c r="H189" i="11"/>
  <c r="I189" i="11"/>
  <c r="J189" i="11"/>
  <c r="K189" i="11"/>
  <c r="L189" i="11"/>
  <c r="C190" i="11"/>
  <c r="G190" i="11"/>
  <c r="H190" i="11"/>
  <c r="I190" i="11"/>
  <c r="J190" i="11"/>
  <c r="K190" i="11"/>
  <c r="L190" i="11"/>
  <c r="C191" i="11"/>
  <c r="G191" i="11"/>
  <c r="H191" i="11"/>
  <c r="I191" i="11"/>
  <c r="J191" i="11"/>
  <c r="K191" i="11"/>
  <c r="L191" i="11"/>
  <c r="C192" i="11"/>
  <c r="G192" i="11"/>
  <c r="H192" i="11"/>
  <c r="I192" i="11"/>
  <c r="J192" i="11"/>
  <c r="K192" i="11"/>
  <c r="L192" i="11"/>
  <c r="C193" i="11"/>
  <c r="G193" i="11"/>
  <c r="H193" i="11"/>
  <c r="I193" i="11"/>
  <c r="J193" i="11"/>
  <c r="K193" i="11"/>
  <c r="L193" i="11"/>
  <c r="C194" i="11"/>
  <c r="G194" i="11"/>
  <c r="H194" i="11"/>
  <c r="I194" i="11"/>
  <c r="J194" i="11"/>
  <c r="K194" i="11"/>
  <c r="L194" i="11"/>
  <c r="C195" i="11"/>
  <c r="G195" i="11"/>
  <c r="H195" i="11"/>
  <c r="I195" i="11"/>
  <c r="J195" i="11"/>
  <c r="K195" i="11"/>
  <c r="L195" i="11"/>
  <c r="C196" i="11"/>
  <c r="G196" i="11"/>
  <c r="H196" i="11"/>
  <c r="I196" i="11"/>
  <c r="J196" i="11"/>
  <c r="K196" i="11"/>
  <c r="L196" i="11"/>
  <c r="C197" i="11"/>
  <c r="G197" i="11"/>
  <c r="H197" i="11"/>
  <c r="I197" i="11"/>
  <c r="J197" i="11"/>
  <c r="K197" i="11"/>
  <c r="L197" i="11"/>
  <c r="C198" i="11"/>
  <c r="G198" i="11"/>
  <c r="H198" i="11"/>
  <c r="I198" i="11"/>
  <c r="J198" i="11"/>
  <c r="K198" i="11"/>
  <c r="L198" i="11"/>
  <c r="C199" i="11"/>
  <c r="G199" i="11"/>
  <c r="H199" i="11"/>
  <c r="I199" i="11"/>
  <c r="J199" i="11"/>
  <c r="K199" i="11"/>
  <c r="L199" i="11"/>
  <c r="C200" i="11"/>
  <c r="G200" i="11"/>
  <c r="H200" i="11"/>
  <c r="I200" i="11"/>
  <c r="J200" i="11"/>
  <c r="K200" i="11"/>
  <c r="L200" i="11"/>
  <c r="C201" i="11"/>
  <c r="G201" i="11"/>
  <c r="H201" i="11"/>
  <c r="I201" i="11"/>
  <c r="J201" i="11"/>
  <c r="K201" i="11"/>
  <c r="L201" i="11"/>
  <c r="C202" i="11"/>
  <c r="G202" i="11"/>
  <c r="H202" i="11"/>
  <c r="I202" i="11"/>
  <c r="J202" i="11"/>
  <c r="K202" i="11"/>
  <c r="L202" i="11"/>
  <c r="C203" i="11"/>
  <c r="G203" i="11"/>
  <c r="H203" i="11"/>
  <c r="I203" i="11"/>
  <c r="J203" i="11"/>
  <c r="K203" i="11"/>
  <c r="L203" i="11"/>
  <c r="C204" i="11"/>
  <c r="G204" i="11"/>
  <c r="H204" i="11"/>
  <c r="I204" i="11"/>
  <c r="J204" i="11"/>
  <c r="K204" i="11"/>
  <c r="L204" i="11"/>
  <c r="C205" i="11"/>
  <c r="G205" i="11"/>
  <c r="H205" i="11"/>
  <c r="I205" i="11"/>
  <c r="J205" i="11"/>
  <c r="K205" i="11"/>
  <c r="L205" i="11"/>
  <c r="C206" i="11"/>
  <c r="G206" i="11"/>
  <c r="H206" i="11"/>
  <c r="I206" i="11"/>
  <c r="J206" i="11"/>
  <c r="K206" i="11"/>
  <c r="L206" i="11"/>
  <c r="C207" i="11"/>
  <c r="G207" i="11"/>
  <c r="H207" i="11"/>
  <c r="I207" i="11"/>
  <c r="J207" i="11"/>
  <c r="K207" i="11"/>
  <c r="L207" i="11"/>
  <c r="C208" i="11"/>
  <c r="G208" i="11"/>
  <c r="H208" i="11"/>
  <c r="I208" i="11"/>
  <c r="J208" i="11"/>
  <c r="K208" i="11"/>
  <c r="L208" i="11"/>
  <c r="C209" i="11"/>
  <c r="G209" i="11"/>
  <c r="H209" i="11"/>
  <c r="I209" i="11"/>
  <c r="J209" i="11"/>
  <c r="K209" i="11"/>
  <c r="L209" i="11"/>
  <c r="C210" i="11"/>
  <c r="G210" i="11"/>
  <c r="H210" i="11"/>
  <c r="I210" i="11"/>
  <c r="J210" i="11"/>
  <c r="K210" i="11"/>
  <c r="L210" i="11"/>
  <c r="C211" i="11"/>
  <c r="G211" i="11"/>
  <c r="H211" i="11"/>
  <c r="I211" i="11"/>
  <c r="J211" i="11"/>
  <c r="K211" i="11"/>
  <c r="L211" i="11"/>
  <c r="C212" i="11"/>
  <c r="G212" i="11"/>
  <c r="H212" i="11"/>
  <c r="I212" i="11"/>
  <c r="J212" i="11"/>
  <c r="K212" i="11"/>
  <c r="L212" i="11"/>
  <c r="C213" i="11"/>
  <c r="G213" i="11"/>
  <c r="H213" i="11"/>
  <c r="I213" i="11"/>
  <c r="J213" i="11"/>
  <c r="K213" i="11"/>
  <c r="L213" i="11"/>
  <c r="C214" i="11"/>
  <c r="G214" i="11"/>
  <c r="H214" i="11"/>
  <c r="I214" i="11"/>
  <c r="J214" i="11"/>
  <c r="K214" i="11"/>
  <c r="L214" i="11"/>
  <c r="C215" i="11"/>
  <c r="G215" i="11"/>
  <c r="H215" i="11"/>
  <c r="I215" i="11"/>
  <c r="J215" i="11"/>
  <c r="K215" i="11"/>
  <c r="L215" i="11"/>
  <c r="C216" i="11"/>
  <c r="G216" i="11"/>
  <c r="H216" i="11"/>
  <c r="I216" i="11"/>
  <c r="J216" i="11"/>
  <c r="K216" i="11"/>
  <c r="L216" i="11"/>
  <c r="C217" i="11"/>
  <c r="G217" i="11"/>
  <c r="H217" i="11"/>
  <c r="I217" i="11"/>
  <c r="J217" i="11"/>
  <c r="K217" i="11"/>
  <c r="L217" i="11"/>
  <c r="C218" i="11"/>
  <c r="G218" i="11"/>
  <c r="H218" i="11"/>
  <c r="I218" i="11"/>
  <c r="J218" i="11"/>
  <c r="K218" i="11"/>
  <c r="L218" i="11"/>
  <c r="C219" i="11"/>
  <c r="G219" i="11"/>
  <c r="H219" i="11"/>
  <c r="I219" i="11"/>
  <c r="J219" i="11"/>
  <c r="K219" i="11"/>
  <c r="L219" i="11"/>
  <c r="C220" i="11"/>
  <c r="G220" i="11"/>
  <c r="H220" i="11"/>
  <c r="I220" i="11"/>
  <c r="J220" i="11"/>
  <c r="K220" i="11"/>
  <c r="L220" i="11"/>
  <c r="C221" i="11"/>
  <c r="G221" i="11"/>
  <c r="H221" i="11"/>
  <c r="I221" i="11"/>
  <c r="J221" i="11"/>
  <c r="K221" i="11"/>
  <c r="L221" i="11"/>
  <c r="C222" i="11"/>
  <c r="G222" i="11"/>
  <c r="H222" i="11"/>
  <c r="I222" i="11"/>
  <c r="J222" i="11"/>
  <c r="K222" i="11"/>
  <c r="L222" i="11"/>
  <c r="C223" i="11"/>
  <c r="G223" i="11"/>
  <c r="H223" i="11"/>
  <c r="I223" i="11"/>
  <c r="J223" i="11"/>
  <c r="K223" i="11"/>
  <c r="L223" i="11"/>
  <c r="C224" i="11"/>
  <c r="G224" i="11"/>
  <c r="H224" i="11"/>
  <c r="I224" i="11"/>
  <c r="J224" i="11"/>
  <c r="K224" i="11"/>
  <c r="L224" i="11"/>
  <c r="C225" i="11"/>
  <c r="G225" i="11"/>
  <c r="H225" i="11"/>
  <c r="I225" i="11"/>
  <c r="J225" i="11"/>
  <c r="K225" i="11"/>
  <c r="L225" i="11"/>
  <c r="C226" i="11"/>
  <c r="G226" i="11"/>
  <c r="H226" i="11"/>
  <c r="I226" i="11"/>
  <c r="J226" i="11"/>
  <c r="K226" i="11"/>
  <c r="L226" i="11"/>
  <c r="C227" i="11"/>
  <c r="G227" i="11"/>
  <c r="H227" i="11"/>
  <c r="I227" i="11"/>
  <c r="J227" i="11"/>
  <c r="K227" i="11"/>
  <c r="L227" i="11"/>
  <c r="C228" i="11"/>
  <c r="G228" i="11"/>
  <c r="H228" i="11"/>
  <c r="I228" i="11"/>
  <c r="J228" i="11"/>
  <c r="K228" i="11"/>
  <c r="L228" i="11"/>
  <c r="C229" i="11"/>
  <c r="G229" i="11"/>
  <c r="H229" i="11"/>
  <c r="I229" i="11"/>
  <c r="J229" i="11"/>
  <c r="K229" i="11"/>
  <c r="L229" i="11"/>
  <c r="C230" i="11"/>
  <c r="G230" i="11"/>
  <c r="H230" i="11"/>
  <c r="I230" i="11"/>
  <c r="J230" i="11"/>
  <c r="K230" i="11"/>
  <c r="L230" i="11"/>
  <c r="C231" i="11"/>
  <c r="G231" i="11"/>
  <c r="H231" i="11"/>
  <c r="I231" i="11"/>
  <c r="J231" i="11"/>
  <c r="K231" i="11"/>
  <c r="L231" i="11"/>
  <c r="C232" i="11"/>
  <c r="G232" i="11"/>
  <c r="H232" i="11"/>
  <c r="I232" i="11"/>
  <c r="J232" i="11"/>
  <c r="K232" i="11"/>
  <c r="L232" i="11"/>
  <c r="C233" i="11"/>
  <c r="G233" i="11"/>
  <c r="H233" i="11"/>
  <c r="I233" i="11"/>
  <c r="J233" i="11"/>
  <c r="K233" i="11"/>
  <c r="L233" i="11"/>
  <c r="C234" i="11"/>
  <c r="G234" i="11"/>
  <c r="H234" i="11"/>
  <c r="I234" i="11"/>
  <c r="J234" i="11"/>
  <c r="K234" i="11"/>
  <c r="L234" i="11"/>
  <c r="C235" i="11"/>
  <c r="G235" i="11"/>
  <c r="H235" i="11"/>
  <c r="I235" i="11"/>
  <c r="J235" i="11"/>
  <c r="K235" i="11"/>
  <c r="L235" i="11"/>
  <c r="C236" i="11"/>
  <c r="G236" i="11"/>
  <c r="H236" i="11"/>
  <c r="I236" i="11"/>
  <c r="J236" i="11"/>
  <c r="K236" i="11"/>
  <c r="L236" i="11"/>
  <c r="C237" i="11"/>
  <c r="G237" i="11"/>
  <c r="H237" i="11"/>
  <c r="I237" i="11"/>
  <c r="J237" i="11"/>
  <c r="K237" i="11"/>
  <c r="L237" i="11"/>
  <c r="C238" i="11"/>
  <c r="G238" i="11"/>
  <c r="H238" i="11"/>
  <c r="I238" i="11"/>
  <c r="J238" i="11"/>
  <c r="K238" i="11"/>
  <c r="L238" i="11"/>
  <c r="C239" i="11"/>
  <c r="G239" i="11"/>
  <c r="H239" i="11"/>
  <c r="I239" i="11"/>
  <c r="J239" i="11"/>
  <c r="K239" i="11"/>
  <c r="L239" i="11"/>
  <c r="C240" i="11"/>
  <c r="G240" i="11"/>
  <c r="H240" i="11"/>
  <c r="I240" i="11"/>
  <c r="J240" i="11"/>
  <c r="K240" i="11"/>
  <c r="L240" i="11"/>
  <c r="C241" i="11"/>
  <c r="G241" i="11"/>
  <c r="H241" i="11"/>
  <c r="I241" i="11"/>
  <c r="J241" i="11"/>
  <c r="K241" i="11"/>
  <c r="L241" i="11"/>
  <c r="C242" i="11"/>
  <c r="G242" i="11"/>
  <c r="H242" i="11"/>
  <c r="I242" i="11"/>
  <c r="J242" i="11"/>
  <c r="K242" i="11"/>
  <c r="L242" i="11"/>
  <c r="C243" i="11"/>
  <c r="G243" i="11"/>
  <c r="H243" i="11"/>
  <c r="I243" i="11"/>
  <c r="J243" i="11"/>
  <c r="K243" i="11"/>
  <c r="L243" i="11"/>
  <c r="C244" i="11"/>
  <c r="G244" i="11"/>
  <c r="H244" i="11"/>
  <c r="I244" i="11"/>
  <c r="J244" i="11"/>
  <c r="K244" i="11"/>
  <c r="L244" i="11"/>
  <c r="C245" i="11"/>
  <c r="G245" i="11"/>
  <c r="H245" i="11"/>
  <c r="I245" i="11"/>
  <c r="J245" i="11"/>
  <c r="K245" i="11"/>
  <c r="L245" i="11"/>
  <c r="C246" i="11"/>
  <c r="G246" i="11"/>
  <c r="H246" i="11"/>
  <c r="I246" i="11"/>
  <c r="J246" i="11"/>
  <c r="K246" i="11"/>
  <c r="L246" i="11"/>
  <c r="C247" i="11"/>
  <c r="G247" i="11"/>
  <c r="H247" i="11"/>
  <c r="I247" i="11"/>
  <c r="J247" i="11"/>
  <c r="K247" i="11"/>
  <c r="L247" i="11"/>
  <c r="C248" i="11"/>
  <c r="G248" i="11"/>
  <c r="H248" i="11"/>
  <c r="I248" i="11"/>
  <c r="J248" i="11"/>
  <c r="K248" i="11"/>
  <c r="L248" i="11"/>
  <c r="C249" i="11"/>
  <c r="G249" i="11"/>
  <c r="H249" i="11"/>
  <c r="I249" i="11"/>
  <c r="J249" i="11"/>
  <c r="K249" i="11"/>
  <c r="L249" i="11"/>
  <c r="C250" i="11"/>
  <c r="G250" i="11"/>
  <c r="H250" i="11"/>
  <c r="I250" i="11"/>
  <c r="J250" i="11"/>
  <c r="K250" i="11"/>
  <c r="L250" i="11"/>
  <c r="C251" i="11"/>
  <c r="G251" i="11"/>
  <c r="H251" i="11"/>
  <c r="I251" i="11"/>
  <c r="J251" i="11"/>
  <c r="K251" i="11"/>
  <c r="L251" i="11"/>
  <c r="C252" i="11"/>
  <c r="G252" i="11"/>
  <c r="H252" i="11"/>
  <c r="I252" i="11"/>
  <c r="J252" i="11"/>
  <c r="K252" i="11"/>
  <c r="L252" i="11"/>
  <c r="C253" i="11"/>
  <c r="G253" i="11"/>
  <c r="H253" i="11"/>
  <c r="I253" i="11"/>
  <c r="J253" i="11"/>
  <c r="K253" i="11"/>
  <c r="L253" i="11"/>
  <c r="C254" i="11"/>
  <c r="G254" i="11"/>
  <c r="H254" i="11"/>
  <c r="I254" i="11"/>
  <c r="J254" i="11"/>
  <c r="K254" i="11"/>
  <c r="L254" i="11"/>
  <c r="C255" i="11"/>
  <c r="G255" i="11"/>
  <c r="H255" i="11"/>
  <c r="I255" i="11"/>
  <c r="J255" i="11"/>
  <c r="K255" i="11"/>
  <c r="L255" i="11"/>
  <c r="C256" i="11"/>
  <c r="G256" i="11"/>
  <c r="H256" i="11"/>
  <c r="I256" i="11"/>
  <c r="J256" i="11"/>
  <c r="K256" i="11"/>
  <c r="L256" i="11"/>
  <c r="C257" i="11"/>
  <c r="G257" i="11"/>
  <c r="H257" i="11"/>
  <c r="I257" i="11"/>
  <c r="J257" i="11"/>
  <c r="K257" i="11"/>
  <c r="L257" i="11"/>
  <c r="C258" i="11"/>
  <c r="G258" i="11"/>
  <c r="H258" i="11"/>
  <c r="I258" i="11"/>
  <c r="J258" i="11"/>
  <c r="K258" i="11"/>
  <c r="L258" i="11"/>
  <c r="C259" i="11"/>
  <c r="G259" i="11"/>
  <c r="H259" i="11"/>
  <c r="I259" i="11"/>
  <c r="J259" i="11"/>
  <c r="K259" i="11"/>
  <c r="L259" i="11"/>
  <c r="C260" i="11"/>
  <c r="G260" i="11"/>
  <c r="H260" i="11"/>
  <c r="I260" i="11"/>
  <c r="J260" i="11"/>
  <c r="K260" i="11"/>
  <c r="L260" i="11"/>
  <c r="C261" i="11"/>
  <c r="G261" i="11"/>
  <c r="H261" i="11"/>
  <c r="I261" i="11"/>
  <c r="J261" i="11"/>
  <c r="K261" i="11"/>
  <c r="L261" i="11"/>
  <c r="C262" i="11"/>
  <c r="G262" i="11"/>
  <c r="H262" i="11"/>
  <c r="I262" i="11"/>
  <c r="J262" i="11"/>
  <c r="K262" i="11"/>
  <c r="L262" i="11"/>
  <c r="C263" i="11"/>
  <c r="G263" i="11"/>
  <c r="H263" i="11"/>
  <c r="I263" i="11"/>
  <c r="J263" i="11"/>
  <c r="K263" i="11"/>
  <c r="L263" i="11"/>
  <c r="C264" i="11"/>
  <c r="G264" i="11"/>
  <c r="H264" i="11"/>
  <c r="I264" i="11"/>
  <c r="J264" i="11"/>
  <c r="K264" i="11"/>
  <c r="L264" i="11"/>
  <c r="C265" i="11"/>
  <c r="G265" i="11"/>
  <c r="H265" i="11"/>
  <c r="I265" i="11"/>
  <c r="J265" i="11"/>
  <c r="K265" i="11"/>
  <c r="L265" i="11"/>
  <c r="C266" i="11"/>
  <c r="G266" i="11"/>
  <c r="H266" i="11"/>
  <c r="I266" i="11"/>
  <c r="J266" i="11"/>
  <c r="K266" i="11"/>
  <c r="L266" i="11"/>
  <c r="C267" i="11"/>
  <c r="G267" i="11"/>
  <c r="H267" i="11"/>
  <c r="I267" i="11"/>
  <c r="J267" i="11"/>
  <c r="K267" i="11"/>
  <c r="L267" i="11"/>
  <c r="C268" i="11"/>
  <c r="G268" i="11"/>
  <c r="H268" i="11"/>
  <c r="I268" i="11"/>
  <c r="J268" i="11"/>
  <c r="K268" i="11"/>
  <c r="L268" i="11"/>
  <c r="C269" i="11"/>
  <c r="G269" i="11"/>
  <c r="H269" i="11"/>
  <c r="I269" i="11"/>
  <c r="J269" i="11"/>
  <c r="K269" i="11"/>
  <c r="L269" i="11"/>
  <c r="C270" i="11"/>
  <c r="G270" i="11"/>
  <c r="H270" i="11"/>
  <c r="I270" i="11"/>
  <c r="J270" i="11"/>
  <c r="K270" i="11"/>
  <c r="L270" i="11"/>
  <c r="C271" i="11"/>
  <c r="G271" i="11"/>
  <c r="H271" i="11"/>
  <c r="I271" i="11"/>
  <c r="J271" i="11"/>
  <c r="K271" i="11"/>
  <c r="L271" i="11"/>
  <c r="C272" i="11"/>
  <c r="G272" i="11"/>
  <c r="H272" i="11"/>
  <c r="I272" i="11"/>
  <c r="J272" i="11"/>
  <c r="K272" i="11"/>
  <c r="L272" i="11"/>
  <c r="C273" i="11"/>
  <c r="G273" i="11"/>
  <c r="H273" i="11"/>
  <c r="I273" i="11"/>
  <c r="J273" i="11"/>
  <c r="K273" i="11"/>
  <c r="L273" i="11"/>
  <c r="C274" i="11"/>
  <c r="G274" i="11"/>
  <c r="H274" i="11"/>
  <c r="I274" i="11"/>
  <c r="J274" i="11"/>
  <c r="K274" i="11"/>
  <c r="L274" i="11"/>
  <c r="C275" i="11"/>
  <c r="G275" i="11"/>
  <c r="H275" i="11"/>
  <c r="I275" i="11"/>
  <c r="J275" i="11"/>
  <c r="K275" i="11"/>
  <c r="L275" i="11"/>
  <c r="C276" i="11"/>
  <c r="G276" i="11"/>
  <c r="H276" i="11"/>
  <c r="I276" i="11"/>
  <c r="J276" i="11"/>
  <c r="K276" i="11"/>
  <c r="L276" i="11"/>
  <c r="C277" i="11"/>
  <c r="G277" i="11"/>
  <c r="H277" i="11"/>
  <c r="I277" i="11"/>
  <c r="J277" i="11"/>
  <c r="K277" i="11"/>
  <c r="L277" i="11"/>
  <c r="C278" i="11"/>
  <c r="G278" i="11"/>
  <c r="H278" i="11"/>
  <c r="I278" i="11"/>
  <c r="J278" i="11"/>
  <c r="K278" i="11"/>
  <c r="L278" i="11"/>
  <c r="C279" i="11"/>
  <c r="G279" i="11"/>
  <c r="H279" i="11"/>
  <c r="I279" i="11"/>
  <c r="J279" i="11"/>
  <c r="K279" i="11"/>
  <c r="L279" i="11"/>
  <c r="C280" i="11"/>
  <c r="G280" i="11"/>
  <c r="H280" i="11"/>
  <c r="I280" i="11"/>
  <c r="J280" i="11"/>
  <c r="K280" i="11"/>
  <c r="L280" i="11"/>
  <c r="C281" i="11"/>
  <c r="G281" i="11"/>
  <c r="H281" i="11"/>
  <c r="I281" i="11"/>
  <c r="J281" i="11"/>
  <c r="K281" i="11"/>
  <c r="L281" i="11"/>
  <c r="C282" i="11"/>
  <c r="G282" i="11"/>
  <c r="H282" i="11"/>
  <c r="I282" i="11"/>
  <c r="J282" i="11"/>
  <c r="K282" i="11"/>
  <c r="L282" i="11"/>
  <c r="C283" i="11"/>
  <c r="G283" i="11"/>
  <c r="H283" i="11"/>
  <c r="I283" i="11"/>
  <c r="J283" i="11"/>
  <c r="K283" i="11"/>
  <c r="L283" i="11"/>
  <c r="C284" i="11"/>
  <c r="G284" i="11"/>
  <c r="H284" i="11"/>
  <c r="I284" i="11"/>
  <c r="J284" i="11"/>
  <c r="K284" i="11"/>
  <c r="L284" i="11"/>
  <c r="C285" i="11"/>
  <c r="G285" i="11"/>
  <c r="H285" i="11"/>
  <c r="I285" i="11"/>
  <c r="J285" i="11"/>
  <c r="K285" i="11"/>
  <c r="L285" i="11"/>
  <c r="C286" i="11"/>
  <c r="G286" i="11"/>
  <c r="H286" i="11"/>
  <c r="I286" i="11"/>
  <c r="J286" i="11"/>
  <c r="K286" i="11"/>
  <c r="L286" i="11"/>
  <c r="C287" i="11"/>
  <c r="G287" i="11"/>
  <c r="H287" i="11"/>
  <c r="I287" i="11"/>
  <c r="J287" i="11"/>
  <c r="K287" i="11"/>
  <c r="L287" i="11"/>
  <c r="C288" i="11"/>
  <c r="G288" i="11"/>
  <c r="H288" i="11"/>
  <c r="I288" i="11"/>
  <c r="J288" i="11"/>
  <c r="K288" i="11"/>
  <c r="L288" i="11"/>
  <c r="C289" i="11"/>
  <c r="G289" i="11"/>
  <c r="H289" i="11"/>
  <c r="I289" i="11"/>
  <c r="J289" i="11"/>
  <c r="K289" i="11"/>
  <c r="L289" i="11"/>
  <c r="C290" i="11"/>
  <c r="G290" i="11"/>
  <c r="H290" i="11"/>
  <c r="I290" i="11"/>
  <c r="J290" i="11"/>
  <c r="K290" i="11"/>
  <c r="L290" i="11"/>
  <c r="C291" i="11"/>
  <c r="G291" i="11"/>
  <c r="H291" i="11"/>
  <c r="I291" i="11"/>
  <c r="J291" i="11"/>
  <c r="K291" i="11"/>
  <c r="L291" i="11"/>
  <c r="C292" i="11"/>
  <c r="G292" i="11"/>
  <c r="H292" i="11"/>
  <c r="I292" i="11"/>
  <c r="J292" i="11"/>
  <c r="K292" i="11"/>
  <c r="L292" i="11"/>
  <c r="C293" i="11"/>
  <c r="G293" i="11"/>
  <c r="H293" i="11"/>
  <c r="I293" i="11"/>
  <c r="J293" i="11"/>
  <c r="K293" i="11"/>
  <c r="L293" i="11"/>
  <c r="C294" i="11"/>
  <c r="G294" i="11"/>
  <c r="H294" i="11"/>
  <c r="I294" i="11"/>
  <c r="J294" i="11"/>
  <c r="K294" i="11"/>
  <c r="L294" i="11"/>
  <c r="C295" i="11"/>
  <c r="G295" i="11"/>
  <c r="H295" i="11"/>
  <c r="I295" i="11"/>
  <c r="J295" i="11"/>
  <c r="K295" i="11"/>
  <c r="L295" i="11"/>
  <c r="C296" i="11"/>
  <c r="G296" i="11"/>
  <c r="H296" i="11"/>
  <c r="I296" i="11"/>
  <c r="J296" i="11"/>
  <c r="K296" i="11"/>
  <c r="L296" i="11"/>
  <c r="C297" i="11"/>
  <c r="G297" i="11"/>
  <c r="H297" i="11"/>
  <c r="I297" i="11"/>
  <c r="J297" i="11"/>
  <c r="K297" i="11"/>
  <c r="L297" i="11"/>
  <c r="C298" i="11"/>
  <c r="G298" i="11"/>
  <c r="H298" i="11"/>
  <c r="I298" i="11"/>
  <c r="J298" i="11"/>
  <c r="K298" i="11"/>
  <c r="L298" i="11"/>
  <c r="C299" i="11"/>
  <c r="G299" i="11"/>
  <c r="H299" i="11"/>
  <c r="I299" i="11"/>
  <c r="J299" i="11"/>
  <c r="K299" i="11"/>
  <c r="L299" i="11"/>
  <c r="C300" i="11"/>
  <c r="G300" i="11"/>
  <c r="H300" i="11"/>
  <c r="I300" i="11"/>
  <c r="J300" i="11"/>
  <c r="K300" i="11"/>
  <c r="L300" i="11"/>
  <c r="C301" i="11"/>
  <c r="G301" i="11"/>
  <c r="H301" i="11"/>
  <c r="I301" i="11"/>
  <c r="J301" i="11"/>
  <c r="K301" i="11"/>
  <c r="L301" i="11"/>
  <c r="C302" i="11"/>
  <c r="G302" i="11"/>
  <c r="H302" i="11"/>
  <c r="I302" i="11"/>
  <c r="J302" i="11"/>
  <c r="K302" i="11"/>
  <c r="L302" i="11"/>
  <c r="C303" i="11"/>
  <c r="G303" i="11"/>
  <c r="H303" i="11"/>
  <c r="I303" i="11"/>
  <c r="J303" i="11"/>
  <c r="K303" i="11"/>
  <c r="L303" i="11"/>
  <c r="C304" i="11"/>
  <c r="G304" i="11"/>
  <c r="H304" i="11"/>
  <c r="I304" i="11"/>
  <c r="J304" i="11"/>
  <c r="K304" i="11"/>
  <c r="L304" i="11"/>
  <c r="C305" i="11"/>
  <c r="G305" i="11"/>
  <c r="H305" i="11"/>
  <c r="I305" i="11"/>
  <c r="J305" i="11"/>
  <c r="K305" i="11"/>
  <c r="L305" i="11"/>
  <c r="C306" i="11"/>
  <c r="G306" i="11"/>
  <c r="H306" i="11"/>
  <c r="I306" i="11"/>
  <c r="J306" i="11"/>
  <c r="K306" i="11"/>
  <c r="L306" i="11"/>
  <c r="C307" i="11"/>
  <c r="G307" i="11"/>
  <c r="H307" i="11"/>
  <c r="I307" i="11"/>
  <c r="J307" i="11"/>
  <c r="K307" i="11"/>
  <c r="L307" i="11"/>
  <c r="C308" i="11"/>
  <c r="G308" i="11"/>
  <c r="H308" i="11"/>
  <c r="I308" i="11"/>
  <c r="J308" i="11"/>
  <c r="K308" i="11"/>
  <c r="L308" i="11"/>
  <c r="C309" i="11"/>
  <c r="G309" i="11"/>
  <c r="H309" i="11"/>
  <c r="I309" i="11"/>
  <c r="J309" i="11"/>
  <c r="K309" i="11"/>
  <c r="L309" i="11"/>
  <c r="C310" i="11"/>
  <c r="G310" i="11"/>
  <c r="H310" i="11"/>
  <c r="I310" i="11"/>
  <c r="J310" i="11"/>
  <c r="K310" i="11"/>
  <c r="L310" i="11"/>
  <c r="C311" i="11"/>
  <c r="G311" i="11"/>
  <c r="H311" i="11"/>
  <c r="I311" i="11"/>
  <c r="J311" i="11"/>
  <c r="K311" i="11"/>
  <c r="L311" i="11"/>
  <c r="C312" i="11"/>
  <c r="G312" i="11"/>
  <c r="H312" i="11"/>
  <c r="I312" i="11"/>
  <c r="J312" i="11"/>
  <c r="K312" i="11"/>
  <c r="L312" i="11"/>
  <c r="C313" i="11"/>
  <c r="G313" i="11"/>
  <c r="H313" i="11"/>
  <c r="I313" i="11"/>
  <c r="J313" i="11"/>
  <c r="K313" i="11"/>
  <c r="L313" i="11"/>
  <c r="C314" i="11"/>
  <c r="G314" i="11"/>
  <c r="H314" i="11"/>
  <c r="I314" i="11"/>
  <c r="J314" i="11"/>
  <c r="K314" i="11"/>
  <c r="L314" i="11"/>
  <c r="C315" i="11"/>
  <c r="G315" i="11"/>
  <c r="H315" i="11"/>
  <c r="I315" i="11"/>
  <c r="J315" i="11"/>
  <c r="K315" i="11"/>
  <c r="L315" i="11"/>
  <c r="C316" i="11"/>
  <c r="G316" i="11"/>
  <c r="H316" i="11"/>
  <c r="I316" i="11"/>
  <c r="J316" i="11"/>
  <c r="K316" i="11"/>
  <c r="L316" i="11"/>
  <c r="C317" i="11"/>
  <c r="G317" i="11"/>
  <c r="H317" i="11"/>
  <c r="I317" i="11"/>
  <c r="J317" i="11"/>
  <c r="K317" i="11"/>
  <c r="L317" i="11"/>
  <c r="C318" i="11"/>
  <c r="G318" i="11"/>
  <c r="H318" i="11"/>
  <c r="I318" i="11"/>
  <c r="J318" i="11"/>
  <c r="K318" i="11"/>
  <c r="L318" i="11"/>
  <c r="C319" i="11"/>
  <c r="G319" i="11"/>
  <c r="H319" i="11"/>
  <c r="I319" i="11"/>
  <c r="J319" i="11"/>
  <c r="K319" i="11"/>
  <c r="L319" i="11"/>
  <c r="C320" i="11"/>
  <c r="G320" i="11"/>
  <c r="H320" i="11"/>
  <c r="I320" i="11"/>
  <c r="J320" i="11"/>
  <c r="K320" i="11"/>
  <c r="L320" i="11"/>
  <c r="C321" i="11"/>
  <c r="G321" i="11"/>
  <c r="H321" i="11"/>
  <c r="I321" i="11"/>
  <c r="J321" i="11"/>
  <c r="K321" i="11"/>
  <c r="L321" i="11"/>
  <c r="C322" i="11"/>
  <c r="G322" i="11"/>
  <c r="H322" i="11"/>
  <c r="I322" i="11"/>
  <c r="J322" i="11"/>
  <c r="K322" i="11"/>
  <c r="L322" i="11"/>
  <c r="C323" i="11"/>
  <c r="G323" i="11"/>
  <c r="H323" i="11"/>
  <c r="I323" i="11"/>
  <c r="J323" i="11"/>
  <c r="K323" i="11"/>
  <c r="L323" i="11"/>
  <c r="C324" i="11"/>
  <c r="G324" i="11"/>
  <c r="H324" i="11"/>
  <c r="I324" i="11"/>
  <c r="J324" i="11"/>
  <c r="K324" i="11"/>
  <c r="L324" i="11"/>
  <c r="C325" i="11"/>
  <c r="G325" i="11"/>
  <c r="H325" i="11"/>
  <c r="I325" i="11"/>
  <c r="J325" i="11"/>
  <c r="K325" i="11"/>
  <c r="L325" i="11"/>
  <c r="C326" i="11"/>
  <c r="G326" i="11"/>
  <c r="H326" i="11"/>
  <c r="I326" i="11"/>
  <c r="J326" i="11"/>
  <c r="K326" i="11"/>
  <c r="L326" i="11"/>
  <c r="C327" i="11"/>
  <c r="G327" i="11"/>
  <c r="H327" i="11"/>
  <c r="I327" i="11"/>
  <c r="J327" i="11"/>
  <c r="K327" i="11"/>
  <c r="L327" i="11"/>
  <c r="C328" i="11"/>
  <c r="G328" i="11"/>
  <c r="H328" i="11"/>
  <c r="I328" i="11"/>
  <c r="J328" i="11"/>
  <c r="K328" i="11"/>
  <c r="L328" i="11"/>
  <c r="C329" i="11"/>
  <c r="G329" i="11"/>
  <c r="H329" i="11"/>
  <c r="I329" i="11"/>
  <c r="J329" i="11"/>
  <c r="K329" i="11"/>
  <c r="L329" i="11"/>
  <c r="C330" i="11"/>
  <c r="G330" i="11"/>
  <c r="H330" i="11"/>
  <c r="I330" i="11"/>
  <c r="J330" i="11"/>
  <c r="K330" i="11"/>
  <c r="L330" i="11"/>
  <c r="C331" i="11"/>
  <c r="G331" i="11"/>
  <c r="H331" i="11"/>
  <c r="I331" i="11"/>
  <c r="J331" i="11"/>
  <c r="K331" i="11"/>
  <c r="L331" i="11"/>
  <c r="C332" i="11"/>
  <c r="G332" i="11"/>
  <c r="H332" i="11"/>
  <c r="I332" i="11"/>
  <c r="J332" i="11"/>
  <c r="K332" i="11"/>
  <c r="L332" i="11"/>
  <c r="C333" i="11"/>
  <c r="G333" i="11"/>
  <c r="H333" i="11"/>
  <c r="I333" i="11"/>
  <c r="J333" i="11"/>
  <c r="K333" i="11"/>
  <c r="L333" i="11"/>
  <c r="C334" i="11"/>
  <c r="G334" i="11"/>
  <c r="H334" i="11"/>
  <c r="I334" i="11"/>
  <c r="J334" i="11"/>
  <c r="K334" i="11"/>
  <c r="L334" i="11"/>
  <c r="C335" i="11"/>
  <c r="G335" i="11"/>
  <c r="H335" i="11"/>
  <c r="I335" i="11"/>
  <c r="J335" i="11"/>
  <c r="K335" i="11"/>
  <c r="L335" i="11"/>
  <c r="C336" i="11"/>
  <c r="G336" i="11"/>
  <c r="H336" i="11"/>
  <c r="I336" i="11"/>
  <c r="J336" i="11"/>
  <c r="K336" i="11"/>
  <c r="L336" i="11"/>
  <c r="C337" i="11"/>
  <c r="G337" i="11"/>
  <c r="H337" i="11"/>
  <c r="I337" i="11"/>
  <c r="J337" i="11"/>
  <c r="K337" i="11"/>
  <c r="L337" i="11"/>
  <c r="C338" i="11"/>
  <c r="G338" i="11"/>
  <c r="H338" i="11"/>
  <c r="I338" i="11"/>
  <c r="J338" i="11"/>
  <c r="K338" i="11"/>
  <c r="L338" i="11"/>
  <c r="C339" i="11"/>
  <c r="G339" i="11"/>
  <c r="H339" i="11"/>
  <c r="I339" i="11"/>
  <c r="J339" i="11"/>
  <c r="K339" i="11"/>
  <c r="L339" i="11"/>
  <c r="C340" i="11"/>
  <c r="G340" i="11"/>
  <c r="H340" i="11"/>
  <c r="I340" i="11"/>
  <c r="J340" i="11"/>
  <c r="K340" i="11"/>
  <c r="L340" i="11"/>
  <c r="C341" i="11"/>
  <c r="G341" i="11"/>
  <c r="H341" i="11"/>
  <c r="I341" i="11"/>
  <c r="J341" i="11"/>
  <c r="K341" i="11"/>
  <c r="L341" i="11"/>
  <c r="C342" i="11"/>
  <c r="G342" i="11"/>
  <c r="H342" i="11"/>
  <c r="I342" i="11"/>
  <c r="J342" i="11"/>
  <c r="K342" i="11"/>
  <c r="L342" i="11"/>
  <c r="C343" i="11"/>
  <c r="G343" i="11"/>
  <c r="H343" i="11"/>
  <c r="I343" i="11"/>
  <c r="J343" i="11"/>
  <c r="K343" i="11"/>
  <c r="L343" i="11"/>
  <c r="C344" i="11"/>
  <c r="G344" i="11"/>
  <c r="H344" i="11"/>
  <c r="I344" i="11"/>
  <c r="J344" i="11"/>
  <c r="K344" i="11"/>
  <c r="L344" i="11"/>
  <c r="C345" i="11"/>
  <c r="G345" i="11"/>
  <c r="H345" i="11"/>
  <c r="I345" i="11"/>
  <c r="J345" i="11"/>
  <c r="K345" i="11"/>
  <c r="L345" i="11"/>
  <c r="C346" i="11"/>
  <c r="G346" i="11"/>
  <c r="H346" i="11"/>
  <c r="I346" i="11"/>
  <c r="J346" i="11"/>
  <c r="K346" i="11"/>
  <c r="L346" i="11"/>
  <c r="C347" i="11"/>
  <c r="G347" i="11"/>
  <c r="H347" i="11"/>
  <c r="I347" i="11"/>
  <c r="J347" i="11"/>
  <c r="K347" i="11"/>
  <c r="L347" i="11"/>
  <c r="C348" i="11"/>
  <c r="G348" i="11"/>
  <c r="H348" i="11"/>
  <c r="I348" i="11"/>
  <c r="J348" i="11"/>
  <c r="K348" i="11"/>
  <c r="L348" i="11"/>
  <c r="C349" i="11"/>
  <c r="G349" i="11"/>
  <c r="H349" i="11"/>
  <c r="I349" i="11"/>
  <c r="J349" i="11"/>
  <c r="K349" i="11"/>
  <c r="L349" i="11"/>
  <c r="C350" i="11"/>
  <c r="G350" i="11"/>
  <c r="H350" i="11"/>
  <c r="I350" i="11"/>
  <c r="J350" i="11"/>
  <c r="K350" i="11"/>
  <c r="L350" i="11"/>
  <c r="C351" i="11"/>
  <c r="G351" i="11"/>
  <c r="H351" i="11"/>
  <c r="I351" i="11"/>
  <c r="J351" i="11"/>
  <c r="K351" i="11"/>
  <c r="L351" i="11"/>
  <c r="C352" i="11"/>
  <c r="G352" i="11"/>
  <c r="H352" i="11"/>
  <c r="I352" i="11"/>
  <c r="J352" i="11"/>
  <c r="K352" i="11"/>
  <c r="L352" i="11"/>
  <c r="C353" i="11"/>
  <c r="G353" i="11"/>
  <c r="H353" i="11"/>
  <c r="I353" i="11"/>
  <c r="J353" i="11"/>
  <c r="K353" i="11"/>
  <c r="L353" i="11"/>
  <c r="C354" i="11"/>
  <c r="G354" i="11"/>
  <c r="H354" i="11"/>
  <c r="I354" i="11"/>
  <c r="J354" i="11"/>
  <c r="K354" i="11"/>
  <c r="L354" i="11"/>
  <c r="C355" i="11"/>
  <c r="G355" i="11"/>
  <c r="H355" i="11"/>
  <c r="I355" i="11"/>
  <c r="J355" i="11"/>
  <c r="K355" i="11"/>
  <c r="L355" i="11"/>
  <c r="C356" i="11"/>
  <c r="G356" i="11"/>
  <c r="H356" i="11"/>
  <c r="I356" i="11"/>
  <c r="J356" i="11"/>
  <c r="K356" i="11"/>
  <c r="L356" i="11"/>
  <c r="C357" i="11"/>
  <c r="G357" i="11"/>
  <c r="H357" i="11"/>
  <c r="I357" i="11"/>
  <c r="J357" i="11"/>
  <c r="K357" i="11"/>
  <c r="L357" i="11"/>
  <c r="C358" i="11"/>
  <c r="G358" i="11"/>
  <c r="H358" i="11"/>
  <c r="I358" i="11"/>
  <c r="J358" i="11"/>
  <c r="K358" i="11"/>
  <c r="L358" i="11"/>
  <c r="C359" i="11"/>
  <c r="G359" i="11"/>
  <c r="H359" i="11"/>
  <c r="I359" i="11"/>
  <c r="J359" i="11"/>
  <c r="K359" i="11"/>
  <c r="L359" i="11"/>
  <c r="C360" i="11"/>
  <c r="G360" i="11"/>
  <c r="H360" i="11"/>
  <c r="I360" i="11"/>
  <c r="J360" i="11"/>
  <c r="K360" i="11"/>
  <c r="L360" i="11"/>
  <c r="C361" i="11"/>
  <c r="G361" i="11"/>
  <c r="H361" i="11"/>
  <c r="I361" i="11"/>
  <c r="J361" i="11"/>
  <c r="K361" i="11"/>
  <c r="L361" i="11"/>
  <c r="C362" i="11"/>
  <c r="G362" i="11"/>
  <c r="H362" i="11"/>
  <c r="I362" i="11"/>
  <c r="J362" i="11"/>
  <c r="K362" i="11"/>
  <c r="L362" i="11"/>
  <c r="C363" i="11"/>
  <c r="G363" i="11"/>
  <c r="H363" i="11"/>
  <c r="I363" i="11"/>
  <c r="J363" i="11"/>
  <c r="K363" i="11"/>
  <c r="L363" i="11"/>
  <c r="C364" i="11"/>
  <c r="G364" i="11"/>
  <c r="H364" i="11"/>
  <c r="I364" i="11"/>
  <c r="J364" i="11"/>
  <c r="K364" i="11"/>
  <c r="L364" i="11"/>
  <c r="C365" i="11"/>
  <c r="G365" i="11"/>
  <c r="H365" i="11"/>
  <c r="I365" i="11"/>
  <c r="J365" i="11"/>
  <c r="K365" i="11"/>
  <c r="L365" i="11"/>
  <c r="C366" i="11"/>
  <c r="G366" i="11"/>
  <c r="H366" i="11"/>
  <c r="I366" i="11"/>
  <c r="J366" i="11"/>
  <c r="K366" i="11"/>
  <c r="L366" i="11"/>
  <c r="C367" i="11"/>
  <c r="G367" i="11"/>
  <c r="H367" i="11"/>
  <c r="I367" i="11"/>
  <c r="J367" i="11"/>
  <c r="K367" i="11"/>
  <c r="L367" i="11"/>
  <c r="C368" i="11"/>
  <c r="G368" i="11"/>
  <c r="H368" i="11"/>
  <c r="I368" i="11"/>
  <c r="J368" i="11"/>
  <c r="K368" i="11"/>
  <c r="L368" i="11"/>
  <c r="C369" i="11"/>
  <c r="G369" i="11"/>
  <c r="H369" i="11"/>
  <c r="I369" i="11"/>
  <c r="J369" i="11"/>
  <c r="K369" i="11"/>
  <c r="L369" i="11"/>
  <c r="C370" i="11"/>
  <c r="G370" i="11"/>
  <c r="H370" i="11"/>
  <c r="I370" i="11"/>
  <c r="J370" i="11"/>
  <c r="K370" i="11"/>
  <c r="L370" i="11"/>
  <c r="C371" i="11"/>
  <c r="G371" i="11"/>
  <c r="H371" i="11"/>
  <c r="I371" i="11"/>
  <c r="J371" i="11"/>
  <c r="K371" i="11"/>
  <c r="L371" i="11"/>
  <c r="C372" i="11"/>
  <c r="G372" i="11"/>
  <c r="H372" i="11"/>
  <c r="I372" i="11"/>
  <c r="J372" i="11"/>
  <c r="K372" i="11"/>
  <c r="L372" i="11"/>
  <c r="C373" i="11"/>
  <c r="G373" i="11"/>
  <c r="H373" i="11"/>
  <c r="I373" i="11"/>
  <c r="J373" i="11"/>
  <c r="K373" i="11"/>
  <c r="L373" i="11"/>
  <c r="C374" i="11"/>
  <c r="G374" i="11"/>
  <c r="H374" i="11"/>
  <c r="I374" i="11"/>
  <c r="J374" i="11"/>
  <c r="K374" i="11"/>
  <c r="L374" i="11"/>
  <c r="C375" i="11"/>
  <c r="G375" i="11"/>
  <c r="H375" i="11"/>
  <c r="I375" i="11"/>
  <c r="J375" i="11"/>
  <c r="K375" i="11"/>
  <c r="L375" i="11"/>
  <c r="C376" i="11"/>
  <c r="G376" i="11"/>
  <c r="H376" i="11"/>
  <c r="I376" i="11"/>
  <c r="J376" i="11"/>
  <c r="K376" i="11"/>
  <c r="L376" i="11"/>
  <c r="C377" i="11"/>
  <c r="G377" i="11"/>
  <c r="H377" i="11"/>
  <c r="I377" i="11"/>
  <c r="J377" i="11"/>
  <c r="K377" i="11"/>
  <c r="L377" i="11"/>
  <c r="C378" i="11"/>
  <c r="G378" i="11"/>
  <c r="H378" i="11"/>
  <c r="I378" i="11"/>
  <c r="J378" i="11"/>
  <c r="K378" i="11"/>
  <c r="L378" i="11"/>
  <c r="C379" i="11"/>
  <c r="G379" i="11"/>
  <c r="H379" i="11"/>
  <c r="I379" i="11"/>
  <c r="J379" i="11"/>
  <c r="K379" i="11"/>
  <c r="L379" i="11"/>
  <c r="C380" i="11"/>
  <c r="G380" i="11"/>
  <c r="H380" i="11"/>
  <c r="I380" i="11"/>
  <c r="J380" i="11"/>
  <c r="K380" i="11"/>
  <c r="L380" i="11"/>
  <c r="C381" i="11"/>
  <c r="G381" i="11"/>
  <c r="H381" i="11"/>
  <c r="I381" i="11"/>
  <c r="J381" i="11"/>
  <c r="K381" i="11"/>
  <c r="L381" i="11"/>
  <c r="C382" i="11"/>
  <c r="G382" i="11"/>
  <c r="H382" i="11"/>
  <c r="I382" i="11"/>
  <c r="J382" i="11"/>
  <c r="K382" i="11"/>
  <c r="L382" i="11"/>
  <c r="C383" i="11"/>
  <c r="G383" i="11"/>
  <c r="H383" i="11"/>
  <c r="I383" i="11"/>
  <c r="J383" i="11"/>
  <c r="K383" i="11"/>
  <c r="L383" i="11"/>
  <c r="C384" i="11"/>
  <c r="G384" i="11"/>
  <c r="H384" i="11"/>
  <c r="I384" i="11"/>
  <c r="J384" i="11"/>
  <c r="K384" i="11"/>
  <c r="L384" i="11"/>
  <c r="C385" i="11"/>
  <c r="G385" i="11"/>
  <c r="H385" i="11"/>
  <c r="I385" i="11"/>
  <c r="J385" i="11"/>
  <c r="K385" i="11"/>
  <c r="L385" i="11"/>
  <c r="C386" i="11"/>
  <c r="G386" i="11"/>
  <c r="H386" i="11"/>
  <c r="I386" i="11"/>
  <c r="J386" i="11"/>
  <c r="K386" i="11"/>
  <c r="L386" i="11"/>
  <c r="C387" i="11"/>
  <c r="G387" i="11"/>
  <c r="H387" i="11"/>
  <c r="I387" i="11"/>
  <c r="J387" i="11"/>
  <c r="K387" i="11"/>
  <c r="L387" i="11"/>
  <c r="C388" i="11"/>
  <c r="G388" i="11"/>
  <c r="H388" i="11"/>
  <c r="I388" i="11"/>
  <c r="J388" i="11"/>
  <c r="K388" i="11"/>
  <c r="L388" i="11"/>
  <c r="C389" i="11"/>
  <c r="G389" i="11"/>
  <c r="H389" i="11"/>
  <c r="I389" i="11"/>
  <c r="J389" i="11"/>
  <c r="K389" i="11"/>
  <c r="L389" i="11"/>
  <c r="C390" i="11"/>
  <c r="G390" i="11"/>
  <c r="H390" i="11"/>
  <c r="I390" i="11"/>
  <c r="J390" i="11"/>
  <c r="K390" i="11"/>
  <c r="L390" i="11"/>
  <c r="C391" i="11"/>
  <c r="G391" i="11"/>
  <c r="H391" i="11"/>
  <c r="I391" i="11"/>
  <c r="J391" i="11"/>
  <c r="K391" i="11"/>
  <c r="L391" i="11"/>
  <c r="C392" i="11"/>
  <c r="G392" i="11"/>
  <c r="H392" i="11"/>
  <c r="I392" i="11"/>
  <c r="J392" i="11"/>
  <c r="K392" i="11"/>
  <c r="L392" i="11"/>
  <c r="C393" i="11"/>
  <c r="G393" i="11"/>
  <c r="H393" i="11"/>
  <c r="I393" i="11"/>
  <c r="J393" i="11"/>
  <c r="K393" i="11"/>
  <c r="L393" i="11"/>
  <c r="C394" i="11"/>
  <c r="G394" i="11"/>
  <c r="H394" i="11"/>
  <c r="I394" i="11"/>
  <c r="J394" i="11"/>
  <c r="K394" i="11"/>
  <c r="L394" i="11"/>
  <c r="C395" i="11"/>
  <c r="G395" i="11"/>
  <c r="H395" i="11"/>
  <c r="I395" i="11"/>
  <c r="J395" i="11"/>
  <c r="K395" i="11"/>
  <c r="L395" i="11"/>
  <c r="C396" i="11"/>
  <c r="G396" i="11"/>
  <c r="H396" i="11"/>
  <c r="I396" i="11"/>
  <c r="J396" i="11"/>
  <c r="K396" i="11"/>
  <c r="L396" i="11"/>
  <c r="C397" i="11"/>
  <c r="G397" i="11"/>
  <c r="H397" i="11"/>
  <c r="I397" i="11"/>
  <c r="J397" i="11"/>
  <c r="K397" i="11"/>
  <c r="L397" i="11"/>
  <c r="C398" i="11"/>
  <c r="G398" i="11"/>
  <c r="H398" i="11"/>
  <c r="I398" i="11"/>
  <c r="J398" i="11"/>
  <c r="K398" i="11"/>
  <c r="L398" i="11"/>
  <c r="C399" i="11"/>
  <c r="G399" i="11"/>
  <c r="H399" i="11"/>
  <c r="I399" i="11"/>
  <c r="J399" i="11"/>
  <c r="K399" i="11"/>
  <c r="L399" i="11"/>
  <c r="C400" i="11"/>
  <c r="G400" i="11"/>
  <c r="H400" i="11"/>
  <c r="I400" i="11"/>
  <c r="J400" i="11"/>
  <c r="K400" i="11"/>
  <c r="L400" i="11"/>
  <c r="C401" i="11"/>
  <c r="G401" i="11"/>
  <c r="H401" i="11"/>
  <c r="I401" i="11"/>
  <c r="J401" i="11"/>
  <c r="K401" i="11"/>
  <c r="L401" i="11"/>
  <c r="C402" i="11"/>
  <c r="G402" i="11"/>
  <c r="H402" i="11"/>
  <c r="I402" i="11"/>
  <c r="J402" i="11"/>
  <c r="K402" i="11"/>
  <c r="L402" i="11"/>
  <c r="C403" i="11"/>
  <c r="G403" i="11"/>
  <c r="H403" i="11"/>
  <c r="I403" i="11"/>
  <c r="J403" i="11"/>
  <c r="K403" i="11"/>
  <c r="L403" i="11"/>
  <c r="C404" i="11"/>
  <c r="G404" i="11"/>
  <c r="H404" i="11"/>
  <c r="I404" i="11"/>
  <c r="J404" i="11"/>
  <c r="K404" i="11"/>
  <c r="L404" i="11"/>
  <c r="C405" i="11"/>
  <c r="G405" i="11"/>
  <c r="H405" i="11"/>
  <c r="I405" i="11"/>
  <c r="J405" i="11"/>
  <c r="K405" i="11"/>
  <c r="L405" i="11"/>
  <c r="C406" i="11"/>
  <c r="G406" i="11"/>
  <c r="H406" i="11"/>
  <c r="I406" i="11"/>
  <c r="J406" i="11"/>
  <c r="K406" i="11"/>
  <c r="L406" i="11"/>
  <c r="C407" i="11"/>
  <c r="G407" i="11"/>
  <c r="H407" i="11"/>
  <c r="I407" i="11"/>
  <c r="J407" i="11"/>
  <c r="K407" i="11"/>
  <c r="L407" i="11"/>
  <c r="C408" i="11"/>
  <c r="G408" i="11"/>
  <c r="H408" i="11"/>
  <c r="I408" i="11"/>
  <c r="J408" i="11"/>
  <c r="K408" i="11"/>
  <c r="L408" i="11"/>
  <c r="C409" i="11"/>
  <c r="G409" i="11"/>
  <c r="H409" i="11"/>
  <c r="I409" i="11"/>
  <c r="J409" i="11"/>
  <c r="K409" i="11"/>
  <c r="L409" i="11"/>
  <c r="C410" i="11"/>
  <c r="G410" i="11"/>
  <c r="H410" i="11"/>
  <c r="I410" i="11"/>
  <c r="J410" i="11"/>
  <c r="K410" i="11"/>
  <c r="L410" i="11"/>
  <c r="C411" i="11"/>
  <c r="G411" i="11"/>
  <c r="H411" i="11"/>
  <c r="I411" i="11"/>
  <c r="J411" i="11"/>
  <c r="K411" i="11"/>
  <c r="L411" i="11"/>
  <c r="C412" i="11"/>
  <c r="G412" i="11"/>
  <c r="H412" i="11"/>
  <c r="I412" i="11"/>
  <c r="J412" i="11"/>
  <c r="K412" i="11"/>
  <c r="L412" i="11"/>
  <c r="C413" i="11"/>
  <c r="G413" i="11"/>
  <c r="H413" i="11"/>
  <c r="I413" i="11"/>
  <c r="J413" i="11"/>
  <c r="K413" i="11"/>
  <c r="L413" i="11"/>
  <c r="C414" i="11"/>
  <c r="G414" i="11"/>
  <c r="H414" i="11"/>
  <c r="I414" i="11"/>
  <c r="J414" i="11"/>
  <c r="K414" i="11"/>
  <c r="L414" i="11"/>
  <c r="C415" i="11"/>
  <c r="G415" i="11"/>
  <c r="H415" i="11"/>
  <c r="I415" i="11"/>
  <c r="J415" i="11"/>
  <c r="K415" i="11"/>
  <c r="L415" i="11"/>
  <c r="C416" i="11"/>
  <c r="G416" i="11"/>
  <c r="H416" i="11"/>
  <c r="I416" i="11"/>
  <c r="J416" i="11"/>
  <c r="K416" i="11"/>
  <c r="L416" i="11"/>
  <c r="C417" i="11"/>
  <c r="G417" i="11"/>
  <c r="H417" i="11"/>
  <c r="I417" i="11"/>
  <c r="J417" i="11"/>
  <c r="K417" i="11"/>
  <c r="L417" i="11"/>
  <c r="C418" i="11"/>
  <c r="G418" i="11"/>
  <c r="H418" i="11"/>
  <c r="I418" i="11"/>
  <c r="J418" i="11"/>
  <c r="K418" i="11"/>
  <c r="L418" i="11"/>
  <c r="C419" i="11"/>
  <c r="G419" i="11"/>
  <c r="H419" i="11"/>
  <c r="I419" i="11"/>
  <c r="J419" i="11"/>
  <c r="K419" i="11"/>
  <c r="L419" i="11"/>
  <c r="C420" i="11"/>
  <c r="G420" i="11"/>
  <c r="H420" i="11"/>
  <c r="I420" i="11"/>
  <c r="J420" i="11"/>
  <c r="K420" i="11"/>
  <c r="L420" i="11"/>
  <c r="C421" i="11"/>
  <c r="G421" i="11"/>
  <c r="H421" i="11"/>
  <c r="I421" i="11"/>
  <c r="J421" i="11"/>
  <c r="K421" i="11"/>
  <c r="L421" i="11"/>
  <c r="C422" i="11"/>
  <c r="G422" i="11"/>
  <c r="H422" i="11"/>
  <c r="I422" i="11"/>
  <c r="J422" i="11"/>
  <c r="K422" i="11"/>
  <c r="L422" i="11"/>
  <c r="C423" i="11"/>
  <c r="G423" i="11"/>
  <c r="H423" i="11"/>
  <c r="I423" i="11"/>
  <c r="J423" i="11"/>
  <c r="K423" i="11"/>
  <c r="L423" i="11"/>
  <c r="C424" i="11"/>
  <c r="G424" i="11"/>
  <c r="H424" i="11"/>
  <c r="I424" i="11"/>
  <c r="J424" i="11"/>
  <c r="K424" i="11"/>
  <c r="L424" i="11"/>
  <c r="C425" i="11"/>
  <c r="G425" i="11"/>
  <c r="H425" i="11"/>
  <c r="I425" i="11"/>
  <c r="J425" i="11"/>
  <c r="K425" i="11"/>
  <c r="L425" i="11"/>
  <c r="C426" i="11"/>
  <c r="G426" i="11"/>
  <c r="H426" i="11"/>
  <c r="I426" i="11"/>
  <c r="J426" i="11"/>
  <c r="K426" i="11"/>
  <c r="L426" i="11"/>
  <c r="C427" i="11"/>
  <c r="G427" i="11"/>
  <c r="H427" i="11"/>
  <c r="I427" i="11"/>
  <c r="J427" i="11"/>
  <c r="K427" i="11"/>
  <c r="L427" i="11"/>
  <c r="C428" i="11"/>
  <c r="G428" i="11"/>
  <c r="H428" i="11"/>
  <c r="I428" i="11"/>
  <c r="J428" i="11"/>
  <c r="K428" i="11"/>
  <c r="L428" i="11"/>
  <c r="C429" i="11"/>
  <c r="G429" i="11"/>
  <c r="H429" i="11"/>
  <c r="I429" i="11"/>
  <c r="J429" i="11"/>
  <c r="K429" i="11"/>
  <c r="L429" i="11"/>
  <c r="C430" i="11"/>
  <c r="G430" i="11"/>
  <c r="H430" i="11"/>
  <c r="I430" i="11"/>
  <c r="J430" i="11"/>
  <c r="K430" i="11"/>
  <c r="L430" i="11"/>
  <c r="C431" i="11"/>
  <c r="G431" i="11"/>
  <c r="H431" i="11"/>
  <c r="I431" i="11"/>
  <c r="J431" i="11"/>
  <c r="K431" i="11"/>
  <c r="L431" i="11"/>
  <c r="C432" i="11"/>
  <c r="G432" i="11"/>
  <c r="H432" i="11"/>
  <c r="I432" i="11"/>
  <c r="J432" i="11"/>
  <c r="K432" i="11"/>
  <c r="L432" i="11"/>
  <c r="C433" i="11"/>
  <c r="G433" i="11"/>
  <c r="H433" i="11"/>
  <c r="I433" i="11"/>
  <c r="J433" i="11"/>
  <c r="K433" i="11"/>
  <c r="L433" i="11"/>
  <c r="C434" i="11"/>
  <c r="G434" i="11"/>
  <c r="H434" i="11"/>
  <c r="I434" i="11"/>
  <c r="J434" i="11"/>
  <c r="K434" i="11"/>
  <c r="L434" i="11"/>
  <c r="C435" i="11"/>
  <c r="G435" i="11"/>
  <c r="H435" i="11"/>
  <c r="I435" i="11"/>
  <c r="J435" i="11"/>
  <c r="K435" i="11"/>
  <c r="L435" i="11"/>
  <c r="C436" i="11"/>
  <c r="G436" i="11"/>
  <c r="H436" i="11"/>
  <c r="I436" i="11"/>
  <c r="J436" i="11"/>
  <c r="K436" i="11"/>
  <c r="L436" i="11"/>
  <c r="C437" i="11"/>
  <c r="G437" i="11"/>
  <c r="H437" i="11"/>
  <c r="I437" i="11"/>
  <c r="J437" i="11"/>
  <c r="K437" i="11"/>
  <c r="L437" i="11"/>
  <c r="C438" i="11"/>
  <c r="G438" i="11"/>
  <c r="H438" i="11"/>
  <c r="I438" i="11"/>
  <c r="J438" i="11"/>
  <c r="K438" i="11"/>
  <c r="L438" i="11"/>
  <c r="C439" i="11"/>
  <c r="G439" i="11"/>
  <c r="H439" i="11"/>
  <c r="I439" i="11"/>
  <c r="J439" i="11"/>
  <c r="K439" i="11"/>
  <c r="L439" i="11"/>
  <c r="C440" i="11"/>
  <c r="G440" i="11"/>
  <c r="H440" i="11"/>
  <c r="I440" i="11"/>
  <c r="J440" i="11"/>
  <c r="K440" i="11"/>
  <c r="L440" i="11"/>
  <c r="C441" i="11"/>
  <c r="G441" i="11"/>
  <c r="H441" i="11"/>
  <c r="I441" i="11"/>
  <c r="J441" i="11"/>
  <c r="K441" i="11"/>
  <c r="L441" i="11"/>
  <c r="C442" i="11"/>
  <c r="G442" i="11"/>
  <c r="H442" i="11"/>
  <c r="I442" i="11"/>
  <c r="J442" i="11"/>
  <c r="K442" i="11"/>
  <c r="L442" i="11"/>
  <c r="C443" i="11"/>
  <c r="G443" i="11"/>
  <c r="H443" i="11"/>
  <c r="I443" i="11"/>
  <c r="J443" i="11"/>
  <c r="K443" i="11"/>
  <c r="L443" i="11"/>
  <c r="C444" i="11"/>
  <c r="G444" i="11"/>
  <c r="H444" i="11"/>
  <c r="I444" i="11"/>
  <c r="J444" i="11"/>
  <c r="K444" i="11"/>
  <c r="L444" i="11"/>
  <c r="C445" i="11"/>
  <c r="G445" i="11"/>
  <c r="H445" i="11"/>
  <c r="I445" i="11"/>
  <c r="J445" i="11"/>
  <c r="K445" i="11"/>
  <c r="L445" i="11"/>
  <c r="C446" i="11"/>
  <c r="G446" i="11"/>
  <c r="H446" i="11"/>
  <c r="I446" i="11"/>
  <c r="J446" i="11"/>
  <c r="K446" i="11"/>
  <c r="L446" i="11"/>
  <c r="C447" i="11"/>
  <c r="G447" i="11"/>
  <c r="H447" i="11"/>
  <c r="I447" i="11"/>
  <c r="J447" i="11"/>
  <c r="K447" i="11"/>
  <c r="L447" i="11"/>
  <c r="C448" i="11"/>
  <c r="G448" i="11"/>
  <c r="H448" i="11"/>
  <c r="I448" i="11"/>
  <c r="J448" i="11"/>
  <c r="K448" i="11"/>
  <c r="L448" i="11"/>
  <c r="C449" i="11"/>
  <c r="G449" i="11"/>
  <c r="H449" i="11"/>
  <c r="I449" i="11"/>
  <c r="J449" i="11"/>
  <c r="K449" i="11"/>
  <c r="L449" i="11"/>
  <c r="C450" i="11"/>
  <c r="G450" i="11"/>
  <c r="H450" i="11"/>
  <c r="I450" i="11"/>
  <c r="J450" i="11"/>
  <c r="K450" i="11"/>
  <c r="L450" i="11"/>
  <c r="C451" i="11"/>
  <c r="G451" i="11"/>
  <c r="H451" i="11"/>
  <c r="I451" i="11"/>
  <c r="J451" i="11"/>
  <c r="K451" i="11"/>
  <c r="L451" i="11"/>
  <c r="C452" i="11"/>
  <c r="G452" i="11"/>
  <c r="H452" i="11"/>
  <c r="I452" i="11"/>
  <c r="J452" i="11"/>
  <c r="K452" i="11"/>
  <c r="L452" i="11"/>
  <c r="C453" i="11"/>
  <c r="G453" i="11"/>
  <c r="H453" i="11"/>
  <c r="I453" i="11"/>
  <c r="J453" i="11"/>
  <c r="K453" i="11"/>
  <c r="L453" i="11"/>
  <c r="C454" i="11"/>
  <c r="G454" i="11"/>
  <c r="H454" i="11"/>
  <c r="I454" i="11"/>
  <c r="J454" i="11"/>
  <c r="K454" i="11"/>
  <c r="L454" i="11"/>
  <c r="C455" i="11"/>
  <c r="G455" i="11"/>
  <c r="H455" i="11"/>
  <c r="I455" i="11"/>
  <c r="J455" i="11"/>
  <c r="K455" i="11"/>
  <c r="L455" i="11"/>
  <c r="C456" i="11"/>
  <c r="G456" i="11"/>
  <c r="H456" i="11"/>
  <c r="I456" i="11"/>
  <c r="J456" i="11"/>
  <c r="K456" i="11"/>
  <c r="L456" i="11"/>
  <c r="C457" i="11"/>
  <c r="G457" i="11"/>
  <c r="H457" i="11"/>
  <c r="I457" i="11"/>
  <c r="J457" i="11"/>
  <c r="K457" i="11"/>
  <c r="L457" i="11"/>
  <c r="C458" i="11"/>
  <c r="G458" i="11"/>
  <c r="H458" i="11"/>
  <c r="I458" i="11"/>
  <c r="J458" i="11"/>
  <c r="K458" i="11"/>
  <c r="L458" i="11"/>
  <c r="C459" i="11"/>
  <c r="G459" i="11"/>
  <c r="H459" i="11"/>
  <c r="I459" i="11"/>
  <c r="J459" i="11"/>
  <c r="K459" i="11"/>
  <c r="L459" i="11"/>
  <c r="C460" i="11"/>
  <c r="G460" i="11"/>
  <c r="H460" i="11"/>
  <c r="I460" i="11"/>
  <c r="J460" i="11"/>
  <c r="K460" i="11"/>
  <c r="L460" i="11"/>
  <c r="C461" i="11"/>
  <c r="G461" i="11"/>
  <c r="H461" i="11"/>
  <c r="I461" i="11"/>
  <c r="J461" i="11"/>
  <c r="K461" i="11"/>
  <c r="L461" i="11"/>
  <c r="C462" i="11"/>
  <c r="G462" i="11"/>
  <c r="H462" i="11"/>
  <c r="I462" i="11"/>
  <c r="J462" i="11"/>
  <c r="K462" i="11"/>
  <c r="L462" i="11"/>
  <c r="C463" i="11"/>
  <c r="G463" i="11"/>
  <c r="H463" i="11"/>
  <c r="I463" i="11"/>
  <c r="J463" i="11"/>
  <c r="K463" i="11"/>
  <c r="L463" i="11"/>
  <c r="C464" i="11"/>
  <c r="G464" i="11"/>
  <c r="H464" i="11"/>
  <c r="I464" i="11"/>
  <c r="J464" i="11"/>
  <c r="K464" i="11"/>
  <c r="L464" i="11"/>
  <c r="C465" i="11"/>
  <c r="G465" i="11"/>
  <c r="H465" i="11"/>
  <c r="I465" i="11"/>
  <c r="J465" i="11"/>
  <c r="K465" i="11"/>
  <c r="L465" i="11"/>
  <c r="C466" i="11"/>
  <c r="G466" i="11"/>
  <c r="H466" i="11"/>
  <c r="I466" i="11"/>
  <c r="J466" i="11"/>
  <c r="K466" i="11"/>
  <c r="L466" i="11"/>
  <c r="C467" i="11"/>
  <c r="G467" i="11"/>
  <c r="H467" i="11"/>
  <c r="I467" i="11"/>
  <c r="J467" i="11"/>
  <c r="K467" i="11"/>
  <c r="L467" i="11"/>
  <c r="C468" i="11"/>
  <c r="G468" i="11"/>
  <c r="H468" i="11"/>
  <c r="I468" i="11"/>
  <c r="J468" i="11"/>
  <c r="K468" i="11"/>
  <c r="L468" i="11"/>
  <c r="C469" i="11"/>
  <c r="G469" i="11"/>
  <c r="H469" i="11"/>
  <c r="I469" i="11"/>
  <c r="J469" i="11"/>
  <c r="K469" i="11"/>
  <c r="L469" i="11"/>
  <c r="C470" i="11"/>
  <c r="G470" i="11"/>
  <c r="H470" i="11"/>
  <c r="I470" i="11"/>
  <c r="J470" i="11"/>
  <c r="K470" i="11"/>
  <c r="L470" i="11"/>
  <c r="C471" i="11"/>
  <c r="G471" i="11"/>
  <c r="H471" i="11"/>
  <c r="I471" i="11"/>
  <c r="J471" i="11"/>
  <c r="K471" i="11"/>
  <c r="L471" i="11"/>
  <c r="C472" i="11"/>
  <c r="G472" i="11"/>
  <c r="H472" i="11"/>
  <c r="I472" i="11"/>
  <c r="J472" i="11"/>
  <c r="K472" i="11"/>
  <c r="L472" i="11"/>
  <c r="C473" i="11"/>
  <c r="G473" i="11"/>
  <c r="H473" i="11"/>
  <c r="I473" i="11"/>
  <c r="J473" i="11"/>
  <c r="K473" i="11"/>
  <c r="L473" i="11"/>
  <c r="C474" i="11"/>
  <c r="G474" i="11"/>
  <c r="H474" i="11"/>
  <c r="I474" i="11"/>
  <c r="J474" i="11"/>
  <c r="K474" i="11"/>
  <c r="L474" i="11"/>
  <c r="C475" i="11"/>
  <c r="G475" i="11"/>
  <c r="H475" i="11"/>
  <c r="I475" i="11"/>
  <c r="J475" i="11"/>
  <c r="K475" i="11"/>
  <c r="L475" i="11"/>
  <c r="C476" i="11"/>
  <c r="G476" i="11"/>
  <c r="H476" i="11"/>
  <c r="I476" i="11"/>
  <c r="J476" i="11"/>
  <c r="K476" i="11"/>
  <c r="L476" i="11"/>
  <c r="C477" i="11"/>
  <c r="G477" i="11"/>
  <c r="H477" i="11"/>
  <c r="I477" i="11"/>
  <c r="J477" i="11"/>
  <c r="K477" i="11"/>
  <c r="L477" i="11"/>
  <c r="C478" i="11"/>
  <c r="G478" i="11"/>
  <c r="H478" i="11"/>
  <c r="I478" i="11"/>
  <c r="J478" i="11"/>
  <c r="K478" i="11"/>
  <c r="L478" i="11"/>
  <c r="C479" i="11"/>
  <c r="G479" i="11"/>
  <c r="H479" i="11"/>
  <c r="I479" i="11"/>
  <c r="J479" i="11"/>
  <c r="K479" i="11"/>
  <c r="L479" i="11"/>
  <c r="C480" i="11"/>
  <c r="G480" i="11"/>
  <c r="H480" i="11"/>
  <c r="I480" i="11"/>
  <c r="J480" i="11"/>
  <c r="K480" i="11"/>
  <c r="L480" i="11"/>
  <c r="C481" i="11"/>
  <c r="G481" i="11"/>
  <c r="H481" i="11"/>
  <c r="I481" i="11"/>
  <c r="J481" i="11"/>
  <c r="K481" i="11"/>
  <c r="L481" i="11"/>
  <c r="C482" i="11"/>
  <c r="G482" i="11"/>
  <c r="H482" i="11"/>
  <c r="I482" i="11"/>
  <c r="J482" i="11"/>
  <c r="K482" i="11"/>
  <c r="L482" i="11"/>
  <c r="C483" i="11"/>
  <c r="G483" i="11"/>
  <c r="H483" i="11"/>
  <c r="I483" i="11"/>
  <c r="J483" i="11"/>
  <c r="K483" i="11"/>
  <c r="L483" i="11"/>
  <c r="C484" i="11"/>
  <c r="G484" i="11"/>
  <c r="H484" i="11"/>
  <c r="I484" i="11"/>
  <c r="J484" i="11"/>
  <c r="K484" i="11"/>
  <c r="L484" i="11"/>
  <c r="C485" i="11"/>
  <c r="G485" i="11"/>
  <c r="H485" i="11"/>
  <c r="I485" i="11"/>
  <c r="J485" i="11"/>
  <c r="K485" i="11"/>
  <c r="L485" i="11"/>
  <c r="C486" i="11"/>
  <c r="G486" i="11"/>
  <c r="H486" i="11"/>
  <c r="I486" i="11"/>
  <c r="J486" i="11"/>
  <c r="K486" i="11"/>
  <c r="L486" i="11"/>
  <c r="C487" i="11"/>
  <c r="G487" i="11"/>
  <c r="H487" i="11"/>
  <c r="I487" i="11"/>
  <c r="J487" i="11"/>
  <c r="K487" i="11"/>
  <c r="L487" i="11"/>
  <c r="C488" i="11"/>
  <c r="G488" i="11"/>
  <c r="H488" i="11"/>
  <c r="I488" i="11"/>
  <c r="J488" i="11"/>
  <c r="K488" i="11"/>
  <c r="L488" i="11"/>
  <c r="C489" i="11"/>
  <c r="G489" i="11"/>
  <c r="H489" i="11"/>
  <c r="I489" i="11"/>
  <c r="J489" i="11"/>
  <c r="K489" i="11"/>
  <c r="L489" i="11"/>
  <c r="C490" i="11"/>
  <c r="G490" i="11"/>
  <c r="H490" i="11"/>
  <c r="I490" i="11"/>
  <c r="J490" i="11"/>
  <c r="K490" i="11"/>
  <c r="L490" i="11"/>
  <c r="C491" i="11"/>
  <c r="G491" i="11"/>
  <c r="H491" i="11"/>
  <c r="I491" i="11"/>
  <c r="J491" i="11"/>
  <c r="K491" i="11"/>
  <c r="L491" i="11"/>
  <c r="C492" i="11"/>
  <c r="G492" i="11"/>
  <c r="H492" i="11"/>
  <c r="I492" i="11"/>
  <c r="J492" i="11"/>
  <c r="K492" i="11"/>
  <c r="L492" i="11"/>
  <c r="C493" i="11"/>
  <c r="G493" i="11"/>
  <c r="H493" i="11"/>
  <c r="I493" i="11"/>
  <c r="J493" i="11"/>
  <c r="K493" i="11"/>
  <c r="L493" i="11"/>
  <c r="C494" i="11"/>
  <c r="G494" i="11"/>
  <c r="H494" i="11"/>
  <c r="I494" i="11"/>
  <c r="J494" i="11"/>
  <c r="K494" i="11"/>
  <c r="L494" i="11"/>
  <c r="C495" i="11"/>
  <c r="G495" i="11"/>
  <c r="H495" i="11"/>
  <c r="I495" i="11"/>
  <c r="J495" i="11"/>
  <c r="K495" i="11"/>
  <c r="L495" i="11"/>
  <c r="C496" i="11"/>
  <c r="G496" i="11"/>
  <c r="H496" i="11"/>
  <c r="I496" i="11"/>
  <c r="J496" i="11"/>
  <c r="K496" i="11"/>
  <c r="L496" i="11"/>
  <c r="C497" i="11"/>
  <c r="G497" i="11"/>
  <c r="H497" i="11"/>
  <c r="I497" i="11"/>
  <c r="J497" i="11"/>
  <c r="K497" i="11"/>
  <c r="L497" i="11"/>
  <c r="C498" i="11"/>
  <c r="G498" i="11"/>
  <c r="H498" i="11"/>
  <c r="I498" i="11"/>
  <c r="J498" i="11"/>
  <c r="K498" i="11"/>
  <c r="L498" i="11"/>
  <c r="C499" i="11"/>
  <c r="G499" i="11"/>
  <c r="H499" i="11"/>
  <c r="I499" i="11"/>
  <c r="J499" i="11"/>
  <c r="K499" i="11"/>
  <c r="L499" i="11"/>
  <c r="C500" i="11"/>
  <c r="G500" i="11"/>
  <c r="H500" i="11"/>
  <c r="I500" i="11"/>
  <c r="J500" i="11"/>
  <c r="K500" i="11"/>
  <c r="L500" i="11"/>
  <c r="C501" i="11"/>
  <c r="G501" i="11"/>
  <c r="H501" i="11"/>
  <c r="I501" i="11"/>
  <c r="J501" i="11"/>
  <c r="K501" i="11"/>
  <c r="L501" i="11"/>
  <c r="C502" i="11"/>
  <c r="G502" i="11"/>
  <c r="H502" i="11"/>
  <c r="I502" i="11"/>
  <c r="J502" i="11"/>
  <c r="K502" i="11"/>
  <c r="L502" i="11"/>
  <c r="C503" i="11"/>
  <c r="G503" i="11"/>
  <c r="H503" i="11"/>
  <c r="I503" i="11"/>
  <c r="J503" i="11"/>
  <c r="K503" i="11"/>
  <c r="L503" i="11"/>
  <c r="C504" i="11"/>
  <c r="G504" i="11"/>
  <c r="H504" i="11"/>
  <c r="I504" i="11"/>
  <c r="J504" i="11"/>
  <c r="K504" i="11"/>
  <c r="L504" i="11"/>
  <c r="C505" i="11"/>
  <c r="G505" i="11"/>
  <c r="H505" i="11"/>
  <c r="I505" i="11"/>
  <c r="J505" i="11"/>
  <c r="K505" i="11"/>
  <c r="L505" i="11"/>
  <c r="C506" i="11"/>
  <c r="G506" i="11"/>
  <c r="H506" i="11"/>
  <c r="I506" i="11"/>
  <c r="J506" i="11"/>
  <c r="K506" i="11"/>
  <c r="L506" i="11"/>
  <c r="C507" i="11"/>
  <c r="G507" i="11"/>
  <c r="H507" i="11"/>
  <c r="I507" i="11"/>
  <c r="J507" i="11"/>
  <c r="K507" i="11"/>
  <c r="L507" i="11"/>
  <c r="C508" i="11"/>
  <c r="G508" i="11"/>
  <c r="H508" i="11"/>
  <c r="I508" i="11"/>
  <c r="J508" i="11"/>
  <c r="K508" i="11"/>
  <c r="L508" i="11"/>
  <c r="C509" i="11"/>
  <c r="G509" i="11"/>
  <c r="H509" i="11"/>
  <c r="I509" i="11"/>
  <c r="J509" i="11"/>
  <c r="K509" i="11"/>
  <c r="L509" i="11"/>
  <c r="C510" i="11"/>
  <c r="G510" i="11"/>
  <c r="H510" i="11"/>
  <c r="I510" i="11"/>
  <c r="J510" i="11"/>
  <c r="K510" i="11"/>
  <c r="L510" i="11"/>
  <c r="C511" i="11"/>
  <c r="G511" i="11"/>
  <c r="H511" i="11"/>
  <c r="I511" i="11"/>
  <c r="J511" i="11"/>
  <c r="K511" i="11"/>
  <c r="L511" i="11"/>
  <c r="C512" i="11"/>
  <c r="G512" i="11"/>
  <c r="H512" i="11"/>
  <c r="I512" i="11"/>
  <c r="J512" i="11"/>
  <c r="K512" i="11"/>
  <c r="L512" i="11"/>
  <c r="C513" i="11"/>
  <c r="G513" i="11"/>
  <c r="H513" i="11"/>
  <c r="I513" i="11"/>
  <c r="J513" i="11"/>
  <c r="K513" i="11"/>
  <c r="L513" i="11"/>
  <c r="C514" i="11"/>
  <c r="G514" i="11"/>
  <c r="H514" i="11"/>
  <c r="I514" i="11"/>
  <c r="J514" i="11"/>
  <c r="K514" i="11"/>
  <c r="L514" i="11"/>
  <c r="C515" i="11"/>
  <c r="G515" i="11"/>
  <c r="H515" i="11"/>
  <c r="I515" i="11"/>
  <c r="J515" i="11"/>
  <c r="K515" i="11"/>
  <c r="L515" i="11"/>
  <c r="C516" i="11"/>
  <c r="G516" i="11"/>
  <c r="H516" i="11"/>
  <c r="I516" i="11"/>
  <c r="J516" i="11"/>
  <c r="K516" i="11"/>
  <c r="L516" i="11"/>
  <c r="C517" i="11"/>
  <c r="G517" i="11"/>
  <c r="H517" i="11"/>
  <c r="I517" i="11"/>
  <c r="J517" i="11"/>
  <c r="K517" i="11"/>
  <c r="L517" i="11"/>
  <c r="C518" i="11"/>
  <c r="G518" i="11"/>
  <c r="H518" i="11"/>
  <c r="I518" i="11"/>
  <c r="J518" i="11"/>
  <c r="K518" i="11"/>
  <c r="L518" i="11"/>
  <c r="C519" i="11"/>
  <c r="G519" i="11"/>
  <c r="H519" i="11"/>
  <c r="I519" i="11"/>
  <c r="J519" i="11"/>
  <c r="K519" i="11"/>
  <c r="L519" i="11"/>
  <c r="C520" i="11"/>
  <c r="G520" i="11"/>
  <c r="H520" i="11"/>
  <c r="I520" i="11"/>
  <c r="J520" i="11"/>
  <c r="K520" i="11"/>
  <c r="L520" i="11"/>
  <c r="C521" i="11"/>
  <c r="G521" i="11"/>
  <c r="H521" i="11"/>
  <c r="I521" i="11"/>
  <c r="J521" i="11"/>
  <c r="K521" i="11"/>
  <c r="L521" i="11"/>
  <c r="C522" i="11"/>
  <c r="G522" i="11"/>
  <c r="H522" i="11"/>
  <c r="I522" i="11"/>
  <c r="J522" i="11"/>
  <c r="K522" i="11"/>
  <c r="L522" i="11"/>
  <c r="C523" i="11"/>
  <c r="G523" i="11"/>
  <c r="H523" i="11"/>
  <c r="I523" i="11"/>
  <c r="J523" i="11"/>
  <c r="K523" i="11"/>
  <c r="L523" i="11"/>
  <c r="C524" i="11"/>
  <c r="G524" i="11"/>
  <c r="H524" i="11"/>
  <c r="I524" i="11"/>
  <c r="J524" i="11"/>
  <c r="K524" i="11"/>
  <c r="L524" i="11"/>
  <c r="C525" i="11"/>
  <c r="G525" i="11"/>
  <c r="H525" i="11"/>
  <c r="I525" i="11"/>
  <c r="J525" i="11"/>
  <c r="K525" i="11"/>
  <c r="L525" i="11"/>
  <c r="C526" i="11"/>
  <c r="G526" i="11"/>
  <c r="H526" i="11"/>
  <c r="I526" i="11"/>
  <c r="J526" i="11"/>
  <c r="K526" i="11"/>
  <c r="L526" i="11"/>
  <c r="C527" i="11"/>
  <c r="G527" i="11"/>
  <c r="H527" i="11"/>
  <c r="I527" i="11"/>
  <c r="J527" i="11"/>
  <c r="K527" i="11"/>
  <c r="L527" i="11"/>
  <c r="C528" i="11"/>
  <c r="G528" i="11"/>
  <c r="H528" i="11"/>
  <c r="I528" i="11"/>
  <c r="J528" i="11"/>
  <c r="K528" i="11"/>
  <c r="L528" i="11"/>
  <c r="C529" i="11"/>
  <c r="G529" i="11"/>
  <c r="H529" i="11"/>
  <c r="I529" i="11"/>
  <c r="J529" i="11"/>
  <c r="K529" i="11"/>
  <c r="L529" i="11"/>
  <c r="C530" i="11"/>
  <c r="G530" i="11"/>
  <c r="H530" i="11"/>
  <c r="I530" i="11"/>
  <c r="J530" i="11"/>
  <c r="K530" i="11"/>
  <c r="L530" i="11"/>
  <c r="C531" i="11"/>
  <c r="G531" i="11"/>
  <c r="H531" i="11"/>
  <c r="I531" i="11"/>
  <c r="J531" i="11"/>
  <c r="K531" i="11"/>
  <c r="L531" i="11"/>
  <c r="C532" i="11"/>
  <c r="G532" i="11"/>
  <c r="H532" i="11"/>
  <c r="I532" i="11"/>
  <c r="J532" i="11"/>
  <c r="K532" i="11"/>
  <c r="L532" i="11"/>
  <c r="C533" i="11"/>
  <c r="G533" i="11"/>
  <c r="H533" i="11"/>
  <c r="I533" i="11"/>
  <c r="J533" i="11"/>
  <c r="K533" i="11"/>
  <c r="L533" i="11"/>
  <c r="C534" i="11"/>
  <c r="G534" i="11"/>
  <c r="H534" i="11"/>
  <c r="I534" i="11"/>
  <c r="J534" i="11"/>
  <c r="K534" i="11"/>
  <c r="L534" i="11"/>
  <c r="C535" i="11"/>
  <c r="G535" i="11"/>
  <c r="H535" i="11"/>
  <c r="I535" i="11"/>
  <c r="J535" i="11"/>
  <c r="K535" i="11"/>
  <c r="L535" i="11"/>
  <c r="C536" i="11"/>
  <c r="G536" i="11"/>
  <c r="H536" i="11"/>
  <c r="I536" i="11"/>
  <c r="J536" i="11"/>
  <c r="K536" i="11"/>
  <c r="L536" i="11"/>
  <c r="C537" i="11"/>
  <c r="G537" i="11"/>
  <c r="H537" i="11"/>
  <c r="I537" i="11"/>
  <c r="J537" i="11"/>
  <c r="K537" i="11"/>
  <c r="L537" i="11"/>
  <c r="C538" i="11"/>
  <c r="G538" i="11"/>
  <c r="H538" i="11"/>
  <c r="I538" i="11"/>
  <c r="J538" i="11"/>
  <c r="K538" i="11"/>
  <c r="L538" i="11"/>
  <c r="C539" i="11"/>
  <c r="G539" i="11"/>
  <c r="H539" i="11"/>
  <c r="I539" i="11"/>
  <c r="J539" i="11"/>
  <c r="K539" i="11"/>
  <c r="L539" i="11"/>
  <c r="C540" i="11"/>
  <c r="G540" i="11"/>
  <c r="H540" i="11"/>
  <c r="I540" i="11"/>
  <c r="J540" i="11"/>
  <c r="K540" i="11"/>
  <c r="L540" i="11"/>
  <c r="X3" i="11"/>
  <c r="X4" i="11"/>
  <c r="X5" i="11"/>
  <c r="Y3" i="11"/>
  <c r="Y4" i="11"/>
  <c r="Y5" i="11"/>
  <c r="Z3" i="11"/>
  <c r="Z4" i="11"/>
  <c r="Z5" i="11"/>
  <c r="AA3" i="11"/>
  <c r="AA4" i="11"/>
  <c r="AA5" i="11"/>
  <c r="AB3" i="11"/>
  <c r="AB4" i="11"/>
  <c r="AB5" i="11"/>
  <c r="AC3" i="11"/>
  <c r="AC4" i="11"/>
  <c r="AC5" i="11"/>
  <c r="AD3" i="11"/>
  <c r="AD4" i="11"/>
  <c r="AD5" i="11"/>
  <c r="AE3" i="11"/>
  <c r="AE4" i="11"/>
  <c r="AE5" i="11"/>
  <c r="AF3" i="11"/>
  <c r="AF4" i="11"/>
  <c r="AF5" i="11"/>
  <c r="AG3" i="11"/>
  <c r="AG4" i="11"/>
  <c r="AG5" i="11"/>
  <c r="AH3" i="11"/>
  <c r="AH4" i="11"/>
  <c r="AH5" i="11"/>
  <c r="AI3" i="11"/>
  <c r="AI4" i="11"/>
  <c r="AI5" i="11"/>
  <c r="AJ3" i="11"/>
  <c r="AJ4" i="11"/>
  <c r="AJ5" i="11"/>
  <c r="AK3" i="11"/>
  <c r="AK4" i="11"/>
  <c r="AK5" i="11"/>
  <c r="AL3" i="11"/>
  <c r="AL4" i="11"/>
  <c r="AL5" i="11"/>
  <c r="AM3" i="11"/>
  <c r="AM4" i="11"/>
  <c r="AM5" i="11"/>
  <c r="AN3" i="11"/>
  <c r="AN4" i="11"/>
  <c r="AN5" i="11"/>
  <c r="AO3" i="11"/>
  <c r="AO4" i="11"/>
  <c r="AO5" i="11"/>
  <c r="AP3" i="11"/>
  <c r="AP4" i="11"/>
  <c r="AP5" i="11"/>
  <c r="AQ3" i="11"/>
  <c r="AQ4" i="11"/>
  <c r="AQ5" i="11"/>
  <c r="AR3" i="11"/>
  <c r="AR4" i="11"/>
  <c r="AR5" i="11"/>
  <c r="AS3" i="11"/>
  <c r="AS4" i="11"/>
  <c r="AS5" i="11"/>
  <c r="AT3" i="11"/>
  <c r="AT4" i="11"/>
  <c r="AT5" i="11"/>
  <c r="AU3" i="11"/>
  <c r="AU4" i="11"/>
  <c r="AU5" i="11"/>
  <c r="AV3" i="11"/>
  <c r="AV4" i="11"/>
  <c r="AV5" i="11"/>
  <c r="AW3" i="11"/>
  <c r="AW4" i="11"/>
  <c r="AW5" i="11"/>
  <c r="AX3" i="11"/>
  <c r="AX4" i="11"/>
  <c r="AX5" i="11"/>
  <c r="AY3" i="11"/>
  <c r="AY4" i="11"/>
  <c r="AY5" i="11"/>
  <c r="AZ3" i="11"/>
  <c r="AZ4" i="11"/>
  <c r="AZ5" i="11"/>
  <c r="BA3" i="11"/>
  <c r="BA4" i="11"/>
  <c r="BA5" i="11"/>
  <c r="BB3" i="11"/>
  <c r="BB4" i="11"/>
  <c r="BB5" i="11"/>
  <c r="BC3" i="11"/>
  <c r="BC4" i="11"/>
  <c r="BC5" i="11"/>
  <c r="BD3" i="11"/>
  <c r="BD4" i="11"/>
  <c r="BD5" i="11"/>
  <c r="BE3" i="11"/>
  <c r="BE4" i="11"/>
  <c r="BE5" i="11"/>
  <c r="BF3" i="11"/>
  <c r="BF4" i="11"/>
  <c r="BF5" i="11"/>
  <c r="BG3" i="11"/>
  <c r="BG4" i="11"/>
  <c r="BG5" i="11"/>
  <c r="BH3" i="11"/>
  <c r="BH4" i="11"/>
  <c r="BH5" i="11"/>
  <c r="BI3" i="11"/>
  <c r="BI4" i="11"/>
  <c r="BI5" i="11"/>
  <c r="BJ3" i="11"/>
  <c r="BJ4" i="11"/>
  <c r="BJ5" i="11"/>
  <c r="BK3" i="11"/>
  <c r="BK4" i="11"/>
  <c r="BK5" i="11"/>
  <c r="BL3" i="11"/>
  <c r="BL4" i="11"/>
  <c r="BL5" i="11"/>
  <c r="BM3" i="11"/>
  <c r="BM4" i="11"/>
  <c r="BM5" i="11"/>
  <c r="BN3" i="11"/>
  <c r="BN4" i="11"/>
  <c r="BN5" i="11"/>
  <c r="BO3" i="11"/>
  <c r="BO4" i="11"/>
  <c r="BO5" i="11"/>
  <c r="BP3" i="11"/>
  <c r="BP4" i="11"/>
  <c r="BP5" i="11"/>
  <c r="BQ3" i="11"/>
  <c r="BQ4" i="11"/>
  <c r="BQ5" i="11"/>
  <c r="BR3" i="11"/>
  <c r="BR4" i="11"/>
  <c r="BR5" i="11"/>
  <c r="BS3" i="11"/>
  <c r="BS4" i="11"/>
  <c r="BS5" i="11"/>
  <c r="BT3" i="11"/>
  <c r="BT4" i="11"/>
  <c r="BT5" i="11"/>
  <c r="BU3" i="11"/>
  <c r="BU4" i="11"/>
  <c r="BU5" i="11"/>
  <c r="BV3" i="11"/>
  <c r="BV4" i="11"/>
  <c r="BV5" i="11"/>
  <c r="BW3" i="11"/>
  <c r="BW4" i="11"/>
  <c r="BW5" i="11"/>
  <c r="BX3" i="11"/>
  <c r="BX4" i="11"/>
  <c r="BX5" i="11"/>
  <c r="BY3" i="11"/>
  <c r="BY4" i="11"/>
  <c r="BY5" i="11"/>
  <c r="BZ3" i="11"/>
  <c r="BZ4" i="11"/>
  <c r="BZ5" i="11"/>
  <c r="CA3" i="11"/>
  <c r="CA4" i="11"/>
  <c r="CA5" i="11"/>
  <c r="CB3" i="11"/>
  <c r="CB4" i="11"/>
  <c r="CB5" i="11"/>
  <c r="CC3" i="11"/>
  <c r="CC4" i="11"/>
  <c r="CC5" i="11"/>
  <c r="CD3" i="11"/>
  <c r="CD4" i="11"/>
  <c r="CD5" i="11"/>
  <c r="CE3" i="11"/>
  <c r="CE4" i="11"/>
  <c r="CE5" i="11"/>
  <c r="CF3" i="11"/>
  <c r="CF4" i="11"/>
  <c r="CF5" i="11"/>
  <c r="CG3" i="11"/>
  <c r="CG4" i="11"/>
  <c r="CG5" i="11"/>
  <c r="CH3" i="11"/>
  <c r="CH4" i="11"/>
  <c r="CH5" i="11"/>
  <c r="CI3" i="11"/>
  <c r="CI4" i="11"/>
  <c r="CI5" i="11"/>
  <c r="R5" i="11"/>
  <c r="S5" i="11"/>
  <c r="T5" i="11"/>
  <c r="U5" i="11"/>
  <c r="V5" i="11"/>
  <c r="M5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B6" i="11"/>
  <c r="BC6" i="11"/>
  <c r="BD6" i="11"/>
  <c r="BE6" i="11"/>
  <c r="BF6" i="11"/>
  <c r="BG6" i="11"/>
  <c r="BH6" i="11"/>
  <c r="BI6" i="11"/>
  <c r="BJ6" i="11"/>
  <c r="BK6" i="11"/>
  <c r="BL6" i="11"/>
  <c r="BM6" i="11"/>
  <c r="BN6" i="11"/>
  <c r="BO6" i="11"/>
  <c r="BP6" i="11"/>
  <c r="BQ6" i="11"/>
  <c r="BR6" i="11"/>
  <c r="BS6" i="11"/>
  <c r="BT6" i="11"/>
  <c r="BU6" i="11"/>
  <c r="BV6" i="11"/>
  <c r="BW6" i="11"/>
  <c r="BX6" i="11"/>
  <c r="BY6" i="11"/>
  <c r="BZ6" i="11"/>
  <c r="CA6" i="11"/>
  <c r="CB6" i="11"/>
  <c r="CC6" i="11"/>
  <c r="CD6" i="11"/>
  <c r="CE6" i="11"/>
  <c r="CF6" i="11"/>
  <c r="CG6" i="11"/>
  <c r="CH6" i="11"/>
  <c r="CI6" i="11"/>
  <c r="T6" i="11"/>
  <c r="U6" i="11"/>
  <c r="V6" i="11"/>
  <c r="N6" i="11"/>
  <c r="M6" i="11"/>
  <c r="X7" i="11"/>
  <c r="X8" i="11"/>
  <c r="Y7" i="11"/>
  <c r="Y8" i="11"/>
  <c r="Z7" i="11"/>
  <c r="Z8" i="11"/>
  <c r="AA7" i="11"/>
  <c r="AA8" i="11"/>
  <c r="AB7" i="11"/>
  <c r="AB8" i="11"/>
  <c r="AC7" i="11"/>
  <c r="AC8" i="11"/>
  <c r="AD7" i="11"/>
  <c r="AD8" i="11"/>
  <c r="AE7" i="11"/>
  <c r="AE8" i="11"/>
  <c r="AF7" i="11"/>
  <c r="AF8" i="11"/>
  <c r="AG7" i="11"/>
  <c r="AG8" i="11"/>
  <c r="AH7" i="11"/>
  <c r="AH8" i="11"/>
  <c r="AI7" i="11"/>
  <c r="AI8" i="11"/>
  <c r="AJ7" i="11"/>
  <c r="AJ8" i="11"/>
  <c r="AK7" i="11"/>
  <c r="AK8" i="11"/>
  <c r="AL7" i="11"/>
  <c r="AL8" i="11"/>
  <c r="AM7" i="11"/>
  <c r="AM8" i="11"/>
  <c r="AN7" i="11"/>
  <c r="AN8" i="11"/>
  <c r="AO7" i="11"/>
  <c r="AO8" i="11"/>
  <c r="AP7" i="11"/>
  <c r="AP8" i="11"/>
  <c r="AQ7" i="11"/>
  <c r="AQ8" i="11"/>
  <c r="AR7" i="11"/>
  <c r="AR8" i="11"/>
  <c r="AS7" i="11"/>
  <c r="AS8" i="11"/>
  <c r="AT7" i="11"/>
  <c r="AT8" i="11"/>
  <c r="AU7" i="11"/>
  <c r="AU8" i="11"/>
  <c r="AV7" i="11"/>
  <c r="AV8" i="11"/>
  <c r="AW7" i="11"/>
  <c r="AW8" i="11"/>
  <c r="AX7" i="11"/>
  <c r="AX8" i="11"/>
  <c r="AY7" i="11"/>
  <c r="AY8" i="11"/>
  <c r="AZ7" i="11"/>
  <c r="AZ8" i="11"/>
  <c r="BA7" i="11"/>
  <c r="BA8" i="11"/>
  <c r="BB7" i="11"/>
  <c r="BB8" i="11"/>
  <c r="BC7" i="11"/>
  <c r="BC8" i="11"/>
  <c r="BD7" i="11"/>
  <c r="BD8" i="11"/>
  <c r="BE7" i="11"/>
  <c r="BE8" i="11"/>
  <c r="BF7" i="11"/>
  <c r="BF8" i="11"/>
  <c r="BG7" i="11"/>
  <c r="BG8" i="11"/>
  <c r="BH7" i="11"/>
  <c r="BH8" i="11"/>
  <c r="BI7" i="11"/>
  <c r="BI8" i="11"/>
  <c r="BJ7" i="11"/>
  <c r="BJ8" i="11"/>
  <c r="BK7" i="11"/>
  <c r="BK8" i="11"/>
  <c r="BL7" i="11"/>
  <c r="BL8" i="11"/>
  <c r="BM7" i="11"/>
  <c r="BM8" i="11"/>
  <c r="BN7" i="11"/>
  <c r="BN8" i="11"/>
  <c r="BO7" i="11"/>
  <c r="BO8" i="11"/>
  <c r="BP7" i="11"/>
  <c r="BP8" i="11"/>
  <c r="BQ7" i="11"/>
  <c r="BQ8" i="11"/>
  <c r="BR7" i="11"/>
  <c r="BR8" i="11"/>
  <c r="BS7" i="11"/>
  <c r="BS8" i="11"/>
  <c r="BT7" i="11"/>
  <c r="BT8" i="11"/>
  <c r="BU7" i="11"/>
  <c r="BU8" i="11"/>
  <c r="BV7" i="11"/>
  <c r="BV8" i="11"/>
  <c r="BW7" i="11"/>
  <c r="BW8" i="11"/>
  <c r="BX7" i="11"/>
  <c r="BX8" i="11"/>
  <c r="BY7" i="11"/>
  <c r="BY8" i="11"/>
  <c r="BZ7" i="11"/>
  <c r="BZ8" i="11"/>
  <c r="CA7" i="11"/>
  <c r="CA8" i="11"/>
  <c r="CB7" i="11"/>
  <c r="CB8" i="11"/>
  <c r="CC7" i="11"/>
  <c r="CC8" i="11"/>
  <c r="CD7" i="11"/>
  <c r="CD8" i="11"/>
  <c r="CE7" i="11"/>
  <c r="CE8" i="11"/>
  <c r="CF7" i="11"/>
  <c r="CF8" i="11"/>
  <c r="CG7" i="11"/>
  <c r="CG8" i="11"/>
  <c r="CH7" i="11"/>
  <c r="CH8" i="11"/>
  <c r="CI7" i="11"/>
  <c r="CI8" i="11"/>
  <c r="T8" i="11"/>
  <c r="U8" i="11"/>
  <c r="V8" i="11"/>
  <c r="N8" i="11"/>
  <c r="T4" i="11"/>
  <c r="U4" i="11"/>
  <c r="V4" i="11"/>
  <c r="N4" i="11"/>
  <c r="N5" i="11"/>
  <c r="T7" i="11"/>
  <c r="U7" i="11"/>
  <c r="V7" i="11"/>
  <c r="N7" i="11"/>
  <c r="T3" i="11"/>
  <c r="U3" i="11"/>
  <c r="V3" i="11"/>
  <c r="N3" i="11"/>
  <c r="S4" i="11"/>
  <c r="S6" i="11"/>
  <c r="S7" i="11"/>
  <c r="S8" i="11"/>
  <c r="S3" i="11"/>
  <c r="R4" i="11"/>
  <c r="R6" i="11"/>
  <c r="R7" i="11"/>
  <c r="R8" i="11"/>
  <c r="R3" i="11"/>
  <c r="Q4" i="11"/>
  <c r="Q5" i="11"/>
  <c r="Q6" i="11"/>
  <c r="Q7" i="11"/>
  <c r="Q8" i="11"/>
  <c r="Q3" i="11"/>
  <c r="O4" i="11"/>
  <c r="O5" i="11"/>
  <c r="O6" i="11"/>
  <c r="O7" i="11"/>
  <c r="O3" i="11"/>
  <c r="W2" i="1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517" i="10"/>
  <c r="I518" i="10"/>
  <c r="I519" i="10"/>
  <c r="I520" i="10"/>
  <c r="I521" i="10"/>
  <c r="I522" i="10"/>
  <c r="I523" i="10"/>
  <c r="I524" i="10"/>
  <c r="I525" i="10"/>
  <c r="I526" i="10"/>
  <c r="I527" i="10"/>
  <c r="I528" i="10"/>
  <c r="I529" i="10"/>
  <c r="I530" i="10"/>
  <c r="I531" i="10"/>
  <c r="I532" i="10"/>
  <c r="I533" i="10"/>
  <c r="I534" i="10"/>
  <c r="I535" i="10"/>
  <c r="I536" i="10"/>
  <c r="I537" i="10"/>
  <c r="I538" i="10"/>
  <c r="I539" i="10"/>
  <c r="I540" i="10"/>
  <c r="I541" i="10"/>
  <c r="I542" i="10"/>
  <c r="I543" i="10"/>
  <c r="I544" i="10"/>
  <c r="I545" i="10"/>
  <c r="I546" i="10"/>
  <c r="I547" i="10"/>
  <c r="I548" i="10"/>
  <c r="I549" i="10"/>
  <c r="I550" i="10"/>
  <c r="I551" i="10"/>
  <c r="I552" i="10"/>
  <c r="I553" i="10"/>
  <c r="I554" i="10"/>
  <c r="I555" i="10"/>
  <c r="I2" i="10"/>
  <c r="H261" i="10"/>
  <c r="H262" i="10"/>
  <c r="H263" i="10"/>
  <c r="H264" i="10"/>
  <c r="H265" i="10"/>
  <c r="H266" i="10"/>
  <c r="H267" i="10"/>
  <c r="H268" i="10"/>
  <c r="H260" i="10"/>
  <c r="AM3" i="7"/>
  <c r="AM4" i="7"/>
  <c r="AM5" i="7"/>
  <c r="AM6" i="7"/>
  <c r="AM7" i="7"/>
  <c r="AM8" i="7"/>
  <c r="AM9" i="7"/>
  <c r="AM10" i="7"/>
  <c r="AM11" i="7"/>
  <c r="AM12" i="7"/>
  <c r="AM13" i="7"/>
  <c r="AM14" i="7"/>
  <c r="AM15" i="7"/>
  <c r="AM16" i="7"/>
  <c r="AM17" i="7"/>
  <c r="AM18" i="7"/>
  <c r="AM19" i="7"/>
  <c r="AM20" i="7"/>
  <c r="AM21" i="7"/>
  <c r="AM22" i="7"/>
  <c r="AM23" i="7"/>
  <c r="AM24" i="7"/>
  <c r="AM25" i="7"/>
  <c r="AM26" i="7"/>
  <c r="AM27" i="7"/>
  <c r="AM28" i="7"/>
  <c r="AM29" i="7"/>
  <c r="AM30" i="7"/>
  <c r="AM31" i="7"/>
  <c r="AM32" i="7"/>
  <c r="AM33" i="7"/>
  <c r="AM34" i="7"/>
  <c r="AM35" i="7"/>
  <c r="AM2" i="7"/>
  <c r="AL3" i="7"/>
  <c r="AL4" i="7"/>
  <c r="AL5" i="7"/>
  <c r="AL2" i="7"/>
  <c r="G35" i="6"/>
  <c r="G26" i="6"/>
  <c r="G27" i="6"/>
  <c r="G28" i="6"/>
  <c r="G29" i="6"/>
  <c r="G30" i="6"/>
  <c r="G31" i="6"/>
  <c r="G32" i="6"/>
  <c r="G33" i="6"/>
  <c r="G34" i="6"/>
  <c r="G21" i="6"/>
  <c r="G22" i="6"/>
  <c r="G23" i="6"/>
  <c r="G24" i="6"/>
  <c r="G25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" i="6"/>
  <c r="H3" i="5"/>
  <c r="H4" i="5"/>
  <c r="H5" i="5"/>
  <c r="H2" i="5"/>
  <c r="F3" i="5"/>
  <c r="F4" i="5"/>
  <c r="F5" i="5"/>
  <c r="F2" i="5"/>
  <c r="F108" i="3"/>
  <c r="F109" i="3"/>
  <c r="F107" i="3"/>
  <c r="F75" i="3"/>
  <c r="F106" i="3"/>
  <c r="F7" i="3"/>
  <c r="F8" i="3"/>
  <c r="F10" i="3"/>
  <c r="F11" i="3"/>
  <c r="F12" i="3"/>
  <c r="F15" i="3"/>
  <c r="F17" i="3"/>
  <c r="F18" i="3"/>
  <c r="F19" i="3"/>
  <c r="F21" i="3"/>
  <c r="F22" i="3"/>
  <c r="F24" i="3"/>
  <c r="F27" i="3"/>
  <c r="F30" i="3"/>
  <c r="F31" i="3"/>
  <c r="F32" i="3"/>
  <c r="F33" i="3"/>
  <c r="F35" i="3"/>
  <c r="F38" i="3"/>
  <c r="F40" i="3"/>
  <c r="F43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3" i="3"/>
  <c r="F64" i="3"/>
  <c r="F65" i="3"/>
  <c r="F69" i="3"/>
  <c r="F70" i="3"/>
  <c r="F74" i="3"/>
  <c r="F76" i="3"/>
  <c r="F77" i="3"/>
  <c r="F79" i="3"/>
  <c r="F81" i="3"/>
  <c r="F84" i="3"/>
  <c r="F86" i="3"/>
  <c r="F87" i="3"/>
  <c r="F89" i="3"/>
  <c r="F90" i="3"/>
  <c r="F91" i="3"/>
  <c r="F92" i="3"/>
  <c r="F93" i="3"/>
  <c r="F94" i="3"/>
  <c r="F97" i="3"/>
  <c r="F100" i="3"/>
  <c r="F102" i="3"/>
  <c r="F105" i="3"/>
  <c r="F3" i="3"/>
  <c r="F2" i="3"/>
  <c r="I22" i="2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<sst xmlns="http://schemas.openxmlformats.org/spreadsheetml/2006/main" count="3820" uniqueCount="970">
  <si>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</si>
  <si>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</si>
  <si>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</si>
  <si>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</si>
  <si>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</si>
  <si>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</si>
  <si>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</si>
  <si>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</si>
  <si>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</si>
  <si>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</si>
  <si>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</si>
  <si>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</si>
  <si>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</si>
  <si>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</si>
  <si>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</si>
  <si>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</si>
  <si>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</si>
  <si>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</si>
  <si>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</si>
  <si>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</si>
  <si>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</si>
  <si>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</si>
  <si>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</si>
  <si>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</si>
  <si>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</si>
  <si>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</si>
  <si>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</si>
  <si>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</si>
  <si>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</si>
  <si>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</si>
  <si>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</si>
  <si>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</si>
  <si>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</si>
  <si>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</si>
  <si>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</si>
  <si>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</si>
  <si>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</si>
  <si>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</si>
  <si>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</si>
  <si>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</si>
  <si>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</si>
  <si>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</si>
  <si>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</si>
  <si>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</si>
  <si>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</si>
  <si>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</si>
  <si>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</si>
  <si>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</si>
  <si>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</si>
  <si>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</si>
  <si>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</si>
  <si>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</si>
  <si>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</si>
  <si>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</si>
  <si>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</si>
  <si>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</si>
  <si>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</si>
  <si>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</si>
  <si>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</si>
  <si>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</si>
  <si>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</si>
  <si>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</si>
  <si>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</si>
  <si>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</si>
  <si>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</si>
  <si>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</si>
  <si>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</si>
  <si>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</si>
  <si>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</si>
  <si>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</si>
  <si>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</si>
  <si>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</si>
  <si>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</si>
  <si>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</si>
  <si>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</si>
  <si>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</si>
  <si>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</si>
  <si>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</si>
  <si>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</si>
  <si>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</si>
  <si>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</si>
  <si>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</si>
  <si>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</si>
  <si>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</si>
  <si>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</si>
  <si>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</si>
  <si>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</si>
  <si>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</si>
  <si>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</si>
  <si>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</si>
  <si>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</si>
  <si>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</si>
  <si>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</si>
  <si>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</si>
  <si>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</si>
  <si>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</si>
  <si>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</si>
  <si>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</si>
  <si>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</si>
  <si>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</si>
  <si>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</si>
  <si>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</si>
  <si>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</si>
  <si>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</si>
  <si>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</si>
  <si>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</si>
  <si>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</si>
  <si>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</si>
  <si>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</si>
  <si>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</si>
  <si>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</si>
  <si>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</si>
  <si>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</si>
  <si>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</si>
  <si>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</si>
  <si>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</si>
  <si>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</si>
  <si>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</si>
  <si>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</si>
  <si>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</si>
  <si>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</si>
  <si>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</si>
  <si>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</si>
  <si>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</si>
  <si>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</si>
  <si>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</si>
  <si>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</si>
  <si>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</si>
  <si>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</si>
  <si>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</si>
  <si>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</si>
  <si>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</si>
  <si>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</si>
  <si>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</si>
  <si>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</si>
  <si>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</si>
  <si>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</si>
  <si>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</si>
  <si>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</si>
  <si>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</si>
  <si>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</si>
  <si>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</si>
  <si>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</si>
  <si>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</si>
  <si>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</si>
  <si>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</si>
  <si>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</si>
  <si>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</si>
  <si>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</si>
  <si>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</si>
  <si>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</si>
  <si>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</si>
  <si>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</si>
  <si>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</si>
  <si>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</si>
  <si>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</si>
  <si>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</si>
  <si>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</si>
  <si>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</si>
  <si>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</si>
  <si>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</si>
  <si>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</si>
  <si>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</si>
  <si>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</si>
  <si>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</si>
  <si>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</si>
  <si>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</si>
  <si>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</si>
  <si>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</si>
  <si>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</si>
  <si>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</si>
  <si>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</si>
  <si>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</si>
  <si>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</si>
  <si>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</si>
  <si>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</si>
  <si>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</si>
  <si>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</si>
  <si>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</si>
  <si>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</si>
  <si>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</si>
  <si>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</si>
  <si>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</si>
  <si>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</si>
  <si>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</si>
  <si>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</si>
  <si>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</si>
  <si>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</si>
  <si>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</si>
  <si>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</si>
  <si>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</si>
  <si>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</si>
  <si>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</si>
  <si>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</si>
  <si>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</si>
  <si>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</si>
  <si>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</si>
  <si>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</si>
  <si>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</si>
  <si>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</si>
  <si>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</si>
  <si>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</si>
  <si>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</si>
  <si>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</si>
  <si>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</si>
  <si>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</si>
  <si>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</si>
  <si>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</si>
  <si>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</si>
  <si>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</si>
  <si>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</si>
  <si>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</si>
  <si>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</si>
  <si>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</si>
  <si>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</si>
  <si>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</si>
  <si>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</si>
  <si>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</si>
  <si>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</si>
  <si>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</si>
  <si>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</si>
  <si>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</si>
  <si>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</si>
  <si>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</si>
  <si>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</si>
  <si>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</si>
  <si>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</si>
  <si>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</si>
  <si>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</si>
  <si>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</si>
  <si>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</si>
  <si>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</si>
  <si>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</si>
  <si>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</si>
  <si>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</si>
  <si>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</si>
  <si>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</si>
  <si>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</si>
  <si>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</si>
  <si>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</si>
  <si>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</si>
  <si>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</si>
  <si>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</si>
  <si>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</si>
  <si>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</si>
  <si>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</si>
  <si>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</si>
  <si>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</si>
  <si>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</si>
  <si>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</si>
  <si>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</si>
  <si>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</si>
  <si>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</si>
  <si>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</si>
  <si>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</si>
  <si>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</si>
  <si>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</si>
  <si>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</si>
  <si>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</si>
  <si>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</si>
  <si>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</si>
  <si>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</si>
  <si>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</si>
  <si>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</si>
  <si>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</si>
  <si>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</si>
  <si>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</si>
  <si>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</si>
  <si>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</si>
  <si>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</si>
  <si>
    <t>Class</t>
  </si>
  <si>
    <t>Method name</t>
  </si>
  <si>
    <t>Method id</t>
  </si>
  <si>
    <t>getLines</t>
  </si>
  <si>
    <t>Path</t>
  </si>
  <si>
    <t>Full time</t>
  </si>
  <si>
    <t>getTextBounds</t>
  </si>
  <si>
    <t>max</t>
  </si>
  <si>
    <t>min</t>
  </si>
  <si>
    <t>unsats</t>
  </si>
  <si>
    <t>addPadding</t>
  </si>
  <si>
    <t>no branches</t>
  </si>
  <si>
    <t>correctHorizontaly</t>
  </si>
  <si>
    <t>no good branches</t>
  </si>
  <si>
    <t>correctVericaly</t>
  </si>
  <si>
    <t>isInsideBounds</t>
  </si>
  <si>
    <t>without loop</t>
  </si>
  <si>
    <t>run time without loops</t>
  </si>
  <si>
    <t>7000?</t>
  </si>
  <si>
    <t>getCirlcePath</t>
  </si>
  <si>
    <t>less</t>
  </si>
  <si>
    <t>0 unsats</t>
  </si>
  <si>
    <t>0 unsats without loops</t>
  </si>
  <si>
    <t>getNormalPath</t>
  </si>
  <si>
    <t>getArrow</t>
  </si>
  <si>
    <t>Base64</t>
  </si>
  <si>
    <t>getBytes</t>
  </si>
  <si>
    <t>encode</t>
  </si>
  <si>
    <t>fillElementWithBigIteger</t>
  </si>
  <si>
    <t>decode</t>
  </si>
  <si>
    <t>isWhite</t>
  </si>
  <si>
    <t>IsPad</t>
  </si>
  <si>
    <t>small</t>
  </si>
  <si>
    <t>decodeInternal</t>
  </si>
  <si>
    <t>but more likely thre is no paritions inside the loop</t>
  </si>
  <si>
    <t>removeWhiteSpacd</t>
  </si>
  <si>
    <t>decdoe</t>
  </si>
  <si>
    <t>Class11</t>
  </si>
  <si>
    <t>method210</t>
  </si>
  <si>
    <t>method211</t>
  </si>
  <si>
    <t>has branches but not if-else parts</t>
  </si>
  <si>
    <t>method212</t>
  </si>
  <si>
    <t>if cond on counter which is init 0</t>
  </si>
  <si>
    <t>there are loops</t>
  </si>
  <si>
    <t>method 213</t>
  </si>
  <si>
    <t>method215</t>
  </si>
  <si>
    <t>method216</t>
  </si>
  <si>
    <t>method217</t>
  </si>
  <si>
    <t>per of code 10, diff 5 and no loops</t>
  </si>
  <si>
    <t>method218</t>
  </si>
  <si>
    <t>method219</t>
  </si>
  <si>
    <t>method220</t>
  </si>
  <si>
    <t>per of code 5, diff 3</t>
  </si>
  <si>
    <t>method 221</t>
  </si>
  <si>
    <t>per of code 10, diff 5 and no loops, with 8 per of code -&gt; 703, did those still hight, so it also about the paths theseves</t>
  </si>
  <si>
    <t>Class13</t>
  </si>
  <si>
    <t>method226</t>
  </si>
  <si>
    <t>method232</t>
  </si>
  <si>
    <t>mainly nested loops</t>
  </si>
  <si>
    <t>client</t>
  </si>
  <si>
    <t>processMenuClick</t>
  </si>
  <si>
    <t>calcCameraPos</t>
  </si>
  <si>
    <t>method85</t>
  </si>
  <si>
    <t>method108</t>
  </si>
  <si>
    <t>determineMenuSize</t>
  </si>
  <si>
    <t>method120</t>
  </si>
  <si>
    <t>methdo142</t>
  </si>
  <si>
    <t>throws an stack overflow - this is because had or in the loop's conditions, removed or, but now goes into inf loop</t>
  </si>
  <si>
    <t>prec 7, bracnDiff 5, some paths are not reachable - they have exceptions that makes 3 outgoing trans on not 2, so remed try/catch</t>
  </si>
  <si>
    <t>GeoEngine</t>
  </si>
  <si>
    <t>GeoData</t>
  </si>
  <si>
    <t>getZ</t>
  </si>
  <si>
    <t>moveCheck</t>
  </si>
  <si>
    <t>prec 7, diff 5</t>
  </si>
  <si>
    <t>getRegionOffse</t>
  </si>
  <si>
    <t>no</t>
  </si>
  <si>
    <t>getBlock</t>
  </si>
  <si>
    <t>getCell</t>
  </si>
  <si>
    <t>prec 3, diff 10</t>
  </si>
  <si>
    <t>nCanMoveNext</t>
  </si>
  <si>
    <t>nLOS</t>
  </si>
  <si>
    <t>nGetNSWE</t>
  </si>
  <si>
    <t>checkNSWE</t>
  </si>
  <si>
    <t>FastBlurFilter</t>
  </si>
  <si>
    <t>blur</t>
  </si>
  <si>
    <t>ImageData</t>
  </si>
  <si>
    <t>getPixel</t>
  </si>
  <si>
    <t>getPixels</t>
  </si>
  <si>
    <t>setAlpha</t>
  </si>
  <si>
    <t>setAlphas</t>
  </si>
  <si>
    <t>setPixel</t>
  </si>
  <si>
    <t>setPixels</t>
  </si>
  <si>
    <t>getMSBOffset</t>
  </si>
  <si>
    <t>only has paths when loop is not skipped</t>
  </si>
  <si>
    <t>prec 3, diff 21</t>
  </si>
  <si>
    <t>closestMatch</t>
  </si>
  <si>
    <t>convertPad</t>
  </si>
  <si>
    <t>blit</t>
  </si>
  <si>
    <t>all blits have tablshitch</t>
  </si>
  <si>
    <t>runs too long</t>
  </si>
  <si>
    <t>getChannelShift</t>
  </si>
  <si>
    <t>getChannelWidth</t>
  </si>
  <si>
    <t>buildPreciseGradientChannel</t>
  </si>
  <si>
    <t>buildDitheredGradientChannel</t>
  </si>
  <si>
    <t>InfBlocks</t>
  </si>
  <si>
    <t>InfCodes</t>
  </si>
  <si>
    <t>InfTree</t>
  </si>
  <si>
    <t>MapViewer</t>
  </si>
  <si>
    <t>QRCodeDataBlockReader</t>
  </si>
  <si>
    <t>StructurePanel</t>
  </si>
  <si>
    <t>TileRenderor</t>
  </si>
  <si>
    <t>WorldController</t>
  </si>
  <si>
    <t>proc</t>
  </si>
  <si>
    <t>has switch table - stack overflow</t>
  </si>
  <si>
    <t>huft_build</t>
  </si>
  <si>
    <t>no good branches outside of loops</t>
  </si>
  <si>
    <t>stack overflow - two return conditions from loops?</t>
  </si>
  <si>
    <t>paintRoutes</t>
  </si>
  <si>
    <t>paint</t>
  </si>
  <si>
    <t>init</t>
  </si>
  <si>
    <t>really small method</t>
  </si>
  <si>
    <t>getNextBits</t>
  </si>
  <si>
    <t>prec 3, diff 100</t>
  </si>
  <si>
    <t>no good branches even inside loops</t>
  </si>
  <si>
    <t>getKanjiString</t>
  </si>
  <si>
    <t>calculateTranslateConstant</t>
  </si>
  <si>
    <t>has table switch, no path when loops is skipped</t>
  </si>
  <si>
    <t>drawRoute</t>
  </si>
  <si>
    <t>drawTile</t>
  </si>
  <si>
    <t>not good cond lots of table switches - rewirte?</t>
  </si>
  <si>
    <t>method324</t>
  </si>
  <si>
    <t>TIFFaxEncoder</t>
  </si>
  <si>
    <t>decode2D</t>
  </si>
  <si>
    <t>7 with loops</t>
  </si>
  <si>
    <t>TIFFFaxDecoder</t>
  </si>
  <si>
    <t>4 unsat and 6 stmt</t>
  </si>
  <si>
    <t>decodeT6</t>
  </si>
  <si>
    <t>only has paths when loops is not skipped, 4 unsats with 5 paths</t>
  </si>
  <si>
    <t>setToBlack</t>
  </si>
  <si>
    <t>decodeBlackCodeWord</t>
  </si>
  <si>
    <t>readEOL</t>
  </si>
  <si>
    <t>getNextChangingElement</t>
  </si>
  <si>
    <t>prec 3, diff 60</t>
  </si>
  <si>
    <t>nextNBits</t>
  </si>
  <si>
    <t>prec 3, diff 6</t>
  </si>
  <si>
    <t>nextLesser than 8 bits</t>
  </si>
  <si>
    <t>small method</t>
  </si>
  <si>
    <t>nextState</t>
  </si>
  <si>
    <t>nexState</t>
  </si>
  <si>
    <t>add1DBits</t>
  </si>
  <si>
    <t>add2Bits</t>
  </si>
  <si>
    <t>addEOL</t>
  </si>
  <si>
    <t>addEOFB</t>
  </si>
  <si>
    <t>encode1D</t>
  </si>
  <si>
    <t>encodeRLE</t>
  </si>
  <si>
    <t>encodeT4</t>
  </si>
  <si>
    <t>no good cond outside of loop, with loops has stack overflow because two cond statements for the loops exit</t>
  </si>
  <si>
    <t>encodeT6</t>
  </si>
  <si>
    <t>no good branches outside of loop, with loops have self-ref to node 8 - my code cannot handle an arbitry exit from the program, only when it is the only one cond stmt -- need to work on it. orec 10, diff 6, prec 6 had 24 paths and some were quite fast</t>
  </si>
  <si>
    <t>%Diff</t>
  </si>
  <si>
    <t xml:space="preserve"> </t>
  </si>
  <si>
    <t>methods</t>
  </si>
  <si>
    <t>BallonFactory</t>
  </si>
  <si>
    <t>Has cond in loops</t>
  </si>
  <si>
    <t>Prec</t>
  </si>
  <si>
    <t>Diff</t>
  </si>
  <si>
    <t>yes</t>
  </si>
  <si>
    <t xml:space="preserve">Paths </t>
  </si>
  <si>
    <t>Path with loops</t>
  </si>
  <si>
    <t>Prec of code %</t>
  </si>
  <si>
    <t>Diff between branches % of code</t>
  </si>
  <si>
    <t>the same</t>
  </si>
  <si>
    <t>with 3 percent we get 46 and 53 paths</t>
  </si>
  <si>
    <t>22 loops!</t>
  </si>
  <si>
    <t>decodeWhiteCodeWord</t>
  </si>
  <si>
    <t>the same -- takes about 9 min to run without loops</t>
  </si>
  <si>
    <t>Path id</t>
  </si>
  <si>
    <t>Path time</t>
  </si>
  <si>
    <t>1f2t</t>
  </si>
  <si>
    <t>1f2f</t>
  </si>
  <si>
    <t>sat/sat</t>
  </si>
  <si>
    <t>sat/unsat</t>
  </si>
  <si>
    <t>unsat/sat</t>
  </si>
  <si>
    <t>unsat/unsat</t>
  </si>
  <si>
    <t>%</t>
  </si>
  <si>
    <t>Paths</t>
  </si>
  <si>
    <t>Path Id</t>
  </si>
  <si>
    <t>Path Time</t>
  </si>
  <si>
    <t>test.BallonFactory</t>
  </si>
  <si>
    <t>1t3f4f</t>
  </si>
  <si>
    <t>1f2t3f4f</t>
  </si>
  <si>
    <t>1t3t5f6f</t>
  </si>
  <si>
    <t>1t3f4t5f6f</t>
  </si>
  <si>
    <t>1f2t3t5f6f</t>
  </si>
  <si>
    <t>1t3t5t</t>
  </si>
  <si>
    <t>1f2t3f4t5f6f</t>
  </si>
  <si>
    <t>1t3t5f6t</t>
  </si>
  <si>
    <t>1t3f4t5t</t>
  </si>
  <si>
    <t>1f2t3t5t</t>
  </si>
  <si>
    <t>1f2t3t5f6t</t>
  </si>
  <si>
    <t>1f2t3f4t5t</t>
  </si>
  <si>
    <t>1t3f4t5f6t</t>
  </si>
  <si>
    <t>1f2t3f4t5f6t</t>
  </si>
  <si>
    <t>1t</t>
  </si>
  <si>
    <t>1f2f3t</t>
  </si>
  <si>
    <t>1f2f3f4f</t>
  </si>
  <si>
    <t>1t5t7t</t>
  </si>
  <si>
    <t>1f2t3t4t</t>
  </si>
  <si>
    <t>1f2t3t4f</t>
  </si>
  <si>
    <t>1f2t3f</t>
  </si>
  <si>
    <t>1t5t7f8f10t</t>
  </si>
  <si>
    <t>1t5f</t>
  </si>
  <si>
    <t>1t5t7f8f10f</t>
  </si>
  <si>
    <t>1t5t7f8t10t</t>
  </si>
  <si>
    <t>1t5t7f8t10f</t>
  </si>
  <si>
    <t>1f2f3f4t</t>
  </si>
  <si>
    <t>class</t>
  </si>
  <si>
    <t>method</t>
  </si>
  <si>
    <t>paths</t>
  </si>
  <si>
    <t>test.Base64</t>
  </si>
  <si>
    <t>test.Class11</t>
  </si>
  <si>
    <t>test.Class13</t>
  </si>
  <si>
    <t>test.client</t>
  </si>
  <si>
    <t>test.GeoEngine</t>
  </si>
  <si>
    <t>test.FastBlurFilter</t>
  </si>
  <si>
    <t>test.ImageData</t>
  </si>
  <si>
    <t>test.MapViewer</t>
  </si>
  <si>
    <t>test.QRCodeDataBlockReader</t>
  </si>
  <si>
    <t>test.StructurePanel</t>
  </si>
  <si>
    <t>test.TileRenderor</t>
  </si>
  <si>
    <t>test.WorldController</t>
  </si>
  <si>
    <t>test.TIFFFaxDecoder</t>
  </si>
  <si>
    <t>% of sat</t>
  </si>
  <si>
    <t>% of time</t>
  </si>
  <si>
    <t>1t2f3f</t>
  </si>
  <si>
    <t>1t2f3t</t>
  </si>
  <si>
    <t>2f</t>
  </si>
  <si>
    <t>2t3f</t>
  </si>
  <si>
    <t>2t3t14t</t>
  </si>
  <si>
    <t>2t3t14f</t>
  </si>
  <si>
    <t>1t2t3t</t>
  </si>
  <si>
    <t>1t2t3f4f</t>
  </si>
  <si>
    <t>1t2t3f4t5t7t10t</t>
  </si>
  <si>
    <t>1t2t3f4t5t7t10f11t</t>
  </si>
  <si>
    <t>1t2t3f4t5t7f8t10t</t>
  </si>
  <si>
    <t>1t2t3f4t5t7f8f9f</t>
  </si>
  <si>
    <t>1t2t3f4t5f6f7t10t</t>
  </si>
  <si>
    <t>1t2t3f4t5f6f7f8t10t</t>
  </si>
  <si>
    <t>1t2t3f4t5f6f7t10f11t</t>
  </si>
  <si>
    <t>1t2t3f4t5t7t10f11f12f</t>
  </si>
  <si>
    <t>1t2t3f4t5f6f7f8f9f</t>
  </si>
  <si>
    <t>1t2t3f4t5t7f8t10f11t</t>
  </si>
  <si>
    <t>1t2t3f4t5t7f8t10f11f12f</t>
  </si>
  <si>
    <t>1t2t3f4t5f6f7t10f11f12f</t>
  </si>
  <si>
    <t>1t2t3f4t5f6f7f8t10f11t</t>
  </si>
  <si>
    <t>1t2t3f4t5f6f7f8t10f11f12f</t>
  </si>
  <si>
    <t>1t2t3f4t5t7f8f9t13t</t>
  </si>
  <si>
    <t>1t2t3f4t5f6t13t</t>
  </si>
  <si>
    <t>1t2t3f4t5f6f7f8f9t13t</t>
  </si>
  <si>
    <t>1t2t3f4t5t7f8f9t13f14t</t>
  </si>
  <si>
    <t>1t2t3f4t5t7t10f11f12t13t</t>
  </si>
  <si>
    <t>1t2t3f4t5f6f7f8f9t13f14t</t>
  </si>
  <si>
    <t>1t2t3f4t5f6t13f14t</t>
  </si>
  <si>
    <t>1t2t3f4t5t7f8f9t13f14f15t</t>
  </si>
  <si>
    <t>1t2t3f4t5f6t13f14f15t</t>
  </si>
  <si>
    <t>1t2t3f4t5f6f7f8f9t13f14f15t</t>
  </si>
  <si>
    <t>1t2t3f4t5t7f8t10f11f12t13f14t</t>
  </si>
  <si>
    <t>1t2t3f4t5t7f8t10f11f12t13f14f15t</t>
  </si>
  <si>
    <t>1t2t3f4t5f6f7t10f11f12t13t</t>
  </si>
  <si>
    <t>1t2t3f4t5f6f7f8t10f11f12t13t</t>
  </si>
  <si>
    <t>1t2t3f4t5t7t10f11f12t13f14t</t>
  </si>
  <si>
    <t>1t2t3f4t5f6f7t10f11f12t13f14t</t>
  </si>
  <si>
    <t>1t2t3f4t5t7t10f11f12t13f14f15t</t>
  </si>
  <si>
    <t>1t2t3f4t5f6f7t10f11f12t13f14f15t</t>
  </si>
  <si>
    <t>1t2t3f4t5t7f8t10f11f12t13t</t>
  </si>
  <si>
    <t>1t2t3f4t5f6f7f8t10f11f12t13f14t</t>
  </si>
  <si>
    <t>1t2t3f4t5f6f7f8t10f11f12t13f14f15t</t>
  </si>
  <si>
    <t>1t2t3f4t5t7f8f9t13f14f15f</t>
  </si>
  <si>
    <t>1t2t3f4t5f6t13f14f15f</t>
  </si>
  <si>
    <t>1t2t3f4t5f6f7f8f9t13f14f15f</t>
  </si>
  <si>
    <t>1t2t3f4t5f6f7t10f11f12t13f14f15f</t>
  </si>
  <si>
    <t>1t2t3f4t5t7f8t10f11f12t13f14f15f</t>
  </si>
  <si>
    <t>1t2t3f4t5f6f7f8t10f11f12t13f14f15f</t>
  </si>
  <si>
    <t>1t2t3f4t5t7t10f11f12t13f14f15f</t>
  </si>
  <si>
    <t>1t2t3f4t</t>
  </si>
  <si>
    <t>1t2t3f4f5t</t>
  </si>
  <si>
    <t>1t2t3f4f5f8f9f</t>
  </si>
  <si>
    <t>1t2t3f4f5f8f9t10t12t15t</t>
  </si>
  <si>
    <t>1t2t3f4f5f8f9t10f11f12t15t</t>
  </si>
  <si>
    <t>1t2t3f4f5f8f9t10t12f13t15t</t>
  </si>
  <si>
    <t>1t2t3f4f5f8f9t10f11t</t>
  </si>
  <si>
    <t>1t2t3f4f5f8f9t10t12t15f16f17f</t>
  </si>
  <si>
    <t>1t2t3f4f5f8f9t10t12f13f14t</t>
  </si>
  <si>
    <t>1t2t3f4f5f8f9t10f11f12f13t15t</t>
  </si>
  <si>
    <t>1t2t3f4f5f8f9t10f11f12f13f14t</t>
  </si>
  <si>
    <t>1t2t3f4f5f8f9t10f11f12f13f14f</t>
  </si>
  <si>
    <t>1t2t3f4f5f8f9t10f11f12t15f16f17f</t>
  </si>
  <si>
    <t>1t2t3f4f5f8f9t10f11f12t15f16f17t</t>
  </si>
  <si>
    <t>1t2t3f4f5f8f9t10t12f13t15f16f17t</t>
  </si>
  <si>
    <t>1t2t3f4f5f8t</t>
  </si>
  <si>
    <t>1t2t3f4f5f8f9t10t12f13t15f16f17f</t>
  </si>
  <si>
    <t>1t2t3f4f5f8f9t10t12t15f16t</t>
  </si>
  <si>
    <t>1t2t3f4f5f8f9t10t12f13t15f16t</t>
  </si>
  <si>
    <t>1t2t3f4f5f8f9t10f11f12t15f16t</t>
  </si>
  <si>
    <t>1t2t3f4f5f8f9t10f11f12f13t15f16f17f</t>
  </si>
  <si>
    <t>1t2t3f4f5f8f9t10t12t15f16f17t</t>
  </si>
  <si>
    <t>1t2t3f4f5f8f9t10f11f12f13t15f16f17t</t>
  </si>
  <si>
    <t>1t2t3f4f5f8f9t10f11f12f13t15f16t</t>
  </si>
  <si>
    <t>1t2t3f4f5f8f9t10t12f13f14f</t>
  </si>
  <si>
    <t>1f7t9t12t</t>
  </si>
  <si>
    <t>1f7t9f10t12t</t>
  </si>
  <si>
    <t>1f7f8f9t12t</t>
  </si>
  <si>
    <t>1t2f7t9t12t</t>
  </si>
  <si>
    <t>1f7f8t</t>
  </si>
  <si>
    <t>1f7f8f9f10t12t</t>
  </si>
  <si>
    <t>1f7t9f10f</t>
  </si>
  <si>
    <t>1t2f7t9f10t12t</t>
  </si>
  <si>
    <t>1t2f7f8f9t12t</t>
  </si>
  <si>
    <t>1f7f8f9f10f</t>
  </si>
  <si>
    <t>1t2f7f8f9f10t12t</t>
  </si>
  <si>
    <t>1t2f7f8t</t>
  </si>
  <si>
    <t>1t2f7t9f10f</t>
  </si>
  <si>
    <t>1f7t9t12f</t>
  </si>
  <si>
    <t>1t2f7f8f9f10f</t>
  </si>
  <si>
    <t>1f7f8f9t12f</t>
  </si>
  <si>
    <t>1f7t9f10t12f</t>
  </si>
  <si>
    <t>1t2f7t9t12f</t>
  </si>
  <si>
    <t>1f7f8f9f10t12f</t>
  </si>
  <si>
    <t>1t2f7t9f10t12f</t>
  </si>
  <si>
    <t>1t2f7f8f9t12f</t>
  </si>
  <si>
    <t>1t2f7f8f9f10t12f</t>
  </si>
  <si>
    <t>1t2t7t9t12t</t>
  </si>
  <si>
    <t>1t2t7t9f10t12t</t>
  </si>
  <si>
    <t>1t2t7f8f9t12t</t>
  </si>
  <si>
    <t>1t2t7f8f9f10t12t</t>
  </si>
  <si>
    <t>1t2t7f8t</t>
  </si>
  <si>
    <t>1t2t7t9f10f</t>
  </si>
  <si>
    <t>1t2t7f8f9f10f</t>
  </si>
  <si>
    <t>1t2t7t9t12f</t>
  </si>
  <si>
    <t>1t2t7f8f9t12f</t>
  </si>
  <si>
    <t>1t2t7t9f10t12f</t>
  </si>
  <si>
    <t>1t2t7f8f9f10t12f</t>
  </si>
  <si>
    <t>1f7t</t>
  </si>
  <si>
    <t>1f7f</t>
  </si>
  <si>
    <t>2t</t>
  </si>
  <si>
    <t>1t3f4f40f41t52f</t>
  </si>
  <si>
    <t>1t3f4f40f41t52t</t>
  </si>
  <si>
    <t>1t3f4f40t</t>
  </si>
  <si>
    <t>1t3f4f40f41f</t>
  </si>
  <si>
    <t>1t3f4t13f40f41f</t>
  </si>
  <si>
    <t>1t3f4t13f40f41t52t</t>
  </si>
  <si>
    <t>1t3f4t13f40t</t>
  </si>
  <si>
    <t>1t3f4t13f40f41t52f</t>
  </si>
  <si>
    <t>1f3f4f40f41f</t>
  </si>
  <si>
    <t>1f3f4f40t</t>
  </si>
  <si>
    <t>1f3f4f40f41t52f</t>
  </si>
  <si>
    <t>1f3f4f40f41t52t</t>
  </si>
  <si>
    <t>1f3f4t13f40f41t52t</t>
  </si>
  <si>
    <t>1f3f4t13f40f41f</t>
  </si>
  <si>
    <t>1f3f4t13f40f41t52f</t>
  </si>
  <si>
    <t>1f3f4t13f40t</t>
  </si>
  <si>
    <t>1t3t40f41f</t>
  </si>
  <si>
    <t>1t3t40f41t52f</t>
  </si>
  <si>
    <t>1t3t40t</t>
  </si>
  <si>
    <t>1f3t40f41f</t>
  </si>
  <si>
    <t>1f3t40f41t52f</t>
  </si>
  <si>
    <t>1f3t40t</t>
  </si>
  <si>
    <t>1t3f4t13t40f41f</t>
  </si>
  <si>
    <t>1t3f4t13t40f41t52f</t>
  </si>
  <si>
    <t>1t3f4t13t40t</t>
  </si>
  <si>
    <t>1t3f4t13t40f41t52t</t>
  </si>
  <si>
    <t>1f3f4t13t40f41t52f</t>
  </si>
  <si>
    <t>1f3f4t13t40t</t>
  </si>
  <si>
    <t>1f3f4t13t40f41t52t</t>
  </si>
  <si>
    <t>1f3f4t13t40f41f</t>
  </si>
  <si>
    <t>1t3t40f41t52t</t>
  </si>
  <si>
    <t>1f3t40f41t52t</t>
  </si>
  <si>
    <t>1t2t4t7t14t21t28t</t>
  </si>
  <si>
    <t>1t2f4t7t14t21t28t</t>
  </si>
  <si>
    <t>1t2t4t7f</t>
  </si>
  <si>
    <t>1t2t4t7t14f</t>
  </si>
  <si>
    <t>1t2t4t7t14t21f</t>
  </si>
  <si>
    <t>1t2f4t7f</t>
  </si>
  <si>
    <t>1t2t4t7t14t21t28f</t>
  </si>
  <si>
    <t>1t2f4t7t14f</t>
  </si>
  <si>
    <t>1t2f4t7t14t21f</t>
  </si>
  <si>
    <t>1t2f4t7t14t21t28f</t>
  </si>
  <si>
    <t>1t2t4f</t>
  </si>
  <si>
    <t>1t2f4f</t>
  </si>
  <si>
    <t>1t2t6t11t</t>
  </si>
  <si>
    <t>1t2t6t11f12t</t>
  </si>
  <si>
    <t>1t2t6t11f12f13t</t>
  </si>
  <si>
    <t>1t2f6t11t</t>
  </si>
  <si>
    <t>1t2t6f11t</t>
  </si>
  <si>
    <t>1t2t6t11f12f13f</t>
  </si>
  <si>
    <t>1t2f6t11f12t</t>
  </si>
  <si>
    <t>1t2f6t11f12f13t</t>
  </si>
  <si>
    <t>1t2t6f11f12f13t</t>
  </si>
  <si>
    <t>1t2f6f11t</t>
  </si>
  <si>
    <t>1t2f6t11f12f13f</t>
  </si>
  <si>
    <t>1t2t6f11f12f13f</t>
  </si>
  <si>
    <t>1t2f6f11f12t</t>
  </si>
  <si>
    <t>1t2t6f11f12t</t>
  </si>
  <si>
    <t>1t2f6f11f12f13t</t>
  </si>
  <si>
    <t>1t2f6f11f12f13f</t>
  </si>
  <si>
    <t>5f</t>
  </si>
  <si>
    <t>5t6f3f4f</t>
  </si>
  <si>
    <t>5t6f3t</t>
  </si>
  <si>
    <t>5t6f3f4t</t>
  </si>
  <si>
    <t>5t6t3f4f</t>
  </si>
  <si>
    <t>5t6t3t</t>
  </si>
  <si>
    <t>5t6t3f4t</t>
  </si>
  <si>
    <t>6t35t</t>
  </si>
  <si>
    <t>6t35f36t</t>
  </si>
  <si>
    <t>6t35f36f37t</t>
  </si>
  <si>
    <t>6t35f36f37f38t</t>
  </si>
  <si>
    <t>6t35f36f37f38f39t</t>
  </si>
  <si>
    <t>6t35f36f37f38f39f40t</t>
  </si>
  <si>
    <t>6t35f36f37f38f39f40f41t</t>
  </si>
  <si>
    <t>6t35f36f37f38f39f40f41f42t</t>
  </si>
  <si>
    <t>6t35f36f37f38f39f40f41f42f43t</t>
  </si>
  <si>
    <t>6t35f36f37f38f39f40f41f42f43f44t</t>
  </si>
  <si>
    <t>6t35f36f37f38f39f40f41f42f43f44f45f46t</t>
  </si>
  <si>
    <t>6t35f36f37f38f39f40f41f42f43f44f45t</t>
  </si>
  <si>
    <t>6t35f36f37f38f39f40f41f42f43f44f45f46f47f48t</t>
  </si>
  <si>
    <t>6t35f36f37f38f39f40f41f42f43f44f45f46f47f48f</t>
  </si>
  <si>
    <t>6t35f36f37f38f39f40f41f42f43f44f45f46f47t</t>
  </si>
  <si>
    <t>6f</t>
  </si>
  <si>
    <t>46f57f</t>
  </si>
  <si>
    <t>46t</t>
  </si>
  <si>
    <t>46f57t</t>
  </si>
  <si>
    <t>1t9t10t</t>
  </si>
  <si>
    <t>1t9f</t>
  </si>
  <si>
    <t>1t9t10f</t>
  </si>
  <si>
    <t>1f2f9f</t>
  </si>
  <si>
    <t>1f2f9t10t</t>
  </si>
  <si>
    <t>1f2f9t10f</t>
  </si>
  <si>
    <t>1f2t9t10t</t>
  </si>
  <si>
    <t>1f2t9f</t>
  </si>
  <si>
    <t>1f2t9t10f</t>
  </si>
  <si>
    <t>7f</t>
  </si>
  <si>
    <t>7t</t>
  </si>
  <si>
    <t>1f2f3f4f5f6f</t>
  </si>
  <si>
    <t>1f2f3f4f5f6t</t>
  </si>
  <si>
    <t>1f2f3f4f5t</t>
  </si>
  <si>
    <t>1t7t</t>
  </si>
  <si>
    <t>1t7f</t>
  </si>
  <si>
    <t>2t3t4f</t>
  </si>
  <si>
    <t>2t3t4t7t</t>
  </si>
  <si>
    <t>2t3t4t7f8f</t>
  </si>
  <si>
    <t>2t3t4t7f8t</t>
  </si>
  <si>
    <t>1t2t5t</t>
  </si>
  <si>
    <t>1t2t5f6f</t>
  </si>
  <si>
    <t>1t2t5f6t10f</t>
  </si>
  <si>
    <t>1t2t5f6t10t11t12t</t>
  </si>
  <si>
    <t>1t2t5f6t10t11f</t>
  </si>
  <si>
    <t>1t2t5f6t10t11t12f13t</t>
  </si>
  <si>
    <t>1t2t5f6t10t11t12f13f14f</t>
  </si>
  <si>
    <t>1t2t5f6t10t11t12f13f14t</t>
  </si>
  <si>
    <t>1t2t4t</t>
  </si>
  <si>
    <t>1t2t4f5f</t>
  </si>
  <si>
    <t>1t2t4f5t</t>
  </si>
  <si>
    <t>1t2f3t4f5f</t>
  </si>
  <si>
    <t>1t2t4t6f7f</t>
  </si>
  <si>
    <t>1t2t4f5t6f7f</t>
  </si>
  <si>
    <t>1t2f3t4t6f7f</t>
  </si>
  <si>
    <t>1t2t4t6t8t</t>
  </si>
  <si>
    <t>1t2f3t4f5t6f7f</t>
  </si>
  <si>
    <t>1t2t4t6t8f9t</t>
  </si>
  <si>
    <t>1t2t4f5t6t8t</t>
  </si>
  <si>
    <t>1t2t4t6t8f9f</t>
  </si>
  <si>
    <t>1t2t4t6f7t8t</t>
  </si>
  <si>
    <t>1t2f3t4t6t8t</t>
  </si>
  <si>
    <t>1t2t4f5t6f7t8t</t>
  </si>
  <si>
    <t>1t2f3t4t6t8f9t</t>
  </si>
  <si>
    <t>1t2t4t6f7t8f9t</t>
  </si>
  <si>
    <t>1t2f3t4t6t8f9f</t>
  </si>
  <si>
    <t>1t2t4f5t6t8f9f</t>
  </si>
  <si>
    <t>1t2t4t6f7t8f9f</t>
  </si>
  <si>
    <t>1t2f3t4t6f7t8t</t>
  </si>
  <si>
    <t>1t2t4f5t6t8f9t</t>
  </si>
  <si>
    <t>1t2f3t4f5t6t8t</t>
  </si>
  <si>
    <t>1t2f3t4f5t6t8f9f</t>
  </si>
  <si>
    <t>1t2f3t4t6f7t8f9t</t>
  </si>
  <si>
    <t>1t2f3t4f5t6t8f9t</t>
  </si>
  <si>
    <t>1t2t4f5t6f7t8f9t</t>
  </si>
  <si>
    <t>1t2f3t4t6f7t8f9f</t>
  </si>
  <si>
    <t>1t2f3t4f5t6f7t8t</t>
  </si>
  <si>
    <t>1t2t4f5t6f7t8f9f</t>
  </si>
  <si>
    <t>1t2f3t4f5t6f7t8f9f</t>
  </si>
  <si>
    <t>1t2f3t4f5t6f7t8f9t</t>
  </si>
  <si>
    <t>1t5t7t8t10f</t>
  </si>
  <si>
    <t>1t5t7f</t>
  </si>
  <si>
    <t>1t5t7t8f</t>
  </si>
  <si>
    <t>1t5t7t8t10t11f</t>
  </si>
  <si>
    <t>1f5t7t8t10f</t>
  </si>
  <si>
    <t>1f5f</t>
  </si>
  <si>
    <t>1f5t7f</t>
  </si>
  <si>
    <t>1f5t7t8f</t>
  </si>
  <si>
    <t>1t5t7t8t10t11t12f</t>
  </si>
  <si>
    <t>1f5t7t8t10t11f</t>
  </si>
  <si>
    <t>1t5t7t8t10t11t12t</t>
  </si>
  <si>
    <t>1f5t7t8t10t11t12f</t>
  </si>
  <si>
    <t>1f5t7t8t10t11t12t</t>
  </si>
  <si>
    <t>7t8t15t20t27t</t>
  </si>
  <si>
    <t>7t8t15f</t>
  </si>
  <si>
    <t>7t8f</t>
  </si>
  <si>
    <t>7t8t15t20f</t>
  </si>
  <si>
    <t>7t8t15t20t27f</t>
  </si>
  <si>
    <t>7t8t15t20t27t30t33t36t</t>
  </si>
  <si>
    <t>7t8t15t20t27t30f</t>
  </si>
  <si>
    <t>7t8t15t20t27t30t33f</t>
  </si>
  <si>
    <t>7t8t15t20t27t30t33t36f</t>
  </si>
  <si>
    <t>1f2f3f4f5f</t>
  </si>
  <si>
    <t>2f3t7f</t>
  </si>
  <si>
    <t>2t7t</t>
  </si>
  <si>
    <t>2t7f</t>
  </si>
  <si>
    <t>2f3f4t7f</t>
  </si>
  <si>
    <t>2f3t7t</t>
  </si>
  <si>
    <t>2f3f4f5f7f</t>
  </si>
  <si>
    <t>2f3f4t7t</t>
  </si>
  <si>
    <t>2f3f4f5t7t</t>
  </si>
  <si>
    <t>2f3f4f5t7f</t>
  </si>
  <si>
    <t>2f3f4f5f7t</t>
  </si>
  <si>
    <t>5t7t8t10f</t>
  </si>
  <si>
    <t>5t7t8f9t</t>
  </si>
  <si>
    <t>5f6t</t>
  </si>
  <si>
    <t>5t7t8t10t11t12t13t</t>
  </si>
  <si>
    <t>5t7f</t>
  </si>
  <si>
    <t>5f6f</t>
  </si>
  <si>
    <t>5t7t8f9f</t>
  </si>
  <si>
    <t>5t7t8t10t11f</t>
  </si>
  <si>
    <t>5t7t8t10t11t12f</t>
  </si>
  <si>
    <t>5t7t8t10t11t12t13f</t>
  </si>
  <si>
    <t>7t8t13t17t24t</t>
  </si>
  <si>
    <t>7t8t13t17f</t>
  </si>
  <si>
    <t>7t8t13f</t>
  </si>
  <si>
    <t>7t8t13t17t24f</t>
  </si>
  <si>
    <t>7t8t13t17t24t27t30t33t</t>
  </si>
  <si>
    <t>7t8t13t17t24t27f</t>
  </si>
  <si>
    <t>7t8t13t17t24t27t30f</t>
  </si>
  <si>
    <t>7t8t13t17t24t27t30t33f</t>
  </si>
  <si>
    <t>1f2f3f</t>
  </si>
  <si>
    <t>4t</t>
  </si>
  <si>
    <t>4f</t>
  </si>
  <si>
    <t>1t4t</t>
  </si>
  <si>
    <t>1t4f5t8f</t>
  </si>
  <si>
    <t>1t4f5f8f</t>
  </si>
  <si>
    <t>1t4f5t8t</t>
  </si>
  <si>
    <t>1t4f5f8t</t>
  </si>
  <si>
    <t>1t3t6t</t>
  </si>
  <si>
    <t>1t3f</t>
  </si>
  <si>
    <t>1t3t6f</t>
  </si>
  <si>
    <t>1f2t4t</t>
  </si>
  <si>
    <t>1t5f6f</t>
  </si>
  <si>
    <t>1f2t4f</t>
  </si>
  <si>
    <t>1t5f6t</t>
  </si>
  <si>
    <t>1t7t13f</t>
  </si>
  <si>
    <t>1t7t13t19f</t>
  </si>
  <si>
    <t>1t7t13t19t</t>
  </si>
  <si>
    <t>1t2f3t5f6t</t>
  </si>
  <si>
    <t>1t2f3t5t7t</t>
  </si>
  <si>
    <t>1t2f3t5f6f</t>
  </si>
  <si>
    <t>1t2f3t5t7f</t>
  </si>
  <si>
    <t>1t3t5t8t</t>
  </si>
  <si>
    <t>1t3t5f</t>
  </si>
  <si>
    <t>1t3t5t8f</t>
  </si>
  <si>
    <t>1t5t</t>
  </si>
  <si>
    <t>1f2t3t</t>
  </si>
  <si>
    <t>1t6t12t</t>
  </si>
  <si>
    <t>1f2t5f</t>
  </si>
  <si>
    <t>1t6t12f</t>
  </si>
  <si>
    <t>1t6f7f</t>
  </si>
  <si>
    <t>1f2f3t5f</t>
  </si>
  <si>
    <t>1f2f3f4t5f</t>
  </si>
  <si>
    <t>1f2t5t12t</t>
  </si>
  <si>
    <t>1f2f3f4t5t12t</t>
  </si>
  <si>
    <t>1f2t5t12f</t>
  </si>
  <si>
    <t>1f2f3f4t5t12f</t>
  </si>
  <si>
    <t>1f2f3t5t12f</t>
  </si>
  <si>
    <t>1f2f3t5t12t</t>
  </si>
  <si>
    <t>1t6f7t8f9f</t>
  </si>
  <si>
    <t>1t6f7t8t12t</t>
  </si>
  <si>
    <t>1t6f7t8t12f</t>
  </si>
  <si>
    <t>1t6f7t8f9t12t</t>
  </si>
  <si>
    <t>1t6f7t8f9t12f</t>
  </si>
  <si>
    <t>1f2f8t9t</t>
  </si>
  <si>
    <t>1f2f8f</t>
  </si>
  <si>
    <t>1f2f8t9f</t>
  </si>
  <si>
    <t>1t4f5f8t9t</t>
  </si>
  <si>
    <t>1t4f5f8t9f</t>
  </si>
  <si>
    <t>1f2t3f8t9t</t>
  </si>
  <si>
    <t>1f2t3t8t9t</t>
  </si>
  <si>
    <t>1f2t3f8f</t>
  </si>
  <si>
    <t>1f2t3f8t9f</t>
  </si>
  <si>
    <t>1f2t3t8t9f</t>
  </si>
  <si>
    <t>1t4f5t6f8t9t</t>
  </si>
  <si>
    <t>1f2t3t8f</t>
  </si>
  <si>
    <t>1t4f5t6t8t9t</t>
  </si>
  <si>
    <t>1t4f5t6t8f</t>
  </si>
  <si>
    <t>1t4f5t6t8t9f</t>
  </si>
  <si>
    <t>1t4f5t6f8f</t>
  </si>
  <si>
    <t>1t4f5t6f8t9f</t>
  </si>
  <si>
    <t>1t3t</t>
  </si>
  <si>
    <t>1f2t5t</t>
  </si>
  <si>
    <t>1f2f5t</t>
  </si>
  <si>
    <t>1f2f5f</t>
  </si>
  <si>
    <t>1t3f4f5t</t>
  </si>
  <si>
    <t>1t3f4f5f</t>
  </si>
  <si>
    <t>1t3f4t5f</t>
  </si>
  <si>
    <t>test.TIFFFaxEncoder</t>
  </si>
  <si>
    <t>1t2t5f</t>
  </si>
  <si>
    <t>2f3f</t>
  </si>
  <si>
    <t>2f3t4t</t>
  </si>
  <si>
    <t>2f3t4f</t>
  </si>
  <si>
    <t>2t3t4t</t>
  </si>
  <si>
    <t>4t5f6f</t>
  </si>
  <si>
    <t>4t5t</t>
  </si>
  <si>
    <t>4t5f6t</t>
  </si>
  <si>
    <t>% ful time</t>
  </si>
  <si>
    <t>under 20%</t>
  </si>
  <si>
    <t>under 40%</t>
  </si>
  <si>
    <t>under 60%</t>
  </si>
  <si>
    <t>at 100%</t>
  </si>
  <si>
    <t>id</t>
  </si>
  <si>
    <t>count 100%</t>
  </si>
  <si>
    <t>&gt;=75 &lt; 100</t>
  </si>
  <si>
    <t>&gt;=50 &lt; 75</t>
  </si>
  <si>
    <t>&gt;=25 &lt; 50</t>
  </si>
  <si>
    <t>&gt;0 &lt;25</t>
  </si>
  <si>
    <t>total</t>
  </si>
  <si>
    <t>test.Class11_1_</t>
  </si>
  <si>
    <t>test.Class11_3_</t>
  </si>
  <si>
    <t>test.Class11_2_</t>
  </si>
  <si>
    <t>test.Class11_10_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</si>
  <si>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</si>
  <si>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</si>
  <si>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</si>
  <si>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</si>
  <si>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</si>
  <si>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</si>
  <si>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</si>
  <si>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</si>
  <si>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</si>
  <si>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</si>
  <si>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</si>
  <si>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</si>
  <si>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</si>
  <si>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</si>
  <si>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</si>
  <si>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</si>
  <si>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</si>
  <si>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</si>
  <si>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</si>
  <si>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</si>
  <si>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</si>
  <si>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</si>
  <si>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</si>
  <si>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</si>
  <si>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</si>
  <si>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</si>
  <si>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</si>
  <si>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</si>
  <si>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</si>
  <si>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</si>
  <si>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</si>
  <si>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</si>
  <si>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</si>
  <si>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test.ImageData_10_</t>
  </si>
  <si>
    <t>test.ImageData_11_</t>
  </si>
  <si>
    <t>test.ImageData_13_</t>
  </si>
  <si>
    <t>test.ImageData_15_</t>
  </si>
  <si>
    <t>test.ImageData_16_</t>
  </si>
  <si>
    <t>test.ImageData_20_</t>
  </si>
  <si>
    <t>test.ImageData_21_</t>
  </si>
  <si>
    <t>test.MapViewer_2_</t>
  </si>
  <si>
    <t>test.MapViewer_3_</t>
  </si>
  <si>
    <t>test.QRCodeDataBlockReader_0_</t>
  </si>
  <si>
    <t>test.QRCodeDataBlockReader_1_</t>
  </si>
  <si>
    <t>test.StructurePanel_1_</t>
  </si>
  <si>
    <t>test.TileRenderor_3_</t>
  </si>
  <si>
    <t>test.WorldController_1_</t>
  </si>
  <si>
    <t>test.TIFFFaxDecoder_4_</t>
  </si>
  <si>
    <t>test.TIFFFaxDecoder_5_</t>
  </si>
  <si>
    <t>test.TIFFFaxDecoder_7_</t>
  </si>
  <si>
    <t>test.TIFFFaxDecoder_8_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</si>
  <si>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</si>
  <si>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</si>
  <si>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</si>
  <si>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</si>
  <si>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</si>
  <si>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</si>
  <si>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</si>
  <si>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</si>
  <si>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test.TIFFFaxEncoder_11_</t>
  </si>
  <si>
    <t>time % of full</t>
  </si>
  <si>
    <t>% sat of full</t>
  </si>
  <si>
    <t>under 80%</t>
  </si>
  <si>
    <t>over 100%</t>
  </si>
  <si>
    <t>over 50%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</si>
</sst>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173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" fontId="0" fillId="0" borderId="0" xfId="0" applyNumberFormat="1"/>
    <xf numFmtId="0" fontId="3" fillId="0" borderId="0" xfId="0" applyFont="1"/>
    <xf numFmtId="0" fontId="0" fillId="2" borderId="0" xfId="0" applyFill="1"/>
    <xf numFmtId="2" fontId="0" fillId="0" borderId="0" xfId="0" applyNumberFormat="1"/>
    <xf numFmtId="2" fontId="0" fillId="2" borderId="0" xfId="0" applyNumberFormat="1" applyFill="1"/>
    <xf numFmtId="0" fontId="0" fillId="3" borderId="0" xfId="0" applyFill="1"/>
    <xf numFmtId="9" fontId="0" fillId="0" borderId="0" xfId="0" applyNumberFormat="1"/>
    <xf numFmtId="1" fontId="0" fillId="0" borderId="0" xfId="0" applyNumberFormat="1"/>
    <xf numFmtId="0" fontId="0" fillId="0" borderId="0" xfId="0" applyFill="1"/>
    <xf numFmtId="0" fontId="3" fillId="0" borderId="0" xfId="0" applyFont="1" applyFill="1"/>
  </cellXfs>
  <cellStyles count="17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Test'!$D$2:$D$5</c:f>
              <c:numCache>
                <c:formatCode>0.00</c:formatCode>
                <c:ptCount val="4"/>
                <c:pt idx="0">
                  <c:v>0.978249406802004</c:v>
                </c:pt>
                <c:pt idx="1">
                  <c:v>0.984576852095966</c:v>
                </c:pt>
                <c:pt idx="2">
                  <c:v>0.987740574742947</c:v>
                </c:pt>
                <c:pt idx="3">
                  <c:v>0.989981544951226</c:v>
                </c:pt>
              </c:numCache>
            </c:numRef>
          </c:xVal>
          <c:yVal>
            <c:numRef>
              <c:f>'Compare Test'!$E$2:$E$5</c:f>
              <c:numCache>
                <c:formatCode>0.00</c:formatCode>
                <c:ptCount val="4"/>
                <c:pt idx="0">
                  <c:v>0.92156862745098</c:v>
                </c:pt>
                <c:pt idx="1">
                  <c:v>0.96078431372549</c:v>
                </c:pt>
                <c:pt idx="2">
                  <c:v>1.0</c:v>
                </c:pt>
                <c:pt idx="3">
                  <c:v>1.0</c:v>
                </c:pt>
              </c:numCache>
            </c:numRef>
          </c:yVal>
          <c:smooth val="0"/>
        </c:ser>
        <c:ser>
          <c:idx val="1"/>
          <c:order val="1"/>
          <c:tx>
            <c:v>2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Test'!$D$6:$D$20</c:f>
              <c:numCache>
                <c:formatCode>0.00</c:formatCode>
                <c:ptCount val="15"/>
                <c:pt idx="0">
                  <c:v>0.423400673400673</c:v>
                </c:pt>
                <c:pt idx="1">
                  <c:v>0.565656565656566</c:v>
                </c:pt>
                <c:pt idx="2">
                  <c:v>0.644781144781145</c:v>
                </c:pt>
                <c:pt idx="3">
                  <c:v>0.683501683501683</c:v>
                </c:pt>
                <c:pt idx="4">
                  <c:v>0.758417508417508</c:v>
                </c:pt>
                <c:pt idx="5">
                  <c:v>0.77020202020202</c:v>
                </c:pt>
                <c:pt idx="6">
                  <c:v>0.771043771043771</c:v>
                </c:pt>
                <c:pt idx="7">
                  <c:v>0.833333333333333</c:v>
                </c:pt>
                <c:pt idx="8">
                  <c:v>0.839225589225589</c:v>
                </c:pt>
                <c:pt idx="9">
                  <c:v>0.852693602693603</c:v>
                </c:pt>
                <c:pt idx="10">
                  <c:v>0.853535353535353</c:v>
                </c:pt>
                <c:pt idx="11">
                  <c:v>0.912457912457912</c:v>
                </c:pt>
                <c:pt idx="12">
                  <c:v>0.914141414141414</c:v>
                </c:pt>
                <c:pt idx="13">
                  <c:v>0.920875420875421</c:v>
                </c:pt>
                <c:pt idx="14">
                  <c:v>0.985690235690236</c:v>
                </c:pt>
              </c:numCache>
            </c:numRef>
          </c:xVal>
          <c:yVal>
            <c:numRef>
              <c:f>'Compare Test'!$E$6:$E$20</c:f>
              <c:numCache>
                <c:formatCode>0.00</c:formatCode>
                <c:ptCount val="15"/>
                <c:pt idx="0">
                  <c:v>0.333333333333333</c:v>
                </c:pt>
                <c:pt idx="1">
                  <c:v>0.575757575757576</c:v>
                </c:pt>
                <c:pt idx="2">
                  <c:v>0.606060606060606</c:v>
                </c:pt>
                <c:pt idx="3">
                  <c:v>0.787878787878788</c:v>
                </c:pt>
                <c:pt idx="4">
                  <c:v>0.787878787878788</c:v>
                </c:pt>
                <c:pt idx="5">
                  <c:v>0.818181818181818</c:v>
                </c:pt>
                <c:pt idx="6">
                  <c:v>0.96969696969697</c:v>
                </c:pt>
                <c:pt idx="7">
                  <c:v>0.96969696969697</c:v>
                </c:pt>
                <c:pt idx="8">
                  <c:v>1.0</c:v>
                </c:pt>
                <c:pt idx="9">
                  <c:v>1.0</c:v>
                </c:pt>
                <c:pt idx="10">
                  <c:v>1.0</c:v>
                </c:pt>
                <c:pt idx="11">
                  <c:v>1.0</c:v>
                </c:pt>
                <c:pt idx="12">
                  <c:v>1.0</c:v>
                </c:pt>
                <c:pt idx="13">
                  <c:v>1.0</c:v>
                </c:pt>
                <c:pt idx="14">
                  <c:v>1.0</c:v>
                </c:pt>
              </c:numCache>
            </c:numRef>
          </c:yVal>
          <c:smooth val="0"/>
        </c:ser>
        <c:ser>
          <c:idx val="2"/>
          <c:order val="2"/>
          <c:tx>
            <c:v>6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Test'!$D$21:$D$25</c:f>
              <c:numCache>
                <c:formatCode>0.00</c:formatCode>
                <c:ptCount val="5"/>
                <c:pt idx="0">
                  <c:v>0.156156156156156</c:v>
                </c:pt>
                <c:pt idx="1">
                  <c:v>0.297297297297297</c:v>
                </c:pt>
                <c:pt idx="2">
                  <c:v>0.702702702702703</c:v>
                </c:pt>
                <c:pt idx="3">
                  <c:v>1.0</c:v>
                </c:pt>
                <c:pt idx="4">
                  <c:v>1.0</c:v>
                </c:pt>
              </c:numCache>
            </c:numRef>
          </c:xVal>
          <c:yVal>
            <c:numRef>
              <c:f>'Compare Test'!$E$21:$E$25</c:f>
              <c:numCache>
                <c:formatCode>0.00</c:formatCode>
                <c:ptCount val="5"/>
                <c:pt idx="0">
                  <c:v>0.111111111111111</c:v>
                </c:pt>
                <c:pt idx="1">
                  <c:v>0.277777777777778</c:v>
                </c:pt>
                <c:pt idx="2">
                  <c:v>0.611111111111111</c:v>
                </c:pt>
                <c:pt idx="3">
                  <c:v>0.888888888888889</c:v>
                </c:pt>
                <c:pt idx="4">
                  <c:v>1.0</c:v>
                </c:pt>
              </c:numCache>
            </c:numRef>
          </c:yVal>
          <c:smooth val="0"/>
        </c:ser>
        <c:ser>
          <c:idx val="3"/>
          <c:order val="3"/>
          <c:tx>
            <c:v>9</c:v>
          </c:tx>
          <c:spPr>
            <a:ln w="12700">
              <a:solidFill>
                <a:schemeClr val="tx1"/>
              </a:solidFill>
            </a:ln>
          </c:spPr>
          <c:xVal>
            <c:numRef>
              <c:f>'Compare Test'!$D$26:$D$35</c:f>
              <c:numCache>
                <c:formatCode>0.00</c:formatCode>
                <c:ptCount val="10"/>
                <c:pt idx="0">
                  <c:v>0.0755679184051924</c:v>
                </c:pt>
                <c:pt idx="1">
                  <c:v>0.0760315252665739</c:v>
                </c:pt>
                <c:pt idx="2">
                  <c:v>0.0778859527121001</c:v>
                </c:pt>
                <c:pt idx="3">
                  <c:v>0.162726008344923</c:v>
                </c:pt>
                <c:pt idx="4">
                  <c:v>0.164116828929068</c:v>
                </c:pt>
                <c:pt idx="5">
                  <c:v>0.338896615669912</c:v>
                </c:pt>
                <c:pt idx="6">
                  <c:v>0.34121464997682</c:v>
                </c:pt>
                <c:pt idx="7">
                  <c:v>0.348632359758924</c:v>
                </c:pt>
                <c:pt idx="8">
                  <c:v>0.409364858599907</c:v>
                </c:pt>
                <c:pt idx="9">
                  <c:v>0.410755679184052</c:v>
                </c:pt>
              </c:numCache>
            </c:numRef>
          </c:xVal>
          <c:yVal>
            <c:numRef>
              <c:f>'Compare Test'!$E$26:$E$35</c:f>
              <c:numCache>
                <c:formatCode>0.00</c:formatCode>
                <c:ptCount val="10"/>
                <c:pt idx="0">
                  <c:v>0.0652173913043478</c:v>
                </c:pt>
                <c:pt idx="1">
                  <c:v>0.0652173913043478</c:v>
                </c:pt>
                <c:pt idx="2">
                  <c:v>0.0652173913043478</c:v>
                </c:pt>
                <c:pt idx="3">
                  <c:v>0.152173913043478</c:v>
                </c:pt>
                <c:pt idx="4">
                  <c:v>0.239130434782609</c:v>
                </c:pt>
                <c:pt idx="5">
                  <c:v>0.5</c:v>
                </c:pt>
                <c:pt idx="6">
                  <c:v>0.760869565217391</c:v>
                </c:pt>
                <c:pt idx="7">
                  <c:v>0.913043478260869</c:v>
                </c:pt>
                <c:pt idx="8">
                  <c:v>1.0</c:v>
                </c:pt>
                <c:pt idx="9">
                  <c:v>1.0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3629096"/>
        <c:axId val="2123632232"/>
      </c:scatterChart>
      <c:valAx>
        <c:axId val="2123629096"/>
        <c:scaling>
          <c:orientation val="minMax"/>
        </c:scaling>
        <c:delete val="0"/>
        <c:axPos val="b"/>
        <c:numFmt formatCode="0.00" sourceLinked="1"/>
        <c:majorTickMark val="out"/>
        <c:minorTickMark val="none"/>
        <c:tickLblPos val="nextTo"/>
        <c:crossAx val="2123632232"/>
        <c:crosses val="autoZero"/>
        <c:crossBetween val="midCat"/>
      </c:valAx>
      <c:valAx>
        <c:axId val="212363223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12362909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Compare!$Q$2</c:f>
              <c:strCache>
                <c:ptCount val="1"/>
                <c:pt idx="0">
                  <c:v>0.00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Compare!$Q$3:$Q$8</c:f>
              <c:numCache>
                <c:formatCode>0</c:formatCode>
                <c:ptCount val="6"/>
                <c:pt idx="0">
                  <c:v>30.0</c:v>
                </c:pt>
                <c:pt idx="1">
                  <c:v>19.0</c:v>
                </c:pt>
                <c:pt idx="2">
                  <c:v>13.0</c:v>
                </c:pt>
                <c:pt idx="3">
                  <c:v>9.0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1"/>
          <c:order val="1"/>
          <c:tx>
            <c:strRef>
              <c:f>Compare!$R$2</c:f>
              <c:strCache>
                <c:ptCount val="1"/>
                <c:pt idx="0">
                  <c:v>&gt;0 &lt;25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Compare!$R$3:$R$8</c:f>
              <c:numCache>
                <c:formatCode>0</c:formatCode>
                <c:ptCount val="6"/>
                <c:pt idx="0">
                  <c:v>21.0</c:v>
                </c:pt>
                <c:pt idx="1">
                  <c:v>17.0</c:v>
                </c:pt>
                <c:pt idx="2">
                  <c:v>10.0</c:v>
                </c:pt>
                <c:pt idx="3">
                  <c:v>6.0</c:v>
                </c:pt>
                <c:pt idx="4">
                  <c:v>0.0</c:v>
                </c:pt>
                <c:pt idx="5">
                  <c:v>0.0</c:v>
                </c:pt>
              </c:numCache>
            </c:numRef>
          </c:val>
        </c:ser>
        <c:ser>
          <c:idx val="2"/>
          <c:order val="2"/>
          <c:tx>
            <c:strRef>
              <c:f>Compare!$S$2</c:f>
              <c:strCache>
                <c:ptCount val="1"/>
                <c:pt idx="0">
                  <c:v>&gt;=25 &lt; 50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Compare!$S$3:$S$8</c:f>
              <c:numCache>
                <c:formatCode>0</c:formatCode>
                <c:ptCount val="6"/>
                <c:pt idx="0">
                  <c:v>7.0</c:v>
                </c:pt>
                <c:pt idx="1">
                  <c:v>9.0</c:v>
                </c:pt>
                <c:pt idx="2">
                  <c:v>9.0</c:v>
                </c:pt>
                <c:pt idx="3">
                  <c:v>5.0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3"/>
          <c:order val="3"/>
          <c:tx>
            <c:strRef>
              <c:f>Compare!$T$2</c:f>
              <c:strCache>
                <c:ptCount val="1"/>
                <c:pt idx="0">
                  <c:v>&gt;=50 &lt; 75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Compare!$T$3:$T$8</c:f>
              <c:numCache>
                <c:formatCode>0</c:formatCode>
                <c:ptCount val="6"/>
                <c:pt idx="0">
                  <c:v>5.0</c:v>
                </c:pt>
                <c:pt idx="1">
                  <c:v>10.0</c:v>
                </c:pt>
                <c:pt idx="2">
                  <c:v>12.0</c:v>
                </c:pt>
                <c:pt idx="3">
                  <c:v>12.0</c:v>
                </c:pt>
                <c:pt idx="4">
                  <c:v>1.0</c:v>
                </c:pt>
                <c:pt idx="5">
                  <c:v>1.0</c:v>
                </c:pt>
              </c:numCache>
            </c:numRef>
          </c:val>
        </c:ser>
        <c:ser>
          <c:idx val="4"/>
          <c:order val="4"/>
          <c:tx>
            <c:strRef>
              <c:f>Compare!$U$2</c:f>
              <c:strCache>
                <c:ptCount val="1"/>
                <c:pt idx="0">
                  <c:v>&gt;=75 &lt; 100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Compare!$U$3:$U$8</c:f>
              <c:numCache>
                <c:formatCode>0</c:formatCode>
                <c:ptCount val="6"/>
                <c:pt idx="0">
                  <c:v>1.0</c:v>
                </c:pt>
                <c:pt idx="1">
                  <c:v>3.0</c:v>
                </c:pt>
                <c:pt idx="2">
                  <c:v>5.0</c:v>
                </c:pt>
                <c:pt idx="3">
                  <c:v>7.0</c:v>
                </c:pt>
                <c:pt idx="4">
                  <c:v>1.0</c:v>
                </c:pt>
                <c:pt idx="5">
                  <c:v>0.0</c:v>
                </c:pt>
              </c:numCache>
            </c:numRef>
          </c:val>
        </c:ser>
        <c:ser>
          <c:idx val="5"/>
          <c:order val="5"/>
          <c:tx>
            <c:strRef>
              <c:f>Compare!$V$2</c:f>
              <c:strCache>
                <c:ptCount val="1"/>
                <c:pt idx="0">
                  <c:v>count 100%</c:v>
                </c:pt>
              </c:strCache>
            </c:strRef>
          </c:tx>
          <c:invertIfNegative val="0"/>
          <c:cat>
            <c:strRef>
              <c:f>Compare!$P$3:$P$8</c:f>
              <c:strCache>
                <c:ptCount val="6"/>
                <c:pt idx="0">
                  <c:v>under 20%</c:v>
                </c:pt>
                <c:pt idx="1">
                  <c:v>under 40%</c:v>
                </c:pt>
                <c:pt idx="2">
                  <c:v>under 60%</c:v>
                </c:pt>
                <c:pt idx="3">
                  <c:v>under 80%</c:v>
                </c:pt>
                <c:pt idx="4">
                  <c:v>at 100%</c:v>
                </c:pt>
                <c:pt idx="5">
                  <c:v>over 100%</c:v>
                </c:pt>
              </c:strCache>
            </c:strRef>
          </c:cat>
          <c:val>
            <c:numRef>
              <c:f>Compare!$V$3:$V$8</c:f>
              <c:numCache>
                <c:formatCode>0</c:formatCode>
                <c:ptCount val="6"/>
                <c:pt idx="0">
                  <c:v>0.0</c:v>
                </c:pt>
                <c:pt idx="1">
                  <c:v>6.0</c:v>
                </c:pt>
                <c:pt idx="2">
                  <c:v>15.0</c:v>
                </c:pt>
                <c:pt idx="3">
                  <c:v>25.0</c:v>
                </c:pt>
                <c:pt idx="4">
                  <c:v>60.0</c:v>
                </c:pt>
                <c:pt idx="5">
                  <c:v>62.0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0899112"/>
        <c:axId val="2121189432"/>
      </c:barChart>
      <c:catAx>
        <c:axId val="2120899112"/>
        <c:scaling>
          <c:orientation val="minMax"/>
        </c:scaling>
        <c:delete val="0"/>
        <c:axPos val="b"/>
        <c:majorTickMark val="out"/>
        <c:minorTickMark val="none"/>
        <c:tickLblPos val="nextTo"/>
        <c:crossAx val="2121189432"/>
        <c:crosses val="autoZero"/>
        <c:auto val="1"/>
        <c:lblAlgn val="ctr"/>
        <c:lblOffset val="100"/>
        <c:noMultiLvlLbl val="0"/>
      </c:catAx>
      <c:valAx>
        <c:axId val="2121189432"/>
        <c:scaling>
          <c:orientation val="minMax"/>
        </c:scaling>
        <c:delete val="0"/>
        <c:axPos val="l"/>
        <c:majorGridlines/>
        <c:numFmt formatCode="0" sourceLinked="1"/>
        <c:majorTickMark val="out"/>
        <c:minorTickMark val="none"/>
        <c:tickLblPos val="nextTo"/>
        <c:crossAx val="212089911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1.0" l="0.75" r="0.75" t="1.0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685800</xdr:colOff>
      <xdr:row>10</xdr:row>
      <xdr:rowOff>177800</xdr:rowOff>
    </xdr:from>
    <xdr:to>
      <xdr:col>16</xdr:col>
      <xdr:colOff>508000</xdr:colOff>
      <xdr:row>35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717550</xdr:colOff>
      <xdr:row>13</xdr:row>
      <xdr:rowOff>152400</xdr:rowOff>
    </xdr:from>
    <xdr:to>
      <xdr:col>26</xdr:col>
      <xdr:colOff>444500</xdr:colOff>
      <xdr:row>32</xdr:row>
      <xdr:rowOff>165100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9"/>
  <sheetViews>
    <sheetView topLeftCell="A86" workbookViewId="0">
      <selection activeCell="D105" sqref="D105"/>
    </sheetView>
  </sheetViews>
  <sheetFormatPr baseColWidth="10" defaultRowHeight="15" x14ac:dyDescent="0"/>
  <cols>
    <col min="1" max="1" width="21.83203125" bestFit="1" customWidth="1"/>
    <col min="2" max="2" width="22.1640625" customWidth="1"/>
  </cols>
  <sheetData>
    <row r="1" spans="1:11">
      <c r="A1" t="s">
        <v>270</v>
      </c>
      <c r="B1" t="s">
        <v>271</v>
      </c>
      <c r="C1" t="s">
        <v>272</v>
      </c>
      <c r="D1" t="s">
        <v>274</v>
      </c>
      <c r="E1" t="s">
        <v>275</v>
      </c>
      <c r="F1" t="s">
        <v>429</v>
      </c>
      <c r="G1" t="s">
        <v>277</v>
      </c>
      <c r="H1" t="s">
        <v>278</v>
      </c>
      <c r="I1" t="s">
        <v>279</v>
      </c>
      <c r="J1" t="s">
        <v>286</v>
      </c>
      <c r="K1" t="s">
        <v>287</v>
      </c>
    </row>
    <row r="2" spans="1:11">
      <c r="A2" t="s">
        <v>432</v>
      </c>
      <c r="B2" t="s">
        <v>273</v>
      </c>
      <c r="C2">
        <v>1</v>
      </c>
      <c r="D2">
        <v>16</v>
      </c>
      <c r="E2">
        <v>7590</v>
      </c>
      <c r="F2" s="4">
        <f>(E2-G2)/E2</f>
        <v>0.38102766798418974</v>
      </c>
      <c r="G2">
        <v>4698</v>
      </c>
      <c r="H2">
        <v>1295</v>
      </c>
      <c r="I2">
        <v>11</v>
      </c>
      <c r="J2">
        <v>0</v>
      </c>
      <c r="K2" t="s">
        <v>288</v>
      </c>
    </row>
    <row r="3" spans="1:11">
      <c r="B3" t="s">
        <v>276</v>
      </c>
      <c r="C3">
        <v>2</v>
      </c>
      <c r="D3">
        <v>15</v>
      </c>
      <c r="E3">
        <v>1029</v>
      </c>
      <c r="F3" s="4">
        <f>(E3-G3)/E3</f>
        <v>4.1788143828960157E-2</v>
      </c>
      <c r="G3">
        <v>986</v>
      </c>
      <c r="H3">
        <v>338</v>
      </c>
      <c r="I3">
        <v>0</v>
      </c>
    </row>
    <row r="4" spans="1:11">
      <c r="B4" t="s">
        <v>280</v>
      </c>
      <c r="C4">
        <v>3</v>
      </c>
      <c r="D4" t="s">
        <v>281</v>
      </c>
      <c r="F4" s="4" t="s">
        <v>430</v>
      </c>
    </row>
    <row r="5" spans="1:11">
      <c r="B5" t="s">
        <v>282</v>
      </c>
      <c r="C5">
        <v>4</v>
      </c>
      <c r="D5" t="s">
        <v>283</v>
      </c>
      <c r="F5" s="4" t="s">
        <v>430</v>
      </c>
    </row>
    <row r="6" spans="1:11">
      <c r="B6" t="s">
        <v>284</v>
      </c>
      <c r="C6">
        <v>5</v>
      </c>
      <c r="D6" t="s">
        <v>283</v>
      </c>
      <c r="F6" s="4" t="s">
        <v>430</v>
      </c>
    </row>
    <row r="7" spans="1:11">
      <c r="B7" t="s">
        <v>285</v>
      </c>
      <c r="C7">
        <v>6</v>
      </c>
      <c r="D7">
        <v>5</v>
      </c>
      <c r="E7">
        <v>752</v>
      </c>
      <c r="F7" s="4">
        <f t="shared" ref="F7:F65" si="0">(E7-G7)/E7</f>
        <v>6.9148936170212769E-2</v>
      </c>
      <c r="G7">
        <v>700</v>
      </c>
      <c r="H7">
        <v>91</v>
      </c>
      <c r="I7">
        <v>0</v>
      </c>
    </row>
    <row r="8" spans="1:11">
      <c r="B8" t="s">
        <v>289</v>
      </c>
      <c r="C8">
        <v>7</v>
      </c>
      <c r="D8">
        <v>20736</v>
      </c>
      <c r="E8">
        <v>4486</v>
      </c>
      <c r="F8" s="4">
        <f t="shared" si="0"/>
        <v>4.1462327240303166E-2</v>
      </c>
      <c r="G8">
        <v>4300</v>
      </c>
      <c r="H8">
        <v>4100</v>
      </c>
      <c r="J8" t="s">
        <v>290</v>
      </c>
      <c r="K8" t="s">
        <v>292</v>
      </c>
    </row>
    <row r="9" spans="1:11">
      <c r="B9" t="s">
        <v>293</v>
      </c>
      <c r="C9">
        <v>8</v>
      </c>
      <c r="D9" t="s">
        <v>281</v>
      </c>
      <c r="F9" s="4" t="s">
        <v>430</v>
      </c>
    </row>
    <row r="10" spans="1:11">
      <c r="B10" t="s">
        <v>294</v>
      </c>
      <c r="C10">
        <v>9</v>
      </c>
      <c r="D10">
        <v>10</v>
      </c>
      <c r="E10">
        <v>1997</v>
      </c>
      <c r="F10" s="4">
        <f t="shared" si="0"/>
        <v>0.64947421131697547</v>
      </c>
      <c r="G10">
        <v>700</v>
      </c>
      <c r="H10">
        <v>18</v>
      </c>
      <c r="J10" t="s">
        <v>291</v>
      </c>
    </row>
    <row r="11" spans="1:11">
      <c r="A11" t="s">
        <v>295</v>
      </c>
      <c r="B11" t="s">
        <v>296</v>
      </c>
      <c r="C11">
        <v>2</v>
      </c>
      <c r="D11">
        <v>4</v>
      </c>
      <c r="E11">
        <v>1144</v>
      </c>
      <c r="F11" s="4">
        <f t="shared" si="0"/>
        <v>4.5454545454545456E-2</v>
      </c>
      <c r="G11">
        <v>1092</v>
      </c>
    </row>
    <row r="12" spans="1:11">
      <c r="B12" t="s">
        <v>297</v>
      </c>
      <c r="C12">
        <v>4</v>
      </c>
      <c r="D12">
        <v>4</v>
      </c>
      <c r="E12">
        <v>1151</v>
      </c>
      <c r="F12" s="4">
        <f t="shared" si="0"/>
        <v>3.4752389226759342E-2</v>
      </c>
      <c r="G12">
        <v>1111</v>
      </c>
    </row>
    <row r="13" spans="1:11">
      <c r="B13" t="s">
        <v>298</v>
      </c>
      <c r="C13">
        <v>7</v>
      </c>
      <c r="D13" t="s">
        <v>283</v>
      </c>
      <c r="F13" s="4" t="s">
        <v>430</v>
      </c>
    </row>
    <row r="14" spans="1:11">
      <c r="B14" t="s">
        <v>299</v>
      </c>
      <c r="C14">
        <v>8</v>
      </c>
      <c r="D14" t="s">
        <v>283</v>
      </c>
      <c r="F14" s="4" t="s">
        <v>430</v>
      </c>
    </row>
    <row r="15" spans="1:11">
      <c r="B15" t="s">
        <v>300</v>
      </c>
      <c r="C15">
        <v>13</v>
      </c>
      <c r="D15">
        <v>5</v>
      </c>
      <c r="E15">
        <v>369</v>
      </c>
      <c r="F15" s="4">
        <f t="shared" si="0"/>
        <v>-5.9620596205962058E-2</v>
      </c>
      <c r="G15">
        <v>391</v>
      </c>
    </row>
    <row r="16" spans="1:11">
      <c r="B16" t="s">
        <v>301</v>
      </c>
      <c r="C16">
        <v>14</v>
      </c>
      <c r="D16" t="s">
        <v>302</v>
      </c>
      <c r="F16" s="4" t="s">
        <v>430</v>
      </c>
    </row>
    <row r="17" spans="1:10">
      <c r="B17" t="s">
        <v>297</v>
      </c>
      <c r="C17">
        <v>16</v>
      </c>
      <c r="D17">
        <v>12</v>
      </c>
      <c r="E17">
        <v>20633</v>
      </c>
      <c r="F17" s="4">
        <f t="shared" si="0"/>
        <v>5.0065429166868611E-2</v>
      </c>
      <c r="G17">
        <v>19600</v>
      </c>
      <c r="J17" t="s">
        <v>322</v>
      </c>
    </row>
    <row r="18" spans="1:10">
      <c r="B18" t="s">
        <v>303</v>
      </c>
      <c r="C18">
        <v>18</v>
      </c>
      <c r="D18">
        <v>15</v>
      </c>
      <c r="E18">
        <v>10064</v>
      </c>
      <c r="F18" s="4">
        <f t="shared" si="0"/>
        <v>2.3350556438791734E-2</v>
      </c>
      <c r="G18">
        <v>9829</v>
      </c>
      <c r="H18">
        <v>798</v>
      </c>
    </row>
    <row r="19" spans="1:10">
      <c r="B19" t="s">
        <v>299</v>
      </c>
      <c r="C19">
        <v>19</v>
      </c>
      <c r="D19">
        <v>15</v>
      </c>
      <c r="E19">
        <v>8729</v>
      </c>
      <c r="F19" s="4">
        <f t="shared" si="0"/>
        <v>8.6378737541528236E-2</v>
      </c>
      <c r="G19">
        <v>7975</v>
      </c>
      <c r="H19">
        <v>239</v>
      </c>
      <c r="I19">
        <v>0</v>
      </c>
      <c r="J19" t="s">
        <v>304</v>
      </c>
    </row>
    <row r="20" spans="1:10">
      <c r="B20" t="s">
        <v>305</v>
      </c>
      <c r="C20">
        <v>21</v>
      </c>
      <c r="D20" t="s">
        <v>283</v>
      </c>
      <c r="F20" s="4" t="s">
        <v>430</v>
      </c>
    </row>
    <row r="21" spans="1:10">
      <c r="B21" t="s">
        <v>306</v>
      </c>
      <c r="C21">
        <v>20</v>
      </c>
      <c r="D21">
        <v>11</v>
      </c>
      <c r="E21">
        <v>6269</v>
      </c>
      <c r="F21" s="4">
        <f t="shared" si="0"/>
        <v>-0.15233689583665658</v>
      </c>
      <c r="G21">
        <v>7224</v>
      </c>
      <c r="I21">
        <v>0</v>
      </c>
    </row>
    <row r="22" spans="1:10">
      <c r="A22" t="s">
        <v>307</v>
      </c>
      <c r="B22" t="s">
        <v>308</v>
      </c>
      <c r="C22">
        <v>1</v>
      </c>
      <c r="D22">
        <v>5</v>
      </c>
      <c r="E22">
        <v>6471</v>
      </c>
      <c r="F22" s="4">
        <f t="shared" si="0"/>
        <v>0.31556173698037399</v>
      </c>
      <c r="G22">
        <v>4429</v>
      </c>
      <c r="I22">
        <v>2</v>
      </c>
      <c r="J22" t="s">
        <v>312</v>
      </c>
    </row>
    <row r="23" spans="1:10">
      <c r="B23" t="s">
        <v>309</v>
      </c>
      <c r="C23">
        <v>2</v>
      </c>
      <c r="D23" t="s">
        <v>310</v>
      </c>
      <c r="F23" s="4" t="s">
        <v>430</v>
      </c>
    </row>
    <row r="24" spans="1:10">
      <c r="B24" t="s">
        <v>311</v>
      </c>
      <c r="C24">
        <v>3</v>
      </c>
      <c r="D24">
        <v>4</v>
      </c>
      <c r="E24">
        <v>1928</v>
      </c>
      <c r="F24" s="4">
        <f t="shared" si="0"/>
        <v>2.0746887966804979E-3</v>
      </c>
      <c r="G24">
        <v>1924</v>
      </c>
      <c r="I24">
        <v>0</v>
      </c>
      <c r="J24" t="s">
        <v>313</v>
      </c>
    </row>
    <row r="25" spans="1:10">
      <c r="B25" t="s">
        <v>314</v>
      </c>
      <c r="C25">
        <v>4</v>
      </c>
      <c r="D25" t="s">
        <v>281</v>
      </c>
      <c r="F25" s="4" t="s">
        <v>430</v>
      </c>
    </row>
    <row r="26" spans="1:10">
      <c r="B26" t="s">
        <v>315</v>
      </c>
      <c r="C26">
        <v>6</v>
      </c>
      <c r="D26" t="s">
        <v>283</v>
      </c>
      <c r="F26" s="4" t="s">
        <v>430</v>
      </c>
    </row>
    <row r="27" spans="1:10">
      <c r="B27" t="s">
        <v>316</v>
      </c>
      <c r="C27">
        <v>7</v>
      </c>
      <c r="D27">
        <v>4</v>
      </c>
      <c r="E27">
        <v>1845</v>
      </c>
      <c r="F27" s="4">
        <f t="shared" si="0"/>
        <v>-9.7560975609756097E-3</v>
      </c>
      <c r="G27">
        <v>1863</v>
      </c>
      <c r="I27">
        <v>0</v>
      </c>
      <c r="J27" t="s">
        <v>313</v>
      </c>
    </row>
    <row r="28" spans="1:10">
      <c r="B28" t="s">
        <v>317</v>
      </c>
      <c r="C28">
        <v>8</v>
      </c>
      <c r="D28" t="s">
        <v>281</v>
      </c>
      <c r="F28" s="4" t="s">
        <v>430</v>
      </c>
    </row>
    <row r="29" spans="1:10">
      <c r="B29" t="s">
        <v>319</v>
      </c>
      <c r="C29">
        <v>9</v>
      </c>
      <c r="D29" t="s">
        <v>281</v>
      </c>
      <c r="F29" s="4" t="s">
        <v>430</v>
      </c>
    </row>
    <row r="30" spans="1:10">
      <c r="B30" t="s">
        <v>320</v>
      </c>
      <c r="C30">
        <v>10</v>
      </c>
      <c r="D30">
        <v>24</v>
      </c>
      <c r="E30">
        <v>16891</v>
      </c>
      <c r="F30" s="4">
        <f t="shared" si="0"/>
        <v>0.59286010301343905</v>
      </c>
      <c r="G30">
        <v>6877</v>
      </c>
      <c r="I30">
        <v>0</v>
      </c>
      <c r="J30" t="s">
        <v>318</v>
      </c>
    </row>
    <row r="31" spans="1:10">
      <c r="B31" t="s">
        <v>321</v>
      </c>
      <c r="C31">
        <v>11</v>
      </c>
      <c r="D31">
        <v>19</v>
      </c>
      <c r="E31">
        <v>7407</v>
      </c>
      <c r="F31" s="4">
        <f t="shared" si="0"/>
        <v>3.4561900904549747E-2</v>
      </c>
      <c r="G31">
        <v>7151</v>
      </c>
      <c r="I31">
        <v>0</v>
      </c>
      <c r="J31" t="s">
        <v>324</v>
      </c>
    </row>
    <row r="32" spans="1:10">
      <c r="B32" t="s">
        <v>323</v>
      </c>
      <c r="C32">
        <v>12</v>
      </c>
      <c r="D32">
        <v>25</v>
      </c>
      <c r="E32">
        <v>4790</v>
      </c>
      <c r="F32" s="4">
        <f t="shared" si="0"/>
        <v>2.5678496868475991E-2</v>
      </c>
      <c r="G32">
        <v>4667</v>
      </c>
    </row>
    <row r="33" spans="1:10">
      <c r="A33" t="s">
        <v>325</v>
      </c>
      <c r="B33" t="s">
        <v>326</v>
      </c>
      <c r="C33">
        <v>1</v>
      </c>
      <c r="D33">
        <v>7</v>
      </c>
      <c r="E33">
        <v>3381</v>
      </c>
      <c r="F33" s="4">
        <f t="shared" si="0"/>
        <v>-6.9210292812777283E-2</v>
      </c>
      <c r="G33">
        <v>3615</v>
      </c>
    </row>
    <row r="34" spans="1:10">
      <c r="B34" t="s">
        <v>327</v>
      </c>
      <c r="C34">
        <v>2</v>
      </c>
      <c r="D34" t="s">
        <v>328</v>
      </c>
      <c r="F34" s="4" t="s">
        <v>430</v>
      </c>
    </row>
    <row r="35" spans="1:10">
      <c r="A35" t="s">
        <v>329</v>
      </c>
      <c r="B35" t="s">
        <v>330</v>
      </c>
      <c r="C35">
        <v>1</v>
      </c>
      <c r="D35">
        <v>10</v>
      </c>
      <c r="E35">
        <v>16006</v>
      </c>
      <c r="F35" s="4">
        <f t="shared" si="0"/>
        <v>3.0738473072597777E-2</v>
      </c>
      <c r="G35">
        <v>15514</v>
      </c>
      <c r="I35">
        <v>0</v>
      </c>
    </row>
    <row r="36" spans="1:10">
      <c r="B36" t="s">
        <v>331</v>
      </c>
      <c r="C36">
        <v>2</v>
      </c>
      <c r="D36" t="s">
        <v>283</v>
      </c>
      <c r="F36" s="4" t="s">
        <v>430</v>
      </c>
    </row>
    <row r="37" spans="1:10">
      <c r="B37" t="s">
        <v>332</v>
      </c>
      <c r="C37">
        <v>3</v>
      </c>
      <c r="D37" t="s">
        <v>337</v>
      </c>
      <c r="F37" s="4" t="s">
        <v>430</v>
      </c>
    </row>
    <row r="38" spans="1:10">
      <c r="B38" t="s">
        <v>333</v>
      </c>
      <c r="C38">
        <v>4</v>
      </c>
      <c r="D38">
        <v>32</v>
      </c>
      <c r="E38">
        <v>4859</v>
      </c>
      <c r="F38" s="4">
        <f t="shared" si="0"/>
        <v>7.4089318789874459E-2</v>
      </c>
      <c r="G38">
        <v>4499</v>
      </c>
      <c r="I38">
        <v>0</v>
      </c>
      <c r="J38" t="s">
        <v>338</v>
      </c>
    </row>
    <row r="39" spans="1:10">
      <c r="B39" t="s">
        <v>334</v>
      </c>
      <c r="C39">
        <v>5</v>
      </c>
      <c r="D39" t="s">
        <v>283</v>
      </c>
      <c r="F39" s="4" t="s">
        <v>430</v>
      </c>
    </row>
    <row r="40" spans="1:10">
      <c r="B40" t="s">
        <v>335</v>
      </c>
      <c r="C40">
        <v>6</v>
      </c>
      <c r="D40">
        <v>34</v>
      </c>
      <c r="E40">
        <v>7696</v>
      </c>
      <c r="F40" s="4">
        <f t="shared" si="0"/>
        <v>0.1645010395010395</v>
      </c>
      <c r="G40">
        <v>6430</v>
      </c>
      <c r="I40">
        <v>0</v>
      </c>
    </row>
    <row r="41" spans="1:10">
      <c r="B41" t="s">
        <v>336</v>
      </c>
      <c r="C41">
        <v>7</v>
      </c>
      <c r="D41" t="s">
        <v>283</v>
      </c>
      <c r="F41" s="4" t="s">
        <v>430</v>
      </c>
    </row>
    <row r="42" spans="1:10">
      <c r="A42" t="s">
        <v>340</v>
      </c>
      <c r="B42" t="s">
        <v>341</v>
      </c>
      <c r="C42">
        <v>1</v>
      </c>
      <c r="D42" t="s">
        <v>283</v>
      </c>
      <c r="F42" s="4" t="s">
        <v>430</v>
      </c>
    </row>
    <row r="43" spans="1:10">
      <c r="A43" t="s">
        <v>339</v>
      </c>
      <c r="B43" t="s">
        <v>342</v>
      </c>
      <c r="C43">
        <v>3</v>
      </c>
      <c r="D43">
        <v>3</v>
      </c>
      <c r="E43">
        <v>6341</v>
      </c>
      <c r="F43" s="4">
        <f t="shared" si="0"/>
        <v>0.36035325658413497</v>
      </c>
      <c r="G43">
        <v>4056</v>
      </c>
      <c r="I43">
        <v>0</v>
      </c>
      <c r="J43" s="1" t="s">
        <v>343</v>
      </c>
    </row>
    <row r="44" spans="1:10">
      <c r="B44" t="s">
        <v>344</v>
      </c>
      <c r="C44">
        <v>4</v>
      </c>
      <c r="D44" t="s">
        <v>281</v>
      </c>
      <c r="F44" s="4" t="s">
        <v>430</v>
      </c>
    </row>
    <row r="45" spans="1:10">
      <c r="B45" t="s">
        <v>346</v>
      </c>
      <c r="C45">
        <v>5</v>
      </c>
      <c r="D45" t="s">
        <v>281</v>
      </c>
      <c r="F45" s="4" t="s">
        <v>430</v>
      </c>
    </row>
    <row r="46" spans="1:10">
      <c r="B46" t="s">
        <v>347</v>
      </c>
      <c r="C46">
        <v>6</v>
      </c>
      <c r="D46" t="s">
        <v>281</v>
      </c>
      <c r="F46" s="4" t="s">
        <v>430</v>
      </c>
    </row>
    <row r="47" spans="1:10">
      <c r="B47" t="s">
        <v>349</v>
      </c>
      <c r="C47">
        <v>7</v>
      </c>
      <c r="D47">
        <v>16</v>
      </c>
      <c r="E47">
        <v>5794</v>
      </c>
      <c r="F47" s="4">
        <f t="shared" si="0"/>
        <v>5.695547117707974E-3</v>
      </c>
      <c r="G47">
        <v>5761</v>
      </c>
      <c r="J47" t="s">
        <v>348</v>
      </c>
    </row>
    <row r="48" spans="1:10">
      <c r="B48" t="s">
        <v>350</v>
      </c>
      <c r="C48">
        <v>8</v>
      </c>
      <c r="D48">
        <v>12</v>
      </c>
      <c r="E48">
        <v>3936</v>
      </c>
      <c r="F48" s="4">
        <f t="shared" si="0"/>
        <v>0.11229674796747967</v>
      </c>
      <c r="G48">
        <v>3494</v>
      </c>
      <c r="I48">
        <v>0</v>
      </c>
      <c r="J48" t="s">
        <v>348</v>
      </c>
    </row>
    <row r="49" spans="1:10">
      <c r="B49" t="s">
        <v>351</v>
      </c>
      <c r="C49">
        <v>9</v>
      </c>
      <c r="D49">
        <v>5</v>
      </c>
      <c r="E49">
        <v>2535</v>
      </c>
      <c r="F49" s="4">
        <f t="shared" si="0"/>
        <v>1.0256410256410256E-2</v>
      </c>
      <c r="G49">
        <v>2509</v>
      </c>
    </row>
    <row r="50" spans="1:10">
      <c r="B50" t="s">
        <v>352</v>
      </c>
      <c r="C50">
        <v>10</v>
      </c>
      <c r="D50">
        <v>25</v>
      </c>
      <c r="E50">
        <v>1242</v>
      </c>
      <c r="F50" s="4">
        <f t="shared" si="0"/>
        <v>5.7165861513687598E-2</v>
      </c>
      <c r="G50">
        <v>1171</v>
      </c>
    </row>
    <row r="51" spans="1:10">
      <c r="A51" t="s">
        <v>353</v>
      </c>
      <c r="B51" t="s">
        <v>354</v>
      </c>
      <c r="C51">
        <v>3</v>
      </c>
      <c r="D51">
        <v>2</v>
      </c>
      <c r="E51" s="2">
        <v>41974</v>
      </c>
      <c r="F51" s="4">
        <f t="shared" si="0"/>
        <v>-0.12807928717777672</v>
      </c>
      <c r="G51">
        <v>47350</v>
      </c>
      <c r="H51">
        <v>40714</v>
      </c>
      <c r="I51">
        <v>0</v>
      </c>
    </row>
    <row r="52" spans="1:10">
      <c r="A52" t="s">
        <v>355</v>
      </c>
      <c r="B52" t="s">
        <v>356</v>
      </c>
      <c r="C52">
        <v>2</v>
      </c>
      <c r="D52">
        <v>14</v>
      </c>
      <c r="E52">
        <v>4089</v>
      </c>
      <c r="F52" s="4">
        <f t="shared" si="0"/>
        <v>0.58840792369772565</v>
      </c>
      <c r="G52">
        <v>1683</v>
      </c>
      <c r="H52">
        <v>708</v>
      </c>
      <c r="I52">
        <v>0</v>
      </c>
    </row>
    <row r="53" spans="1:10">
      <c r="B53" t="s">
        <v>357</v>
      </c>
      <c r="C53">
        <v>3</v>
      </c>
      <c r="D53">
        <v>12</v>
      </c>
      <c r="E53">
        <v>12187</v>
      </c>
      <c r="F53" s="4">
        <f t="shared" si="0"/>
        <v>0.51604168376138504</v>
      </c>
      <c r="G53">
        <v>5898</v>
      </c>
      <c r="H53">
        <v>132</v>
      </c>
      <c r="I53">
        <v>0</v>
      </c>
    </row>
    <row r="54" spans="1:10">
      <c r="B54" t="s">
        <v>357</v>
      </c>
      <c r="C54">
        <v>4</v>
      </c>
      <c r="D54">
        <v>8</v>
      </c>
      <c r="E54">
        <v>31459</v>
      </c>
      <c r="F54" s="4">
        <f t="shared" si="0"/>
        <v>0.73063352299818807</v>
      </c>
      <c r="G54">
        <v>8474</v>
      </c>
      <c r="H54">
        <v>2511</v>
      </c>
      <c r="I54">
        <v>0</v>
      </c>
    </row>
    <row r="55" spans="1:10">
      <c r="B55" t="s">
        <v>358</v>
      </c>
      <c r="C55">
        <v>5</v>
      </c>
      <c r="D55">
        <v>6</v>
      </c>
      <c r="E55">
        <v>1165</v>
      </c>
      <c r="F55" s="4">
        <f t="shared" si="0"/>
        <v>0.12703862660944207</v>
      </c>
      <c r="G55">
        <v>1017</v>
      </c>
      <c r="H55">
        <v>457</v>
      </c>
      <c r="I55">
        <v>0</v>
      </c>
    </row>
    <row r="56" spans="1:10">
      <c r="B56" t="s">
        <v>359</v>
      </c>
      <c r="C56">
        <v>6</v>
      </c>
      <c r="D56">
        <v>5</v>
      </c>
      <c r="E56">
        <v>1229</v>
      </c>
      <c r="F56" s="4">
        <f t="shared" si="0"/>
        <v>0.15134255492270138</v>
      </c>
      <c r="G56">
        <v>1043</v>
      </c>
      <c r="H56">
        <v>398</v>
      </c>
      <c r="I56">
        <v>0</v>
      </c>
    </row>
    <row r="57" spans="1:10">
      <c r="B57" t="s">
        <v>360</v>
      </c>
      <c r="C57">
        <v>7</v>
      </c>
      <c r="D57">
        <v>9</v>
      </c>
      <c r="E57">
        <v>4187</v>
      </c>
      <c r="F57" s="4">
        <f t="shared" si="0"/>
        <v>0.14974922378791497</v>
      </c>
      <c r="G57">
        <v>3560</v>
      </c>
      <c r="H57">
        <v>1056</v>
      </c>
      <c r="I57">
        <v>0</v>
      </c>
    </row>
    <row r="58" spans="1:10">
      <c r="B58" t="s">
        <v>361</v>
      </c>
      <c r="C58">
        <v>8</v>
      </c>
      <c r="D58">
        <v>12</v>
      </c>
      <c r="E58">
        <v>13469</v>
      </c>
      <c r="F58" s="4">
        <f t="shared" si="0"/>
        <v>0.5471081743262306</v>
      </c>
      <c r="G58">
        <v>6100</v>
      </c>
      <c r="H58">
        <v>747</v>
      </c>
      <c r="I58">
        <v>0</v>
      </c>
    </row>
    <row r="59" spans="1:10">
      <c r="B59" t="s">
        <v>361</v>
      </c>
      <c r="C59">
        <v>9</v>
      </c>
      <c r="D59">
        <v>8</v>
      </c>
      <c r="E59">
        <v>33821</v>
      </c>
      <c r="F59" s="4">
        <f t="shared" si="0"/>
        <v>0.71902072676739304</v>
      </c>
      <c r="G59">
        <v>9503</v>
      </c>
      <c r="H59">
        <v>903</v>
      </c>
      <c r="I59">
        <v>0</v>
      </c>
    </row>
    <row r="60" spans="1:10">
      <c r="B60" t="s">
        <v>362</v>
      </c>
      <c r="C60">
        <v>10</v>
      </c>
      <c r="D60">
        <v>2</v>
      </c>
      <c r="E60">
        <v>1224</v>
      </c>
      <c r="F60" s="4">
        <f t="shared" si="0"/>
        <v>4.7385620915032678E-2</v>
      </c>
      <c r="G60">
        <v>1166</v>
      </c>
      <c r="H60">
        <v>202</v>
      </c>
      <c r="I60">
        <v>1</v>
      </c>
      <c r="J60" t="s">
        <v>363</v>
      </c>
    </row>
    <row r="61" spans="1:10">
      <c r="B61" t="s">
        <v>365</v>
      </c>
      <c r="C61">
        <v>11</v>
      </c>
      <c r="D61">
        <v>2</v>
      </c>
      <c r="E61">
        <v>10849</v>
      </c>
      <c r="F61" s="4">
        <f t="shared" si="0"/>
        <v>0.20591759609180571</v>
      </c>
      <c r="G61">
        <v>8615</v>
      </c>
      <c r="H61">
        <v>403</v>
      </c>
      <c r="I61">
        <v>0</v>
      </c>
      <c r="J61" t="s">
        <v>364</v>
      </c>
    </row>
    <row r="62" spans="1:10">
      <c r="B62" t="s">
        <v>366</v>
      </c>
      <c r="C62">
        <v>12</v>
      </c>
      <c r="D62" t="s">
        <v>283</v>
      </c>
      <c r="F62" s="4" t="s">
        <v>430</v>
      </c>
    </row>
    <row r="63" spans="1:10">
      <c r="B63" t="s">
        <v>367</v>
      </c>
      <c r="C63">
        <v>13</v>
      </c>
      <c r="D63">
        <v>4</v>
      </c>
      <c r="E63">
        <v>28623</v>
      </c>
      <c r="F63" s="4">
        <f t="shared" si="0"/>
        <v>7.1760472347412924E-2</v>
      </c>
      <c r="G63">
        <v>26569</v>
      </c>
      <c r="H63">
        <v>1104</v>
      </c>
      <c r="I63">
        <v>0</v>
      </c>
      <c r="J63" t="s">
        <v>368</v>
      </c>
    </row>
    <row r="64" spans="1:10">
      <c r="B64" t="s">
        <v>367</v>
      </c>
      <c r="C64">
        <v>14</v>
      </c>
      <c r="D64">
        <v>11</v>
      </c>
      <c r="E64">
        <v>77024</v>
      </c>
      <c r="F64" s="4">
        <f t="shared" si="0"/>
        <v>0.23901641046946406</v>
      </c>
      <c r="G64">
        <v>58614</v>
      </c>
      <c r="H64">
        <v>1050</v>
      </c>
      <c r="I64">
        <v>0</v>
      </c>
    </row>
    <row r="65" spans="1:10">
      <c r="B65" t="s">
        <v>367</v>
      </c>
      <c r="C65">
        <v>15</v>
      </c>
      <c r="D65">
        <v>6</v>
      </c>
      <c r="E65">
        <v>21196</v>
      </c>
      <c r="F65" s="4">
        <f t="shared" si="0"/>
        <v>8.3695036799396119E-2</v>
      </c>
      <c r="G65">
        <v>19422</v>
      </c>
      <c r="H65">
        <v>396</v>
      </c>
      <c r="I65">
        <v>0</v>
      </c>
    </row>
    <row r="66" spans="1:10">
      <c r="B66" t="s">
        <v>367</v>
      </c>
      <c r="C66">
        <v>16</v>
      </c>
      <c r="F66" s="4" t="s">
        <v>430</v>
      </c>
      <c r="J66" s="3" t="s">
        <v>369</v>
      </c>
    </row>
    <row r="67" spans="1:10">
      <c r="B67" t="s">
        <v>370</v>
      </c>
      <c r="C67">
        <v>17</v>
      </c>
      <c r="D67" t="s">
        <v>283</v>
      </c>
      <c r="F67" s="4" t="s">
        <v>430</v>
      </c>
    </row>
    <row r="68" spans="1:10">
      <c r="B68" t="s">
        <v>371</v>
      </c>
      <c r="C68">
        <v>18</v>
      </c>
      <c r="D68" t="s">
        <v>283</v>
      </c>
      <c r="F68" s="4" t="s">
        <v>430</v>
      </c>
    </row>
    <row r="69" spans="1:10">
      <c r="B69" t="s">
        <v>372</v>
      </c>
      <c r="C69">
        <v>20</v>
      </c>
      <c r="D69">
        <v>2</v>
      </c>
      <c r="E69">
        <v>4302</v>
      </c>
      <c r="F69" s="4">
        <f t="shared" ref="F69:F105" si="1">(E69-G69)/E69</f>
        <v>0.44932589493258951</v>
      </c>
      <c r="G69">
        <v>2369</v>
      </c>
      <c r="H69">
        <v>2276</v>
      </c>
      <c r="I69">
        <v>0</v>
      </c>
    </row>
    <row r="70" spans="1:10">
      <c r="B70" t="s">
        <v>373</v>
      </c>
      <c r="C70">
        <v>21</v>
      </c>
      <c r="D70">
        <v>2</v>
      </c>
      <c r="E70">
        <v>18483</v>
      </c>
      <c r="F70" s="4">
        <f t="shared" si="1"/>
        <v>0.53048747497700588</v>
      </c>
      <c r="G70">
        <v>8678</v>
      </c>
      <c r="H70">
        <v>8444</v>
      </c>
      <c r="I70">
        <v>0</v>
      </c>
    </row>
    <row r="71" spans="1:10" s="3" customFormat="1">
      <c r="A71" s="3" t="s">
        <v>374</v>
      </c>
      <c r="B71" s="3" t="s">
        <v>382</v>
      </c>
      <c r="C71" s="3">
        <v>2</v>
      </c>
      <c r="F71" s="5" t="s">
        <v>430</v>
      </c>
      <c r="J71" s="3" t="s">
        <v>383</v>
      </c>
    </row>
    <row r="72" spans="1:10" s="3" customFormat="1">
      <c r="A72" s="3" t="s">
        <v>375</v>
      </c>
      <c r="B72" s="3" t="s">
        <v>382</v>
      </c>
      <c r="C72" s="3">
        <v>2</v>
      </c>
      <c r="F72" s="5" t="s">
        <v>430</v>
      </c>
      <c r="J72" s="3" t="s">
        <v>383</v>
      </c>
    </row>
    <row r="73" spans="1:10" s="3" customFormat="1">
      <c r="A73" s="3" t="s">
        <v>376</v>
      </c>
      <c r="B73" s="3" t="s">
        <v>384</v>
      </c>
      <c r="C73" s="3">
        <v>2</v>
      </c>
      <c r="D73" s="3" t="s">
        <v>385</v>
      </c>
      <c r="F73" s="5" t="s">
        <v>430</v>
      </c>
      <c r="J73" s="3" t="s">
        <v>386</v>
      </c>
    </row>
    <row r="74" spans="1:10">
      <c r="A74" t="s">
        <v>377</v>
      </c>
      <c r="B74" t="s">
        <v>388</v>
      </c>
      <c r="C74">
        <v>2</v>
      </c>
      <c r="D74">
        <v>2</v>
      </c>
      <c r="E74">
        <v>17673</v>
      </c>
      <c r="F74" s="4">
        <f t="shared" si="1"/>
        <v>0.12929327222316528</v>
      </c>
      <c r="G74">
        <v>15388</v>
      </c>
      <c r="H74">
        <v>10348</v>
      </c>
      <c r="I74">
        <v>2</v>
      </c>
      <c r="J74" t="s">
        <v>363</v>
      </c>
    </row>
    <row r="75" spans="1:10">
      <c r="B75" t="s">
        <v>387</v>
      </c>
      <c r="C75">
        <v>3</v>
      </c>
      <c r="D75">
        <v>6</v>
      </c>
      <c r="E75">
        <v>40086</v>
      </c>
      <c r="F75" s="4">
        <f t="shared" si="1"/>
        <v>3.6845781569625306E-2</v>
      </c>
      <c r="G75">
        <v>38609</v>
      </c>
      <c r="H75">
        <v>1315</v>
      </c>
      <c r="I75">
        <v>0</v>
      </c>
      <c r="J75" t="s">
        <v>363</v>
      </c>
    </row>
    <row r="76" spans="1:10">
      <c r="A76" t="s">
        <v>378</v>
      </c>
      <c r="B76" t="s">
        <v>389</v>
      </c>
      <c r="C76">
        <v>0</v>
      </c>
      <c r="D76">
        <v>4</v>
      </c>
      <c r="E76">
        <v>184</v>
      </c>
      <c r="F76" s="4">
        <f t="shared" si="1"/>
        <v>1.0869565217391304E-2</v>
      </c>
      <c r="G76">
        <v>182</v>
      </c>
      <c r="I76">
        <v>0</v>
      </c>
      <c r="J76" t="s">
        <v>390</v>
      </c>
    </row>
    <row r="77" spans="1:10">
      <c r="B77" t="s">
        <v>391</v>
      </c>
      <c r="C77">
        <v>1</v>
      </c>
      <c r="D77">
        <v>4</v>
      </c>
      <c r="E77">
        <v>10593</v>
      </c>
      <c r="F77" s="4">
        <f t="shared" si="1"/>
        <v>0.37392617766449543</v>
      </c>
      <c r="G77">
        <v>6632</v>
      </c>
      <c r="H77">
        <v>938</v>
      </c>
      <c r="I77">
        <v>0</v>
      </c>
      <c r="J77" t="s">
        <v>392</v>
      </c>
    </row>
    <row r="78" spans="1:10">
      <c r="B78" t="s">
        <v>394</v>
      </c>
      <c r="C78">
        <v>2</v>
      </c>
      <c r="D78" t="s">
        <v>393</v>
      </c>
      <c r="F78" s="4" t="s">
        <v>430</v>
      </c>
    </row>
    <row r="79" spans="1:10">
      <c r="A79" t="s">
        <v>379</v>
      </c>
      <c r="B79" t="s">
        <v>395</v>
      </c>
      <c r="C79">
        <v>1</v>
      </c>
      <c r="D79">
        <v>8</v>
      </c>
      <c r="E79">
        <v>3602</v>
      </c>
      <c r="F79" s="4">
        <f t="shared" si="1"/>
        <v>0.72820655191560246</v>
      </c>
      <c r="G79">
        <v>979</v>
      </c>
      <c r="H79">
        <v>738</v>
      </c>
      <c r="I79">
        <v>0</v>
      </c>
    </row>
    <row r="80" spans="1:10">
      <c r="A80" t="s">
        <v>380</v>
      </c>
      <c r="B80" t="s">
        <v>389</v>
      </c>
      <c r="C80">
        <v>1</v>
      </c>
      <c r="D80" t="s">
        <v>281</v>
      </c>
      <c r="F80" s="4" t="s">
        <v>430</v>
      </c>
    </row>
    <row r="81" spans="1:13">
      <c r="B81" t="s">
        <v>398</v>
      </c>
      <c r="C81">
        <v>3</v>
      </c>
      <c r="D81">
        <v>2</v>
      </c>
      <c r="E81">
        <v>62456</v>
      </c>
      <c r="F81" s="4">
        <f t="shared" si="1"/>
        <v>0.16264250032022542</v>
      </c>
      <c r="G81">
        <v>52298</v>
      </c>
      <c r="H81">
        <v>49719</v>
      </c>
      <c r="I81">
        <v>0</v>
      </c>
      <c r="J81" t="s">
        <v>396</v>
      </c>
    </row>
    <row r="82" spans="1:13" s="3" customFormat="1">
      <c r="B82" s="3" t="s">
        <v>397</v>
      </c>
      <c r="C82" s="3">
        <v>4</v>
      </c>
      <c r="F82" s="5" t="s">
        <v>430</v>
      </c>
      <c r="J82" s="3" t="s">
        <v>399</v>
      </c>
    </row>
    <row r="83" spans="1:13">
      <c r="C83">
        <v>5</v>
      </c>
      <c r="D83" t="s">
        <v>281</v>
      </c>
      <c r="F83" s="4" t="s">
        <v>430</v>
      </c>
    </row>
    <row r="84" spans="1:13">
      <c r="A84" t="s">
        <v>381</v>
      </c>
      <c r="B84" t="s">
        <v>400</v>
      </c>
      <c r="C84">
        <v>1</v>
      </c>
      <c r="D84">
        <v>5</v>
      </c>
      <c r="E84">
        <v>32925</v>
      </c>
      <c r="F84" s="4">
        <f t="shared" si="1"/>
        <v>0.72151860288534553</v>
      </c>
      <c r="G84">
        <v>9169</v>
      </c>
      <c r="H84">
        <v>7057</v>
      </c>
      <c r="I84">
        <v>0</v>
      </c>
    </row>
    <row r="85" spans="1:13">
      <c r="A85" t="s">
        <v>404</v>
      </c>
      <c r="B85" t="s">
        <v>389</v>
      </c>
      <c r="C85">
        <v>2</v>
      </c>
      <c r="D85" t="s">
        <v>281</v>
      </c>
      <c r="F85" s="4" t="s">
        <v>430</v>
      </c>
    </row>
    <row r="86" spans="1:13">
      <c r="B86" t="s">
        <v>402</v>
      </c>
      <c r="C86">
        <v>4</v>
      </c>
      <c r="D86">
        <v>2</v>
      </c>
      <c r="E86">
        <v>18636</v>
      </c>
      <c r="F86" s="4">
        <f t="shared" si="1"/>
        <v>-1.7385705086928525E-2</v>
      </c>
      <c r="G86">
        <v>18960</v>
      </c>
      <c r="H86">
        <v>216</v>
      </c>
      <c r="J86" t="s">
        <v>403</v>
      </c>
      <c r="K86">
        <v>14366</v>
      </c>
      <c r="L86">
        <v>160</v>
      </c>
      <c r="M86" t="s">
        <v>405</v>
      </c>
    </row>
    <row r="87" spans="1:13">
      <c r="B87" t="s">
        <v>406</v>
      </c>
      <c r="C87">
        <v>5</v>
      </c>
      <c r="D87">
        <v>8</v>
      </c>
      <c r="E87">
        <v>31833</v>
      </c>
      <c r="F87" s="4">
        <f t="shared" si="1"/>
        <v>0.38579461565042567</v>
      </c>
      <c r="G87">
        <v>19552</v>
      </c>
      <c r="H87">
        <v>6084</v>
      </c>
      <c r="I87">
        <v>4</v>
      </c>
      <c r="J87" t="s">
        <v>407</v>
      </c>
    </row>
    <row r="88" spans="1:13">
      <c r="B88" t="s">
        <v>408</v>
      </c>
      <c r="C88">
        <v>6</v>
      </c>
      <c r="D88" t="s">
        <v>281</v>
      </c>
      <c r="F88" s="4" t="s">
        <v>430</v>
      </c>
      <c r="J88" t="s">
        <v>363</v>
      </c>
    </row>
    <row r="89" spans="1:13">
      <c r="C89">
        <v>7</v>
      </c>
      <c r="D89">
        <v>4</v>
      </c>
      <c r="E89">
        <v>1105</v>
      </c>
      <c r="F89" s="4">
        <f t="shared" si="1"/>
        <v>0.151131221719457</v>
      </c>
      <c r="G89">
        <v>938</v>
      </c>
      <c r="H89">
        <v>268</v>
      </c>
      <c r="I89">
        <v>0</v>
      </c>
    </row>
    <row r="90" spans="1:13">
      <c r="B90" t="s">
        <v>409</v>
      </c>
      <c r="C90">
        <v>8</v>
      </c>
      <c r="D90">
        <v>5</v>
      </c>
      <c r="E90">
        <v>1375</v>
      </c>
      <c r="F90" s="4">
        <f t="shared" si="1"/>
        <v>0.34836363636363638</v>
      </c>
      <c r="G90">
        <v>896</v>
      </c>
      <c r="H90">
        <v>462</v>
      </c>
      <c r="I90">
        <v>0</v>
      </c>
      <c r="J90" t="s">
        <v>363</v>
      </c>
    </row>
    <row r="91" spans="1:13">
      <c r="B91" t="s">
        <v>410</v>
      </c>
      <c r="C91">
        <v>9</v>
      </c>
      <c r="D91">
        <v>18</v>
      </c>
      <c r="E91">
        <v>1158</v>
      </c>
      <c r="F91" s="4">
        <f t="shared" si="1"/>
        <v>0.31347150259067358</v>
      </c>
      <c r="G91">
        <v>795</v>
      </c>
      <c r="H91">
        <v>289</v>
      </c>
      <c r="I91">
        <v>0</v>
      </c>
    </row>
    <row r="92" spans="1:13">
      <c r="B92" t="s">
        <v>411</v>
      </c>
      <c r="C92">
        <v>10</v>
      </c>
      <c r="D92">
        <v>4</v>
      </c>
      <c r="E92">
        <v>1298</v>
      </c>
      <c r="F92" s="4">
        <f t="shared" si="1"/>
        <v>2.6194144838212634E-2</v>
      </c>
      <c r="G92">
        <v>1264</v>
      </c>
      <c r="H92">
        <v>1155</v>
      </c>
      <c r="I92">
        <v>0</v>
      </c>
      <c r="J92" t="s">
        <v>412</v>
      </c>
    </row>
    <row r="93" spans="1:13">
      <c r="B93" t="s">
        <v>413</v>
      </c>
      <c r="C93">
        <v>11</v>
      </c>
      <c r="D93">
        <v>19</v>
      </c>
      <c r="E93">
        <v>2362</v>
      </c>
      <c r="F93" s="4">
        <f t="shared" si="1"/>
        <v>0.43945808636748518</v>
      </c>
      <c r="G93">
        <v>1324</v>
      </c>
      <c r="H93">
        <v>217</v>
      </c>
      <c r="I93">
        <v>0</v>
      </c>
    </row>
    <row r="94" spans="1:13">
      <c r="B94" t="s">
        <v>415</v>
      </c>
      <c r="C94">
        <v>12</v>
      </c>
      <c r="D94">
        <v>5</v>
      </c>
      <c r="E94">
        <v>1430</v>
      </c>
      <c r="F94" s="4">
        <f t="shared" si="1"/>
        <v>0.27552447552447551</v>
      </c>
      <c r="G94">
        <v>1036</v>
      </c>
      <c r="H94">
        <v>732</v>
      </c>
      <c r="I94">
        <v>0</v>
      </c>
      <c r="J94" t="s">
        <v>414</v>
      </c>
    </row>
    <row r="95" spans="1:13">
      <c r="B95" t="s">
        <v>417</v>
      </c>
      <c r="C95">
        <v>13</v>
      </c>
      <c r="D95" t="s">
        <v>283</v>
      </c>
      <c r="F95" s="4" t="s">
        <v>430</v>
      </c>
      <c r="J95" t="s">
        <v>416</v>
      </c>
    </row>
    <row r="96" spans="1:13">
      <c r="C96">
        <v>14</v>
      </c>
      <c r="D96" t="s">
        <v>281</v>
      </c>
      <c r="F96" s="4" t="s">
        <v>430</v>
      </c>
      <c r="J96" t="s">
        <v>416</v>
      </c>
    </row>
    <row r="97" spans="1:10">
      <c r="A97" t="s">
        <v>401</v>
      </c>
      <c r="B97" t="s">
        <v>418</v>
      </c>
      <c r="C97">
        <v>2</v>
      </c>
      <c r="D97">
        <v>9</v>
      </c>
      <c r="E97">
        <v>2821</v>
      </c>
      <c r="F97" s="4">
        <f t="shared" si="1"/>
        <v>0.31690889755405882</v>
      </c>
      <c r="G97">
        <v>1927</v>
      </c>
      <c r="H97">
        <v>751</v>
      </c>
      <c r="I97">
        <v>0</v>
      </c>
    </row>
    <row r="98" spans="1:10">
      <c r="B98" t="s">
        <v>419</v>
      </c>
      <c r="C98">
        <v>4</v>
      </c>
      <c r="D98" t="s">
        <v>283</v>
      </c>
      <c r="F98" s="4" t="s">
        <v>430</v>
      </c>
    </row>
    <row r="99" spans="1:10">
      <c r="B99" t="s">
        <v>420</v>
      </c>
      <c r="C99">
        <v>5</v>
      </c>
      <c r="D99" t="s">
        <v>281</v>
      </c>
      <c r="F99" s="4" t="s">
        <v>430</v>
      </c>
    </row>
    <row r="100" spans="1:10">
      <c r="B100" t="s">
        <v>421</v>
      </c>
      <c r="C100">
        <v>6</v>
      </c>
      <c r="D100">
        <v>6</v>
      </c>
      <c r="E100">
        <v>1290</v>
      </c>
      <c r="F100" s="4">
        <f t="shared" si="1"/>
        <v>0.20232558139534884</v>
      </c>
      <c r="G100">
        <v>1029</v>
      </c>
      <c r="H100">
        <v>962</v>
      </c>
      <c r="I100">
        <v>0</v>
      </c>
    </row>
    <row r="101" spans="1:10">
      <c r="B101" t="s">
        <v>422</v>
      </c>
      <c r="C101">
        <v>7</v>
      </c>
      <c r="D101" t="s">
        <v>283</v>
      </c>
      <c r="F101" s="4" t="s">
        <v>430</v>
      </c>
    </row>
    <row r="102" spans="1:10">
      <c r="B102" t="s">
        <v>423</v>
      </c>
      <c r="C102">
        <v>8</v>
      </c>
      <c r="D102">
        <v>2</v>
      </c>
      <c r="E102">
        <v>1305</v>
      </c>
      <c r="F102" s="4">
        <f t="shared" si="1"/>
        <v>2.681992337164751E-2</v>
      </c>
      <c r="G102">
        <v>1270</v>
      </c>
      <c r="H102">
        <v>1247</v>
      </c>
      <c r="I102">
        <v>0</v>
      </c>
    </row>
    <row r="103" spans="1:10">
      <c r="B103" t="s">
        <v>424</v>
      </c>
      <c r="C103">
        <v>9</v>
      </c>
      <c r="D103" t="s">
        <v>283</v>
      </c>
      <c r="F103" s="4" t="s">
        <v>430</v>
      </c>
    </row>
    <row r="104" spans="1:10" s="3" customFormat="1">
      <c r="B104" s="3" t="s">
        <v>425</v>
      </c>
      <c r="C104" s="3">
        <v>10</v>
      </c>
      <c r="F104" s="5" t="s">
        <v>430</v>
      </c>
      <c r="J104" s="3" t="s">
        <v>426</v>
      </c>
    </row>
    <row r="105" spans="1:10">
      <c r="B105" t="s">
        <v>427</v>
      </c>
      <c r="C105">
        <v>11</v>
      </c>
      <c r="D105">
        <v>4</v>
      </c>
      <c r="E105">
        <v>12665</v>
      </c>
      <c r="F105" s="4">
        <f t="shared" si="1"/>
        <v>6.356099486774576E-2</v>
      </c>
      <c r="G105">
        <v>11860</v>
      </c>
      <c r="H105">
        <v>7897</v>
      </c>
      <c r="I105">
        <v>0</v>
      </c>
      <c r="J105" t="s">
        <v>428</v>
      </c>
    </row>
    <row r="106" spans="1:10">
      <c r="E106" t="s">
        <v>431</v>
      </c>
      <c r="F106">
        <f>COUNT(F2:F105)</f>
        <v>62</v>
      </c>
    </row>
    <row r="107" spans="1:10">
      <c r="F107">
        <f>COUNTIF(F2:F105, "&lt;=.10")</f>
        <v>30</v>
      </c>
    </row>
    <row r="108" spans="1:10">
      <c r="F108">
        <f>COUNTIF(F2:F105, "&lt;=.50")-F107</f>
        <v>22</v>
      </c>
    </row>
    <row r="109" spans="1:10">
      <c r="F109">
        <f>COUNTIF(F2:F105,"&gt;.50")</f>
        <v>10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1"/>
  <sheetViews>
    <sheetView tabSelected="1" workbookViewId="0">
      <selection activeCell="Q19" sqref="Q19"/>
    </sheetView>
  </sheetViews>
  <sheetFormatPr baseColWidth="10" defaultRowHeight="15" x14ac:dyDescent="0"/>
  <cols>
    <col min="1" max="1" width="18" bestFit="1" customWidth="1"/>
    <col min="2" max="2" width="26.1640625" bestFit="1" customWidth="1"/>
    <col min="3" max="3" width="9.6640625" bestFit="1" customWidth="1"/>
    <col min="4" max="4" width="8.1640625" customWidth="1"/>
    <col min="5" max="5" width="9.5" customWidth="1"/>
    <col min="6" max="6" width="9" customWidth="1"/>
    <col min="7" max="7" width="15.5" bestFit="1" customWidth="1"/>
    <col min="10" max="10" width="13.83203125" bestFit="1" customWidth="1"/>
  </cols>
  <sheetData>
    <row r="1" spans="1:15">
      <c r="A1" s="2" t="s">
        <v>270</v>
      </c>
      <c r="B1" s="2" t="s">
        <v>271</v>
      </c>
      <c r="C1" s="2" t="s">
        <v>272</v>
      </c>
      <c r="D1" s="2" t="s">
        <v>439</v>
      </c>
      <c r="E1" s="2" t="s">
        <v>440</v>
      </c>
      <c r="F1" s="2" t="s">
        <v>437</v>
      </c>
      <c r="G1" s="2" t="s">
        <v>433</v>
      </c>
      <c r="H1" s="2" t="s">
        <v>434</v>
      </c>
      <c r="I1" s="2" t="s">
        <v>435</v>
      </c>
      <c r="J1" s="2" t="s">
        <v>438</v>
      </c>
    </row>
    <row r="2" spans="1:15">
      <c r="A2" s="2" t="s">
        <v>432</v>
      </c>
      <c r="B2" s="2" t="s">
        <v>273</v>
      </c>
      <c r="C2" s="2">
        <v>1</v>
      </c>
      <c r="D2" s="2">
        <v>3</v>
      </c>
      <c r="E2" s="2">
        <v>60</v>
      </c>
      <c r="F2" s="2">
        <v>4</v>
      </c>
      <c r="G2" s="2" t="s">
        <v>436</v>
      </c>
      <c r="H2" s="2">
        <v>3</v>
      </c>
      <c r="I2" s="2">
        <v>60</v>
      </c>
      <c r="J2" s="2">
        <v>16</v>
      </c>
      <c r="N2" t="s">
        <v>905</v>
      </c>
    </row>
    <row r="3" spans="1:15">
      <c r="A3" s="2"/>
      <c r="B3" s="2" t="s">
        <v>276</v>
      </c>
      <c r="C3" s="2">
        <v>2</v>
      </c>
      <c r="D3" s="2">
        <v>3</v>
      </c>
      <c r="E3" s="2">
        <v>60</v>
      </c>
      <c r="F3" s="2">
        <v>15</v>
      </c>
      <c r="G3" s="2" t="s">
        <v>345</v>
      </c>
      <c r="H3" s="2"/>
      <c r="I3" s="2"/>
      <c r="N3" t="s">
        <v>906</v>
      </c>
    </row>
    <row r="4" spans="1:15">
      <c r="A4" s="2"/>
      <c r="B4" s="2" t="s">
        <v>285</v>
      </c>
      <c r="C4" s="2">
        <v>6</v>
      </c>
      <c r="D4" s="2">
        <v>3</v>
      </c>
      <c r="E4" s="2">
        <v>60</v>
      </c>
      <c r="F4" s="2">
        <v>5</v>
      </c>
      <c r="G4" s="2" t="s">
        <v>345</v>
      </c>
      <c r="H4" s="2"/>
      <c r="I4" s="2"/>
      <c r="N4" t="s">
        <v>907</v>
      </c>
    </row>
    <row r="5" spans="1:15">
      <c r="A5" s="2"/>
      <c r="B5" s="2" t="s">
        <v>289</v>
      </c>
      <c r="C5" s="2">
        <v>7</v>
      </c>
      <c r="D5" s="2">
        <v>3</v>
      </c>
      <c r="E5" s="2">
        <v>60</v>
      </c>
      <c r="F5" s="2">
        <v>0</v>
      </c>
      <c r="G5" s="2" t="s">
        <v>436</v>
      </c>
      <c r="H5" s="2">
        <v>3</v>
      </c>
      <c r="I5" s="2">
        <v>60</v>
      </c>
      <c r="J5" s="2">
        <v>16</v>
      </c>
    </row>
    <row r="6" spans="1:15">
      <c r="A6" s="2"/>
      <c r="B6" s="2" t="s">
        <v>294</v>
      </c>
      <c r="C6" s="2">
        <v>9</v>
      </c>
      <c r="D6" s="2">
        <v>3</v>
      </c>
      <c r="E6" s="2">
        <v>60</v>
      </c>
      <c r="F6" s="2">
        <v>10</v>
      </c>
      <c r="G6" s="2" t="s">
        <v>345</v>
      </c>
      <c r="H6" s="2"/>
      <c r="I6" s="2"/>
      <c r="N6" t="s">
        <v>908</v>
      </c>
    </row>
    <row r="7" spans="1:15">
      <c r="A7" s="2" t="s">
        <v>295</v>
      </c>
      <c r="B7" s="2" t="s">
        <v>296</v>
      </c>
      <c r="C7" s="2">
        <v>2</v>
      </c>
      <c r="D7" s="2">
        <v>3</v>
      </c>
      <c r="E7" s="2">
        <v>60</v>
      </c>
      <c r="F7" s="2">
        <v>4</v>
      </c>
      <c r="G7" s="2" t="s">
        <v>345</v>
      </c>
      <c r="H7" s="2"/>
      <c r="I7" s="2"/>
      <c r="N7" t="s">
        <v>909</v>
      </c>
    </row>
    <row r="8" spans="1:15">
      <c r="A8" s="2"/>
      <c r="B8" s="2" t="s">
        <v>297</v>
      </c>
      <c r="C8" s="2">
        <v>4</v>
      </c>
      <c r="D8" s="2">
        <v>3</v>
      </c>
      <c r="E8" s="2">
        <v>60</v>
      </c>
      <c r="F8" s="2">
        <v>4</v>
      </c>
      <c r="G8" s="2" t="s">
        <v>345</v>
      </c>
      <c r="H8" s="2"/>
      <c r="I8" s="2"/>
      <c r="N8" t="s">
        <v>910</v>
      </c>
    </row>
    <row r="9" spans="1:15">
      <c r="A9" s="2"/>
      <c r="B9" s="2" t="s">
        <v>300</v>
      </c>
      <c r="C9" s="2">
        <v>13</v>
      </c>
      <c r="D9" s="2">
        <v>3</v>
      </c>
      <c r="E9" s="2">
        <v>60</v>
      </c>
      <c r="F9" s="2">
        <v>5</v>
      </c>
      <c r="G9" s="2" t="s">
        <v>345</v>
      </c>
      <c r="H9" s="2"/>
      <c r="I9" s="2"/>
      <c r="N9" t="s">
        <v>911</v>
      </c>
    </row>
    <row r="10" spans="1:15">
      <c r="A10" s="2"/>
      <c r="B10" s="2" t="s">
        <v>297</v>
      </c>
      <c r="C10" s="2">
        <v>16</v>
      </c>
      <c r="D10" s="2">
        <v>3</v>
      </c>
      <c r="E10" s="2">
        <v>60</v>
      </c>
      <c r="F10" s="2">
        <v>4</v>
      </c>
      <c r="G10" s="2" t="s">
        <v>436</v>
      </c>
      <c r="H10" s="2">
        <v>3</v>
      </c>
      <c r="I10" s="2">
        <v>60</v>
      </c>
      <c r="J10" s="2">
        <v>4</v>
      </c>
      <c r="K10" t="s">
        <v>441</v>
      </c>
      <c r="N10" t="s">
        <v>912</v>
      </c>
    </row>
    <row r="11" spans="1:15">
      <c r="A11" s="2"/>
      <c r="B11" s="2" t="s">
        <v>303</v>
      </c>
      <c r="C11" s="2">
        <v>18</v>
      </c>
      <c r="D11" s="2">
        <v>15</v>
      </c>
      <c r="E11" s="2">
        <v>60</v>
      </c>
      <c r="F11" s="2">
        <v>24</v>
      </c>
      <c r="G11" s="2" t="s">
        <v>436</v>
      </c>
      <c r="H11" s="2">
        <v>15</v>
      </c>
      <c r="I11" s="2">
        <v>60</v>
      </c>
      <c r="J11" s="2">
        <v>27</v>
      </c>
      <c r="K11" t="s">
        <v>442</v>
      </c>
      <c r="N11" t="s">
        <v>913</v>
      </c>
    </row>
    <row r="12" spans="1:15">
      <c r="A12" s="2"/>
      <c r="B12" s="2" t="s">
        <v>299</v>
      </c>
      <c r="C12" s="2">
        <v>19</v>
      </c>
      <c r="D12" s="2">
        <v>3</v>
      </c>
      <c r="E12" s="2">
        <v>60</v>
      </c>
      <c r="F12" s="2">
        <v>28</v>
      </c>
      <c r="G12" s="2" t="s">
        <v>436</v>
      </c>
      <c r="H12" s="2">
        <v>3</v>
      </c>
      <c r="I12" s="2">
        <v>60</v>
      </c>
      <c r="J12" s="2">
        <v>15</v>
      </c>
      <c r="N12" t="s">
        <v>914</v>
      </c>
    </row>
    <row r="13" spans="1:15">
      <c r="A13" s="2"/>
      <c r="B13" s="2" t="s">
        <v>306</v>
      </c>
      <c r="C13" s="2">
        <v>20</v>
      </c>
      <c r="D13" s="2">
        <v>15</v>
      </c>
      <c r="E13" s="2">
        <v>60</v>
      </c>
      <c r="F13" s="2">
        <v>33</v>
      </c>
      <c r="G13" s="2" t="s">
        <v>436</v>
      </c>
      <c r="H13" s="2">
        <v>15</v>
      </c>
      <c r="I13" s="2">
        <v>60</v>
      </c>
      <c r="J13" s="2">
        <v>45</v>
      </c>
      <c r="N13" t="s">
        <v>915</v>
      </c>
    </row>
    <row r="14" spans="1:15">
      <c r="A14" s="2" t="s">
        <v>307</v>
      </c>
      <c r="B14" s="2" t="s">
        <v>308</v>
      </c>
      <c r="C14" s="10">
        <v>1</v>
      </c>
      <c r="D14" s="10">
        <v>3</v>
      </c>
      <c r="E14" s="10">
        <v>60</v>
      </c>
      <c r="F14" s="10">
        <v>0</v>
      </c>
      <c r="G14" s="2" t="s">
        <v>436</v>
      </c>
      <c r="H14" s="2">
        <v>3</v>
      </c>
      <c r="I14" s="2">
        <v>60</v>
      </c>
      <c r="J14" s="2">
        <v>5</v>
      </c>
      <c r="N14" s="3" t="s">
        <v>901</v>
      </c>
      <c r="O14" s="3"/>
    </row>
    <row r="15" spans="1:15">
      <c r="A15" s="2"/>
      <c r="B15" s="2" t="s">
        <v>309</v>
      </c>
      <c r="C15" s="2">
        <v>2</v>
      </c>
      <c r="D15" s="2">
        <v>3</v>
      </c>
      <c r="E15" s="2">
        <v>60</v>
      </c>
      <c r="F15" s="2">
        <v>3</v>
      </c>
      <c r="G15" s="2" t="s">
        <v>345</v>
      </c>
      <c r="H15" s="2"/>
      <c r="I15" s="2"/>
      <c r="N15" t="s">
        <v>903</v>
      </c>
    </row>
    <row r="16" spans="1:15">
      <c r="A16" s="2"/>
      <c r="B16" s="2" t="s">
        <v>311</v>
      </c>
      <c r="C16" s="2">
        <v>3</v>
      </c>
      <c r="D16" s="2">
        <v>3</v>
      </c>
      <c r="E16" s="2">
        <v>60</v>
      </c>
      <c r="F16" s="2">
        <v>2</v>
      </c>
      <c r="G16" s="2" t="s">
        <v>436</v>
      </c>
      <c r="H16" s="2">
        <v>3</v>
      </c>
      <c r="I16" s="2">
        <v>60</v>
      </c>
      <c r="J16" s="2">
        <v>2</v>
      </c>
      <c r="K16" t="s">
        <v>441</v>
      </c>
      <c r="N16" t="s">
        <v>902</v>
      </c>
    </row>
    <row r="17" spans="1:14">
      <c r="A17" s="2"/>
      <c r="B17" s="2" t="s">
        <v>315</v>
      </c>
      <c r="C17" s="2">
        <v>6</v>
      </c>
      <c r="D17" s="2">
        <v>3</v>
      </c>
      <c r="E17" s="2">
        <v>60</v>
      </c>
      <c r="F17" s="2">
        <v>0</v>
      </c>
      <c r="G17" s="2" t="s">
        <v>345</v>
      </c>
      <c r="H17" s="2"/>
      <c r="I17" s="2"/>
    </row>
    <row r="18" spans="1:14">
      <c r="A18" s="2"/>
      <c r="B18" s="2" t="s">
        <v>316</v>
      </c>
      <c r="C18" s="2">
        <v>7</v>
      </c>
      <c r="D18" s="2">
        <v>3</v>
      </c>
      <c r="E18" s="2">
        <v>60</v>
      </c>
      <c r="F18" s="2">
        <v>2</v>
      </c>
      <c r="G18" s="2" t="s">
        <v>436</v>
      </c>
      <c r="H18" s="2">
        <v>3</v>
      </c>
      <c r="I18" s="2">
        <v>60</v>
      </c>
      <c r="J18" s="2">
        <v>2</v>
      </c>
      <c r="K18" t="s">
        <v>441</v>
      </c>
      <c r="N18" t="s">
        <v>904</v>
      </c>
    </row>
    <row r="19" spans="1:14">
      <c r="A19" s="2"/>
      <c r="B19" s="2" t="s">
        <v>320</v>
      </c>
      <c r="C19" s="2">
        <v>10</v>
      </c>
      <c r="D19" s="2">
        <v>15</v>
      </c>
      <c r="E19" s="2">
        <v>30</v>
      </c>
      <c r="F19" s="2">
        <v>32</v>
      </c>
      <c r="G19" s="2" t="s">
        <v>345</v>
      </c>
      <c r="H19" s="2"/>
      <c r="I19" s="2"/>
      <c r="N19" t="s">
        <v>916</v>
      </c>
    </row>
    <row r="20" spans="1:14">
      <c r="A20" s="2"/>
      <c r="B20" s="2" t="s">
        <v>321</v>
      </c>
      <c r="C20" s="2">
        <v>11</v>
      </c>
      <c r="D20" s="2">
        <v>20</v>
      </c>
      <c r="E20" s="2">
        <v>15</v>
      </c>
      <c r="F20" s="2">
        <v>13</v>
      </c>
      <c r="G20" s="2" t="s">
        <v>345</v>
      </c>
      <c r="H20" s="2"/>
      <c r="I20" s="2"/>
      <c r="N20" t="s">
        <v>917</v>
      </c>
    </row>
    <row r="21" spans="1:14">
      <c r="A21" s="2"/>
      <c r="B21" s="2" t="s">
        <v>323</v>
      </c>
      <c r="C21" s="2">
        <v>12</v>
      </c>
      <c r="D21" s="2">
        <v>20</v>
      </c>
      <c r="E21" s="2">
        <v>30</v>
      </c>
      <c r="F21" s="2">
        <v>17</v>
      </c>
      <c r="G21" s="2" t="s">
        <v>345</v>
      </c>
      <c r="H21" s="2"/>
      <c r="I21" s="2"/>
      <c r="N21" t="s">
        <v>918</v>
      </c>
    </row>
    <row r="22" spans="1:14">
      <c r="A22" s="2" t="s">
        <v>325</v>
      </c>
      <c r="B22" s="2" t="s">
        <v>326</v>
      </c>
      <c r="C22" s="2">
        <v>1</v>
      </c>
      <c r="D22" s="2">
        <v>3</v>
      </c>
      <c r="E22" s="2">
        <v>60</v>
      </c>
      <c r="F22" s="2">
        <v>7</v>
      </c>
      <c r="G22" s="2" t="s">
        <v>345</v>
      </c>
      <c r="H22" s="2"/>
      <c r="I22" s="2"/>
      <c r="N22" t="s">
        <v>919</v>
      </c>
    </row>
    <row r="23" spans="1:14">
      <c r="A23" s="2" t="s">
        <v>329</v>
      </c>
      <c r="B23" s="2" t="s">
        <v>330</v>
      </c>
      <c r="C23" s="2">
        <v>1</v>
      </c>
      <c r="D23" s="2">
        <v>3</v>
      </c>
      <c r="E23" s="2">
        <v>60</v>
      </c>
      <c r="F23" s="2">
        <v>16</v>
      </c>
      <c r="G23" s="2" t="s">
        <v>436</v>
      </c>
      <c r="H23" s="2">
        <v>3</v>
      </c>
      <c r="I23" s="2">
        <v>60</v>
      </c>
      <c r="J23" s="2">
        <v>16</v>
      </c>
      <c r="K23" t="s">
        <v>441</v>
      </c>
      <c r="N23" t="s">
        <v>920</v>
      </c>
    </row>
    <row r="24" spans="1:14">
      <c r="A24" s="2"/>
      <c r="B24" s="2" t="s">
        <v>332</v>
      </c>
      <c r="C24" s="2">
        <v>3</v>
      </c>
      <c r="D24" s="2">
        <v>3</v>
      </c>
      <c r="E24" s="2">
        <v>60</v>
      </c>
      <c r="F24" s="2">
        <v>3</v>
      </c>
      <c r="G24" s="2" t="s">
        <v>436</v>
      </c>
      <c r="H24" s="2">
        <v>3</v>
      </c>
      <c r="I24" s="2">
        <v>60</v>
      </c>
      <c r="J24" s="2">
        <v>3</v>
      </c>
      <c r="K24" t="s">
        <v>441</v>
      </c>
      <c r="N24" t="s">
        <v>921</v>
      </c>
    </row>
    <row r="25" spans="1:14">
      <c r="A25" s="2"/>
      <c r="B25" s="2" t="s">
        <v>333</v>
      </c>
      <c r="C25" s="2">
        <v>4</v>
      </c>
      <c r="D25" s="2">
        <v>3</v>
      </c>
      <c r="E25" s="2">
        <v>60</v>
      </c>
      <c r="F25" s="2">
        <v>9</v>
      </c>
      <c r="G25" s="2" t="s">
        <v>436</v>
      </c>
      <c r="H25" s="2">
        <v>3</v>
      </c>
      <c r="I25" s="2">
        <v>60</v>
      </c>
      <c r="J25" s="2">
        <v>9</v>
      </c>
      <c r="K25" t="s">
        <v>441</v>
      </c>
      <c r="N25" t="s">
        <v>922</v>
      </c>
    </row>
    <row r="26" spans="1:14">
      <c r="A26" s="2"/>
      <c r="B26" s="2" t="s">
        <v>335</v>
      </c>
      <c r="C26" s="2">
        <v>6</v>
      </c>
      <c r="D26" s="2">
        <v>3</v>
      </c>
      <c r="E26" s="2">
        <v>60</v>
      </c>
      <c r="F26" s="2">
        <v>2</v>
      </c>
      <c r="G26" s="2" t="s">
        <v>436</v>
      </c>
      <c r="H26" s="2">
        <v>3</v>
      </c>
      <c r="I26" s="2">
        <v>60</v>
      </c>
      <c r="J26" s="2">
        <v>2</v>
      </c>
      <c r="K26" t="s">
        <v>441</v>
      </c>
      <c r="N26" t="s">
        <v>923</v>
      </c>
    </row>
    <row r="27" spans="1:14">
      <c r="A27" s="2"/>
      <c r="B27" s="2" t="s">
        <v>336</v>
      </c>
      <c r="C27" s="2">
        <v>7</v>
      </c>
      <c r="D27" s="2">
        <v>3</v>
      </c>
      <c r="E27" s="2">
        <v>60</v>
      </c>
      <c r="F27" s="2">
        <v>7</v>
      </c>
      <c r="G27" s="2" t="s">
        <v>345</v>
      </c>
      <c r="H27" s="2"/>
      <c r="I27" s="2"/>
      <c r="N27" t="s">
        <v>924</v>
      </c>
    </row>
    <row r="28" spans="1:14">
      <c r="A28" s="2" t="s">
        <v>339</v>
      </c>
      <c r="B28" s="2" t="s">
        <v>342</v>
      </c>
      <c r="C28" s="2">
        <v>3</v>
      </c>
      <c r="D28" s="2">
        <v>3</v>
      </c>
      <c r="E28" s="2">
        <v>60</v>
      </c>
      <c r="F28" s="2">
        <v>3</v>
      </c>
      <c r="G28" s="2" t="s">
        <v>436</v>
      </c>
      <c r="H28" s="2">
        <v>3</v>
      </c>
      <c r="I28" s="2">
        <v>60</v>
      </c>
      <c r="J28" s="2">
        <v>3</v>
      </c>
      <c r="K28" t="s">
        <v>441</v>
      </c>
      <c r="N28" t="s">
        <v>925</v>
      </c>
    </row>
    <row r="29" spans="1:14">
      <c r="A29" s="2"/>
      <c r="B29" s="2" t="s">
        <v>349</v>
      </c>
      <c r="C29" s="2">
        <v>7</v>
      </c>
      <c r="D29" s="2">
        <v>3</v>
      </c>
      <c r="E29" s="2">
        <v>60</v>
      </c>
      <c r="F29" s="2">
        <v>6</v>
      </c>
      <c r="G29" s="2" t="s">
        <v>436</v>
      </c>
      <c r="H29" s="2">
        <v>3</v>
      </c>
      <c r="I29" s="2">
        <v>60</v>
      </c>
      <c r="J29" s="2">
        <v>6</v>
      </c>
      <c r="K29" t="s">
        <v>441</v>
      </c>
      <c r="N29" t="s">
        <v>926</v>
      </c>
    </row>
    <row r="30" spans="1:14">
      <c r="A30" s="2"/>
      <c r="B30" s="2" t="s">
        <v>350</v>
      </c>
      <c r="C30" s="2">
        <v>8</v>
      </c>
      <c r="D30" s="2">
        <v>3</v>
      </c>
      <c r="E30" s="2">
        <v>60</v>
      </c>
      <c r="F30" s="2">
        <v>11</v>
      </c>
      <c r="G30" s="2" t="s">
        <v>436</v>
      </c>
      <c r="H30" s="2">
        <v>3</v>
      </c>
      <c r="I30" s="2">
        <v>60</v>
      </c>
      <c r="J30" s="2">
        <v>11</v>
      </c>
      <c r="K30" t="s">
        <v>441</v>
      </c>
      <c r="N30" t="s">
        <v>927</v>
      </c>
    </row>
    <row r="31" spans="1:14">
      <c r="A31" s="2"/>
      <c r="B31" s="2" t="s">
        <v>351</v>
      </c>
      <c r="C31" s="2">
        <v>9</v>
      </c>
      <c r="D31" s="2">
        <v>3</v>
      </c>
      <c r="E31" s="2">
        <v>60</v>
      </c>
      <c r="F31" s="2">
        <v>5</v>
      </c>
      <c r="G31" s="2" t="s">
        <v>436</v>
      </c>
      <c r="H31" s="2">
        <v>3</v>
      </c>
      <c r="I31" s="2">
        <v>60</v>
      </c>
      <c r="J31" s="2">
        <v>5</v>
      </c>
      <c r="K31" t="s">
        <v>441</v>
      </c>
      <c r="N31" t="s">
        <v>928</v>
      </c>
    </row>
    <row r="32" spans="1:14">
      <c r="A32" s="2"/>
      <c r="B32" s="2" t="s">
        <v>352</v>
      </c>
      <c r="C32" s="2">
        <v>10</v>
      </c>
      <c r="D32" s="2">
        <v>3</v>
      </c>
      <c r="E32" s="2">
        <v>60</v>
      </c>
      <c r="F32" s="2">
        <v>32</v>
      </c>
      <c r="G32" s="2" t="s">
        <v>345</v>
      </c>
      <c r="H32" s="2"/>
      <c r="I32" s="2"/>
      <c r="N32" t="s">
        <v>929</v>
      </c>
    </row>
    <row r="33" spans="1:14">
      <c r="A33" s="2" t="s">
        <v>353</v>
      </c>
      <c r="B33" s="2" t="s">
        <v>354</v>
      </c>
      <c r="C33" s="2">
        <v>3</v>
      </c>
      <c r="D33" s="2">
        <v>3</v>
      </c>
      <c r="E33" s="2">
        <v>60</v>
      </c>
      <c r="F33" s="2">
        <v>2</v>
      </c>
      <c r="G33" s="2" t="s">
        <v>436</v>
      </c>
      <c r="H33" s="2">
        <v>3</v>
      </c>
      <c r="I33" s="2">
        <v>60</v>
      </c>
      <c r="J33" s="2">
        <v>2</v>
      </c>
      <c r="K33" t="s">
        <v>441</v>
      </c>
      <c r="N33" t="s">
        <v>930</v>
      </c>
    </row>
    <row r="34" spans="1:14">
      <c r="A34" s="2" t="s">
        <v>355</v>
      </c>
      <c r="B34" s="2" t="s">
        <v>356</v>
      </c>
      <c r="C34" s="2">
        <v>2</v>
      </c>
      <c r="D34" s="2">
        <v>3</v>
      </c>
      <c r="E34" s="2">
        <v>60</v>
      </c>
      <c r="F34" s="2">
        <v>8</v>
      </c>
      <c r="G34" s="2" t="s">
        <v>345</v>
      </c>
      <c r="H34" s="2"/>
      <c r="I34" s="2"/>
      <c r="N34" t="s">
        <v>931</v>
      </c>
    </row>
    <row r="35" spans="1:14">
      <c r="A35" s="2"/>
      <c r="B35" s="2" t="s">
        <v>357</v>
      </c>
      <c r="C35" s="2">
        <v>3</v>
      </c>
      <c r="D35" s="2">
        <v>3</v>
      </c>
      <c r="E35" s="2">
        <v>60</v>
      </c>
      <c r="F35" s="2">
        <v>6</v>
      </c>
      <c r="G35" s="2" t="s">
        <v>436</v>
      </c>
      <c r="H35" s="2">
        <v>3</v>
      </c>
      <c r="I35" s="2">
        <v>60</v>
      </c>
      <c r="J35" s="2">
        <v>9</v>
      </c>
      <c r="N35" t="s">
        <v>932</v>
      </c>
    </row>
    <row r="36" spans="1:14">
      <c r="A36" s="2"/>
      <c r="B36" s="2" t="s">
        <v>357</v>
      </c>
      <c r="C36" s="2">
        <v>4</v>
      </c>
      <c r="D36" s="2">
        <v>3</v>
      </c>
      <c r="E36" s="2">
        <v>60</v>
      </c>
      <c r="F36" s="2">
        <v>9</v>
      </c>
      <c r="G36" s="2" t="s">
        <v>436</v>
      </c>
      <c r="H36" s="2">
        <v>3</v>
      </c>
      <c r="I36" s="2">
        <v>60</v>
      </c>
      <c r="J36" s="2">
        <v>10</v>
      </c>
      <c r="N36" t="s">
        <v>933</v>
      </c>
    </row>
    <row r="37" spans="1:14">
      <c r="A37" s="2"/>
      <c r="B37" s="2" t="s">
        <v>358</v>
      </c>
      <c r="C37" s="2">
        <v>5</v>
      </c>
      <c r="D37" s="2">
        <v>3</v>
      </c>
      <c r="E37" s="2">
        <v>60</v>
      </c>
      <c r="F37" s="2">
        <v>6</v>
      </c>
      <c r="G37" s="2" t="s">
        <v>345</v>
      </c>
      <c r="H37" s="2"/>
      <c r="I37" s="2"/>
      <c r="N37" t="s">
        <v>934</v>
      </c>
    </row>
    <row r="38" spans="1:14">
      <c r="A38" s="2"/>
      <c r="B38" s="2" t="s">
        <v>359</v>
      </c>
      <c r="C38" s="2">
        <v>6</v>
      </c>
      <c r="D38" s="2">
        <v>3</v>
      </c>
      <c r="E38" s="2">
        <v>60</v>
      </c>
      <c r="F38" s="2">
        <v>10</v>
      </c>
      <c r="G38" s="2" t="s">
        <v>345</v>
      </c>
      <c r="H38" s="2"/>
      <c r="I38" s="2"/>
      <c r="N38" t="s">
        <v>935</v>
      </c>
    </row>
    <row r="39" spans="1:14">
      <c r="A39" s="2"/>
      <c r="B39" s="2" t="s">
        <v>360</v>
      </c>
      <c r="C39" s="2">
        <v>7</v>
      </c>
      <c r="D39" s="2">
        <v>3</v>
      </c>
      <c r="E39" s="2">
        <v>60</v>
      </c>
      <c r="F39" s="2">
        <v>10</v>
      </c>
      <c r="G39" s="2" t="s">
        <v>345</v>
      </c>
      <c r="H39" s="2"/>
      <c r="I39" s="2"/>
      <c r="N39" t="s">
        <v>936</v>
      </c>
    </row>
    <row r="40" spans="1:14">
      <c r="A40" s="2"/>
      <c r="B40" s="2" t="s">
        <v>361</v>
      </c>
      <c r="C40" s="2">
        <v>8</v>
      </c>
      <c r="D40" s="2">
        <v>3</v>
      </c>
      <c r="E40" s="2">
        <v>60</v>
      </c>
      <c r="F40" s="2">
        <v>6</v>
      </c>
      <c r="G40" s="2" t="s">
        <v>436</v>
      </c>
      <c r="H40" s="2">
        <v>3</v>
      </c>
      <c r="I40" s="2">
        <v>60</v>
      </c>
      <c r="J40" s="2">
        <v>10</v>
      </c>
      <c r="N40" t="s">
        <v>937</v>
      </c>
    </row>
    <row r="41" spans="1:14">
      <c r="A41" s="2"/>
      <c r="B41" s="2" t="s">
        <v>361</v>
      </c>
      <c r="C41" s="2">
        <v>9</v>
      </c>
      <c r="D41" s="2">
        <v>3</v>
      </c>
      <c r="E41" s="2">
        <v>60</v>
      </c>
      <c r="F41" s="2">
        <v>9</v>
      </c>
      <c r="G41" s="2" t="s">
        <v>436</v>
      </c>
      <c r="H41" s="2">
        <v>3</v>
      </c>
      <c r="I41" s="2">
        <v>60</v>
      </c>
      <c r="J41" s="2">
        <v>10</v>
      </c>
      <c r="N41" t="s">
        <v>938</v>
      </c>
    </row>
    <row r="42" spans="1:14">
      <c r="A42" s="2"/>
      <c r="B42" s="2" t="s">
        <v>362</v>
      </c>
      <c r="C42" s="2">
        <v>10</v>
      </c>
      <c r="D42" s="2">
        <v>3</v>
      </c>
      <c r="E42" s="2">
        <v>60</v>
      </c>
      <c r="F42" s="2">
        <v>0</v>
      </c>
      <c r="G42" s="2" t="s">
        <v>436</v>
      </c>
      <c r="H42" s="2">
        <v>3</v>
      </c>
      <c r="I42" s="2">
        <v>60</v>
      </c>
      <c r="J42" s="2">
        <v>2</v>
      </c>
      <c r="N42" t="s">
        <v>939</v>
      </c>
    </row>
    <row r="43" spans="1:14">
      <c r="A43" s="2"/>
      <c r="B43" s="2" t="s">
        <v>365</v>
      </c>
      <c r="C43" s="2">
        <v>11</v>
      </c>
      <c r="D43" s="2">
        <v>3</v>
      </c>
      <c r="E43" s="2">
        <v>60</v>
      </c>
      <c r="F43" s="2">
        <v>2</v>
      </c>
      <c r="G43" s="2" t="s">
        <v>436</v>
      </c>
      <c r="H43" s="2">
        <v>3</v>
      </c>
      <c r="I43" s="2">
        <v>60</v>
      </c>
      <c r="J43" s="2">
        <v>3</v>
      </c>
      <c r="N43" t="s">
        <v>940</v>
      </c>
    </row>
    <row r="44" spans="1:14">
      <c r="A44" s="2"/>
      <c r="B44" s="2" t="s">
        <v>367</v>
      </c>
      <c r="C44" s="2">
        <v>13</v>
      </c>
      <c r="D44" s="2">
        <v>3</v>
      </c>
      <c r="E44" s="2">
        <v>60</v>
      </c>
      <c r="F44" s="2">
        <v>4</v>
      </c>
      <c r="G44" s="2" t="s">
        <v>436</v>
      </c>
      <c r="H44" s="2">
        <v>3</v>
      </c>
      <c r="I44" s="2">
        <v>60</v>
      </c>
      <c r="J44" s="2">
        <v>11</v>
      </c>
      <c r="K44" t="s">
        <v>441</v>
      </c>
      <c r="N44" t="s">
        <v>941</v>
      </c>
    </row>
    <row r="45" spans="1:14">
      <c r="A45" s="2"/>
      <c r="B45" s="2" t="s">
        <v>367</v>
      </c>
      <c r="C45" s="2">
        <v>14</v>
      </c>
      <c r="D45" s="2">
        <v>3</v>
      </c>
      <c r="E45" s="2">
        <v>60</v>
      </c>
      <c r="F45" s="2">
        <v>11</v>
      </c>
      <c r="G45" s="2" t="s">
        <v>436</v>
      </c>
      <c r="H45" s="2">
        <v>3</v>
      </c>
      <c r="I45" s="2">
        <v>60</v>
      </c>
      <c r="J45" s="2">
        <v>15</v>
      </c>
      <c r="K45" t="s">
        <v>443</v>
      </c>
      <c r="N45" t="s">
        <v>942</v>
      </c>
    </row>
    <row r="46" spans="1:14">
      <c r="A46" s="2"/>
      <c r="B46" s="2" t="s">
        <v>367</v>
      </c>
      <c r="C46" s="2">
        <v>15</v>
      </c>
      <c r="D46" s="2">
        <v>3</v>
      </c>
      <c r="E46" s="2">
        <v>60</v>
      </c>
      <c r="F46" s="2">
        <v>4</v>
      </c>
      <c r="G46" s="2" t="s">
        <v>436</v>
      </c>
      <c r="H46" s="2">
        <v>3</v>
      </c>
      <c r="I46" s="2">
        <v>60</v>
      </c>
      <c r="J46" s="2">
        <v>4</v>
      </c>
      <c r="K46" t="s">
        <v>441</v>
      </c>
      <c r="N46" t="s">
        <v>943</v>
      </c>
    </row>
    <row r="47" spans="1:14">
      <c r="A47" s="2"/>
      <c r="B47" s="2" t="s">
        <v>367</v>
      </c>
      <c r="C47" s="2">
        <v>16</v>
      </c>
      <c r="D47" s="2">
        <v>3</v>
      </c>
      <c r="E47" s="2">
        <v>60</v>
      </c>
      <c r="F47" s="2">
        <v>4</v>
      </c>
      <c r="G47" s="2" t="s">
        <v>436</v>
      </c>
      <c r="H47" s="2">
        <v>3</v>
      </c>
      <c r="I47" s="2">
        <v>60</v>
      </c>
      <c r="J47" s="2">
        <v>4</v>
      </c>
      <c r="K47" t="s">
        <v>445</v>
      </c>
      <c r="N47" t="s">
        <v>944</v>
      </c>
    </row>
    <row r="48" spans="1:14">
      <c r="A48" s="2"/>
      <c r="B48" s="2" t="s">
        <v>372</v>
      </c>
      <c r="C48" s="2">
        <v>20</v>
      </c>
      <c r="D48" s="2">
        <v>3</v>
      </c>
      <c r="E48" s="2">
        <v>60</v>
      </c>
      <c r="F48" s="2">
        <v>2</v>
      </c>
      <c r="G48" s="2" t="s">
        <v>436</v>
      </c>
      <c r="H48" s="2">
        <v>3</v>
      </c>
      <c r="I48" s="2">
        <v>60</v>
      </c>
      <c r="J48" s="2">
        <v>2</v>
      </c>
      <c r="K48" t="s">
        <v>441</v>
      </c>
      <c r="N48" t="s">
        <v>945</v>
      </c>
    </row>
    <row r="49" spans="1:14">
      <c r="A49" s="2"/>
      <c r="B49" s="2" t="s">
        <v>373</v>
      </c>
      <c r="C49" s="2">
        <v>21</v>
      </c>
      <c r="D49" s="2">
        <v>3</v>
      </c>
      <c r="E49" s="2">
        <v>60</v>
      </c>
      <c r="F49" s="2">
        <v>2</v>
      </c>
      <c r="G49" s="2" t="s">
        <v>436</v>
      </c>
      <c r="H49" s="2">
        <v>3</v>
      </c>
      <c r="I49" s="2">
        <v>60</v>
      </c>
      <c r="J49" s="2">
        <v>4</v>
      </c>
      <c r="N49" t="s">
        <v>946</v>
      </c>
    </row>
    <row r="50" spans="1:14">
      <c r="A50" s="2" t="s">
        <v>377</v>
      </c>
      <c r="B50" s="2" t="s">
        <v>388</v>
      </c>
      <c r="C50" s="2">
        <v>2</v>
      </c>
      <c r="D50" s="2">
        <v>3</v>
      </c>
      <c r="E50" s="2">
        <v>60</v>
      </c>
      <c r="F50" s="2">
        <v>0</v>
      </c>
      <c r="G50" s="2" t="s">
        <v>436</v>
      </c>
      <c r="H50" s="2">
        <v>3</v>
      </c>
      <c r="I50" s="2">
        <v>60</v>
      </c>
      <c r="J50" s="2">
        <v>4</v>
      </c>
      <c r="N50" t="s">
        <v>947</v>
      </c>
    </row>
    <row r="51" spans="1:14">
      <c r="A51" s="2"/>
      <c r="B51" s="2" t="s">
        <v>387</v>
      </c>
      <c r="C51" s="2">
        <v>3</v>
      </c>
      <c r="D51" s="2">
        <v>3</v>
      </c>
      <c r="E51" s="2">
        <v>60</v>
      </c>
      <c r="F51" s="2">
        <v>0</v>
      </c>
      <c r="G51" s="2" t="s">
        <v>436</v>
      </c>
      <c r="H51" s="2">
        <v>3</v>
      </c>
      <c r="I51" s="2">
        <v>60</v>
      </c>
      <c r="J51" s="2">
        <v>6</v>
      </c>
      <c r="N51" t="s">
        <v>948</v>
      </c>
    </row>
    <row r="52" spans="1:14">
      <c r="A52" s="2" t="s">
        <v>378</v>
      </c>
      <c r="B52" s="2" t="s">
        <v>389</v>
      </c>
      <c r="C52" s="2">
        <v>0</v>
      </c>
      <c r="D52" s="2">
        <v>3</v>
      </c>
      <c r="E52" s="2">
        <v>60</v>
      </c>
      <c r="F52" s="2">
        <v>4</v>
      </c>
      <c r="G52" s="2" t="s">
        <v>345</v>
      </c>
      <c r="H52" s="2"/>
      <c r="I52" s="2"/>
      <c r="N52" t="s">
        <v>949</v>
      </c>
    </row>
    <row r="53" spans="1:14">
      <c r="A53" s="2"/>
      <c r="B53" s="2" t="s">
        <v>391</v>
      </c>
      <c r="C53" s="2">
        <v>1</v>
      </c>
      <c r="D53" s="2">
        <v>3</v>
      </c>
      <c r="E53" s="2">
        <v>60</v>
      </c>
      <c r="F53" s="2">
        <v>4</v>
      </c>
      <c r="G53" s="2" t="s">
        <v>436</v>
      </c>
      <c r="H53" s="2">
        <v>3</v>
      </c>
      <c r="I53" s="2">
        <v>60</v>
      </c>
      <c r="J53" s="2">
        <v>4</v>
      </c>
      <c r="K53" t="s">
        <v>441</v>
      </c>
      <c r="N53" t="s">
        <v>950</v>
      </c>
    </row>
    <row r="54" spans="1:14">
      <c r="A54" s="2" t="s">
        <v>379</v>
      </c>
      <c r="B54" s="2" t="s">
        <v>395</v>
      </c>
      <c r="C54" s="2">
        <v>1</v>
      </c>
      <c r="D54" s="2">
        <v>3</v>
      </c>
      <c r="E54" s="2">
        <v>60</v>
      </c>
      <c r="F54" s="2">
        <v>8</v>
      </c>
      <c r="G54" s="2" t="s">
        <v>345</v>
      </c>
      <c r="H54" s="2"/>
      <c r="I54" s="2"/>
      <c r="N54" t="s">
        <v>951</v>
      </c>
    </row>
    <row r="55" spans="1:14">
      <c r="A55" s="2" t="s">
        <v>380</v>
      </c>
      <c r="B55" s="2" t="s">
        <v>398</v>
      </c>
      <c r="C55" s="2">
        <v>3</v>
      </c>
      <c r="D55" s="2">
        <v>3</v>
      </c>
      <c r="E55" s="2">
        <v>60</v>
      </c>
      <c r="F55" s="2">
        <v>0</v>
      </c>
      <c r="G55" s="2" t="s">
        <v>436</v>
      </c>
      <c r="H55" s="2">
        <v>3</v>
      </c>
      <c r="I55" s="2">
        <v>60</v>
      </c>
      <c r="J55" s="2">
        <v>2</v>
      </c>
      <c r="N55" t="s">
        <v>952</v>
      </c>
    </row>
    <row r="56" spans="1:14">
      <c r="A56" s="2" t="s">
        <v>381</v>
      </c>
      <c r="B56" s="2" t="s">
        <v>400</v>
      </c>
      <c r="C56" s="2">
        <v>1</v>
      </c>
      <c r="D56" s="2">
        <v>3</v>
      </c>
      <c r="E56" s="2">
        <v>60</v>
      </c>
      <c r="F56" s="2">
        <v>5</v>
      </c>
      <c r="G56" s="2" t="s">
        <v>436</v>
      </c>
      <c r="H56" s="2">
        <v>3</v>
      </c>
      <c r="I56" s="2">
        <v>60</v>
      </c>
      <c r="J56" s="2">
        <v>16</v>
      </c>
      <c r="L56">
        <v>60</v>
      </c>
      <c r="N56" t="s">
        <v>953</v>
      </c>
    </row>
    <row r="57" spans="1:14">
      <c r="A57" s="2" t="s">
        <v>404</v>
      </c>
      <c r="B57" s="2" t="s">
        <v>402</v>
      </c>
      <c r="C57" s="2">
        <v>4</v>
      </c>
      <c r="D57" s="2">
        <v>3</v>
      </c>
      <c r="E57" s="2">
        <v>60</v>
      </c>
      <c r="F57" s="2">
        <v>0</v>
      </c>
      <c r="G57" s="2" t="s">
        <v>436</v>
      </c>
      <c r="H57" s="2">
        <v>3</v>
      </c>
      <c r="I57" s="2">
        <v>60</v>
      </c>
      <c r="J57" s="2">
        <v>7</v>
      </c>
      <c r="N57" t="s">
        <v>954</v>
      </c>
    </row>
    <row r="58" spans="1:14">
      <c r="A58" s="2"/>
      <c r="B58" s="2" t="s">
        <v>406</v>
      </c>
      <c r="C58" s="2">
        <v>5</v>
      </c>
      <c r="D58" s="2">
        <v>3</v>
      </c>
      <c r="E58" s="2">
        <v>60</v>
      </c>
      <c r="F58" s="2">
        <v>5</v>
      </c>
      <c r="G58" s="2" t="s">
        <v>436</v>
      </c>
      <c r="H58" s="2">
        <v>3</v>
      </c>
      <c r="I58" s="2">
        <v>60</v>
      </c>
      <c r="J58" s="2">
        <v>8</v>
      </c>
      <c r="N58" t="s">
        <v>955</v>
      </c>
    </row>
    <row r="59" spans="1:14">
      <c r="A59" s="2"/>
      <c r="B59" s="2" t="s">
        <v>444</v>
      </c>
      <c r="C59" s="2">
        <v>7</v>
      </c>
      <c r="D59" s="2">
        <v>3</v>
      </c>
      <c r="E59" s="2">
        <v>60</v>
      </c>
      <c r="F59" s="2">
        <v>3</v>
      </c>
      <c r="G59" s="2" t="s">
        <v>436</v>
      </c>
      <c r="H59" s="2">
        <v>3</v>
      </c>
      <c r="I59" s="2">
        <v>60</v>
      </c>
      <c r="J59" s="2">
        <v>4</v>
      </c>
      <c r="N59" t="s">
        <v>956</v>
      </c>
    </row>
    <row r="60" spans="1:14">
      <c r="A60" s="2"/>
      <c r="B60" s="2" t="s">
        <v>409</v>
      </c>
      <c r="C60" s="2">
        <v>8</v>
      </c>
      <c r="D60" s="2">
        <v>3</v>
      </c>
      <c r="E60" s="2">
        <v>60</v>
      </c>
      <c r="F60" s="2">
        <v>0</v>
      </c>
      <c r="G60" s="2" t="s">
        <v>436</v>
      </c>
      <c r="H60" s="2">
        <v>3</v>
      </c>
      <c r="I60" s="2">
        <v>60</v>
      </c>
      <c r="J60" s="2">
        <v>5</v>
      </c>
      <c r="N60" t="s">
        <v>957</v>
      </c>
    </row>
    <row r="61" spans="1:14">
      <c r="A61" s="2"/>
      <c r="B61" s="2" t="s">
        <v>410</v>
      </c>
      <c r="C61" s="2">
        <v>9</v>
      </c>
      <c r="D61" s="2">
        <v>3</v>
      </c>
      <c r="E61" s="2">
        <v>60</v>
      </c>
      <c r="F61" s="2">
        <v>18</v>
      </c>
      <c r="G61" s="2" t="s">
        <v>436</v>
      </c>
      <c r="H61" s="2">
        <v>3</v>
      </c>
      <c r="I61" s="2">
        <v>60</v>
      </c>
      <c r="J61" s="2">
        <v>20</v>
      </c>
      <c r="N61" t="s">
        <v>958</v>
      </c>
    </row>
    <row r="62" spans="1:14">
      <c r="A62" s="2"/>
      <c r="B62" s="2" t="s">
        <v>411</v>
      </c>
      <c r="C62" s="2">
        <v>10</v>
      </c>
      <c r="D62" s="2">
        <v>3</v>
      </c>
      <c r="E62" s="2">
        <v>60</v>
      </c>
      <c r="F62" s="2">
        <v>4</v>
      </c>
      <c r="G62" s="2" t="s">
        <v>436</v>
      </c>
      <c r="H62" s="2">
        <v>3</v>
      </c>
      <c r="I62" s="2">
        <v>60</v>
      </c>
      <c r="J62" s="2">
        <v>8</v>
      </c>
      <c r="N62" t="s">
        <v>959</v>
      </c>
    </row>
    <row r="63" spans="1:14">
      <c r="A63" s="2"/>
      <c r="B63" s="2" t="s">
        <v>413</v>
      </c>
      <c r="C63" s="2">
        <v>11</v>
      </c>
      <c r="D63" s="2">
        <v>3</v>
      </c>
      <c r="E63" s="2">
        <v>60</v>
      </c>
      <c r="F63" s="2">
        <v>19</v>
      </c>
      <c r="G63" s="2" t="s">
        <v>345</v>
      </c>
      <c r="H63" s="2"/>
      <c r="I63" s="2"/>
      <c r="N63" t="s">
        <v>960</v>
      </c>
    </row>
    <row r="64" spans="1:14">
      <c r="A64" s="2"/>
      <c r="B64" s="2" t="s">
        <v>415</v>
      </c>
      <c r="C64" s="2">
        <v>12</v>
      </c>
      <c r="D64" s="2">
        <v>3</v>
      </c>
      <c r="E64" s="2">
        <v>60</v>
      </c>
      <c r="F64" s="2">
        <v>9</v>
      </c>
      <c r="G64" s="2" t="s">
        <v>345</v>
      </c>
      <c r="H64" s="2"/>
      <c r="I64" s="2"/>
      <c r="N64" t="s">
        <v>961</v>
      </c>
    </row>
    <row r="65" spans="1:14">
      <c r="A65" s="2"/>
      <c r="B65" s="2" t="s">
        <v>417</v>
      </c>
      <c r="C65" s="2">
        <v>13</v>
      </c>
      <c r="D65" s="2">
        <v>3</v>
      </c>
      <c r="E65" s="2">
        <v>60</v>
      </c>
      <c r="F65" s="2">
        <v>2</v>
      </c>
      <c r="G65" s="2" t="s">
        <v>345</v>
      </c>
      <c r="H65" s="2"/>
      <c r="I65" s="2"/>
      <c r="N65" t="s">
        <v>962</v>
      </c>
    </row>
    <row r="66" spans="1:14">
      <c r="A66" s="2" t="s">
        <v>401</v>
      </c>
      <c r="B66" s="2" t="s">
        <v>418</v>
      </c>
      <c r="C66" s="2">
        <v>2</v>
      </c>
      <c r="D66" s="2">
        <v>3</v>
      </c>
      <c r="E66" s="2">
        <v>60</v>
      </c>
      <c r="F66" s="2">
        <v>3</v>
      </c>
      <c r="G66" s="2" t="s">
        <v>436</v>
      </c>
      <c r="H66" s="2">
        <v>3</v>
      </c>
      <c r="I66" s="2">
        <v>60</v>
      </c>
      <c r="J66" s="2">
        <v>6</v>
      </c>
      <c r="N66" t="s">
        <v>963</v>
      </c>
    </row>
    <row r="67" spans="1:14">
      <c r="A67" s="2"/>
      <c r="B67" s="2" t="s">
        <v>421</v>
      </c>
      <c r="C67" s="2">
        <v>6</v>
      </c>
      <c r="D67" s="2">
        <v>3</v>
      </c>
      <c r="E67" s="2">
        <v>60</v>
      </c>
      <c r="F67" s="2">
        <v>6</v>
      </c>
      <c r="G67" s="2" t="s">
        <v>436</v>
      </c>
      <c r="H67" s="2">
        <v>3</v>
      </c>
      <c r="I67" s="2">
        <v>60</v>
      </c>
      <c r="J67" s="2">
        <v>6</v>
      </c>
      <c r="K67" t="s">
        <v>441</v>
      </c>
      <c r="N67" t="s">
        <v>964</v>
      </c>
    </row>
    <row r="68" spans="1:14">
      <c r="A68" s="2"/>
      <c r="B68" s="2" t="s">
        <v>423</v>
      </c>
      <c r="C68" s="2">
        <v>8</v>
      </c>
      <c r="D68" s="2">
        <v>3</v>
      </c>
      <c r="E68" s="2">
        <v>60</v>
      </c>
      <c r="F68" s="2">
        <v>2</v>
      </c>
      <c r="G68" s="2" t="s">
        <v>436</v>
      </c>
      <c r="H68" s="2">
        <v>3</v>
      </c>
      <c r="I68" s="2">
        <v>60</v>
      </c>
      <c r="J68" s="2">
        <v>2</v>
      </c>
      <c r="K68" t="s">
        <v>441</v>
      </c>
    </row>
    <row r="69" spans="1:14">
      <c r="A69" s="2"/>
      <c r="B69" s="2" t="s">
        <v>427</v>
      </c>
      <c r="C69" s="2">
        <v>11</v>
      </c>
      <c r="D69" s="2">
        <v>3</v>
      </c>
      <c r="E69" s="2">
        <v>60</v>
      </c>
      <c r="F69" s="2">
        <v>0</v>
      </c>
      <c r="G69" s="2" t="s">
        <v>436</v>
      </c>
      <c r="H69" s="2">
        <v>3</v>
      </c>
      <c r="I69" s="2">
        <v>60</v>
      </c>
      <c r="J69" s="2">
        <v>24</v>
      </c>
    </row>
    <row r="70" spans="1:14">
      <c r="A70" s="2"/>
      <c r="F70">
        <f>COUNTIF(F2:F69,"&lt;&gt;0")</f>
        <v>58</v>
      </c>
      <c r="G70" s="2"/>
      <c r="H70" s="2"/>
      <c r="I70" s="2"/>
    </row>
    <row r="71" spans="1:14">
      <c r="A71" s="2"/>
      <c r="G71" s="2"/>
      <c r="H71" s="2"/>
      <c r="I71" s="2"/>
    </row>
  </sheetData>
  <sortState ref="A1:A16">
    <sortCondition ref="A1"/>
  </sortState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activeCell="I1" sqref="I1:L1"/>
    </sheetView>
  </sheetViews>
  <sheetFormatPr baseColWidth="10" defaultRowHeight="15" x14ac:dyDescent="0"/>
  <sheetData>
    <row r="1" spans="1:12">
      <c r="A1" s="2" t="s">
        <v>270</v>
      </c>
      <c r="B1" s="2" t="s">
        <v>271</v>
      </c>
      <c r="C1" s="2" t="s">
        <v>272</v>
      </c>
      <c r="D1" s="2" t="s">
        <v>446</v>
      </c>
      <c r="E1" s="2" t="s">
        <v>455</v>
      </c>
      <c r="F1" s="2" t="s">
        <v>275</v>
      </c>
      <c r="G1" s="2" t="s">
        <v>447</v>
      </c>
      <c r="H1" s="2" t="s">
        <v>454</v>
      </c>
      <c r="I1" s="2" t="s">
        <v>450</v>
      </c>
      <c r="J1" s="2" t="s">
        <v>452</v>
      </c>
      <c r="K1" s="2" t="s">
        <v>451</v>
      </c>
      <c r="L1" s="2" t="s">
        <v>453</v>
      </c>
    </row>
    <row r="2" spans="1:12">
      <c r="A2" s="2" t="s">
        <v>432</v>
      </c>
      <c r="B2" s="2" t="s">
        <v>273</v>
      </c>
      <c r="C2" s="2">
        <v>1</v>
      </c>
      <c r="D2">
        <v>1</v>
      </c>
      <c r="E2" t="s">
        <v>210</v>
      </c>
      <c r="F2" s="2">
        <f>AVERAGE(7641,7431,7353)</f>
        <v>7475</v>
      </c>
      <c r="G2">
        <v>7169</v>
      </c>
      <c r="H2" s="4">
        <f>G2/F2</f>
        <v>0.95906354515050163</v>
      </c>
      <c r="I2">
        <v>45</v>
      </c>
      <c r="J2">
        <v>0</v>
      </c>
      <c r="K2">
        <v>4</v>
      </c>
      <c r="L2">
        <v>0</v>
      </c>
    </row>
    <row r="3" spans="1:12">
      <c r="D3">
        <v>2</v>
      </c>
      <c r="E3" t="s">
        <v>448</v>
      </c>
      <c r="F3" s="2">
        <f t="shared" ref="F3:F5" si="0">AVERAGE(7641,7431,7353)</f>
        <v>7475</v>
      </c>
      <c r="G3">
        <v>7283</v>
      </c>
      <c r="H3" s="4">
        <f t="shared" ref="H3:H5" si="1">G3/F3</f>
        <v>0.97431438127090297</v>
      </c>
      <c r="I3">
        <v>47</v>
      </c>
      <c r="J3">
        <v>0</v>
      </c>
      <c r="K3">
        <v>2</v>
      </c>
      <c r="L3">
        <v>0</v>
      </c>
    </row>
    <row r="4" spans="1:12">
      <c r="D4">
        <v>3</v>
      </c>
      <c r="E4" t="s">
        <v>449</v>
      </c>
      <c r="F4" s="2">
        <f t="shared" si="0"/>
        <v>7475</v>
      </c>
      <c r="G4">
        <v>7367</v>
      </c>
      <c r="H4" s="4">
        <f t="shared" si="1"/>
        <v>0.9855518394648829</v>
      </c>
      <c r="I4">
        <v>49</v>
      </c>
      <c r="J4">
        <v>0</v>
      </c>
      <c r="K4">
        <v>0</v>
      </c>
      <c r="L4">
        <v>0</v>
      </c>
    </row>
    <row r="5" spans="1:12">
      <c r="D5">
        <v>4</v>
      </c>
      <c r="E5" t="s">
        <v>211</v>
      </c>
      <c r="F5" s="2">
        <f t="shared" si="0"/>
        <v>7475</v>
      </c>
      <c r="G5">
        <v>7902</v>
      </c>
      <c r="H5" s="4">
        <f t="shared" si="1"/>
        <v>1.0571237458193981</v>
      </c>
      <c r="I5">
        <v>49</v>
      </c>
      <c r="J5">
        <v>0</v>
      </c>
      <c r="K5">
        <v>0</v>
      </c>
      <c r="L5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selection activeCell="I2" sqref="I2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210</v>
      </c>
      <c r="D2">
        <v>1</v>
      </c>
      <c r="E2">
        <v>7586</v>
      </c>
      <c r="F2">
        <v>7421</v>
      </c>
      <c r="G2" s="4">
        <f>F2/E2</f>
        <v>0.97824940680200367</v>
      </c>
    </row>
    <row r="3" spans="1:7">
      <c r="A3" t="s">
        <v>458</v>
      </c>
      <c r="B3">
        <v>1</v>
      </c>
      <c r="C3" t="s">
        <v>448</v>
      </c>
      <c r="D3">
        <v>2</v>
      </c>
      <c r="E3">
        <v>7586</v>
      </c>
      <c r="F3">
        <v>7469</v>
      </c>
      <c r="G3" s="4">
        <f t="shared" ref="G3:G35" si="0">F3/E3</f>
        <v>0.98457685209596624</v>
      </c>
    </row>
    <row r="4" spans="1:7">
      <c r="A4" t="s">
        <v>458</v>
      </c>
      <c r="B4">
        <v>1</v>
      </c>
      <c r="C4" t="s">
        <v>449</v>
      </c>
      <c r="D4">
        <v>3</v>
      </c>
      <c r="E4">
        <v>7586</v>
      </c>
      <c r="F4">
        <v>7493</v>
      </c>
      <c r="G4" s="4">
        <f t="shared" si="0"/>
        <v>0.98774057474294752</v>
      </c>
    </row>
    <row r="5" spans="1:7">
      <c r="A5" t="s">
        <v>458</v>
      </c>
      <c r="B5">
        <v>1</v>
      </c>
      <c r="C5" t="s">
        <v>211</v>
      </c>
      <c r="D5">
        <v>4</v>
      </c>
      <c r="E5">
        <v>7586</v>
      </c>
      <c r="F5">
        <v>7510</v>
      </c>
      <c r="G5" s="4">
        <f t="shared" si="0"/>
        <v>0.98998154495122592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1188</v>
      </c>
      <c r="F6">
        <v>503</v>
      </c>
      <c r="G6" s="4">
        <f t="shared" si="0"/>
        <v>0.42340067340067339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1188</v>
      </c>
      <c r="F7">
        <v>672</v>
      </c>
      <c r="G7" s="4">
        <f t="shared" si="0"/>
        <v>0.56565656565656564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1188</v>
      </c>
      <c r="F8">
        <v>766</v>
      </c>
      <c r="G8" s="4">
        <f t="shared" si="0"/>
        <v>0.64478114478114479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1188</v>
      </c>
      <c r="F9">
        <v>812</v>
      </c>
      <c r="G9" s="4">
        <f t="shared" si="0"/>
        <v>0.6835016835016835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1188</v>
      </c>
      <c r="F10">
        <v>901</v>
      </c>
      <c r="G10" s="4">
        <f t="shared" si="0"/>
        <v>0.75841750841750843</v>
      </c>
    </row>
    <row r="11" spans="1:7">
      <c r="A11" t="s">
        <v>458</v>
      </c>
      <c r="B11">
        <v>2</v>
      </c>
      <c r="C11" t="s">
        <v>462</v>
      </c>
      <c r="D11">
        <v>6</v>
      </c>
      <c r="E11">
        <v>1188</v>
      </c>
      <c r="F11">
        <v>915</v>
      </c>
      <c r="G11" s="4">
        <f t="shared" si="0"/>
        <v>0.77020202020202022</v>
      </c>
    </row>
    <row r="12" spans="1:7">
      <c r="A12" t="s">
        <v>458</v>
      </c>
      <c r="B12">
        <v>2</v>
      </c>
      <c r="C12" t="s">
        <v>464</v>
      </c>
      <c r="D12">
        <v>7</v>
      </c>
      <c r="E12">
        <v>1188</v>
      </c>
      <c r="F12">
        <v>916</v>
      </c>
      <c r="G12" s="4">
        <f t="shared" si="0"/>
        <v>0.77104377104377109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1188</v>
      </c>
      <c r="F13">
        <v>990</v>
      </c>
      <c r="G13" s="4">
        <f t="shared" si="0"/>
        <v>0.83333333333333337</v>
      </c>
    </row>
    <row r="14" spans="1:7">
      <c r="A14" t="s">
        <v>458</v>
      </c>
      <c r="B14">
        <v>2</v>
      </c>
      <c r="C14" t="s">
        <v>466</v>
      </c>
      <c r="D14">
        <v>9</v>
      </c>
      <c r="E14">
        <v>1188</v>
      </c>
      <c r="F14">
        <v>997</v>
      </c>
      <c r="G14" s="4">
        <f t="shared" si="0"/>
        <v>0.83922558922558921</v>
      </c>
    </row>
    <row r="15" spans="1:7">
      <c r="A15" t="s">
        <v>458</v>
      </c>
      <c r="B15">
        <v>2</v>
      </c>
      <c r="C15" t="s">
        <v>468</v>
      </c>
      <c r="D15">
        <v>10</v>
      </c>
      <c r="E15">
        <v>1188</v>
      </c>
      <c r="F15">
        <v>1013</v>
      </c>
      <c r="G15" s="4">
        <f t="shared" si="0"/>
        <v>0.85269360269360273</v>
      </c>
    </row>
    <row r="16" spans="1:7">
      <c r="A16" t="s">
        <v>458</v>
      </c>
      <c r="B16">
        <v>2</v>
      </c>
      <c r="C16" t="s">
        <v>467</v>
      </c>
      <c r="D16">
        <v>11</v>
      </c>
      <c r="E16">
        <v>1188</v>
      </c>
      <c r="F16">
        <v>1014</v>
      </c>
      <c r="G16" s="4">
        <f t="shared" si="0"/>
        <v>0.85353535353535348</v>
      </c>
    </row>
    <row r="17" spans="1:7">
      <c r="A17" t="s">
        <v>458</v>
      </c>
      <c r="B17">
        <v>2</v>
      </c>
      <c r="C17" t="s">
        <v>469</v>
      </c>
      <c r="D17">
        <v>12</v>
      </c>
      <c r="E17">
        <v>1188</v>
      </c>
      <c r="F17">
        <v>1084</v>
      </c>
      <c r="G17" s="4">
        <f t="shared" si="0"/>
        <v>0.91245791245791241</v>
      </c>
    </row>
    <row r="18" spans="1:7">
      <c r="A18" t="s">
        <v>458</v>
      </c>
      <c r="B18">
        <v>2</v>
      </c>
      <c r="C18" t="s">
        <v>470</v>
      </c>
      <c r="D18">
        <v>13</v>
      </c>
      <c r="E18">
        <v>1188</v>
      </c>
      <c r="F18">
        <v>1086</v>
      </c>
      <c r="G18" s="4">
        <f t="shared" si="0"/>
        <v>0.91414141414141414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1188</v>
      </c>
      <c r="F19">
        <v>1094</v>
      </c>
      <c r="G19" s="4">
        <f t="shared" si="0"/>
        <v>0.92087542087542085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1188</v>
      </c>
      <c r="F20">
        <v>1171</v>
      </c>
      <c r="G20" s="4">
        <f t="shared" si="0"/>
        <v>0.98569023569023573</v>
      </c>
    </row>
    <row r="21" spans="1:7">
      <c r="A21" t="s">
        <v>458</v>
      </c>
      <c r="B21">
        <v>6</v>
      </c>
      <c r="C21" t="s">
        <v>473</v>
      </c>
      <c r="D21">
        <v>1</v>
      </c>
      <c r="E21">
        <v>666</v>
      </c>
      <c r="F21">
        <v>104</v>
      </c>
      <c r="G21" s="4">
        <f t="shared" si="0"/>
        <v>0.15615615615615616</v>
      </c>
    </row>
    <row r="22" spans="1:7">
      <c r="A22" t="s">
        <v>458</v>
      </c>
      <c r="B22">
        <v>6</v>
      </c>
      <c r="C22" t="s">
        <v>448</v>
      </c>
      <c r="D22">
        <v>2</v>
      </c>
      <c r="E22">
        <v>666</v>
      </c>
      <c r="F22">
        <v>198</v>
      </c>
      <c r="G22" s="4">
        <f t="shared" si="0"/>
        <v>0.29729729729729731</v>
      </c>
    </row>
    <row r="23" spans="1:7">
      <c r="A23" t="s">
        <v>458</v>
      </c>
      <c r="B23">
        <v>6</v>
      </c>
      <c r="C23" t="s">
        <v>474</v>
      </c>
      <c r="D23">
        <v>3</v>
      </c>
      <c r="E23">
        <v>666</v>
      </c>
      <c r="F23">
        <v>468</v>
      </c>
      <c r="G23" s="4">
        <f t="shared" si="0"/>
        <v>0.70270270270270274</v>
      </c>
    </row>
    <row r="24" spans="1:7">
      <c r="A24" t="s">
        <v>458</v>
      </c>
      <c r="B24">
        <v>6</v>
      </c>
      <c r="C24" t="s">
        <v>485</v>
      </c>
      <c r="D24">
        <v>4</v>
      </c>
      <c r="E24">
        <v>666</v>
      </c>
      <c r="F24">
        <v>1990</v>
      </c>
      <c r="G24" s="4">
        <f t="shared" si="0"/>
        <v>2.9879879879879878</v>
      </c>
    </row>
    <row r="25" spans="1:7">
      <c r="A25" t="s">
        <v>458</v>
      </c>
      <c r="B25">
        <v>6</v>
      </c>
      <c r="C25" t="s">
        <v>475</v>
      </c>
      <c r="D25">
        <v>5</v>
      </c>
      <c r="E25">
        <v>666</v>
      </c>
      <c r="F25">
        <v>2637</v>
      </c>
      <c r="G25" s="4">
        <f t="shared" si="0"/>
        <v>3.9594594594594597</v>
      </c>
    </row>
    <row r="26" spans="1:7">
      <c r="A26" t="s">
        <v>458</v>
      </c>
      <c r="B26">
        <v>9</v>
      </c>
      <c r="C26" t="s">
        <v>477</v>
      </c>
      <c r="D26">
        <v>1</v>
      </c>
      <c r="E26">
        <v>2157</v>
      </c>
      <c r="F26">
        <v>163</v>
      </c>
      <c r="G26" s="4">
        <f t="shared" si="0"/>
        <v>7.5567918405192391E-2</v>
      </c>
    </row>
    <row r="27" spans="1:7">
      <c r="A27" t="s">
        <v>458</v>
      </c>
      <c r="B27">
        <v>9</v>
      </c>
      <c r="C27" t="s">
        <v>478</v>
      </c>
      <c r="D27">
        <v>2</v>
      </c>
      <c r="E27">
        <v>2157</v>
      </c>
      <c r="F27">
        <v>164</v>
      </c>
      <c r="G27" s="4">
        <f t="shared" si="0"/>
        <v>7.6031525266573946E-2</v>
      </c>
    </row>
    <row r="28" spans="1:7">
      <c r="A28" t="s">
        <v>458</v>
      </c>
      <c r="B28">
        <v>9</v>
      </c>
      <c r="C28" t="s">
        <v>476</v>
      </c>
      <c r="D28">
        <v>3</v>
      </c>
      <c r="E28">
        <v>2157</v>
      </c>
      <c r="F28">
        <v>168</v>
      </c>
      <c r="G28" s="4">
        <f t="shared" si="0"/>
        <v>7.7885952712100137E-2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2157</v>
      </c>
      <c r="F29">
        <v>351</v>
      </c>
      <c r="G29" s="4">
        <f t="shared" si="0"/>
        <v>0.16272600834492351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2157</v>
      </c>
      <c r="F30">
        <v>354</v>
      </c>
      <c r="G30" s="4">
        <f t="shared" si="0"/>
        <v>0.16411682892906815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2157</v>
      </c>
      <c r="F31">
        <v>731</v>
      </c>
      <c r="G31" s="4">
        <f t="shared" si="0"/>
        <v>0.33889661566991192</v>
      </c>
    </row>
    <row r="32" spans="1:7">
      <c r="A32" t="s">
        <v>458</v>
      </c>
      <c r="B32">
        <v>9</v>
      </c>
      <c r="C32" t="s">
        <v>481</v>
      </c>
      <c r="D32">
        <v>7</v>
      </c>
      <c r="E32">
        <v>2157</v>
      </c>
      <c r="F32">
        <v>736</v>
      </c>
      <c r="G32" s="4">
        <f t="shared" si="0"/>
        <v>0.34121464997681966</v>
      </c>
    </row>
    <row r="33" spans="1:7">
      <c r="A33" t="s">
        <v>458</v>
      </c>
      <c r="B33">
        <v>9</v>
      </c>
      <c r="C33" t="s">
        <v>482</v>
      </c>
      <c r="D33">
        <v>8</v>
      </c>
      <c r="E33">
        <v>2157</v>
      </c>
      <c r="F33">
        <v>752</v>
      </c>
      <c r="G33" s="4">
        <f t="shared" si="0"/>
        <v>0.34863235975892443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2157</v>
      </c>
      <c r="F34">
        <v>883</v>
      </c>
      <c r="G34" s="4">
        <f t="shared" si="0"/>
        <v>0.40936485859990729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2157</v>
      </c>
      <c r="F35">
        <v>886</v>
      </c>
      <c r="G35" s="4">
        <f t="shared" si="0"/>
        <v>0.41075567918405193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5"/>
  <sheetViews>
    <sheetView workbookViewId="0">
      <selection activeCell="AE1" sqref="AE1:AM1"/>
    </sheetView>
  </sheetViews>
  <sheetFormatPr baseColWidth="10" defaultRowHeight="15" x14ac:dyDescent="0"/>
  <cols>
    <col min="1" max="1" width="16" bestFit="1" customWidth="1"/>
  </cols>
  <sheetData>
    <row r="1" spans="1:39">
      <c r="A1" t="s">
        <v>270</v>
      </c>
      <c r="B1" t="s">
        <v>272</v>
      </c>
      <c r="C1" t="s">
        <v>446</v>
      </c>
      <c r="D1" s="2" t="s">
        <v>450</v>
      </c>
      <c r="E1" s="2" t="s">
        <v>452</v>
      </c>
      <c r="F1" s="2" t="s">
        <v>451</v>
      </c>
      <c r="G1" s="2" t="s">
        <v>453</v>
      </c>
      <c r="AE1" t="s">
        <v>486</v>
      </c>
      <c r="AF1" t="s">
        <v>487</v>
      </c>
      <c r="AG1" t="s">
        <v>488</v>
      </c>
      <c r="AH1" s="2" t="s">
        <v>450</v>
      </c>
      <c r="AI1" s="2" t="s">
        <v>452</v>
      </c>
      <c r="AJ1" s="2" t="s">
        <v>451</v>
      </c>
      <c r="AK1" s="2" t="s">
        <v>453</v>
      </c>
      <c r="AL1" s="2" t="s">
        <v>277</v>
      </c>
      <c r="AM1" s="2" t="s">
        <v>502</v>
      </c>
    </row>
    <row r="2" spans="1:39">
      <c r="A2" t="s">
        <v>458</v>
      </c>
      <c r="B2">
        <v>1</v>
      </c>
      <c r="C2">
        <v>1</v>
      </c>
      <c r="D2">
        <v>47</v>
      </c>
      <c r="E2">
        <v>0</v>
      </c>
      <c r="F2">
        <v>4</v>
      </c>
      <c r="G2">
        <v>0</v>
      </c>
      <c r="AE2" t="s">
        <v>458</v>
      </c>
      <c r="AF2">
        <v>1</v>
      </c>
      <c r="AG2">
        <v>1</v>
      </c>
      <c r="AH2">
        <v>47</v>
      </c>
      <c r="AI2">
        <v>0</v>
      </c>
      <c r="AJ2">
        <v>4</v>
      </c>
      <c r="AK2">
        <v>0</v>
      </c>
      <c r="AL2">
        <f>51</f>
        <v>51</v>
      </c>
      <c r="AM2" s="4">
        <f>AH2/AL2</f>
        <v>0.92156862745098034</v>
      </c>
    </row>
    <row r="3" spans="1:3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AE3" t="s">
        <v>458</v>
      </c>
      <c r="AF3">
        <v>1</v>
      </c>
      <c r="AG3">
        <v>2</v>
      </c>
      <c r="AH3">
        <v>49</v>
      </c>
      <c r="AI3">
        <v>0</v>
      </c>
      <c r="AJ3">
        <v>2</v>
      </c>
      <c r="AK3">
        <v>0</v>
      </c>
      <c r="AL3">
        <f>51</f>
        <v>51</v>
      </c>
      <c r="AM3" s="4">
        <f t="shared" ref="AM3:AM35" si="0">AH3/AL3</f>
        <v>0.96078431372549022</v>
      </c>
    </row>
    <row r="4" spans="1:3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AE4" t="s">
        <v>458</v>
      </c>
      <c r="AF4">
        <v>1</v>
      </c>
      <c r="AG4">
        <v>3</v>
      </c>
      <c r="AH4">
        <v>51</v>
      </c>
      <c r="AI4">
        <v>0</v>
      </c>
      <c r="AJ4">
        <v>0</v>
      </c>
      <c r="AK4">
        <v>0</v>
      </c>
      <c r="AL4">
        <f>51</f>
        <v>51</v>
      </c>
      <c r="AM4" s="4">
        <f t="shared" si="0"/>
        <v>1</v>
      </c>
    </row>
    <row r="5" spans="1:3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AE5" t="s">
        <v>458</v>
      </c>
      <c r="AF5">
        <v>1</v>
      </c>
      <c r="AG5">
        <v>4</v>
      </c>
      <c r="AH5">
        <v>51</v>
      </c>
      <c r="AI5">
        <v>0</v>
      </c>
      <c r="AJ5">
        <v>0</v>
      </c>
      <c r="AK5">
        <v>0</v>
      </c>
      <c r="AL5">
        <f>51</f>
        <v>51</v>
      </c>
      <c r="AM5" s="4">
        <f t="shared" si="0"/>
        <v>1</v>
      </c>
    </row>
    <row r="6" spans="1:3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AE6" t="s">
        <v>458</v>
      </c>
      <c r="AF6">
        <v>2</v>
      </c>
      <c r="AG6">
        <v>1</v>
      </c>
      <c r="AH6">
        <v>11</v>
      </c>
      <c r="AI6">
        <v>0</v>
      </c>
      <c r="AJ6">
        <v>2</v>
      </c>
      <c r="AK6">
        <v>0</v>
      </c>
      <c r="AL6">
        <v>33</v>
      </c>
      <c r="AM6" s="4">
        <f t="shared" si="0"/>
        <v>0.33333333333333331</v>
      </c>
    </row>
    <row r="7" spans="1:3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AE7" t="s">
        <v>458</v>
      </c>
      <c r="AF7">
        <v>2</v>
      </c>
      <c r="AG7">
        <v>2</v>
      </c>
      <c r="AH7">
        <v>19</v>
      </c>
      <c r="AI7">
        <v>0</v>
      </c>
      <c r="AJ7">
        <v>3</v>
      </c>
      <c r="AK7">
        <v>0</v>
      </c>
      <c r="AL7">
        <v>33</v>
      </c>
      <c r="AM7" s="4">
        <f t="shared" si="0"/>
        <v>0.5757575757575758</v>
      </c>
    </row>
    <row r="8" spans="1:3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AE8" t="s">
        <v>458</v>
      </c>
      <c r="AF8">
        <v>2</v>
      </c>
      <c r="AG8">
        <v>3</v>
      </c>
      <c r="AH8">
        <v>20</v>
      </c>
      <c r="AI8">
        <v>0</v>
      </c>
      <c r="AJ8">
        <v>2</v>
      </c>
      <c r="AK8">
        <v>0</v>
      </c>
      <c r="AL8">
        <v>33</v>
      </c>
      <c r="AM8" s="4">
        <f t="shared" si="0"/>
        <v>0.60606060606060608</v>
      </c>
    </row>
    <row r="9" spans="1:3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AE9" t="s">
        <v>458</v>
      </c>
      <c r="AF9">
        <v>2</v>
      </c>
      <c r="AG9">
        <v>4</v>
      </c>
      <c r="AH9">
        <v>26</v>
      </c>
      <c r="AI9">
        <v>0</v>
      </c>
      <c r="AJ9">
        <v>3</v>
      </c>
      <c r="AK9">
        <v>0</v>
      </c>
      <c r="AL9">
        <v>33</v>
      </c>
      <c r="AM9" s="4">
        <f t="shared" si="0"/>
        <v>0.78787878787878785</v>
      </c>
    </row>
    <row r="10" spans="1:3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AE10" t="s">
        <v>458</v>
      </c>
      <c r="AF10">
        <v>2</v>
      </c>
      <c r="AG10">
        <v>5</v>
      </c>
      <c r="AH10">
        <v>26</v>
      </c>
      <c r="AI10">
        <v>0</v>
      </c>
      <c r="AJ10">
        <v>3</v>
      </c>
      <c r="AK10">
        <v>0</v>
      </c>
      <c r="AL10">
        <v>33</v>
      </c>
      <c r="AM10" s="4">
        <f t="shared" si="0"/>
        <v>0.78787878787878785</v>
      </c>
    </row>
    <row r="11" spans="1:39">
      <c r="A11" t="s">
        <v>458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AE11" t="s">
        <v>458</v>
      </c>
      <c r="AF11">
        <v>2</v>
      </c>
      <c r="AG11">
        <v>6</v>
      </c>
      <c r="AH11">
        <v>27</v>
      </c>
      <c r="AI11">
        <v>0</v>
      </c>
      <c r="AJ11">
        <v>2</v>
      </c>
      <c r="AK11">
        <v>0</v>
      </c>
      <c r="AL11">
        <v>33</v>
      </c>
      <c r="AM11" s="4">
        <f t="shared" si="0"/>
        <v>0.81818181818181823</v>
      </c>
    </row>
    <row r="12" spans="1:3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AE12" t="s">
        <v>458</v>
      </c>
      <c r="AF12">
        <v>2</v>
      </c>
      <c r="AG12">
        <v>7</v>
      </c>
      <c r="AH12">
        <v>32</v>
      </c>
      <c r="AI12">
        <v>0</v>
      </c>
      <c r="AJ12">
        <v>1</v>
      </c>
      <c r="AK12">
        <v>0</v>
      </c>
      <c r="AL12">
        <v>33</v>
      </c>
      <c r="AM12" s="4">
        <f t="shared" si="0"/>
        <v>0.96969696969696972</v>
      </c>
    </row>
    <row r="13" spans="1:3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AE13" t="s">
        <v>458</v>
      </c>
      <c r="AF13">
        <v>2</v>
      </c>
      <c r="AG13">
        <v>8</v>
      </c>
      <c r="AH13">
        <v>32</v>
      </c>
      <c r="AI13">
        <v>0</v>
      </c>
      <c r="AJ13">
        <v>1</v>
      </c>
      <c r="AK13">
        <v>0</v>
      </c>
      <c r="AL13">
        <v>33</v>
      </c>
      <c r="AM13" s="4">
        <f t="shared" si="0"/>
        <v>0.96969696969696972</v>
      </c>
    </row>
    <row r="14" spans="1:3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AE14" t="s">
        <v>458</v>
      </c>
      <c r="AF14">
        <v>2</v>
      </c>
      <c r="AG14">
        <v>9</v>
      </c>
      <c r="AH14">
        <v>33</v>
      </c>
      <c r="AI14">
        <v>0</v>
      </c>
      <c r="AJ14">
        <v>0</v>
      </c>
      <c r="AK14">
        <v>0</v>
      </c>
      <c r="AL14">
        <v>33</v>
      </c>
      <c r="AM14" s="4">
        <f t="shared" si="0"/>
        <v>1</v>
      </c>
    </row>
    <row r="15" spans="1:3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AE15" t="s">
        <v>458</v>
      </c>
      <c r="AF15">
        <v>2</v>
      </c>
      <c r="AG15">
        <v>10</v>
      </c>
      <c r="AH15">
        <v>33</v>
      </c>
      <c r="AI15">
        <v>0</v>
      </c>
      <c r="AJ15">
        <v>0</v>
      </c>
      <c r="AK15">
        <v>0</v>
      </c>
      <c r="AL15">
        <v>33</v>
      </c>
      <c r="AM15" s="4">
        <f t="shared" si="0"/>
        <v>1</v>
      </c>
    </row>
    <row r="16" spans="1:3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AE16" t="s">
        <v>458</v>
      </c>
      <c r="AF16">
        <v>2</v>
      </c>
      <c r="AG16">
        <v>11</v>
      </c>
      <c r="AH16">
        <v>33</v>
      </c>
      <c r="AI16">
        <v>0</v>
      </c>
      <c r="AJ16">
        <v>0</v>
      </c>
      <c r="AK16">
        <v>0</v>
      </c>
      <c r="AL16">
        <v>33</v>
      </c>
      <c r="AM16" s="4">
        <f t="shared" si="0"/>
        <v>1</v>
      </c>
    </row>
    <row r="17" spans="1:3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AE17" t="s">
        <v>458</v>
      </c>
      <c r="AF17">
        <v>2</v>
      </c>
      <c r="AG17">
        <v>12</v>
      </c>
      <c r="AH17">
        <v>33</v>
      </c>
      <c r="AI17">
        <v>0</v>
      </c>
      <c r="AJ17">
        <v>0</v>
      </c>
      <c r="AK17">
        <v>0</v>
      </c>
      <c r="AL17">
        <v>33</v>
      </c>
      <c r="AM17" s="4">
        <f t="shared" si="0"/>
        <v>1</v>
      </c>
    </row>
    <row r="18" spans="1:3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AE18" t="s">
        <v>458</v>
      </c>
      <c r="AF18">
        <v>2</v>
      </c>
      <c r="AG18">
        <v>13</v>
      </c>
      <c r="AH18">
        <v>33</v>
      </c>
      <c r="AI18">
        <v>0</v>
      </c>
      <c r="AJ18">
        <v>0</v>
      </c>
      <c r="AK18">
        <v>0</v>
      </c>
      <c r="AL18">
        <v>33</v>
      </c>
      <c r="AM18" s="4">
        <f t="shared" si="0"/>
        <v>1</v>
      </c>
    </row>
    <row r="19" spans="1:3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AE19" t="s">
        <v>458</v>
      </c>
      <c r="AF19">
        <v>2</v>
      </c>
      <c r="AG19">
        <v>14</v>
      </c>
      <c r="AH19">
        <v>33</v>
      </c>
      <c r="AI19">
        <v>0</v>
      </c>
      <c r="AJ19">
        <v>0</v>
      </c>
      <c r="AK19">
        <v>0</v>
      </c>
      <c r="AL19">
        <v>33</v>
      </c>
      <c r="AM19" s="4">
        <f t="shared" si="0"/>
        <v>1</v>
      </c>
    </row>
    <row r="20" spans="1:3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AE20" t="s">
        <v>458</v>
      </c>
      <c r="AF20">
        <v>2</v>
      </c>
      <c r="AG20">
        <v>15</v>
      </c>
      <c r="AH20">
        <v>33</v>
      </c>
      <c r="AI20">
        <v>0</v>
      </c>
      <c r="AJ20">
        <v>0</v>
      </c>
      <c r="AK20">
        <v>0</v>
      </c>
      <c r="AL20">
        <v>33</v>
      </c>
      <c r="AM20" s="4">
        <f t="shared" si="0"/>
        <v>1</v>
      </c>
    </row>
    <row r="21" spans="1:39">
      <c r="A21" t="s">
        <v>458</v>
      </c>
      <c r="B21">
        <v>6</v>
      </c>
      <c r="C21">
        <v>1</v>
      </c>
      <c r="D21">
        <v>2</v>
      </c>
      <c r="E21">
        <v>0</v>
      </c>
      <c r="F21">
        <v>1</v>
      </c>
      <c r="G21">
        <v>0</v>
      </c>
      <c r="AE21" t="s">
        <v>458</v>
      </c>
      <c r="AF21">
        <v>6</v>
      </c>
      <c r="AG21">
        <v>1</v>
      </c>
      <c r="AH21">
        <v>2</v>
      </c>
      <c r="AI21">
        <v>0</v>
      </c>
      <c r="AJ21">
        <v>1</v>
      </c>
      <c r="AK21">
        <v>0</v>
      </c>
      <c r="AL21">
        <v>18</v>
      </c>
      <c r="AM21" s="4">
        <f t="shared" si="0"/>
        <v>0.1111111111111111</v>
      </c>
    </row>
    <row r="22" spans="1:39">
      <c r="A22" t="s">
        <v>458</v>
      </c>
      <c r="B22">
        <v>6</v>
      </c>
      <c r="C22">
        <v>2</v>
      </c>
      <c r="D22">
        <v>5</v>
      </c>
      <c r="E22">
        <v>0</v>
      </c>
      <c r="F22">
        <v>1</v>
      </c>
      <c r="G22">
        <v>0</v>
      </c>
      <c r="AE22" t="s">
        <v>458</v>
      </c>
      <c r="AF22">
        <v>6</v>
      </c>
      <c r="AG22">
        <v>2</v>
      </c>
      <c r="AH22">
        <v>5</v>
      </c>
      <c r="AI22">
        <v>0</v>
      </c>
      <c r="AJ22">
        <v>1</v>
      </c>
      <c r="AK22">
        <v>0</v>
      </c>
      <c r="AL22">
        <v>18</v>
      </c>
      <c r="AM22" s="4">
        <f t="shared" si="0"/>
        <v>0.27777777777777779</v>
      </c>
    </row>
    <row r="23" spans="1:3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AE23" t="s">
        <v>458</v>
      </c>
      <c r="AF23">
        <v>6</v>
      </c>
      <c r="AG23">
        <v>3</v>
      </c>
      <c r="AH23">
        <v>11</v>
      </c>
      <c r="AI23">
        <v>0</v>
      </c>
      <c r="AJ23">
        <v>2</v>
      </c>
      <c r="AK23">
        <v>0</v>
      </c>
      <c r="AL23">
        <v>18</v>
      </c>
      <c r="AM23" s="4">
        <f t="shared" si="0"/>
        <v>0.61111111111111116</v>
      </c>
    </row>
    <row r="24" spans="1:3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AE24" t="s">
        <v>458</v>
      </c>
      <c r="AF24">
        <v>6</v>
      </c>
      <c r="AG24">
        <v>4</v>
      </c>
      <c r="AH24">
        <v>16</v>
      </c>
      <c r="AI24">
        <v>0</v>
      </c>
      <c r="AJ24">
        <v>2</v>
      </c>
      <c r="AK24">
        <v>0</v>
      </c>
      <c r="AL24">
        <v>18</v>
      </c>
      <c r="AM24" s="4">
        <f t="shared" si="0"/>
        <v>0.88888888888888884</v>
      </c>
    </row>
    <row r="25" spans="1:3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AE25" t="s">
        <v>458</v>
      </c>
      <c r="AF25">
        <v>6</v>
      </c>
      <c r="AG25">
        <v>5</v>
      </c>
      <c r="AH25">
        <v>18</v>
      </c>
      <c r="AI25">
        <v>0</v>
      </c>
      <c r="AJ25">
        <v>0</v>
      </c>
      <c r="AK25">
        <v>0</v>
      </c>
      <c r="AL25">
        <v>18</v>
      </c>
      <c r="AM25" s="4">
        <f t="shared" si="0"/>
        <v>1</v>
      </c>
    </row>
    <row r="26" spans="1:3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AE26" t="s">
        <v>458</v>
      </c>
      <c r="AF26">
        <v>9</v>
      </c>
      <c r="AG26">
        <v>1</v>
      </c>
      <c r="AH26">
        <v>3</v>
      </c>
      <c r="AI26">
        <v>0</v>
      </c>
      <c r="AJ26">
        <v>0</v>
      </c>
      <c r="AK26">
        <v>0</v>
      </c>
      <c r="AL26">
        <v>46</v>
      </c>
      <c r="AM26" s="4">
        <f t="shared" si="0"/>
        <v>6.5217391304347824E-2</v>
      </c>
    </row>
    <row r="27" spans="1:3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AE27" t="s">
        <v>458</v>
      </c>
      <c r="AF27">
        <v>9</v>
      </c>
      <c r="AG27">
        <v>2</v>
      </c>
      <c r="AH27">
        <v>3</v>
      </c>
      <c r="AI27">
        <v>0</v>
      </c>
      <c r="AJ27">
        <v>0</v>
      </c>
      <c r="AK27">
        <v>0</v>
      </c>
      <c r="AL27">
        <v>46</v>
      </c>
      <c r="AM27" s="4">
        <f t="shared" si="0"/>
        <v>6.5217391304347824E-2</v>
      </c>
    </row>
    <row r="28" spans="1:3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AE28" t="s">
        <v>458</v>
      </c>
      <c r="AF28">
        <v>9</v>
      </c>
      <c r="AG28">
        <v>3</v>
      </c>
      <c r="AH28">
        <v>3</v>
      </c>
      <c r="AI28">
        <v>0</v>
      </c>
      <c r="AJ28">
        <v>0</v>
      </c>
      <c r="AK28">
        <v>0</v>
      </c>
      <c r="AL28">
        <v>46</v>
      </c>
      <c r="AM28" s="4">
        <f t="shared" si="0"/>
        <v>6.5217391304347824E-2</v>
      </c>
    </row>
    <row r="29" spans="1:3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AE29" t="s">
        <v>458</v>
      </c>
      <c r="AF29">
        <v>9</v>
      </c>
      <c r="AG29">
        <v>4</v>
      </c>
      <c r="AH29">
        <v>7</v>
      </c>
      <c r="AI29">
        <v>0</v>
      </c>
      <c r="AJ29">
        <v>1</v>
      </c>
      <c r="AK29">
        <v>0</v>
      </c>
      <c r="AL29">
        <v>46</v>
      </c>
      <c r="AM29" s="4">
        <f t="shared" si="0"/>
        <v>0.15217391304347827</v>
      </c>
    </row>
    <row r="30" spans="1:3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AE30" t="s">
        <v>458</v>
      </c>
      <c r="AF30">
        <v>9</v>
      </c>
      <c r="AG30">
        <v>5</v>
      </c>
      <c r="AH30">
        <v>11</v>
      </c>
      <c r="AI30">
        <v>0</v>
      </c>
      <c r="AJ30">
        <v>0</v>
      </c>
      <c r="AK30">
        <v>0</v>
      </c>
      <c r="AL30">
        <v>46</v>
      </c>
      <c r="AM30" s="4">
        <f t="shared" si="0"/>
        <v>0.2391304347826087</v>
      </c>
    </row>
    <row r="31" spans="1:3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AE31" t="s">
        <v>458</v>
      </c>
      <c r="AF31">
        <v>9</v>
      </c>
      <c r="AG31">
        <v>6</v>
      </c>
      <c r="AH31">
        <v>23</v>
      </c>
      <c r="AI31">
        <v>0</v>
      </c>
      <c r="AJ31">
        <v>2</v>
      </c>
      <c r="AK31">
        <v>0</v>
      </c>
      <c r="AL31">
        <v>46</v>
      </c>
      <c r="AM31" s="4">
        <f t="shared" si="0"/>
        <v>0.5</v>
      </c>
    </row>
    <row r="32" spans="1:39">
      <c r="A32" t="s">
        <v>458</v>
      </c>
      <c r="B32">
        <v>9</v>
      </c>
      <c r="C32">
        <v>7</v>
      </c>
      <c r="D32">
        <v>35</v>
      </c>
      <c r="E32">
        <v>0</v>
      </c>
      <c r="F32">
        <v>1</v>
      </c>
      <c r="G32">
        <v>0</v>
      </c>
      <c r="AE32" t="s">
        <v>458</v>
      </c>
      <c r="AF32">
        <v>9</v>
      </c>
      <c r="AG32">
        <v>7</v>
      </c>
      <c r="AH32">
        <v>35</v>
      </c>
      <c r="AI32">
        <v>0</v>
      </c>
      <c r="AJ32">
        <v>1</v>
      </c>
      <c r="AK32">
        <v>0</v>
      </c>
      <c r="AL32">
        <v>46</v>
      </c>
      <c r="AM32" s="4">
        <f t="shared" si="0"/>
        <v>0.76086956521739135</v>
      </c>
    </row>
    <row r="33" spans="1:3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AE33" t="s">
        <v>458</v>
      </c>
      <c r="AF33">
        <v>9</v>
      </c>
      <c r="AG33">
        <v>8</v>
      </c>
      <c r="AH33">
        <v>42</v>
      </c>
      <c r="AI33">
        <v>0</v>
      </c>
      <c r="AJ33">
        <v>1</v>
      </c>
      <c r="AK33">
        <v>0</v>
      </c>
      <c r="AL33">
        <v>46</v>
      </c>
      <c r="AM33" s="4">
        <f t="shared" si="0"/>
        <v>0.91304347826086951</v>
      </c>
    </row>
    <row r="34" spans="1:3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AE34" t="s">
        <v>458</v>
      </c>
      <c r="AF34">
        <v>9</v>
      </c>
      <c r="AG34">
        <v>9</v>
      </c>
      <c r="AH34">
        <v>46</v>
      </c>
      <c r="AI34">
        <v>0</v>
      </c>
      <c r="AJ34">
        <v>0</v>
      </c>
      <c r="AK34">
        <v>0</v>
      </c>
      <c r="AL34">
        <v>46</v>
      </c>
      <c r="AM34" s="4">
        <f t="shared" si="0"/>
        <v>1</v>
      </c>
    </row>
    <row r="35" spans="1:3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AE35" t="s">
        <v>458</v>
      </c>
      <c r="AF35">
        <v>9</v>
      </c>
      <c r="AG35">
        <v>10</v>
      </c>
      <c r="AH35">
        <v>46</v>
      </c>
      <c r="AI35">
        <v>0</v>
      </c>
      <c r="AJ35">
        <v>0</v>
      </c>
      <c r="AK35">
        <v>0</v>
      </c>
      <c r="AL35">
        <v>46</v>
      </c>
      <c r="AM35" s="4">
        <f t="shared" si="0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Views>
    <sheetView topLeftCell="A3" workbookViewId="0">
      <selection activeCell="D26" sqref="D26"/>
    </sheetView>
  </sheetViews>
  <sheetFormatPr baseColWidth="10" defaultRowHeight="15" x14ac:dyDescent="0"/>
  <cols>
    <col min="1" max="1" width="12.33203125" bestFit="1" customWidth="1"/>
  </cols>
  <sheetData>
    <row r="1" spans="1:5">
      <c r="A1" t="s">
        <v>270</v>
      </c>
      <c r="B1" t="s">
        <v>272</v>
      </c>
      <c r="C1" t="s">
        <v>456</v>
      </c>
      <c r="D1" t="s">
        <v>503</v>
      </c>
      <c r="E1" t="s">
        <v>502</v>
      </c>
    </row>
    <row r="2" spans="1:5">
      <c r="A2" t="s">
        <v>458</v>
      </c>
      <c r="B2">
        <v>1</v>
      </c>
      <c r="C2">
        <v>1</v>
      </c>
      <c r="D2" s="4">
        <v>0.97824940680200367</v>
      </c>
      <c r="E2" s="4">
        <v>0.92156862745098034</v>
      </c>
    </row>
    <row r="3" spans="1:5">
      <c r="A3" t="s">
        <v>458</v>
      </c>
      <c r="B3">
        <v>1</v>
      </c>
      <c r="C3">
        <v>2</v>
      </c>
      <c r="D3" s="4">
        <v>0.98457685209596624</v>
      </c>
      <c r="E3" s="4">
        <v>0.96078431372549022</v>
      </c>
    </row>
    <row r="4" spans="1:5">
      <c r="A4" t="s">
        <v>458</v>
      </c>
      <c r="B4">
        <v>1</v>
      </c>
      <c r="C4">
        <v>3</v>
      </c>
      <c r="D4" s="4">
        <v>0.98774057474294752</v>
      </c>
      <c r="E4" s="4">
        <v>1</v>
      </c>
    </row>
    <row r="5" spans="1:5">
      <c r="A5" t="s">
        <v>458</v>
      </c>
      <c r="B5">
        <v>1</v>
      </c>
      <c r="C5">
        <v>4</v>
      </c>
      <c r="D5" s="4">
        <v>0.98998154495122592</v>
      </c>
      <c r="E5" s="4">
        <v>1</v>
      </c>
    </row>
    <row r="6" spans="1:5">
      <c r="A6" t="s">
        <v>458</v>
      </c>
      <c r="B6">
        <v>2</v>
      </c>
      <c r="C6">
        <v>1</v>
      </c>
      <c r="D6" s="4">
        <v>0.42340067340067339</v>
      </c>
      <c r="E6" s="4">
        <v>0.33333333333333331</v>
      </c>
    </row>
    <row r="7" spans="1:5">
      <c r="A7" t="s">
        <v>458</v>
      </c>
      <c r="B7">
        <v>2</v>
      </c>
      <c r="C7">
        <v>2</v>
      </c>
      <c r="D7" s="4">
        <v>0.56565656565656564</v>
      </c>
      <c r="E7" s="4">
        <v>0.5757575757575758</v>
      </c>
    </row>
    <row r="8" spans="1:5">
      <c r="A8" t="s">
        <v>458</v>
      </c>
      <c r="B8">
        <v>2</v>
      </c>
      <c r="C8">
        <v>3</v>
      </c>
      <c r="D8" s="4">
        <v>0.64478114478114479</v>
      </c>
      <c r="E8" s="4">
        <v>0.60606060606060608</v>
      </c>
    </row>
    <row r="9" spans="1:5">
      <c r="A9" t="s">
        <v>458</v>
      </c>
      <c r="B9">
        <v>2</v>
      </c>
      <c r="C9">
        <v>4</v>
      </c>
      <c r="D9" s="4">
        <v>0.6835016835016835</v>
      </c>
      <c r="E9" s="4">
        <v>0.78787878787878785</v>
      </c>
    </row>
    <row r="10" spans="1:5">
      <c r="A10" t="s">
        <v>458</v>
      </c>
      <c r="B10">
        <v>2</v>
      </c>
      <c r="C10">
        <v>5</v>
      </c>
      <c r="D10" s="4">
        <v>0.75841750841750843</v>
      </c>
      <c r="E10" s="4">
        <v>0.78787878787878785</v>
      </c>
    </row>
    <row r="11" spans="1:5">
      <c r="A11" t="s">
        <v>458</v>
      </c>
      <c r="B11">
        <v>2</v>
      </c>
      <c r="C11">
        <v>6</v>
      </c>
      <c r="D11" s="4">
        <v>0.77020202020202022</v>
      </c>
      <c r="E11" s="4">
        <v>0.81818181818181823</v>
      </c>
    </row>
    <row r="12" spans="1:5">
      <c r="A12" t="s">
        <v>458</v>
      </c>
      <c r="B12">
        <v>2</v>
      </c>
      <c r="C12">
        <v>7</v>
      </c>
      <c r="D12" s="4">
        <v>0.77104377104377109</v>
      </c>
      <c r="E12" s="4">
        <v>0.96969696969696972</v>
      </c>
    </row>
    <row r="13" spans="1:5">
      <c r="A13" t="s">
        <v>458</v>
      </c>
      <c r="B13">
        <v>2</v>
      </c>
      <c r="C13">
        <v>8</v>
      </c>
      <c r="D13" s="4">
        <v>0.83333333333333337</v>
      </c>
      <c r="E13" s="4">
        <v>0.96969696969696972</v>
      </c>
    </row>
    <row r="14" spans="1:5">
      <c r="A14" t="s">
        <v>458</v>
      </c>
      <c r="B14">
        <v>2</v>
      </c>
      <c r="C14">
        <v>9</v>
      </c>
      <c r="D14" s="4">
        <v>0.83922558922558921</v>
      </c>
      <c r="E14" s="4">
        <v>1</v>
      </c>
    </row>
    <row r="15" spans="1:5">
      <c r="A15" t="s">
        <v>458</v>
      </c>
      <c r="B15">
        <v>2</v>
      </c>
      <c r="C15">
        <v>10</v>
      </c>
      <c r="D15" s="4">
        <v>0.85269360269360273</v>
      </c>
      <c r="E15" s="4">
        <v>1</v>
      </c>
    </row>
    <row r="16" spans="1:5">
      <c r="A16" t="s">
        <v>458</v>
      </c>
      <c r="B16">
        <v>2</v>
      </c>
      <c r="C16">
        <v>11</v>
      </c>
      <c r="D16" s="4">
        <v>0.85353535353535348</v>
      </c>
      <c r="E16" s="4">
        <v>1</v>
      </c>
    </row>
    <row r="17" spans="1:5">
      <c r="A17" t="s">
        <v>458</v>
      </c>
      <c r="B17">
        <v>2</v>
      </c>
      <c r="C17">
        <v>12</v>
      </c>
      <c r="D17" s="4">
        <v>0.91245791245791241</v>
      </c>
      <c r="E17" s="4">
        <v>1</v>
      </c>
    </row>
    <row r="18" spans="1:5">
      <c r="A18" t="s">
        <v>458</v>
      </c>
      <c r="B18">
        <v>2</v>
      </c>
      <c r="C18">
        <v>13</v>
      </c>
      <c r="D18" s="4">
        <v>0.91414141414141414</v>
      </c>
      <c r="E18" s="4">
        <v>1</v>
      </c>
    </row>
    <row r="19" spans="1:5">
      <c r="A19" t="s">
        <v>458</v>
      </c>
      <c r="B19">
        <v>2</v>
      </c>
      <c r="C19">
        <v>14</v>
      </c>
      <c r="D19" s="4">
        <v>0.92087542087542085</v>
      </c>
      <c r="E19" s="4">
        <v>1</v>
      </c>
    </row>
    <row r="20" spans="1:5">
      <c r="A20" t="s">
        <v>458</v>
      </c>
      <c r="B20">
        <v>2</v>
      </c>
      <c r="C20">
        <v>15</v>
      </c>
      <c r="D20" s="4">
        <v>0.98569023569023573</v>
      </c>
      <c r="E20" s="4">
        <v>1</v>
      </c>
    </row>
    <row r="21" spans="1:5">
      <c r="A21" t="s">
        <v>458</v>
      </c>
      <c r="B21">
        <v>6</v>
      </c>
      <c r="C21">
        <v>1</v>
      </c>
      <c r="D21" s="4">
        <v>0.15615615615615616</v>
      </c>
      <c r="E21" s="4">
        <v>0.1111111111111111</v>
      </c>
    </row>
    <row r="22" spans="1:5">
      <c r="A22" t="s">
        <v>458</v>
      </c>
      <c r="B22">
        <v>6</v>
      </c>
      <c r="C22">
        <v>2</v>
      </c>
      <c r="D22" s="4">
        <v>0.29729729729729731</v>
      </c>
      <c r="E22" s="4">
        <v>0.27777777777777779</v>
      </c>
    </row>
    <row r="23" spans="1:5">
      <c r="A23" t="s">
        <v>458</v>
      </c>
      <c r="B23">
        <v>6</v>
      </c>
      <c r="C23">
        <v>3</v>
      </c>
      <c r="D23" s="4">
        <v>0.70270270270270274</v>
      </c>
      <c r="E23" s="4">
        <v>0.61111111111111116</v>
      </c>
    </row>
    <row r="24" spans="1:5">
      <c r="A24" t="s">
        <v>458</v>
      </c>
      <c r="B24">
        <v>6</v>
      </c>
      <c r="C24">
        <v>4</v>
      </c>
      <c r="D24" s="4">
        <v>1</v>
      </c>
      <c r="E24" s="4">
        <v>0.88888888888888884</v>
      </c>
    </row>
    <row r="25" spans="1:5">
      <c r="A25" t="s">
        <v>458</v>
      </c>
      <c r="B25">
        <v>6</v>
      </c>
      <c r="C25">
        <v>5</v>
      </c>
      <c r="D25" s="4">
        <v>1</v>
      </c>
      <c r="E25" s="4">
        <v>1</v>
      </c>
    </row>
    <row r="26" spans="1:5">
      <c r="A26" t="s">
        <v>458</v>
      </c>
      <c r="B26">
        <v>9</v>
      </c>
      <c r="C26">
        <v>1</v>
      </c>
      <c r="D26" s="4">
        <v>7.5567918405192391E-2</v>
      </c>
      <c r="E26" s="4">
        <v>6.5217391304347824E-2</v>
      </c>
    </row>
    <row r="27" spans="1:5">
      <c r="A27" t="s">
        <v>458</v>
      </c>
      <c r="B27">
        <v>9</v>
      </c>
      <c r="C27">
        <v>2</v>
      </c>
      <c r="D27" s="4">
        <v>7.6031525266573946E-2</v>
      </c>
      <c r="E27" s="4">
        <v>6.5217391304347824E-2</v>
      </c>
    </row>
    <row r="28" spans="1:5">
      <c r="A28" t="s">
        <v>458</v>
      </c>
      <c r="B28">
        <v>9</v>
      </c>
      <c r="C28">
        <v>3</v>
      </c>
      <c r="D28" s="4">
        <v>7.7885952712100137E-2</v>
      </c>
      <c r="E28" s="4">
        <v>6.5217391304347824E-2</v>
      </c>
    </row>
    <row r="29" spans="1:5">
      <c r="A29" t="s">
        <v>458</v>
      </c>
      <c r="B29">
        <v>9</v>
      </c>
      <c r="C29">
        <v>4</v>
      </c>
      <c r="D29" s="4">
        <v>0.16272600834492351</v>
      </c>
      <c r="E29" s="4">
        <v>0.15217391304347827</v>
      </c>
    </row>
    <row r="30" spans="1:5">
      <c r="A30" t="s">
        <v>458</v>
      </c>
      <c r="B30">
        <v>9</v>
      </c>
      <c r="C30">
        <v>5</v>
      </c>
      <c r="D30" s="4">
        <v>0.16411682892906815</v>
      </c>
      <c r="E30" s="4">
        <v>0.2391304347826087</v>
      </c>
    </row>
    <row r="31" spans="1:5">
      <c r="A31" t="s">
        <v>458</v>
      </c>
      <c r="B31">
        <v>9</v>
      </c>
      <c r="C31">
        <v>6</v>
      </c>
      <c r="D31" s="4">
        <v>0.33889661566991192</v>
      </c>
      <c r="E31" s="4">
        <v>0.5</v>
      </c>
    </row>
    <row r="32" spans="1:5">
      <c r="A32" t="s">
        <v>458</v>
      </c>
      <c r="B32">
        <v>9</v>
      </c>
      <c r="C32">
        <v>7</v>
      </c>
      <c r="D32" s="4">
        <v>0.34121464997681966</v>
      </c>
      <c r="E32" s="4">
        <v>0.76086956521739135</v>
      </c>
    </row>
    <row r="33" spans="1:5">
      <c r="A33" t="s">
        <v>458</v>
      </c>
      <c r="B33">
        <v>9</v>
      </c>
      <c r="C33">
        <v>8</v>
      </c>
      <c r="D33" s="4">
        <v>0.34863235975892443</v>
      </c>
      <c r="E33" s="4">
        <v>0.91304347826086951</v>
      </c>
    </row>
    <row r="34" spans="1:5">
      <c r="A34" t="s">
        <v>458</v>
      </c>
      <c r="B34">
        <v>9</v>
      </c>
      <c r="C34">
        <v>9</v>
      </c>
      <c r="D34" s="4">
        <v>0.40936485859990729</v>
      </c>
      <c r="E34" s="4">
        <v>1</v>
      </c>
    </row>
    <row r="35" spans="1:5">
      <c r="A35" t="s">
        <v>458</v>
      </c>
      <c r="B35">
        <v>9</v>
      </c>
      <c r="C35">
        <v>10</v>
      </c>
      <c r="D35" s="4">
        <v>0.41075567918405193</v>
      </c>
      <c r="E35" s="4">
        <v>1</v>
      </c>
    </row>
    <row r="36" spans="1:5">
      <c r="A36" s="2"/>
      <c r="B36" s="2"/>
    </row>
    <row r="37" spans="1:5">
      <c r="A37" s="2"/>
      <c r="B37" s="2"/>
    </row>
    <row r="38" spans="1:5">
      <c r="A38" s="2"/>
      <c r="B38" s="2"/>
    </row>
    <row r="39" spans="1:5">
      <c r="A39" s="2"/>
      <c r="B39" s="2"/>
    </row>
    <row r="40" spans="1:5">
      <c r="A40" s="2"/>
      <c r="B40" s="2"/>
    </row>
    <row r="41" spans="1:5">
      <c r="A41" s="2"/>
      <c r="B41" s="2"/>
    </row>
    <row r="42" spans="1:5">
      <c r="A42" s="2"/>
      <c r="B42" s="2"/>
    </row>
    <row r="43" spans="1:5">
      <c r="A43" s="2"/>
      <c r="B43" s="2"/>
    </row>
    <row r="44" spans="1:5">
      <c r="A44" s="2"/>
      <c r="B44" s="2"/>
    </row>
    <row r="45" spans="1:5">
      <c r="A45" s="2"/>
      <c r="B45" s="2"/>
    </row>
    <row r="46" spans="1:5">
      <c r="A46" s="2"/>
      <c r="B46" s="2"/>
    </row>
    <row r="47" spans="1:5">
      <c r="A47" s="2"/>
      <c r="B47" s="2"/>
    </row>
    <row r="48" spans="1:5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5"/>
  <sheetViews>
    <sheetView topLeftCell="A409" workbookViewId="0">
      <selection activeCell="C494" sqref="C494"/>
    </sheetView>
  </sheetViews>
  <sheetFormatPr baseColWidth="10" defaultRowHeight="15" x14ac:dyDescent="0"/>
  <sheetData>
    <row r="1" spans="1:7">
      <c r="A1" t="s">
        <v>270</v>
      </c>
      <c r="B1" t="s">
        <v>272</v>
      </c>
      <c r="C1" t="s">
        <v>274</v>
      </c>
      <c r="D1" t="s">
        <v>456</v>
      </c>
      <c r="E1" t="s">
        <v>275</v>
      </c>
      <c r="F1" t="s">
        <v>457</v>
      </c>
      <c r="G1" t="s">
        <v>454</v>
      </c>
    </row>
    <row r="2" spans="1:7">
      <c r="A2" t="s">
        <v>458</v>
      </c>
      <c r="B2">
        <v>1</v>
      </c>
      <c r="C2" t="s">
        <v>448</v>
      </c>
      <c r="D2">
        <v>1</v>
      </c>
      <c r="E2">
        <v>7345</v>
      </c>
      <c r="F2">
        <v>7220</v>
      </c>
      <c r="G2" s="4">
        <f t="shared" ref="G2" si="0">F2/E2</f>
        <v>0.98298162014976176</v>
      </c>
    </row>
    <row r="3" spans="1:7">
      <c r="A3" t="s">
        <v>458</v>
      </c>
      <c r="B3">
        <v>1</v>
      </c>
      <c r="C3" t="s">
        <v>210</v>
      </c>
      <c r="D3">
        <v>2</v>
      </c>
      <c r="E3">
        <v>7345</v>
      </c>
      <c r="F3">
        <v>7240</v>
      </c>
      <c r="G3" s="4">
        <f t="shared" ref="G3:G66" si="1">F3/E3</f>
        <v>0.98570456092579983</v>
      </c>
    </row>
    <row r="4" spans="1:7">
      <c r="A4" t="s">
        <v>458</v>
      </c>
      <c r="B4">
        <v>1</v>
      </c>
      <c r="C4" t="s">
        <v>211</v>
      </c>
      <c r="D4">
        <v>3</v>
      </c>
      <c r="E4">
        <v>7345</v>
      </c>
      <c r="F4">
        <v>7241</v>
      </c>
      <c r="G4" s="4">
        <f t="shared" si="1"/>
        <v>0.98584070796460177</v>
      </c>
    </row>
    <row r="5" spans="1:7">
      <c r="A5" t="s">
        <v>458</v>
      </c>
      <c r="B5">
        <v>1</v>
      </c>
      <c r="C5" t="s">
        <v>449</v>
      </c>
      <c r="D5">
        <v>4</v>
      </c>
      <c r="E5">
        <v>7345</v>
      </c>
      <c r="F5">
        <v>7308</v>
      </c>
      <c r="G5" s="4">
        <f t="shared" si="1"/>
        <v>0.99496255956432944</v>
      </c>
    </row>
    <row r="6" spans="1:7">
      <c r="A6" t="s">
        <v>458</v>
      </c>
      <c r="B6">
        <v>2</v>
      </c>
      <c r="C6" t="s">
        <v>449</v>
      </c>
      <c r="D6">
        <v>1</v>
      </c>
      <c r="E6">
        <v>1112</v>
      </c>
      <c r="F6">
        <v>470</v>
      </c>
      <c r="G6" s="4">
        <f t="shared" si="1"/>
        <v>0.4226618705035971</v>
      </c>
    </row>
    <row r="7" spans="1:7">
      <c r="A7" t="s">
        <v>458</v>
      </c>
      <c r="B7">
        <v>2</v>
      </c>
      <c r="C7" t="s">
        <v>459</v>
      </c>
      <c r="D7">
        <v>2</v>
      </c>
      <c r="E7">
        <v>1112</v>
      </c>
      <c r="F7">
        <v>656</v>
      </c>
      <c r="G7" s="4">
        <f t="shared" si="1"/>
        <v>0.58992805755395683</v>
      </c>
    </row>
    <row r="8" spans="1:7">
      <c r="A8" t="s">
        <v>458</v>
      </c>
      <c r="B8">
        <v>2</v>
      </c>
      <c r="C8" t="s">
        <v>460</v>
      </c>
      <c r="D8">
        <v>3</v>
      </c>
      <c r="E8">
        <v>1112</v>
      </c>
      <c r="F8">
        <v>734</v>
      </c>
      <c r="G8" s="4">
        <f t="shared" si="1"/>
        <v>0.66007194244604317</v>
      </c>
    </row>
    <row r="9" spans="1:7">
      <c r="A9" t="s">
        <v>458</v>
      </c>
      <c r="B9">
        <v>2</v>
      </c>
      <c r="C9" t="s">
        <v>461</v>
      </c>
      <c r="D9">
        <v>4</v>
      </c>
      <c r="E9">
        <v>1112</v>
      </c>
      <c r="F9">
        <v>778</v>
      </c>
      <c r="G9" s="4">
        <f t="shared" si="1"/>
        <v>0.69964028776978415</v>
      </c>
    </row>
    <row r="10" spans="1:7">
      <c r="A10" t="s">
        <v>458</v>
      </c>
      <c r="B10">
        <v>2</v>
      </c>
      <c r="C10" t="s">
        <v>463</v>
      </c>
      <c r="D10">
        <v>5</v>
      </c>
      <c r="E10">
        <v>1112</v>
      </c>
      <c r="F10">
        <v>862</v>
      </c>
      <c r="G10" s="4">
        <f t="shared" si="1"/>
        <v>0.77517985611510787</v>
      </c>
    </row>
    <row r="11" spans="1:7">
      <c r="A11" t="s">
        <v>458</v>
      </c>
      <c r="B11">
        <v>2</v>
      </c>
      <c r="C11" t="s">
        <v>464</v>
      </c>
      <c r="D11">
        <v>6</v>
      </c>
      <c r="E11">
        <v>1112</v>
      </c>
      <c r="F11">
        <v>879</v>
      </c>
      <c r="G11" s="4">
        <f t="shared" si="1"/>
        <v>0.79046762589928055</v>
      </c>
    </row>
    <row r="12" spans="1:7">
      <c r="A12" t="s">
        <v>458</v>
      </c>
      <c r="B12">
        <v>2</v>
      </c>
      <c r="C12" t="s">
        <v>462</v>
      </c>
      <c r="D12">
        <v>7</v>
      </c>
      <c r="E12">
        <v>1112</v>
      </c>
      <c r="F12">
        <v>892</v>
      </c>
      <c r="G12" s="4">
        <f t="shared" si="1"/>
        <v>0.80215827338129497</v>
      </c>
    </row>
    <row r="13" spans="1:7">
      <c r="A13" t="s">
        <v>458</v>
      </c>
      <c r="B13">
        <v>2</v>
      </c>
      <c r="C13" t="s">
        <v>465</v>
      </c>
      <c r="D13">
        <v>8</v>
      </c>
      <c r="E13">
        <v>1112</v>
      </c>
      <c r="F13">
        <v>944</v>
      </c>
      <c r="G13" s="4">
        <f t="shared" si="1"/>
        <v>0.84892086330935257</v>
      </c>
    </row>
    <row r="14" spans="1:7">
      <c r="A14" t="s">
        <v>458</v>
      </c>
      <c r="B14">
        <v>2</v>
      </c>
      <c r="C14" t="s">
        <v>467</v>
      </c>
      <c r="D14">
        <v>9</v>
      </c>
      <c r="E14">
        <v>1112</v>
      </c>
      <c r="F14">
        <v>960</v>
      </c>
      <c r="G14" s="4">
        <f t="shared" si="1"/>
        <v>0.86330935251798557</v>
      </c>
    </row>
    <row r="15" spans="1:7">
      <c r="A15" t="s">
        <v>458</v>
      </c>
      <c r="B15">
        <v>2</v>
      </c>
      <c r="C15" t="s">
        <v>466</v>
      </c>
      <c r="D15">
        <v>10</v>
      </c>
      <c r="E15">
        <v>1112</v>
      </c>
      <c r="F15">
        <v>974</v>
      </c>
      <c r="G15" s="4">
        <f t="shared" si="1"/>
        <v>0.87589928057553956</v>
      </c>
    </row>
    <row r="16" spans="1:7">
      <c r="A16" t="s">
        <v>458</v>
      </c>
      <c r="B16">
        <v>2</v>
      </c>
      <c r="C16" t="s">
        <v>468</v>
      </c>
      <c r="D16">
        <v>11</v>
      </c>
      <c r="E16">
        <v>1112</v>
      </c>
      <c r="F16">
        <v>979</v>
      </c>
      <c r="G16" s="4">
        <f t="shared" si="1"/>
        <v>0.88039568345323738</v>
      </c>
    </row>
    <row r="17" spans="1:7">
      <c r="A17" t="s">
        <v>458</v>
      </c>
      <c r="B17">
        <v>2</v>
      </c>
      <c r="C17" t="s">
        <v>470</v>
      </c>
      <c r="D17">
        <v>12</v>
      </c>
      <c r="E17">
        <v>1112</v>
      </c>
      <c r="F17">
        <v>1038</v>
      </c>
      <c r="G17" s="4">
        <f t="shared" si="1"/>
        <v>0.93345323741007191</v>
      </c>
    </row>
    <row r="18" spans="1:7">
      <c r="A18" t="s">
        <v>458</v>
      </c>
      <c r="B18">
        <v>2</v>
      </c>
      <c r="C18" t="s">
        <v>469</v>
      </c>
      <c r="D18">
        <v>13</v>
      </c>
      <c r="E18">
        <v>1112</v>
      </c>
      <c r="F18">
        <v>1041</v>
      </c>
      <c r="G18" s="4">
        <f t="shared" si="1"/>
        <v>0.9361510791366906</v>
      </c>
    </row>
    <row r="19" spans="1:7">
      <c r="A19" t="s">
        <v>458</v>
      </c>
      <c r="B19">
        <v>2</v>
      </c>
      <c r="C19" t="s">
        <v>471</v>
      </c>
      <c r="D19">
        <v>14</v>
      </c>
      <c r="E19">
        <v>1112</v>
      </c>
      <c r="F19">
        <v>1054</v>
      </c>
      <c r="G19" s="4">
        <f t="shared" si="1"/>
        <v>0.94784172661870503</v>
      </c>
    </row>
    <row r="20" spans="1:7">
      <c r="A20" t="s">
        <v>458</v>
      </c>
      <c r="B20">
        <v>2</v>
      </c>
      <c r="C20" t="s">
        <v>472</v>
      </c>
      <c r="D20">
        <v>15</v>
      </c>
      <c r="E20">
        <v>1112</v>
      </c>
      <c r="F20">
        <v>1129</v>
      </c>
      <c r="G20" s="4">
        <f t="shared" si="1"/>
        <v>1.0152877697841727</v>
      </c>
    </row>
    <row r="21" spans="1:7">
      <c r="A21" t="s">
        <v>458</v>
      </c>
      <c r="B21">
        <v>6</v>
      </c>
      <c r="C21" t="s">
        <v>448</v>
      </c>
      <c r="D21">
        <v>1</v>
      </c>
      <c r="E21">
        <v>1951</v>
      </c>
      <c r="F21">
        <v>192</v>
      </c>
      <c r="G21" s="4">
        <f t="shared" si="1"/>
        <v>9.8411071245515125E-2</v>
      </c>
    </row>
    <row r="22" spans="1:7">
      <c r="A22" t="s">
        <v>458</v>
      </c>
      <c r="B22">
        <v>6</v>
      </c>
      <c r="C22" t="s">
        <v>473</v>
      </c>
      <c r="D22">
        <v>2</v>
      </c>
      <c r="E22">
        <v>1951</v>
      </c>
      <c r="F22">
        <v>1430</v>
      </c>
      <c r="G22" s="4">
        <f t="shared" si="1"/>
        <v>0.73295745771399279</v>
      </c>
    </row>
    <row r="23" spans="1:7">
      <c r="A23" t="s">
        <v>458</v>
      </c>
      <c r="B23">
        <v>6</v>
      </c>
      <c r="C23" t="s">
        <v>475</v>
      </c>
      <c r="D23">
        <v>3</v>
      </c>
      <c r="E23">
        <v>1951</v>
      </c>
      <c r="F23">
        <v>1630</v>
      </c>
      <c r="G23" s="4">
        <f t="shared" si="1"/>
        <v>0.83546899026140442</v>
      </c>
    </row>
    <row r="24" spans="1:7">
      <c r="A24" t="s">
        <v>458</v>
      </c>
      <c r="B24">
        <v>6</v>
      </c>
      <c r="C24" t="s">
        <v>474</v>
      </c>
      <c r="D24">
        <v>4</v>
      </c>
      <c r="E24">
        <v>1951</v>
      </c>
      <c r="F24">
        <v>1771</v>
      </c>
      <c r="G24" s="4">
        <f t="shared" si="1"/>
        <v>0.90773962070732961</v>
      </c>
    </row>
    <row r="25" spans="1:7">
      <c r="A25" t="s">
        <v>458</v>
      </c>
      <c r="B25">
        <v>6</v>
      </c>
      <c r="C25" t="s">
        <v>485</v>
      </c>
      <c r="D25">
        <v>5</v>
      </c>
      <c r="E25">
        <v>1951</v>
      </c>
      <c r="F25">
        <v>1954</v>
      </c>
      <c r="G25" s="4">
        <f t="shared" si="1"/>
        <v>1.0015376729882113</v>
      </c>
    </row>
    <row r="26" spans="1:7">
      <c r="A26" t="s">
        <v>458</v>
      </c>
      <c r="B26">
        <v>9</v>
      </c>
      <c r="C26" t="s">
        <v>478</v>
      </c>
      <c r="D26">
        <v>1</v>
      </c>
      <c r="E26">
        <v>2066</v>
      </c>
      <c r="F26">
        <v>158</v>
      </c>
      <c r="G26" s="4">
        <f t="shared" si="1"/>
        <v>7.6476282671829626E-2</v>
      </c>
    </row>
    <row r="27" spans="1:7">
      <c r="A27" t="s">
        <v>458</v>
      </c>
      <c r="B27">
        <v>9</v>
      </c>
      <c r="C27" t="s">
        <v>476</v>
      </c>
      <c r="D27">
        <v>2</v>
      </c>
      <c r="E27">
        <v>2066</v>
      </c>
      <c r="F27">
        <v>159</v>
      </c>
      <c r="G27" s="4">
        <f t="shared" si="1"/>
        <v>7.6960309777347538E-2</v>
      </c>
    </row>
    <row r="28" spans="1:7">
      <c r="A28" t="s">
        <v>458</v>
      </c>
      <c r="B28">
        <v>9</v>
      </c>
      <c r="C28" t="s">
        <v>477</v>
      </c>
      <c r="D28">
        <v>3</v>
      </c>
      <c r="E28">
        <v>2066</v>
      </c>
      <c r="F28">
        <v>164</v>
      </c>
      <c r="G28" s="4">
        <f t="shared" si="1"/>
        <v>7.9380445304937083E-2</v>
      </c>
    </row>
    <row r="29" spans="1:7">
      <c r="A29" t="s">
        <v>458</v>
      </c>
      <c r="B29">
        <v>9</v>
      </c>
      <c r="C29" t="s">
        <v>479</v>
      </c>
      <c r="D29">
        <v>4</v>
      </c>
      <c r="E29">
        <v>2066</v>
      </c>
      <c r="F29">
        <v>332</v>
      </c>
      <c r="G29" s="4">
        <f t="shared" si="1"/>
        <v>0.16069699903194579</v>
      </c>
    </row>
    <row r="30" spans="1:7">
      <c r="A30" t="s">
        <v>458</v>
      </c>
      <c r="B30">
        <v>9</v>
      </c>
      <c r="C30" t="s">
        <v>449</v>
      </c>
      <c r="D30">
        <v>5</v>
      </c>
      <c r="E30">
        <v>2066</v>
      </c>
      <c r="F30">
        <v>336</v>
      </c>
      <c r="G30" s="4">
        <f t="shared" si="1"/>
        <v>0.16263310745401743</v>
      </c>
    </row>
    <row r="31" spans="1:7">
      <c r="A31" t="s">
        <v>458</v>
      </c>
      <c r="B31">
        <v>9</v>
      </c>
      <c r="C31" t="s">
        <v>480</v>
      </c>
      <c r="D31">
        <v>6</v>
      </c>
      <c r="E31">
        <v>2066</v>
      </c>
      <c r="F31">
        <v>694</v>
      </c>
      <c r="G31" s="4">
        <f t="shared" si="1"/>
        <v>0.33591481122942884</v>
      </c>
    </row>
    <row r="32" spans="1:7">
      <c r="A32" t="s">
        <v>458</v>
      </c>
      <c r="B32">
        <v>9</v>
      </c>
      <c r="C32" t="s">
        <v>482</v>
      </c>
      <c r="D32">
        <v>7</v>
      </c>
      <c r="E32">
        <v>2066</v>
      </c>
      <c r="F32">
        <v>704</v>
      </c>
      <c r="G32" s="4">
        <f t="shared" si="1"/>
        <v>0.34075508228460794</v>
      </c>
    </row>
    <row r="33" spans="1:7">
      <c r="A33" t="s">
        <v>458</v>
      </c>
      <c r="B33">
        <v>9</v>
      </c>
      <c r="C33" t="s">
        <v>481</v>
      </c>
      <c r="D33">
        <v>8</v>
      </c>
      <c r="E33">
        <v>2066</v>
      </c>
      <c r="F33">
        <v>719</v>
      </c>
      <c r="G33" s="4">
        <f t="shared" si="1"/>
        <v>0.3480154888673766</v>
      </c>
    </row>
    <row r="34" spans="1:7">
      <c r="A34" t="s">
        <v>458</v>
      </c>
      <c r="B34">
        <v>9</v>
      </c>
      <c r="C34" t="s">
        <v>483</v>
      </c>
      <c r="D34">
        <v>9</v>
      </c>
      <c r="E34">
        <v>2066</v>
      </c>
      <c r="F34">
        <v>830</v>
      </c>
      <c r="G34" s="4">
        <f t="shared" si="1"/>
        <v>0.40174249757986447</v>
      </c>
    </row>
    <row r="35" spans="1:7">
      <c r="A35" t="s">
        <v>458</v>
      </c>
      <c r="B35">
        <v>9</v>
      </c>
      <c r="C35" t="s">
        <v>484</v>
      </c>
      <c r="D35">
        <v>10</v>
      </c>
      <c r="E35">
        <v>2066</v>
      </c>
      <c r="F35">
        <v>851</v>
      </c>
      <c r="G35" s="4">
        <f t="shared" si="1"/>
        <v>0.41190706679574057</v>
      </c>
    </row>
    <row r="36" spans="1:7">
      <c r="A36" t="s">
        <v>489</v>
      </c>
      <c r="B36">
        <v>2</v>
      </c>
      <c r="C36" t="s">
        <v>213</v>
      </c>
      <c r="D36">
        <v>1</v>
      </c>
      <c r="E36">
        <v>1117</v>
      </c>
      <c r="F36">
        <v>352</v>
      </c>
      <c r="G36" s="4">
        <f t="shared" si="1"/>
        <v>0.31512981199641898</v>
      </c>
    </row>
    <row r="37" spans="1:7">
      <c r="A37" t="s">
        <v>489</v>
      </c>
      <c r="B37">
        <v>2</v>
      </c>
      <c r="C37" t="s">
        <v>210</v>
      </c>
      <c r="D37">
        <v>2</v>
      </c>
      <c r="E37">
        <v>1117</v>
      </c>
      <c r="F37">
        <v>767</v>
      </c>
      <c r="G37" s="4">
        <f t="shared" si="1"/>
        <v>0.68666069829901522</v>
      </c>
    </row>
    <row r="38" spans="1:7">
      <c r="A38" t="s">
        <v>489</v>
      </c>
      <c r="B38">
        <v>2</v>
      </c>
      <c r="C38" t="s">
        <v>504</v>
      </c>
      <c r="D38">
        <v>3</v>
      </c>
      <c r="E38">
        <v>1117</v>
      </c>
      <c r="F38">
        <v>776</v>
      </c>
      <c r="G38" s="4">
        <f t="shared" si="1"/>
        <v>0.69471799462846906</v>
      </c>
    </row>
    <row r="39" spans="1:7">
      <c r="A39" t="s">
        <v>489</v>
      </c>
      <c r="B39">
        <v>2</v>
      </c>
      <c r="C39" t="s">
        <v>505</v>
      </c>
      <c r="D39">
        <v>4</v>
      </c>
      <c r="E39">
        <v>1117</v>
      </c>
      <c r="F39">
        <v>1111</v>
      </c>
      <c r="G39" s="4">
        <f t="shared" si="1"/>
        <v>0.9946284691136974</v>
      </c>
    </row>
    <row r="40" spans="1:7">
      <c r="A40" t="s">
        <v>489</v>
      </c>
      <c r="B40">
        <v>4</v>
      </c>
      <c r="C40" t="s">
        <v>213</v>
      </c>
      <c r="D40">
        <v>1</v>
      </c>
      <c r="E40">
        <v>1107</v>
      </c>
      <c r="F40">
        <v>357</v>
      </c>
      <c r="G40" s="4">
        <f t="shared" si="1"/>
        <v>0.3224932249322493</v>
      </c>
    </row>
    <row r="41" spans="1:7">
      <c r="A41" t="s">
        <v>489</v>
      </c>
      <c r="B41">
        <v>4</v>
      </c>
      <c r="C41" t="s">
        <v>504</v>
      </c>
      <c r="D41">
        <v>2</v>
      </c>
      <c r="E41">
        <v>1107</v>
      </c>
      <c r="F41">
        <v>765</v>
      </c>
      <c r="G41" s="4">
        <f t="shared" si="1"/>
        <v>0.69105691056910568</v>
      </c>
    </row>
    <row r="42" spans="1:7">
      <c r="A42" t="s">
        <v>489</v>
      </c>
      <c r="B42">
        <v>4</v>
      </c>
      <c r="C42" t="s">
        <v>210</v>
      </c>
      <c r="D42">
        <v>3</v>
      </c>
      <c r="E42">
        <v>1107</v>
      </c>
      <c r="F42">
        <v>770</v>
      </c>
      <c r="G42" s="4">
        <f t="shared" si="1"/>
        <v>0.69557362240289067</v>
      </c>
    </row>
    <row r="43" spans="1:7">
      <c r="A43" t="s">
        <v>489</v>
      </c>
      <c r="B43">
        <v>4</v>
      </c>
      <c r="C43" t="s">
        <v>505</v>
      </c>
      <c r="D43">
        <v>4</v>
      </c>
      <c r="E43">
        <v>1107</v>
      </c>
      <c r="F43">
        <v>1114</v>
      </c>
      <c r="G43" s="4">
        <f t="shared" si="1"/>
        <v>1.0063233965672991</v>
      </c>
    </row>
    <row r="44" spans="1:7">
      <c r="A44" t="s">
        <v>489</v>
      </c>
      <c r="B44">
        <v>13</v>
      </c>
      <c r="C44" t="s">
        <v>473</v>
      </c>
      <c r="D44">
        <v>1</v>
      </c>
      <c r="E44">
        <v>347</v>
      </c>
      <c r="F44">
        <v>99</v>
      </c>
      <c r="G44" s="4">
        <f t="shared" si="1"/>
        <v>0.28530259365994237</v>
      </c>
    </row>
    <row r="45" spans="1:7">
      <c r="A45" t="s">
        <v>489</v>
      </c>
      <c r="B45">
        <v>13</v>
      </c>
      <c r="C45" t="s">
        <v>448</v>
      </c>
      <c r="D45">
        <v>2</v>
      </c>
      <c r="E45">
        <v>347</v>
      </c>
      <c r="F45">
        <v>184</v>
      </c>
      <c r="G45" s="4">
        <f t="shared" si="1"/>
        <v>0.53025936599423629</v>
      </c>
    </row>
    <row r="46" spans="1:7">
      <c r="A46" t="s">
        <v>489</v>
      </c>
      <c r="B46">
        <v>13</v>
      </c>
      <c r="C46" t="s">
        <v>474</v>
      </c>
      <c r="D46">
        <v>3</v>
      </c>
      <c r="E46">
        <v>347</v>
      </c>
      <c r="F46">
        <v>267</v>
      </c>
      <c r="G46" s="4">
        <f t="shared" si="1"/>
        <v>0.7694524495677233</v>
      </c>
    </row>
    <row r="47" spans="1:7">
      <c r="A47" t="s">
        <v>489</v>
      </c>
      <c r="B47">
        <v>13</v>
      </c>
      <c r="C47" t="s">
        <v>475</v>
      </c>
      <c r="D47">
        <v>4</v>
      </c>
      <c r="E47">
        <v>347</v>
      </c>
      <c r="F47">
        <v>348</v>
      </c>
      <c r="G47" s="4">
        <f t="shared" si="1"/>
        <v>1.0028818443804035</v>
      </c>
    </row>
    <row r="48" spans="1:7">
      <c r="A48" t="s">
        <v>489</v>
      </c>
      <c r="B48">
        <v>13</v>
      </c>
      <c r="C48" t="s">
        <v>485</v>
      </c>
      <c r="D48">
        <v>5</v>
      </c>
      <c r="E48">
        <v>347</v>
      </c>
      <c r="F48">
        <v>351</v>
      </c>
      <c r="G48" s="4">
        <f t="shared" si="1"/>
        <v>1.0115273775216138</v>
      </c>
    </row>
    <row r="49" spans="1:7">
      <c r="A49" t="s">
        <v>489</v>
      </c>
      <c r="B49">
        <v>16</v>
      </c>
      <c r="C49" t="s">
        <v>506</v>
      </c>
      <c r="D49">
        <v>1</v>
      </c>
      <c r="E49">
        <v>22240</v>
      </c>
      <c r="F49">
        <v>230</v>
      </c>
      <c r="G49" s="4">
        <f t="shared" si="1"/>
        <v>1.0341726618705036E-2</v>
      </c>
    </row>
    <row r="50" spans="1:7">
      <c r="A50" t="s">
        <v>489</v>
      </c>
      <c r="B50">
        <v>16</v>
      </c>
      <c r="C50" t="s">
        <v>507</v>
      </c>
      <c r="D50">
        <v>2</v>
      </c>
      <c r="E50">
        <v>22240</v>
      </c>
      <c r="F50">
        <v>336</v>
      </c>
      <c r="G50" s="4">
        <f t="shared" si="1"/>
        <v>1.5107913669064749E-2</v>
      </c>
    </row>
    <row r="51" spans="1:7">
      <c r="A51" t="s">
        <v>489</v>
      </c>
      <c r="B51">
        <v>16</v>
      </c>
      <c r="C51" t="s">
        <v>508</v>
      </c>
      <c r="D51">
        <v>3</v>
      </c>
      <c r="E51">
        <v>22240</v>
      </c>
      <c r="F51">
        <v>20389</v>
      </c>
      <c r="G51" s="4">
        <f t="shared" si="1"/>
        <v>0.91677158273381298</v>
      </c>
    </row>
    <row r="52" spans="1:7">
      <c r="A52" t="s">
        <v>489</v>
      </c>
      <c r="B52">
        <v>16</v>
      </c>
      <c r="C52" t="s">
        <v>509</v>
      </c>
      <c r="D52">
        <v>4</v>
      </c>
      <c r="E52">
        <v>22240</v>
      </c>
      <c r="F52">
        <v>22267</v>
      </c>
      <c r="G52" s="4">
        <f t="shared" si="1"/>
        <v>1.0012140287769784</v>
      </c>
    </row>
    <row r="53" spans="1:7">
      <c r="A53" t="s">
        <v>489</v>
      </c>
      <c r="B53">
        <v>18</v>
      </c>
      <c r="C53" t="s">
        <v>213</v>
      </c>
      <c r="D53">
        <v>1</v>
      </c>
      <c r="E53">
        <v>10891</v>
      </c>
      <c r="F53">
        <v>164</v>
      </c>
      <c r="G53" s="4">
        <f t="shared" si="1"/>
        <v>1.5058305022495638E-2</v>
      </c>
    </row>
    <row r="54" spans="1:7">
      <c r="A54" t="s">
        <v>489</v>
      </c>
      <c r="B54">
        <v>18</v>
      </c>
      <c r="C54" t="s">
        <v>211</v>
      </c>
      <c r="D54">
        <v>2</v>
      </c>
      <c r="E54">
        <v>10891</v>
      </c>
      <c r="F54">
        <v>282</v>
      </c>
      <c r="G54" s="4">
        <f t="shared" si="1"/>
        <v>2.589293912404738E-2</v>
      </c>
    </row>
    <row r="55" spans="1:7">
      <c r="A55" t="s">
        <v>489</v>
      </c>
      <c r="B55">
        <v>18</v>
      </c>
      <c r="C55" t="s">
        <v>510</v>
      </c>
      <c r="D55">
        <v>3</v>
      </c>
      <c r="E55">
        <v>10891</v>
      </c>
      <c r="F55">
        <v>681</v>
      </c>
      <c r="G55" s="4">
        <f t="shared" si="1"/>
        <v>6.2528693416582501E-2</v>
      </c>
    </row>
    <row r="56" spans="1:7">
      <c r="A56" t="s">
        <v>489</v>
      </c>
      <c r="B56">
        <v>18</v>
      </c>
      <c r="C56" t="s">
        <v>511</v>
      </c>
      <c r="D56">
        <v>4</v>
      </c>
      <c r="E56">
        <v>10891</v>
      </c>
      <c r="F56">
        <v>846</v>
      </c>
      <c r="G56" s="4">
        <f t="shared" si="1"/>
        <v>7.7678817372142134E-2</v>
      </c>
    </row>
    <row r="57" spans="1:7">
      <c r="A57" t="s">
        <v>489</v>
      </c>
      <c r="B57">
        <v>18</v>
      </c>
      <c r="C57" t="s">
        <v>512</v>
      </c>
      <c r="D57">
        <v>5</v>
      </c>
      <c r="E57">
        <v>10891</v>
      </c>
      <c r="F57">
        <v>1120</v>
      </c>
      <c r="G57" s="4">
        <f t="shared" si="1"/>
        <v>0.10283720503167754</v>
      </c>
    </row>
    <row r="58" spans="1:7">
      <c r="A58" t="s">
        <v>489</v>
      </c>
      <c r="B58">
        <v>18</v>
      </c>
      <c r="C58" t="s">
        <v>513</v>
      </c>
      <c r="D58">
        <v>6</v>
      </c>
      <c r="E58">
        <v>10891</v>
      </c>
      <c r="F58">
        <v>1199</v>
      </c>
      <c r="G58" s="4">
        <f t="shared" si="1"/>
        <v>0.11009090074373336</v>
      </c>
    </row>
    <row r="59" spans="1:7">
      <c r="A59" t="s">
        <v>489</v>
      </c>
      <c r="B59">
        <v>18</v>
      </c>
      <c r="C59" t="s">
        <v>514</v>
      </c>
      <c r="D59">
        <v>7</v>
      </c>
      <c r="E59">
        <v>10891</v>
      </c>
      <c r="F59">
        <v>1210</v>
      </c>
      <c r="G59" s="4">
        <f t="shared" si="1"/>
        <v>0.11110090900743734</v>
      </c>
    </row>
    <row r="60" spans="1:7">
      <c r="A60" t="s">
        <v>489</v>
      </c>
      <c r="B60">
        <v>18</v>
      </c>
      <c r="C60" t="s">
        <v>515</v>
      </c>
      <c r="D60">
        <v>8</v>
      </c>
      <c r="E60">
        <v>10891</v>
      </c>
      <c r="F60">
        <v>1218</v>
      </c>
      <c r="G60" s="4">
        <f t="shared" si="1"/>
        <v>0.11183546047194931</v>
      </c>
    </row>
    <row r="61" spans="1:7">
      <c r="A61" t="s">
        <v>489</v>
      </c>
      <c r="B61">
        <v>18</v>
      </c>
      <c r="C61" t="s">
        <v>516</v>
      </c>
      <c r="D61">
        <v>9</v>
      </c>
      <c r="E61">
        <v>10891</v>
      </c>
      <c r="F61">
        <v>1267</v>
      </c>
      <c r="G61" s="4">
        <f t="shared" si="1"/>
        <v>0.11633458819208521</v>
      </c>
    </row>
    <row r="62" spans="1:7">
      <c r="A62" t="s">
        <v>489</v>
      </c>
      <c r="B62">
        <v>18</v>
      </c>
      <c r="C62" t="s">
        <v>517</v>
      </c>
      <c r="D62">
        <v>10</v>
      </c>
      <c r="E62">
        <v>10891</v>
      </c>
      <c r="F62">
        <v>1272</v>
      </c>
      <c r="G62" s="4">
        <f t="shared" si="1"/>
        <v>0.1167936828574052</v>
      </c>
    </row>
    <row r="63" spans="1:7">
      <c r="A63" t="s">
        <v>489</v>
      </c>
      <c r="B63">
        <v>18</v>
      </c>
      <c r="C63" t="s">
        <v>518</v>
      </c>
      <c r="D63">
        <v>11</v>
      </c>
      <c r="E63">
        <v>10891</v>
      </c>
      <c r="F63">
        <v>1279</v>
      </c>
      <c r="G63" s="4">
        <f t="shared" si="1"/>
        <v>0.11743641538885319</v>
      </c>
    </row>
    <row r="64" spans="1:7">
      <c r="A64" t="s">
        <v>489</v>
      </c>
      <c r="B64">
        <v>18</v>
      </c>
      <c r="C64" t="s">
        <v>519</v>
      </c>
      <c r="D64">
        <v>12</v>
      </c>
      <c r="E64">
        <v>10891</v>
      </c>
      <c r="F64">
        <v>1295</v>
      </c>
      <c r="G64" s="4">
        <f t="shared" si="1"/>
        <v>0.11890551831787714</v>
      </c>
    </row>
    <row r="65" spans="1:7">
      <c r="A65" t="s">
        <v>489</v>
      </c>
      <c r="B65">
        <v>18</v>
      </c>
      <c r="C65" t="s">
        <v>520</v>
      </c>
      <c r="D65">
        <v>13</v>
      </c>
      <c r="E65">
        <v>10891</v>
      </c>
      <c r="F65">
        <v>1312</v>
      </c>
      <c r="G65" s="4">
        <f t="shared" si="1"/>
        <v>0.12046644017996511</v>
      </c>
    </row>
    <row r="66" spans="1:7">
      <c r="A66" t="s">
        <v>489</v>
      </c>
      <c r="B66">
        <v>18</v>
      </c>
      <c r="C66" t="s">
        <v>521</v>
      </c>
      <c r="D66">
        <v>14</v>
      </c>
      <c r="E66">
        <v>10891</v>
      </c>
      <c r="F66">
        <v>1315</v>
      </c>
      <c r="G66" s="4">
        <f t="shared" si="1"/>
        <v>0.1207418969791571</v>
      </c>
    </row>
    <row r="67" spans="1:7">
      <c r="A67" t="s">
        <v>489</v>
      </c>
      <c r="B67">
        <v>18</v>
      </c>
      <c r="C67" t="s">
        <v>522</v>
      </c>
      <c r="D67">
        <v>15</v>
      </c>
      <c r="E67">
        <v>10891</v>
      </c>
      <c r="F67">
        <v>1353</v>
      </c>
      <c r="G67" s="4">
        <f t="shared" ref="G67:G130" si="2">F67/E67</f>
        <v>0.12423101643558902</v>
      </c>
    </row>
    <row r="68" spans="1:7">
      <c r="A68" t="s">
        <v>489</v>
      </c>
      <c r="B68">
        <v>18</v>
      </c>
      <c r="C68" t="s">
        <v>523</v>
      </c>
      <c r="D68">
        <v>16</v>
      </c>
      <c r="E68">
        <v>10891</v>
      </c>
      <c r="F68">
        <v>1369</v>
      </c>
      <c r="G68" s="4">
        <f t="shared" si="2"/>
        <v>0.12570011936461298</v>
      </c>
    </row>
    <row r="69" spans="1:7">
      <c r="A69" t="s">
        <v>489</v>
      </c>
      <c r="B69">
        <v>18</v>
      </c>
      <c r="C69" t="s">
        <v>524</v>
      </c>
      <c r="D69">
        <v>17</v>
      </c>
      <c r="E69">
        <v>10891</v>
      </c>
      <c r="F69">
        <v>1372</v>
      </c>
      <c r="G69" s="4">
        <f t="shared" si="2"/>
        <v>0.12597557616380498</v>
      </c>
    </row>
    <row r="70" spans="1:7">
      <c r="A70" t="s">
        <v>489</v>
      </c>
      <c r="B70">
        <v>18</v>
      </c>
      <c r="C70" t="s">
        <v>525</v>
      </c>
      <c r="D70">
        <v>18</v>
      </c>
      <c r="E70">
        <v>10891</v>
      </c>
      <c r="F70">
        <v>1443</v>
      </c>
      <c r="G70" s="4">
        <f t="shared" si="2"/>
        <v>0.13249472041134883</v>
      </c>
    </row>
    <row r="71" spans="1:7">
      <c r="A71" t="s">
        <v>489</v>
      </c>
      <c r="B71">
        <v>18</v>
      </c>
      <c r="C71" t="s">
        <v>526</v>
      </c>
      <c r="D71">
        <v>19</v>
      </c>
      <c r="E71">
        <v>10891</v>
      </c>
      <c r="F71">
        <v>1753</v>
      </c>
      <c r="G71" s="4">
        <f t="shared" si="2"/>
        <v>0.16095858966118815</v>
      </c>
    </row>
    <row r="72" spans="1:7">
      <c r="A72" t="s">
        <v>489</v>
      </c>
      <c r="B72">
        <v>18</v>
      </c>
      <c r="C72" t="s">
        <v>527</v>
      </c>
      <c r="D72">
        <v>20</v>
      </c>
      <c r="E72">
        <v>10891</v>
      </c>
      <c r="F72">
        <v>1862</v>
      </c>
      <c r="G72" s="4">
        <f t="shared" si="2"/>
        <v>0.1709668533651639</v>
      </c>
    </row>
    <row r="73" spans="1:7">
      <c r="A73" t="s">
        <v>489</v>
      </c>
      <c r="B73">
        <v>18</v>
      </c>
      <c r="C73" t="s">
        <v>528</v>
      </c>
      <c r="D73">
        <v>21</v>
      </c>
      <c r="E73">
        <v>10891</v>
      </c>
      <c r="F73">
        <v>1878</v>
      </c>
      <c r="G73" s="4">
        <f t="shared" si="2"/>
        <v>0.17243595629418787</v>
      </c>
    </row>
    <row r="74" spans="1:7">
      <c r="A74" t="s">
        <v>489</v>
      </c>
      <c r="B74">
        <v>18</v>
      </c>
      <c r="C74" t="s">
        <v>529</v>
      </c>
      <c r="D74">
        <v>22</v>
      </c>
      <c r="E74">
        <v>10891</v>
      </c>
      <c r="F74">
        <v>1966</v>
      </c>
      <c r="G74" s="4">
        <f t="shared" si="2"/>
        <v>0.18051602240381967</v>
      </c>
    </row>
    <row r="75" spans="1:7">
      <c r="A75" t="s">
        <v>489</v>
      </c>
      <c r="B75">
        <v>18</v>
      </c>
      <c r="C75" t="s">
        <v>530</v>
      </c>
      <c r="D75">
        <v>23</v>
      </c>
      <c r="E75">
        <v>10891</v>
      </c>
      <c r="F75">
        <v>1972</v>
      </c>
      <c r="G75" s="4">
        <f t="shared" si="2"/>
        <v>0.18106693600220367</v>
      </c>
    </row>
    <row r="76" spans="1:7">
      <c r="A76" t="s">
        <v>489</v>
      </c>
      <c r="B76">
        <v>18</v>
      </c>
      <c r="C76" t="s">
        <v>531</v>
      </c>
      <c r="D76">
        <v>24</v>
      </c>
      <c r="E76">
        <v>10891</v>
      </c>
      <c r="F76">
        <v>1990</v>
      </c>
      <c r="G76" s="4">
        <f t="shared" si="2"/>
        <v>0.18271967679735562</v>
      </c>
    </row>
    <row r="77" spans="1:7">
      <c r="A77" t="s">
        <v>489</v>
      </c>
      <c r="B77">
        <v>18</v>
      </c>
      <c r="C77" t="s">
        <v>532</v>
      </c>
      <c r="D77">
        <v>25</v>
      </c>
      <c r="E77">
        <v>10891</v>
      </c>
      <c r="F77">
        <v>2024</v>
      </c>
      <c r="G77" s="4">
        <f t="shared" si="2"/>
        <v>0.18584152052153155</v>
      </c>
    </row>
    <row r="78" spans="1:7">
      <c r="A78" t="s">
        <v>489</v>
      </c>
      <c r="B78">
        <v>18</v>
      </c>
      <c r="C78" t="s">
        <v>533</v>
      </c>
      <c r="D78">
        <v>26</v>
      </c>
      <c r="E78">
        <v>10891</v>
      </c>
      <c r="F78">
        <v>2076</v>
      </c>
      <c r="G78" s="4">
        <f t="shared" si="2"/>
        <v>0.19061610504085943</v>
      </c>
    </row>
    <row r="79" spans="1:7">
      <c r="A79" t="s">
        <v>489</v>
      </c>
      <c r="B79">
        <v>18</v>
      </c>
      <c r="C79" t="s">
        <v>534</v>
      </c>
      <c r="D79">
        <v>27</v>
      </c>
      <c r="E79">
        <v>10891</v>
      </c>
      <c r="F79">
        <v>2146</v>
      </c>
      <c r="G79" s="4">
        <f t="shared" si="2"/>
        <v>0.19704343035533928</v>
      </c>
    </row>
    <row r="80" spans="1:7">
      <c r="A80" t="s">
        <v>489</v>
      </c>
      <c r="B80">
        <v>18</v>
      </c>
      <c r="C80" t="s">
        <v>535</v>
      </c>
      <c r="D80">
        <v>28</v>
      </c>
      <c r="E80">
        <v>10891</v>
      </c>
      <c r="F80">
        <v>2177</v>
      </c>
      <c r="G80" s="4">
        <f t="shared" si="2"/>
        <v>0.19988981728032321</v>
      </c>
    </row>
    <row r="81" spans="1:7">
      <c r="A81" t="s">
        <v>489</v>
      </c>
      <c r="B81">
        <v>18</v>
      </c>
      <c r="C81" t="s">
        <v>536</v>
      </c>
      <c r="D81">
        <v>29</v>
      </c>
      <c r="E81">
        <v>10891</v>
      </c>
      <c r="F81">
        <v>2203</v>
      </c>
      <c r="G81" s="4">
        <f t="shared" si="2"/>
        <v>0.20227710953998715</v>
      </c>
    </row>
    <row r="82" spans="1:7">
      <c r="A82" t="s">
        <v>489</v>
      </c>
      <c r="B82">
        <v>18</v>
      </c>
      <c r="C82" t="s">
        <v>537</v>
      </c>
      <c r="D82">
        <v>30</v>
      </c>
      <c r="E82">
        <v>10891</v>
      </c>
      <c r="F82">
        <v>2378</v>
      </c>
      <c r="G82" s="4">
        <f t="shared" si="2"/>
        <v>0.21834542282618677</v>
      </c>
    </row>
    <row r="83" spans="1:7">
      <c r="A83" t="s">
        <v>489</v>
      </c>
      <c r="B83">
        <v>18</v>
      </c>
      <c r="C83" t="s">
        <v>538</v>
      </c>
      <c r="D83">
        <v>31</v>
      </c>
      <c r="E83">
        <v>10891</v>
      </c>
      <c r="F83">
        <v>3740</v>
      </c>
      <c r="G83" s="4">
        <f t="shared" si="2"/>
        <v>0.34340280965935177</v>
      </c>
    </row>
    <row r="84" spans="1:7">
      <c r="A84" t="s">
        <v>489</v>
      </c>
      <c r="B84">
        <v>18</v>
      </c>
      <c r="C84" t="s">
        <v>539</v>
      </c>
      <c r="D84">
        <v>32</v>
      </c>
      <c r="E84">
        <v>10891</v>
      </c>
      <c r="F84">
        <v>3804</v>
      </c>
      <c r="G84" s="4">
        <f t="shared" si="2"/>
        <v>0.34927922137544759</v>
      </c>
    </row>
    <row r="85" spans="1:7">
      <c r="A85" t="s">
        <v>489</v>
      </c>
      <c r="B85">
        <v>18</v>
      </c>
      <c r="C85" t="s">
        <v>540</v>
      </c>
      <c r="D85">
        <v>33</v>
      </c>
      <c r="E85">
        <v>10891</v>
      </c>
      <c r="F85">
        <v>3819</v>
      </c>
      <c r="G85" s="4">
        <f t="shared" si="2"/>
        <v>0.35065650537140758</v>
      </c>
    </row>
    <row r="86" spans="1:7">
      <c r="A86" t="s">
        <v>489</v>
      </c>
      <c r="B86">
        <v>18</v>
      </c>
      <c r="C86" t="s">
        <v>541</v>
      </c>
      <c r="D86">
        <v>34</v>
      </c>
      <c r="E86">
        <v>10891</v>
      </c>
      <c r="F86">
        <v>3909</v>
      </c>
      <c r="G86" s="4">
        <f t="shared" si="2"/>
        <v>0.3589202093471674</v>
      </c>
    </row>
    <row r="87" spans="1:7">
      <c r="A87" t="s">
        <v>489</v>
      </c>
      <c r="B87">
        <v>18</v>
      </c>
      <c r="C87" t="s">
        <v>542</v>
      </c>
      <c r="D87">
        <v>35</v>
      </c>
      <c r="E87">
        <v>10891</v>
      </c>
      <c r="F87">
        <v>3998</v>
      </c>
      <c r="G87" s="4">
        <f t="shared" si="2"/>
        <v>0.36709209438986318</v>
      </c>
    </row>
    <row r="88" spans="1:7">
      <c r="A88" t="s">
        <v>489</v>
      </c>
      <c r="B88">
        <v>18</v>
      </c>
      <c r="C88" t="s">
        <v>543</v>
      </c>
      <c r="D88">
        <v>36</v>
      </c>
      <c r="E88">
        <v>10891</v>
      </c>
      <c r="F88">
        <v>4071</v>
      </c>
      <c r="G88" s="4">
        <f t="shared" si="2"/>
        <v>0.37379487650353505</v>
      </c>
    </row>
    <row r="89" spans="1:7">
      <c r="A89" t="s">
        <v>489</v>
      </c>
      <c r="B89">
        <v>18</v>
      </c>
      <c r="C89" t="s">
        <v>544</v>
      </c>
      <c r="D89">
        <v>37</v>
      </c>
      <c r="E89">
        <v>10891</v>
      </c>
      <c r="F89">
        <v>5403</v>
      </c>
      <c r="G89" s="4">
        <f t="shared" si="2"/>
        <v>0.4960976953447801</v>
      </c>
    </row>
    <row r="90" spans="1:7">
      <c r="A90" t="s">
        <v>489</v>
      </c>
      <c r="B90">
        <v>18</v>
      </c>
      <c r="C90" t="s">
        <v>545</v>
      </c>
      <c r="D90">
        <v>38</v>
      </c>
      <c r="E90">
        <v>10891</v>
      </c>
      <c r="F90">
        <v>5622</v>
      </c>
      <c r="G90" s="4">
        <f t="shared" si="2"/>
        <v>0.51620604168579565</v>
      </c>
    </row>
    <row r="91" spans="1:7">
      <c r="A91" t="s">
        <v>489</v>
      </c>
      <c r="B91">
        <v>18</v>
      </c>
      <c r="C91" t="s">
        <v>546</v>
      </c>
      <c r="D91">
        <v>39</v>
      </c>
      <c r="E91">
        <v>10891</v>
      </c>
      <c r="F91">
        <v>5788</v>
      </c>
      <c r="G91" s="4">
        <f t="shared" si="2"/>
        <v>0.53144798457441922</v>
      </c>
    </row>
    <row r="92" spans="1:7">
      <c r="A92" t="s">
        <v>489</v>
      </c>
      <c r="B92">
        <v>18</v>
      </c>
      <c r="C92" t="s">
        <v>547</v>
      </c>
      <c r="D92">
        <v>40</v>
      </c>
      <c r="E92">
        <v>10891</v>
      </c>
      <c r="F92">
        <v>9879</v>
      </c>
      <c r="G92" s="4">
        <f t="shared" si="2"/>
        <v>0.90707923973923421</v>
      </c>
    </row>
    <row r="93" spans="1:7">
      <c r="A93" t="s">
        <v>489</v>
      </c>
      <c r="B93">
        <v>18</v>
      </c>
      <c r="C93" t="s">
        <v>548</v>
      </c>
      <c r="D93">
        <v>41</v>
      </c>
      <c r="E93">
        <v>10891</v>
      </c>
      <c r="F93">
        <v>9906</v>
      </c>
      <c r="G93" s="4">
        <f t="shared" si="2"/>
        <v>0.90955835093196213</v>
      </c>
    </row>
    <row r="94" spans="1:7">
      <c r="A94" t="s">
        <v>489</v>
      </c>
      <c r="B94">
        <v>18</v>
      </c>
      <c r="C94" t="s">
        <v>549</v>
      </c>
      <c r="D94">
        <v>42</v>
      </c>
      <c r="E94">
        <v>10891</v>
      </c>
      <c r="F94">
        <v>9944</v>
      </c>
      <c r="G94" s="4">
        <f t="shared" si="2"/>
        <v>0.91304747038839407</v>
      </c>
    </row>
    <row r="95" spans="1:7">
      <c r="A95" t="s">
        <v>489</v>
      </c>
      <c r="B95">
        <v>18</v>
      </c>
      <c r="C95" t="s">
        <v>550</v>
      </c>
      <c r="D95">
        <v>43</v>
      </c>
      <c r="E95">
        <v>10891</v>
      </c>
      <c r="F95">
        <v>10216</v>
      </c>
      <c r="G95" s="4">
        <f t="shared" si="2"/>
        <v>0.93802222018180148</v>
      </c>
    </row>
    <row r="96" spans="1:7">
      <c r="A96" t="s">
        <v>489</v>
      </c>
      <c r="B96">
        <v>18</v>
      </c>
      <c r="C96" t="s">
        <v>551</v>
      </c>
      <c r="D96">
        <v>44</v>
      </c>
      <c r="E96">
        <v>10891</v>
      </c>
      <c r="F96">
        <v>11864</v>
      </c>
      <c r="G96" s="4">
        <f t="shared" si="2"/>
        <v>1.0893398218712698</v>
      </c>
    </row>
    <row r="97" spans="1:7">
      <c r="A97" t="s">
        <v>489</v>
      </c>
      <c r="B97">
        <v>18</v>
      </c>
      <c r="C97" t="s">
        <v>552</v>
      </c>
      <c r="D97">
        <v>45</v>
      </c>
      <c r="E97">
        <v>10891</v>
      </c>
      <c r="F97">
        <v>11938</v>
      </c>
      <c r="G97" s="4">
        <f t="shared" si="2"/>
        <v>1.0961344229180057</v>
      </c>
    </row>
    <row r="98" spans="1:7">
      <c r="A98" t="s">
        <v>489</v>
      </c>
      <c r="B98">
        <v>18</v>
      </c>
      <c r="C98" t="s">
        <v>553</v>
      </c>
      <c r="D98">
        <v>46</v>
      </c>
      <c r="E98">
        <v>10891</v>
      </c>
      <c r="F98">
        <v>13397</v>
      </c>
      <c r="G98" s="4">
        <f t="shared" si="2"/>
        <v>1.2300982462583785</v>
      </c>
    </row>
    <row r="99" spans="1:7">
      <c r="A99" t="s">
        <v>489</v>
      </c>
      <c r="B99">
        <v>19</v>
      </c>
      <c r="C99" t="s">
        <v>213</v>
      </c>
      <c r="D99">
        <v>1</v>
      </c>
      <c r="E99">
        <v>9505</v>
      </c>
      <c r="F99">
        <v>147</v>
      </c>
      <c r="G99" s="4">
        <f t="shared" si="2"/>
        <v>1.5465544450289321E-2</v>
      </c>
    </row>
    <row r="100" spans="1:7">
      <c r="A100" t="s">
        <v>489</v>
      </c>
      <c r="B100">
        <v>19</v>
      </c>
      <c r="C100" t="s">
        <v>211</v>
      </c>
      <c r="D100">
        <v>2</v>
      </c>
      <c r="E100">
        <v>9505</v>
      </c>
      <c r="F100">
        <v>279</v>
      </c>
      <c r="G100" s="4">
        <f t="shared" si="2"/>
        <v>2.9352972119936874E-2</v>
      </c>
    </row>
    <row r="101" spans="1:7">
      <c r="A101" t="s">
        <v>489</v>
      </c>
      <c r="B101">
        <v>19</v>
      </c>
      <c r="C101" t="s">
        <v>510</v>
      </c>
      <c r="D101">
        <v>3</v>
      </c>
      <c r="E101">
        <v>9505</v>
      </c>
      <c r="F101">
        <v>2202</v>
      </c>
      <c r="G101" s="4">
        <f t="shared" si="2"/>
        <v>0.23166754339821147</v>
      </c>
    </row>
    <row r="102" spans="1:7">
      <c r="A102" t="s">
        <v>489</v>
      </c>
      <c r="B102">
        <v>19</v>
      </c>
      <c r="C102" t="s">
        <v>554</v>
      </c>
      <c r="D102">
        <v>4</v>
      </c>
      <c r="E102">
        <v>9505</v>
      </c>
      <c r="F102">
        <v>2370</v>
      </c>
      <c r="G102" s="4">
        <f t="shared" si="2"/>
        <v>0.24934245134139926</v>
      </c>
    </row>
    <row r="103" spans="1:7">
      <c r="A103" t="s">
        <v>489</v>
      </c>
      <c r="B103">
        <v>19</v>
      </c>
      <c r="C103" t="s">
        <v>555</v>
      </c>
      <c r="D103">
        <v>5</v>
      </c>
      <c r="E103">
        <v>9505</v>
      </c>
      <c r="F103">
        <v>7544</v>
      </c>
      <c r="G103" s="4">
        <f t="shared" si="2"/>
        <v>0.79368753287743288</v>
      </c>
    </row>
    <row r="104" spans="1:7">
      <c r="A104" t="s">
        <v>489</v>
      </c>
      <c r="B104">
        <v>19</v>
      </c>
      <c r="C104" t="s">
        <v>556</v>
      </c>
      <c r="D104">
        <v>6</v>
      </c>
      <c r="E104">
        <v>9505</v>
      </c>
      <c r="F104">
        <v>8413</v>
      </c>
      <c r="G104" s="4">
        <f t="shared" si="2"/>
        <v>0.88511309836927932</v>
      </c>
    </row>
    <row r="105" spans="1:7">
      <c r="A105" t="s">
        <v>489</v>
      </c>
      <c r="B105">
        <v>19</v>
      </c>
      <c r="C105" t="s">
        <v>557</v>
      </c>
      <c r="D105">
        <v>7</v>
      </c>
      <c r="E105">
        <v>9505</v>
      </c>
      <c r="F105">
        <v>8625</v>
      </c>
      <c r="G105" s="4">
        <f t="shared" si="2"/>
        <v>0.90741714886901625</v>
      </c>
    </row>
    <row r="106" spans="1:7">
      <c r="A106" t="s">
        <v>489</v>
      </c>
      <c r="B106">
        <v>19</v>
      </c>
      <c r="C106" t="s">
        <v>558</v>
      </c>
      <c r="D106">
        <v>8</v>
      </c>
      <c r="E106">
        <v>9505</v>
      </c>
      <c r="F106">
        <v>8653</v>
      </c>
      <c r="G106" s="4">
        <f t="shared" si="2"/>
        <v>0.91036296685954765</v>
      </c>
    </row>
    <row r="107" spans="1:7">
      <c r="A107" t="s">
        <v>489</v>
      </c>
      <c r="B107">
        <v>19</v>
      </c>
      <c r="C107" t="s">
        <v>559</v>
      </c>
      <c r="D107">
        <v>9</v>
      </c>
      <c r="E107">
        <v>9505</v>
      </c>
      <c r="F107">
        <v>8694</v>
      </c>
      <c r="G107" s="4">
        <f t="shared" si="2"/>
        <v>0.91467648605996843</v>
      </c>
    </row>
    <row r="108" spans="1:7">
      <c r="A108" t="s">
        <v>489</v>
      </c>
      <c r="B108">
        <v>19</v>
      </c>
      <c r="C108" t="s">
        <v>560</v>
      </c>
      <c r="D108">
        <v>10</v>
      </c>
      <c r="E108">
        <v>9505</v>
      </c>
      <c r="F108">
        <v>8745</v>
      </c>
      <c r="G108" s="4">
        <f t="shared" si="2"/>
        <v>0.92004208311415048</v>
      </c>
    </row>
    <row r="109" spans="1:7">
      <c r="A109" t="s">
        <v>489</v>
      </c>
      <c r="B109">
        <v>19</v>
      </c>
      <c r="C109" t="s">
        <v>561</v>
      </c>
      <c r="D109">
        <v>11</v>
      </c>
      <c r="E109">
        <v>9505</v>
      </c>
      <c r="F109">
        <v>8746</v>
      </c>
      <c r="G109" s="4">
        <f t="shared" si="2"/>
        <v>0.92014729089952652</v>
      </c>
    </row>
    <row r="110" spans="1:7">
      <c r="A110" t="s">
        <v>489</v>
      </c>
      <c r="B110">
        <v>19</v>
      </c>
      <c r="C110" t="s">
        <v>562</v>
      </c>
      <c r="D110">
        <v>12</v>
      </c>
      <c r="E110">
        <v>9505</v>
      </c>
      <c r="F110">
        <v>8777</v>
      </c>
      <c r="G110" s="4">
        <f t="shared" si="2"/>
        <v>0.92340873224618625</v>
      </c>
    </row>
    <row r="111" spans="1:7">
      <c r="A111" t="s">
        <v>489</v>
      </c>
      <c r="B111">
        <v>19</v>
      </c>
      <c r="C111" t="s">
        <v>563</v>
      </c>
      <c r="D111">
        <v>13</v>
      </c>
      <c r="E111">
        <v>9505</v>
      </c>
      <c r="F111">
        <v>8804</v>
      </c>
      <c r="G111" s="4">
        <f t="shared" si="2"/>
        <v>0.92624934245134138</v>
      </c>
    </row>
    <row r="112" spans="1:7">
      <c r="A112" t="s">
        <v>489</v>
      </c>
      <c r="B112">
        <v>19</v>
      </c>
      <c r="C112" t="s">
        <v>564</v>
      </c>
      <c r="D112">
        <v>14</v>
      </c>
      <c r="E112">
        <v>9505</v>
      </c>
      <c r="F112">
        <v>8815</v>
      </c>
      <c r="G112" s="4">
        <f t="shared" si="2"/>
        <v>0.92740662809047869</v>
      </c>
    </row>
    <row r="113" spans="1:7">
      <c r="A113" t="s">
        <v>489</v>
      </c>
      <c r="B113">
        <v>19</v>
      </c>
      <c r="C113" t="s">
        <v>565</v>
      </c>
      <c r="D113">
        <v>15</v>
      </c>
      <c r="E113">
        <v>9505</v>
      </c>
      <c r="F113">
        <v>8816</v>
      </c>
      <c r="G113" s="4">
        <f t="shared" si="2"/>
        <v>0.92751183587585484</v>
      </c>
    </row>
    <row r="114" spans="1:7">
      <c r="A114" t="s">
        <v>489</v>
      </c>
      <c r="B114">
        <v>19</v>
      </c>
      <c r="C114" t="s">
        <v>566</v>
      </c>
      <c r="D114">
        <v>16</v>
      </c>
      <c r="E114">
        <v>9505</v>
      </c>
      <c r="F114">
        <v>8883</v>
      </c>
      <c r="G114" s="4">
        <f t="shared" si="2"/>
        <v>0.93456075749605472</v>
      </c>
    </row>
    <row r="115" spans="1:7">
      <c r="A115" t="s">
        <v>489</v>
      </c>
      <c r="B115">
        <v>19</v>
      </c>
      <c r="C115" t="s">
        <v>567</v>
      </c>
      <c r="D115">
        <v>17</v>
      </c>
      <c r="E115">
        <v>9505</v>
      </c>
      <c r="F115">
        <v>9018</v>
      </c>
      <c r="G115" s="4">
        <f t="shared" si="2"/>
        <v>0.94876380852183062</v>
      </c>
    </row>
    <row r="116" spans="1:7">
      <c r="A116" t="s">
        <v>489</v>
      </c>
      <c r="B116">
        <v>19</v>
      </c>
      <c r="C116" t="s">
        <v>568</v>
      </c>
      <c r="D116">
        <v>18</v>
      </c>
      <c r="E116">
        <v>9505</v>
      </c>
      <c r="F116">
        <v>9023</v>
      </c>
      <c r="G116" s="4">
        <f t="shared" si="2"/>
        <v>0.94928984744871125</v>
      </c>
    </row>
    <row r="117" spans="1:7">
      <c r="A117" t="s">
        <v>489</v>
      </c>
      <c r="B117">
        <v>19</v>
      </c>
      <c r="C117" t="s">
        <v>569</v>
      </c>
      <c r="D117">
        <v>19</v>
      </c>
      <c r="E117">
        <v>9505</v>
      </c>
      <c r="F117">
        <v>9935</v>
      </c>
      <c r="G117" s="4">
        <f t="shared" si="2"/>
        <v>1.0452393477117308</v>
      </c>
    </row>
    <row r="118" spans="1:7">
      <c r="A118" t="s">
        <v>489</v>
      </c>
      <c r="B118">
        <v>19</v>
      </c>
      <c r="C118" t="s">
        <v>570</v>
      </c>
      <c r="D118">
        <v>20</v>
      </c>
      <c r="E118">
        <v>9505</v>
      </c>
      <c r="F118">
        <v>10464</v>
      </c>
      <c r="G118" s="4">
        <f t="shared" si="2"/>
        <v>1.1008942661756971</v>
      </c>
    </row>
    <row r="119" spans="1:7">
      <c r="A119" t="s">
        <v>489</v>
      </c>
      <c r="B119">
        <v>19</v>
      </c>
      <c r="C119" t="s">
        <v>571</v>
      </c>
      <c r="D119">
        <v>21</v>
      </c>
      <c r="E119">
        <v>9505</v>
      </c>
      <c r="F119">
        <v>10503</v>
      </c>
      <c r="G119" s="4">
        <f t="shared" si="2"/>
        <v>1.1049973698053657</v>
      </c>
    </row>
    <row r="120" spans="1:7">
      <c r="A120" t="s">
        <v>489</v>
      </c>
      <c r="B120">
        <v>19</v>
      </c>
      <c r="C120" t="s">
        <v>572</v>
      </c>
      <c r="D120">
        <v>22</v>
      </c>
      <c r="E120">
        <v>9505</v>
      </c>
      <c r="F120">
        <v>10507</v>
      </c>
      <c r="G120" s="4">
        <f t="shared" si="2"/>
        <v>1.10541820094687</v>
      </c>
    </row>
    <row r="121" spans="1:7">
      <c r="A121" t="s">
        <v>489</v>
      </c>
      <c r="B121">
        <v>19</v>
      </c>
      <c r="C121" t="s">
        <v>573</v>
      </c>
      <c r="D121">
        <v>23</v>
      </c>
      <c r="E121">
        <v>9505</v>
      </c>
      <c r="F121">
        <v>10521</v>
      </c>
      <c r="G121" s="4">
        <f t="shared" si="2"/>
        <v>1.1068911099421357</v>
      </c>
    </row>
    <row r="122" spans="1:7">
      <c r="A122" t="s">
        <v>489</v>
      </c>
      <c r="B122">
        <v>19</v>
      </c>
      <c r="C122" t="s">
        <v>574</v>
      </c>
      <c r="D122">
        <v>24</v>
      </c>
      <c r="E122">
        <v>9505</v>
      </c>
      <c r="F122">
        <v>10579</v>
      </c>
      <c r="G122" s="4">
        <f t="shared" si="2"/>
        <v>1.1129931614939506</v>
      </c>
    </row>
    <row r="123" spans="1:7">
      <c r="A123" t="s">
        <v>489</v>
      </c>
      <c r="B123">
        <v>19</v>
      </c>
      <c r="C123" t="s">
        <v>575</v>
      </c>
      <c r="D123">
        <v>25</v>
      </c>
      <c r="E123">
        <v>9505</v>
      </c>
      <c r="F123">
        <v>10676</v>
      </c>
      <c r="G123" s="4">
        <f t="shared" si="2"/>
        <v>1.123198316675434</v>
      </c>
    </row>
    <row r="124" spans="1:7">
      <c r="A124" t="s">
        <v>489</v>
      </c>
      <c r="B124">
        <v>19</v>
      </c>
      <c r="C124" t="s">
        <v>576</v>
      </c>
      <c r="D124">
        <v>26</v>
      </c>
      <c r="E124">
        <v>9505</v>
      </c>
      <c r="F124">
        <v>10810</v>
      </c>
      <c r="G124" s="4">
        <f t="shared" si="2"/>
        <v>1.1372961599158338</v>
      </c>
    </row>
    <row r="125" spans="1:7">
      <c r="A125" t="s">
        <v>489</v>
      </c>
      <c r="B125">
        <v>19</v>
      </c>
      <c r="C125" t="s">
        <v>577</v>
      </c>
      <c r="D125">
        <v>27</v>
      </c>
      <c r="E125">
        <v>9505</v>
      </c>
      <c r="F125">
        <v>11314</v>
      </c>
      <c r="G125" s="4">
        <f t="shared" si="2"/>
        <v>1.1903208837453971</v>
      </c>
    </row>
    <row r="126" spans="1:7">
      <c r="A126" t="s">
        <v>489</v>
      </c>
      <c r="B126">
        <v>19</v>
      </c>
      <c r="C126" t="s">
        <v>578</v>
      </c>
      <c r="D126">
        <v>28</v>
      </c>
      <c r="E126">
        <v>9505</v>
      </c>
      <c r="F126">
        <v>12074</v>
      </c>
      <c r="G126" s="4">
        <f t="shared" si="2"/>
        <v>1.2702788006312467</v>
      </c>
    </row>
    <row r="127" spans="1:7">
      <c r="A127" t="s">
        <v>489</v>
      </c>
      <c r="B127">
        <v>20</v>
      </c>
      <c r="C127" t="s">
        <v>579</v>
      </c>
      <c r="D127">
        <v>1</v>
      </c>
      <c r="E127">
        <v>6179</v>
      </c>
      <c r="F127">
        <v>555</v>
      </c>
      <c r="G127" s="4">
        <f t="shared" si="2"/>
        <v>8.9820359281437126E-2</v>
      </c>
    </row>
    <row r="128" spans="1:7">
      <c r="A128" t="s">
        <v>489</v>
      </c>
      <c r="B128">
        <v>20</v>
      </c>
      <c r="C128" t="s">
        <v>580</v>
      </c>
      <c r="D128">
        <v>2</v>
      </c>
      <c r="E128">
        <v>6179</v>
      </c>
      <c r="F128">
        <v>640</v>
      </c>
      <c r="G128" s="4">
        <f t="shared" si="2"/>
        <v>0.10357663052273831</v>
      </c>
    </row>
    <row r="129" spans="1:7">
      <c r="A129" t="s">
        <v>489</v>
      </c>
      <c r="B129">
        <v>20</v>
      </c>
      <c r="C129" t="s">
        <v>581</v>
      </c>
      <c r="D129">
        <v>3</v>
      </c>
      <c r="E129">
        <v>6179</v>
      </c>
      <c r="F129">
        <v>648</v>
      </c>
      <c r="G129" s="4">
        <f t="shared" si="2"/>
        <v>0.10487133840427254</v>
      </c>
    </row>
    <row r="130" spans="1:7">
      <c r="A130" t="s">
        <v>489</v>
      </c>
      <c r="B130">
        <v>20</v>
      </c>
      <c r="C130" t="s">
        <v>582</v>
      </c>
      <c r="D130">
        <v>4</v>
      </c>
      <c r="E130">
        <v>6179</v>
      </c>
      <c r="F130">
        <v>679</v>
      </c>
      <c r="G130" s="4">
        <f t="shared" si="2"/>
        <v>0.10988833144521767</v>
      </c>
    </row>
    <row r="131" spans="1:7">
      <c r="A131" t="s">
        <v>489</v>
      </c>
      <c r="B131">
        <v>20</v>
      </c>
      <c r="C131" t="s">
        <v>583</v>
      </c>
      <c r="D131">
        <v>5</v>
      </c>
      <c r="E131">
        <v>6179</v>
      </c>
      <c r="F131">
        <v>696</v>
      </c>
      <c r="G131" s="4">
        <f t="shared" ref="G131:G194" si="3">F131/E131</f>
        <v>0.11263958569347791</v>
      </c>
    </row>
    <row r="132" spans="1:7">
      <c r="A132" t="s">
        <v>489</v>
      </c>
      <c r="B132">
        <v>20</v>
      </c>
      <c r="C132" t="s">
        <v>584</v>
      </c>
      <c r="D132">
        <v>6</v>
      </c>
      <c r="E132">
        <v>6179</v>
      </c>
      <c r="F132">
        <v>732</v>
      </c>
      <c r="G132" s="4">
        <f t="shared" si="3"/>
        <v>0.11846577116038194</v>
      </c>
    </row>
    <row r="133" spans="1:7">
      <c r="A133" t="s">
        <v>489</v>
      </c>
      <c r="B133">
        <v>20</v>
      </c>
      <c r="C133" t="s">
        <v>585</v>
      </c>
      <c r="D133">
        <v>7</v>
      </c>
      <c r="E133">
        <v>6179</v>
      </c>
      <c r="F133">
        <v>734</v>
      </c>
      <c r="G133" s="4">
        <f t="shared" si="3"/>
        <v>0.1187894481307655</v>
      </c>
    </row>
    <row r="134" spans="1:7">
      <c r="A134" t="s">
        <v>489</v>
      </c>
      <c r="B134">
        <v>20</v>
      </c>
      <c r="C134" t="s">
        <v>586</v>
      </c>
      <c r="D134">
        <v>8</v>
      </c>
      <c r="E134">
        <v>6179</v>
      </c>
      <c r="F134">
        <v>751</v>
      </c>
      <c r="G134" s="4">
        <f t="shared" si="3"/>
        <v>0.12154070237902573</v>
      </c>
    </row>
    <row r="135" spans="1:7">
      <c r="A135" t="s">
        <v>489</v>
      </c>
      <c r="B135">
        <v>20</v>
      </c>
      <c r="C135" t="s">
        <v>587</v>
      </c>
      <c r="D135">
        <v>9</v>
      </c>
      <c r="E135">
        <v>6179</v>
      </c>
      <c r="F135">
        <v>765</v>
      </c>
      <c r="G135" s="4">
        <f t="shared" si="3"/>
        <v>0.12380644117171064</v>
      </c>
    </row>
    <row r="136" spans="1:7">
      <c r="A136" t="s">
        <v>489</v>
      </c>
      <c r="B136">
        <v>20</v>
      </c>
      <c r="C136" t="s">
        <v>588</v>
      </c>
      <c r="D136">
        <v>10</v>
      </c>
      <c r="E136">
        <v>6179</v>
      </c>
      <c r="F136">
        <v>831</v>
      </c>
      <c r="G136" s="4">
        <f t="shared" si="3"/>
        <v>0.13448778119436802</v>
      </c>
    </row>
    <row r="137" spans="1:7">
      <c r="A137" t="s">
        <v>489</v>
      </c>
      <c r="B137">
        <v>20</v>
      </c>
      <c r="C137" t="s">
        <v>589</v>
      </c>
      <c r="D137">
        <v>11</v>
      </c>
      <c r="E137">
        <v>6179</v>
      </c>
      <c r="F137">
        <v>832</v>
      </c>
      <c r="G137" s="4">
        <f t="shared" si="3"/>
        <v>0.1346496196795598</v>
      </c>
    </row>
    <row r="138" spans="1:7">
      <c r="A138" t="s">
        <v>489</v>
      </c>
      <c r="B138">
        <v>20</v>
      </c>
      <c r="C138" t="s">
        <v>590</v>
      </c>
      <c r="D138">
        <v>12</v>
      </c>
      <c r="E138">
        <v>6179</v>
      </c>
      <c r="F138">
        <v>838</v>
      </c>
      <c r="G138" s="4">
        <f t="shared" si="3"/>
        <v>0.13562065059071046</v>
      </c>
    </row>
    <row r="139" spans="1:7">
      <c r="A139" t="s">
        <v>489</v>
      </c>
      <c r="B139">
        <v>20</v>
      </c>
      <c r="C139" t="s">
        <v>591</v>
      </c>
      <c r="D139">
        <v>13</v>
      </c>
      <c r="E139">
        <v>6179</v>
      </c>
      <c r="F139">
        <v>858</v>
      </c>
      <c r="G139" s="4">
        <f t="shared" si="3"/>
        <v>0.13885742029454604</v>
      </c>
    </row>
    <row r="140" spans="1:7">
      <c r="A140" t="s">
        <v>489</v>
      </c>
      <c r="B140">
        <v>20</v>
      </c>
      <c r="C140" t="s">
        <v>592</v>
      </c>
      <c r="D140">
        <v>14</v>
      </c>
      <c r="E140">
        <v>6179</v>
      </c>
      <c r="F140">
        <v>916</v>
      </c>
      <c r="G140" s="4">
        <f t="shared" si="3"/>
        <v>0.14824405243566921</v>
      </c>
    </row>
    <row r="141" spans="1:7">
      <c r="A141" t="s">
        <v>489</v>
      </c>
      <c r="B141">
        <v>20</v>
      </c>
      <c r="C141" t="s">
        <v>593</v>
      </c>
      <c r="D141">
        <v>15</v>
      </c>
      <c r="E141">
        <v>6179</v>
      </c>
      <c r="F141">
        <v>967</v>
      </c>
      <c r="G141" s="4">
        <f t="shared" si="3"/>
        <v>0.15649781518044992</v>
      </c>
    </row>
    <row r="142" spans="1:7">
      <c r="A142" t="s">
        <v>489</v>
      </c>
      <c r="B142">
        <v>20</v>
      </c>
      <c r="C142" t="s">
        <v>594</v>
      </c>
      <c r="D142">
        <v>16</v>
      </c>
      <c r="E142">
        <v>6179</v>
      </c>
      <c r="F142">
        <v>974</v>
      </c>
      <c r="G142" s="4">
        <f t="shared" si="3"/>
        <v>0.15763068457679236</v>
      </c>
    </row>
    <row r="143" spans="1:7">
      <c r="A143" t="s">
        <v>489</v>
      </c>
      <c r="B143">
        <v>20</v>
      </c>
      <c r="C143" t="s">
        <v>595</v>
      </c>
      <c r="D143">
        <v>17</v>
      </c>
      <c r="E143">
        <v>6179</v>
      </c>
      <c r="F143">
        <v>990</v>
      </c>
      <c r="G143" s="4">
        <f t="shared" si="3"/>
        <v>0.16022010033986081</v>
      </c>
    </row>
    <row r="144" spans="1:7">
      <c r="A144" t="s">
        <v>489</v>
      </c>
      <c r="B144">
        <v>20</v>
      </c>
      <c r="C144" t="s">
        <v>596</v>
      </c>
      <c r="D144">
        <v>18</v>
      </c>
      <c r="E144">
        <v>6179</v>
      </c>
      <c r="F144">
        <v>1052</v>
      </c>
      <c r="G144" s="4">
        <f t="shared" si="3"/>
        <v>0.17025408642175111</v>
      </c>
    </row>
    <row r="145" spans="1:7">
      <c r="A145" t="s">
        <v>489</v>
      </c>
      <c r="B145">
        <v>20</v>
      </c>
      <c r="C145" t="s">
        <v>597</v>
      </c>
      <c r="D145">
        <v>19</v>
      </c>
      <c r="E145">
        <v>6179</v>
      </c>
      <c r="F145">
        <v>1082</v>
      </c>
      <c r="G145" s="4">
        <f t="shared" si="3"/>
        <v>0.17510924097750444</v>
      </c>
    </row>
    <row r="146" spans="1:7">
      <c r="A146" t="s">
        <v>489</v>
      </c>
      <c r="B146">
        <v>20</v>
      </c>
      <c r="C146" t="s">
        <v>598</v>
      </c>
      <c r="D146">
        <v>20</v>
      </c>
      <c r="E146">
        <v>6179</v>
      </c>
      <c r="F146">
        <v>1138</v>
      </c>
      <c r="G146" s="4">
        <f t="shared" si="3"/>
        <v>0.18417219614824407</v>
      </c>
    </row>
    <row r="147" spans="1:7">
      <c r="A147" t="s">
        <v>489</v>
      </c>
      <c r="B147">
        <v>20</v>
      </c>
      <c r="C147" t="s">
        <v>599</v>
      </c>
      <c r="D147">
        <v>21</v>
      </c>
      <c r="E147">
        <v>6179</v>
      </c>
      <c r="F147">
        <v>1139</v>
      </c>
      <c r="G147" s="4">
        <f t="shared" si="3"/>
        <v>0.18433403463343584</v>
      </c>
    </row>
    <row r="148" spans="1:7">
      <c r="A148" t="s">
        <v>489</v>
      </c>
      <c r="B148">
        <v>20</v>
      </c>
      <c r="C148" t="s">
        <v>600</v>
      </c>
      <c r="D148">
        <v>22</v>
      </c>
      <c r="E148">
        <v>6179</v>
      </c>
      <c r="F148">
        <v>1194</v>
      </c>
      <c r="G148" s="4">
        <f t="shared" si="3"/>
        <v>0.19323515131898367</v>
      </c>
    </row>
    <row r="149" spans="1:7">
      <c r="A149" t="s">
        <v>489</v>
      </c>
      <c r="B149">
        <v>20</v>
      </c>
      <c r="C149" t="s">
        <v>601</v>
      </c>
      <c r="D149">
        <v>23</v>
      </c>
      <c r="E149">
        <v>6179</v>
      </c>
      <c r="F149">
        <v>5256</v>
      </c>
      <c r="G149" s="4">
        <f t="shared" si="3"/>
        <v>0.85062307816798832</v>
      </c>
    </row>
    <row r="150" spans="1:7">
      <c r="A150" t="s">
        <v>489</v>
      </c>
      <c r="B150">
        <v>20</v>
      </c>
      <c r="C150" t="s">
        <v>602</v>
      </c>
      <c r="D150">
        <v>24</v>
      </c>
      <c r="E150">
        <v>6179</v>
      </c>
      <c r="F150">
        <v>5294</v>
      </c>
      <c r="G150" s="4">
        <f t="shared" si="3"/>
        <v>0.85677294060527598</v>
      </c>
    </row>
    <row r="151" spans="1:7">
      <c r="A151" t="s">
        <v>489</v>
      </c>
      <c r="B151">
        <v>20</v>
      </c>
      <c r="C151" t="s">
        <v>603</v>
      </c>
      <c r="D151">
        <v>25</v>
      </c>
      <c r="E151">
        <v>6179</v>
      </c>
      <c r="F151">
        <v>5316</v>
      </c>
      <c r="G151" s="4">
        <f t="shared" si="3"/>
        <v>0.86033338727949504</v>
      </c>
    </row>
    <row r="152" spans="1:7">
      <c r="A152" t="s">
        <v>489</v>
      </c>
      <c r="B152">
        <v>20</v>
      </c>
      <c r="C152" t="s">
        <v>604</v>
      </c>
      <c r="D152">
        <v>26</v>
      </c>
      <c r="E152">
        <v>6179</v>
      </c>
      <c r="F152">
        <v>5383</v>
      </c>
      <c r="G152" s="4">
        <f t="shared" si="3"/>
        <v>0.87117656578734426</v>
      </c>
    </row>
    <row r="153" spans="1:7">
      <c r="A153" t="s">
        <v>489</v>
      </c>
      <c r="B153">
        <v>20</v>
      </c>
      <c r="C153" t="s">
        <v>605</v>
      </c>
      <c r="D153">
        <v>27</v>
      </c>
      <c r="E153">
        <v>6179</v>
      </c>
      <c r="F153">
        <v>5385</v>
      </c>
      <c r="G153" s="4">
        <f t="shared" si="3"/>
        <v>0.87150024275772775</v>
      </c>
    </row>
    <row r="154" spans="1:7">
      <c r="A154" t="s">
        <v>489</v>
      </c>
      <c r="B154">
        <v>20</v>
      </c>
      <c r="C154" t="s">
        <v>606</v>
      </c>
      <c r="D154">
        <v>28</v>
      </c>
      <c r="E154">
        <v>6179</v>
      </c>
      <c r="F154">
        <v>5451</v>
      </c>
      <c r="G154" s="4">
        <f t="shared" si="3"/>
        <v>0.88218158278038517</v>
      </c>
    </row>
    <row r="155" spans="1:7">
      <c r="A155" t="s">
        <v>489</v>
      </c>
      <c r="B155">
        <v>20</v>
      </c>
      <c r="C155" t="s">
        <v>607</v>
      </c>
      <c r="D155">
        <v>29</v>
      </c>
      <c r="E155">
        <v>6179</v>
      </c>
      <c r="F155">
        <v>5543</v>
      </c>
      <c r="G155" s="4">
        <f t="shared" si="3"/>
        <v>0.89707072341802885</v>
      </c>
    </row>
    <row r="156" spans="1:7">
      <c r="A156" t="s">
        <v>489</v>
      </c>
      <c r="B156">
        <v>20</v>
      </c>
      <c r="C156" t="s">
        <v>608</v>
      </c>
      <c r="D156">
        <v>30</v>
      </c>
      <c r="E156">
        <v>6179</v>
      </c>
      <c r="F156">
        <v>5613</v>
      </c>
      <c r="G156" s="4">
        <f t="shared" si="3"/>
        <v>0.90839941738145336</v>
      </c>
    </row>
    <row r="157" spans="1:7">
      <c r="A157" t="s">
        <v>489</v>
      </c>
      <c r="B157">
        <v>20</v>
      </c>
      <c r="C157" t="s">
        <v>609</v>
      </c>
      <c r="D157">
        <v>31</v>
      </c>
      <c r="E157">
        <v>6179</v>
      </c>
      <c r="F157">
        <v>5635</v>
      </c>
      <c r="G157" s="4">
        <f t="shared" si="3"/>
        <v>0.91195986405567242</v>
      </c>
    </row>
    <row r="158" spans="1:7">
      <c r="A158" t="s">
        <v>489</v>
      </c>
      <c r="B158">
        <v>20</v>
      </c>
      <c r="C158" t="s">
        <v>610</v>
      </c>
      <c r="D158">
        <v>32</v>
      </c>
      <c r="E158">
        <v>6179</v>
      </c>
      <c r="F158">
        <v>5707</v>
      </c>
      <c r="G158" s="4">
        <f t="shared" si="3"/>
        <v>0.92361223498948053</v>
      </c>
    </row>
    <row r="159" spans="1:7">
      <c r="A159" t="s">
        <v>489</v>
      </c>
      <c r="B159">
        <v>20</v>
      </c>
      <c r="C159" t="s">
        <v>611</v>
      </c>
      <c r="D159">
        <v>33</v>
      </c>
      <c r="E159">
        <v>6179</v>
      </c>
      <c r="F159">
        <v>5814</v>
      </c>
      <c r="G159" s="4">
        <f t="shared" si="3"/>
        <v>0.94092895290500078</v>
      </c>
    </row>
    <row r="160" spans="1:7">
      <c r="A160" t="s">
        <v>490</v>
      </c>
      <c r="B160">
        <v>1</v>
      </c>
      <c r="C160" t="s">
        <v>485</v>
      </c>
      <c r="D160">
        <v>1</v>
      </c>
      <c r="E160">
        <v>6218</v>
      </c>
      <c r="F160">
        <v>2300</v>
      </c>
      <c r="G160" s="4">
        <f t="shared" si="3"/>
        <v>0.36989385654551304</v>
      </c>
    </row>
    <row r="161" spans="1:7">
      <c r="A161" t="s">
        <v>490</v>
      </c>
      <c r="B161">
        <v>1</v>
      </c>
      <c r="C161" t="s">
        <v>475</v>
      </c>
      <c r="D161">
        <v>2</v>
      </c>
      <c r="E161">
        <v>6218</v>
      </c>
      <c r="F161">
        <v>2301</v>
      </c>
      <c r="G161" s="4">
        <f t="shared" si="3"/>
        <v>0.3700546799614024</v>
      </c>
    </row>
    <row r="162" spans="1:7">
      <c r="A162" t="s">
        <v>490</v>
      </c>
      <c r="B162">
        <v>1</v>
      </c>
      <c r="C162" t="s">
        <v>474</v>
      </c>
      <c r="D162">
        <v>3</v>
      </c>
      <c r="E162">
        <v>6218</v>
      </c>
      <c r="F162">
        <v>2302</v>
      </c>
      <c r="G162" s="4">
        <f t="shared" si="3"/>
        <v>0.37021550337729175</v>
      </c>
    </row>
    <row r="163" spans="1:7">
      <c r="A163" t="s">
        <v>490</v>
      </c>
      <c r="B163">
        <v>1</v>
      </c>
      <c r="C163" t="s">
        <v>448</v>
      </c>
      <c r="D163">
        <v>4</v>
      </c>
      <c r="E163">
        <v>6218</v>
      </c>
      <c r="F163">
        <v>2752</v>
      </c>
      <c r="G163" s="4">
        <f t="shared" si="3"/>
        <v>0.44258604052750078</v>
      </c>
    </row>
    <row r="164" spans="1:7">
      <c r="A164" t="s">
        <v>490</v>
      </c>
      <c r="B164">
        <v>1</v>
      </c>
      <c r="C164" t="s">
        <v>473</v>
      </c>
      <c r="D164">
        <v>5</v>
      </c>
      <c r="E164">
        <v>6218</v>
      </c>
      <c r="F164">
        <v>3960</v>
      </c>
      <c r="G164" s="4">
        <f t="shared" si="3"/>
        <v>0.63686072692183981</v>
      </c>
    </row>
    <row r="165" spans="1:7">
      <c r="A165" t="s">
        <v>490</v>
      </c>
      <c r="B165">
        <v>2</v>
      </c>
      <c r="C165" t="s">
        <v>473</v>
      </c>
      <c r="D165">
        <v>1</v>
      </c>
      <c r="E165">
        <v>4610</v>
      </c>
      <c r="F165">
        <v>239</v>
      </c>
      <c r="G165" s="4">
        <f t="shared" si="3"/>
        <v>5.1843817787418658E-2</v>
      </c>
    </row>
    <row r="166" spans="1:7">
      <c r="A166" t="s">
        <v>490</v>
      </c>
      <c r="B166">
        <v>2</v>
      </c>
      <c r="C166" t="s">
        <v>612</v>
      </c>
      <c r="D166">
        <v>2</v>
      </c>
      <c r="E166">
        <v>4610</v>
      </c>
      <c r="F166">
        <v>2350</v>
      </c>
      <c r="G166" s="4">
        <f t="shared" si="3"/>
        <v>0.50976138828633411</v>
      </c>
    </row>
    <row r="167" spans="1:7">
      <c r="A167" t="s">
        <v>490</v>
      </c>
      <c r="B167">
        <v>2</v>
      </c>
      <c r="C167" t="s">
        <v>613</v>
      </c>
      <c r="D167">
        <v>3</v>
      </c>
      <c r="E167">
        <v>4610</v>
      </c>
      <c r="F167">
        <v>4583</v>
      </c>
      <c r="G167" s="4">
        <f t="shared" si="3"/>
        <v>0.9941431670281996</v>
      </c>
    </row>
    <row r="168" spans="1:7">
      <c r="A168" t="s">
        <v>490</v>
      </c>
      <c r="B168">
        <v>3</v>
      </c>
      <c r="C168" t="s">
        <v>614</v>
      </c>
      <c r="D168">
        <v>1</v>
      </c>
      <c r="E168">
        <v>1857</v>
      </c>
      <c r="F168">
        <v>1793</v>
      </c>
      <c r="G168" s="4">
        <f t="shared" si="3"/>
        <v>0.96553581044695747</v>
      </c>
    </row>
    <row r="169" spans="1:7">
      <c r="A169" t="s">
        <v>490</v>
      </c>
      <c r="B169">
        <v>3</v>
      </c>
      <c r="C169" t="s">
        <v>506</v>
      </c>
      <c r="D169">
        <v>2</v>
      </c>
      <c r="E169">
        <v>1857</v>
      </c>
      <c r="F169">
        <v>1863</v>
      </c>
      <c r="G169" s="4">
        <f t="shared" si="3"/>
        <v>1.0032310177705976</v>
      </c>
    </row>
    <row r="170" spans="1:7">
      <c r="A170" t="s">
        <v>490</v>
      </c>
      <c r="B170">
        <v>7</v>
      </c>
      <c r="C170" t="s">
        <v>506</v>
      </c>
      <c r="D170">
        <v>1</v>
      </c>
      <c r="E170">
        <v>1776</v>
      </c>
      <c r="F170">
        <v>1801</v>
      </c>
      <c r="G170" s="4">
        <f t="shared" si="3"/>
        <v>1.0140765765765767</v>
      </c>
    </row>
    <row r="171" spans="1:7">
      <c r="A171" t="s">
        <v>490</v>
      </c>
      <c r="B171">
        <v>7</v>
      </c>
      <c r="C171" t="s">
        <v>614</v>
      </c>
      <c r="D171">
        <v>2</v>
      </c>
      <c r="E171">
        <v>1776</v>
      </c>
      <c r="F171">
        <v>1813</v>
      </c>
      <c r="G171" s="4">
        <f t="shared" si="3"/>
        <v>1.0208333333333333</v>
      </c>
    </row>
    <row r="172" spans="1:7">
      <c r="A172" t="s">
        <v>490</v>
      </c>
      <c r="B172">
        <v>10</v>
      </c>
      <c r="C172" t="s">
        <v>615</v>
      </c>
      <c r="D172">
        <v>1</v>
      </c>
      <c r="E172">
        <v>16516</v>
      </c>
      <c r="F172">
        <v>2089</v>
      </c>
      <c r="G172" s="4">
        <f t="shared" si="3"/>
        <v>0.12648341002664085</v>
      </c>
    </row>
    <row r="173" spans="1:7">
      <c r="A173" t="s">
        <v>490</v>
      </c>
      <c r="B173">
        <v>10</v>
      </c>
      <c r="C173" t="s">
        <v>616</v>
      </c>
      <c r="D173">
        <v>2</v>
      </c>
      <c r="E173">
        <v>16516</v>
      </c>
      <c r="F173">
        <v>2092</v>
      </c>
      <c r="G173" s="4">
        <f t="shared" si="3"/>
        <v>0.12666505207071929</v>
      </c>
    </row>
    <row r="174" spans="1:7">
      <c r="A174" t="s">
        <v>490</v>
      </c>
      <c r="B174">
        <v>10</v>
      </c>
      <c r="C174" t="s">
        <v>617</v>
      </c>
      <c r="D174">
        <v>3</v>
      </c>
      <c r="E174">
        <v>16516</v>
      </c>
      <c r="F174">
        <v>2095</v>
      </c>
      <c r="G174" s="4">
        <f t="shared" si="3"/>
        <v>0.12684669411479776</v>
      </c>
    </row>
    <row r="175" spans="1:7">
      <c r="A175" t="s">
        <v>490</v>
      </c>
      <c r="B175">
        <v>10</v>
      </c>
      <c r="C175" t="s">
        <v>618</v>
      </c>
      <c r="D175">
        <v>4</v>
      </c>
      <c r="E175">
        <v>16516</v>
      </c>
      <c r="F175">
        <v>2109</v>
      </c>
      <c r="G175" s="4">
        <f t="shared" si="3"/>
        <v>0.12769435698716397</v>
      </c>
    </row>
    <row r="176" spans="1:7">
      <c r="A176" t="s">
        <v>490</v>
      </c>
      <c r="B176">
        <v>10</v>
      </c>
      <c r="C176" t="s">
        <v>619</v>
      </c>
      <c r="D176">
        <v>5</v>
      </c>
      <c r="E176">
        <v>16516</v>
      </c>
      <c r="F176">
        <v>2145</v>
      </c>
      <c r="G176" s="4">
        <f t="shared" si="3"/>
        <v>0.12987406151610559</v>
      </c>
    </row>
    <row r="177" spans="1:7">
      <c r="A177" t="s">
        <v>490</v>
      </c>
      <c r="B177">
        <v>10</v>
      </c>
      <c r="C177" t="s">
        <v>620</v>
      </c>
      <c r="D177">
        <v>6</v>
      </c>
      <c r="E177">
        <v>16516</v>
      </c>
      <c r="F177">
        <v>2146</v>
      </c>
      <c r="G177" s="4">
        <f t="shared" si="3"/>
        <v>0.12993460886413175</v>
      </c>
    </row>
    <row r="178" spans="1:7">
      <c r="A178" t="s">
        <v>490</v>
      </c>
      <c r="B178">
        <v>10</v>
      </c>
      <c r="C178" t="s">
        <v>621</v>
      </c>
      <c r="D178">
        <v>7</v>
      </c>
      <c r="E178">
        <v>16516</v>
      </c>
      <c r="F178">
        <v>2174</v>
      </c>
      <c r="G178" s="4">
        <f t="shared" si="3"/>
        <v>0.13162993460886413</v>
      </c>
    </row>
    <row r="179" spans="1:7">
      <c r="A179" t="s">
        <v>490</v>
      </c>
      <c r="B179">
        <v>10</v>
      </c>
      <c r="C179" t="s">
        <v>622</v>
      </c>
      <c r="D179">
        <v>8</v>
      </c>
      <c r="E179">
        <v>16516</v>
      </c>
      <c r="F179">
        <v>2177</v>
      </c>
      <c r="G179" s="4">
        <f t="shared" si="3"/>
        <v>0.1318115766529426</v>
      </c>
    </row>
    <row r="180" spans="1:7">
      <c r="A180" t="s">
        <v>490</v>
      </c>
      <c r="B180">
        <v>10</v>
      </c>
      <c r="C180" t="s">
        <v>623</v>
      </c>
      <c r="D180">
        <v>9</v>
      </c>
      <c r="E180">
        <v>16516</v>
      </c>
      <c r="F180">
        <v>2268</v>
      </c>
      <c r="G180" s="4">
        <f t="shared" si="3"/>
        <v>0.13732138532332283</v>
      </c>
    </row>
    <row r="181" spans="1:7">
      <c r="A181" t="s">
        <v>490</v>
      </c>
      <c r="B181">
        <v>10</v>
      </c>
      <c r="C181" t="s">
        <v>624</v>
      </c>
      <c r="D181">
        <v>10</v>
      </c>
      <c r="E181">
        <v>16516</v>
      </c>
      <c r="F181">
        <v>2282</v>
      </c>
      <c r="G181" s="4">
        <f t="shared" si="3"/>
        <v>0.13816904819568904</v>
      </c>
    </row>
    <row r="182" spans="1:7">
      <c r="A182" t="s">
        <v>490</v>
      </c>
      <c r="B182">
        <v>10</v>
      </c>
      <c r="C182" t="s">
        <v>625</v>
      </c>
      <c r="D182">
        <v>11</v>
      </c>
      <c r="E182">
        <v>16516</v>
      </c>
      <c r="F182">
        <v>2312</v>
      </c>
      <c r="G182" s="4">
        <f t="shared" si="3"/>
        <v>0.13998546863647371</v>
      </c>
    </row>
    <row r="183" spans="1:7">
      <c r="A183" t="s">
        <v>490</v>
      </c>
      <c r="B183">
        <v>10</v>
      </c>
      <c r="C183" t="s">
        <v>626</v>
      </c>
      <c r="D183">
        <v>12</v>
      </c>
      <c r="E183">
        <v>16516</v>
      </c>
      <c r="F183">
        <v>2322</v>
      </c>
      <c r="G183" s="4">
        <f t="shared" si="3"/>
        <v>0.14059094211673528</v>
      </c>
    </row>
    <row r="184" spans="1:7">
      <c r="A184" t="s">
        <v>490</v>
      </c>
      <c r="B184">
        <v>10</v>
      </c>
      <c r="C184" t="s">
        <v>627</v>
      </c>
      <c r="D184">
        <v>13</v>
      </c>
      <c r="E184">
        <v>16516</v>
      </c>
      <c r="F184">
        <v>2344</v>
      </c>
      <c r="G184" s="4">
        <f t="shared" si="3"/>
        <v>0.14192298377331072</v>
      </c>
    </row>
    <row r="185" spans="1:7">
      <c r="A185" t="s">
        <v>490</v>
      </c>
      <c r="B185">
        <v>10</v>
      </c>
      <c r="C185" t="s">
        <v>628</v>
      </c>
      <c r="D185">
        <v>14</v>
      </c>
      <c r="E185">
        <v>16516</v>
      </c>
      <c r="F185">
        <v>2358</v>
      </c>
      <c r="G185" s="4">
        <f t="shared" si="3"/>
        <v>0.14277064664567693</v>
      </c>
    </row>
    <row r="186" spans="1:7">
      <c r="A186" t="s">
        <v>490</v>
      </c>
      <c r="B186">
        <v>10</v>
      </c>
      <c r="C186" t="s">
        <v>629</v>
      </c>
      <c r="D186">
        <v>15</v>
      </c>
      <c r="E186">
        <v>16516</v>
      </c>
      <c r="F186">
        <v>2365</v>
      </c>
      <c r="G186" s="4">
        <f t="shared" si="3"/>
        <v>0.14319447808186</v>
      </c>
    </row>
    <row r="187" spans="1:7">
      <c r="A187" t="s">
        <v>490</v>
      </c>
      <c r="B187">
        <v>10</v>
      </c>
      <c r="C187" t="s">
        <v>630</v>
      </c>
      <c r="D187">
        <v>16</v>
      </c>
      <c r="E187">
        <v>16516</v>
      </c>
      <c r="F187">
        <v>2386</v>
      </c>
      <c r="G187" s="4">
        <f t="shared" si="3"/>
        <v>0.14446597239040929</v>
      </c>
    </row>
    <row r="188" spans="1:7">
      <c r="A188" t="s">
        <v>490</v>
      </c>
      <c r="B188">
        <v>10</v>
      </c>
      <c r="C188" t="s">
        <v>631</v>
      </c>
      <c r="D188">
        <v>17</v>
      </c>
      <c r="E188">
        <v>16516</v>
      </c>
      <c r="F188">
        <v>2612</v>
      </c>
      <c r="G188" s="4">
        <f t="shared" si="3"/>
        <v>0.15814967304432065</v>
      </c>
    </row>
    <row r="189" spans="1:7">
      <c r="A189" t="s">
        <v>490</v>
      </c>
      <c r="B189">
        <v>10</v>
      </c>
      <c r="C189" t="s">
        <v>632</v>
      </c>
      <c r="D189">
        <v>18</v>
      </c>
      <c r="E189">
        <v>16516</v>
      </c>
      <c r="F189">
        <v>2633</v>
      </c>
      <c r="G189" s="4">
        <f t="shared" si="3"/>
        <v>0.15942116735286996</v>
      </c>
    </row>
    <row r="190" spans="1:7">
      <c r="A190" t="s">
        <v>490</v>
      </c>
      <c r="B190">
        <v>10</v>
      </c>
      <c r="C190" t="s">
        <v>633</v>
      </c>
      <c r="D190">
        <v>19</v>
      </c>
      <c r="E190">
        <v>16516</v>
      </c>
      <c r="F190">
        <v>2713</v>
      </c>
      <c r="G190" s="4">
        <f t="shared" si="3"/>
        <v>0.16426495519496245</v>
      </c>
    </row>
    <row r="191" spans="1:7">
      <c r="A191" t="s">
        <v>490</v>
      </c>
      <c r="B191">
        <v>10</v>
      </c>
      <c r="C191" t="s">
        <v>634</v>
      </c>
      <c r="D191">
        <v>20</v>
      </c>
      <c r="E191">
        <v>16516</v>
      </c>
      <c r="F191">
        <v>2772</v>
      </c>
      <c r="G191" s="4">
        <f t="shared" si="3"/>
        <v>0.16783724872850569</v>
      </c>
    </row>
    <row r="192" spans="1:7">
      <c r="A192" t="s">
        <v>490</v>
      </c>
      <c r="B192">
        <v>10</v>
      </c>
      <c r="C192" t="s">
        <v>635</v>
      </c>
      <c r="D192">
        <v>21</v>
      </c>
      <c r="E192">
        <v>16516</v>
      </c>
      <c r="F192">
        <v>2865</v>
      </c>
      <c r="G192" s="4">
        <f t="shared" si="3"/>
        <v>0.17346815209493824</v>
      </c>
    </row>
    <row r="193" spans="1:7">
      <c r="A193" t="s">
        <v>490</v>
      </c>
      <c r="B193">
        <v>10</v>
      </c>
      <c r="C193" t="s">
        <v>636</v>
      </c>
      <c r="D193">
        <v>22</v>
      </c>
      <c r="E193">
        <v>16516</v>
      </c>
      <c r="F193">
        <v>2898</v>
      </c>
      <c r="G193" s="4">
        <f t="shared" si="3"/>
        <v>0.17546621457980141</v>
      </c>
    </row>
    <row r="194" spans="1:7">
      <c r="A194" t="s">
        <v>490</v>
      </c>
      <c r="B194">
        <v>10</v>
      </c>
      <c r="C194" t="s">
        <v>637</v>
      </c>
      <c r="D194">
        <v>23</v>
      </c>
      <c r="E194">
        <v>16516</v>
      </c>
      <c r="F194">
        <v>3708</v>
      </c>
      <c r="G194" s="4">
        <f t="shared" si="3"/>
        <v>0.22450956648098813</v>
      </c>
    </row>
    <row r="195" spans="1:7">
      <c r="A195" t="s">
        <v>490</v>
      </c>
      <c r="B195">
        <v>10</v>
      </c>
      <c r="C195" t="s">
        <v>638</v>
      </c>
      <c r="D195">
        <v>24</v>
      </c>
      <c r="E195">
        <v>16516</v>
      </c>
      <c r="F195">
        <v>3730</v>
      </c>
      <c r="G195" s="4">
        <f t="shared" ref="G195:G258" si="4">F195/E195</f>
        <v>0.22584160813756357</v>
      </c>
    </row>
    <row r="196" spans="1:7">
      <c r="A196" t="s">
        <v>490</v>
      </c>
      <c r="B196">
        <v>10</v>
      </c>
      <c r="C196" t="s">
        <v>639</v>
      </c>
      <c r="D196">
        <v>25</v>
      </c>
      <c r="E196">
        <v>16516</v>
      </c>
      <c r="F196">
        <v>3750</v>
      </c>
      <c r="G196" s="4">
        <f t="shared" si="4"/>
        <v>0.22705255509808669</v>
      </c>
    </row>
    <row r="197" spans="1:7">
      <c r="A197" t="s">
        <v>490</v>
      </c>
      <c r="B197">
        <v>10</v>
      </c>
      <c r="C197" t="s">
        <v>640</v>
      </c>
      <c r="D197">
        <v>26</v>
      </c>
      <c r="E197">
        <v>16516</v>
      </c>
      <c r="F197">
        <v>3759</v>
      </c>
      <c r="G197" s="4">
        <f t="shared" si="4"/>
        <v>0.22759748123032211</v>
      </c>
    </row>
    <row r="198" spans="1:7">
      <c r="A198" t="s">
        <v>490</v>
      </c>
      <c r="B198">
        <v>10</v>
      </c>
      <c r="C198" t="s">
        <v>641</v>
      </c>
      <c r="D198">
        <v>27</v>
      </c>
      <c r="E198">
        <v>16516</v>
      </c>
      <c r="F198">
        <v>3905</v>
      </c>
      <c r="G198" s="4">
        <f t="shared" si="4"/>
        <v>0.23643739404214095</v>
      </c>
    </row>
    <row r="199" spans="1:7">
      <c r="A199" t="s">
        <v>490</v>
      </c>
      <c r="B199">
        <v>10</v>
      </c>
      <c r="C199" t="s">
        <v>642</v>
      </c>
      <c r="D199">
        <v>28</v>
      </c>
      <c r="E199">
        <v>16516</v>
      </c>
      <c r="F199">
        <v>3929</v>
      </c>
      <c r="G199" s="4">
        <f t="shared" si="4"/>
        <v>0.23789053039476871</v>
      </c>
    </row>
    <row r="200" spans="1:7">
      <c r="A200" t="s">
        <v>490</v>
      </c>
      <c r="B200">
        <v>10</v>
      </c>
      <c r="C200" t="s">
        <v>643</v>
      </c>
      <c r="D200">
        <v>29</v>
      </c>
      <c r="E200">
        <v>16516</v>
      </c>
      <c r="F200">
        <v>3941</v>
      </c>
      <c r="G200" s="4">
        <f t="shared" si="4"/>
        <v>0.2386170985710826</v>
      </c>
    </row>
    <row r="201" spans="1:7">
      <c r="A201" t="s">
        <v>490</v>
      </c>
      <c r="B201">
        <v>10</v>
      </c>
      <c r="C201" t="s">
        <v>644</v>
      </c>
      <c r="D201">
        <v>30</v>
      </c>
      <c r="E201">
        <v>16516</v>
      </c>
      <c r="F201">
        <v>4054</v>
      </c>
      <c r="G201" s="4">
        <f t="shared" si="4"/>
        <v>0.24545894889803826</v>
      </c>
    </row>
    <row r="202" spans="1:7">
      <c r="A202" t="s">
        <v>490</v>
      </c>
      <c r="B202">
        <v>10</v>
      </c>
      <c r="C202" t="s">
        <v>645</v>
      </c>
      <c r="D202">
        <v>31</v>
      </c>
      <c r="E202">
        <v>16516</v>
      </c>
      <c r="F202">
        <v>4632</v>
      </c>
      <c r="G202" s="4">
        <f t="shared" si="4"/>
        <v>0.28045531605715668</v>
      </c>
    </row>
    <row r="203" spans="1:7">
      <c r="A203" t="s">
        <v>490</v>
      </c>
      <c r="B203">
        <v>10</v>
      </c>
      <c r="C203" t="s">
        <v>646</v>
      </c>
      <c r="D203">
        <v>32</v>
      </c>
      <c r="E203">
        <v>16516</v>
      </c>
      <c r="F203">
        <v>4862</v>
      </c>
      <c r="G203" s="4">
        <f t="shared" si="4"/>
        <v>0.2943812061031727</v>
      </c>
    </row>
    <row r="204" spans="1:7">
      <c r="A204" t="s">
        <v>490</v>
      </c>
      <c r="B204">
        <v>11</v>
      </c>
      <c r="C204" t="s">
        <v>213</v>
      </c>
      <c r="D204">
        <v>1</v>
      </c>
      <c r="E204">
        <v>7282</v>
      </c>
      <c r="F204">
        <v>128</v>
      </c>
      <c r="G204" s="4">
        <f t="shared" si="4"/>
        <v>1.7577588574567427E-2</v>
      </c>
    </row>
    <row r="205" spans="1:7">
      <c r="A205" t="s">
        <v>490</v>
      </c>
      <c r="B205">
        <v>11</v>
      </c>
      <c r="C205" t="s">
        <v>647</v>
      </c>
      <c r="D205">
        <v>2</v>
      </c>
      <c r="E205">
        <v>7282</v>
      </c>
      <c r="F205">
        <v>914</v>
      </c>
      <c r="G205" s="4">
        <f t="shared" si="4"/>
        <v>0.12551496841527052</v>
      </c>
    </row>
    <row r="206" spans="1:7">
      <c r="A206" t="s">
        <v>490</v>
      </c>
      <c r="B206">
        <v>11</v>
      </c>
      <c r="C206" t="s">
        <v>648</v>
      </c>
      <c r="D206">
        <v>3</v>
      </c>
      <c r="E206">
        <v>7282</v>
      </c>
      <c r="F206">
        <v>1094</v>
      </c>
      <c r="G206" s="4">
        <f t="shared" si="4"/>
        <v>0.15023345234825597</v>
      </c>
    </row>
    <row r="207" spans="1:7">
      <c r="A207" t="s">
        <v>490</v>
      </c>
      <c r="B207">
        <v>11</v>
      </c>
      <c r="C207" t="s">
        <v>649</v>
      </c>
      <c r="D207">
        <v>4</v>
      </c>
      <c r="E207">
        <v>7282</v>
      </c>
      <c r="F207">
        <v>1693</v>
      </c>
      <c r="G207" s="4">
        <f t="shared" si="4"/>
        <v>0.23249107388080198</v>
      </c>
    </row>
    <row r="208" spans="1:7">
      <c r="A208" t="s">
        <v>490</v>
      </c>
      <c r="B208">
        <v>11</v>
      </c>
      <c r="C208" t="s">
        <v>650</v>
      </c>
      <c r="D208">
        <v>5</v>
      </c>
      <c r="E208">
        <v>7282</v>
      </c>
      <c r="F208">
        <v>1817</v>
      </c>
      <c r="G208" s="4">
        <f t="shared" si="4"/>
        <v>0.24951936281241416</v>
      </c>
    </row>
    <row r="209" spans="1:7">
      <c r="A209" t="s">
        <v>490</v>
      </c>
      <c r="B209">
        <v>11</v>
      </c>
      <c r="C209" t="s">
        <v>651</v>
      </c>
      <c r="D209">
        <v>6</v>
      </c>
      <c r="E209">
        <v>7282</v>
      </c>
      <c r="F209">
        <v>1865</v>
      </c>
      <c r="G209" s="4">
        <f t="shared" si="4"/>
        <v>0.25611095852787696</v>
      </c>
    </row>
    <row r="210" spans="1:7">
      <c r="A210" t="s">
        <v>490</v>
      </c>
      <c r="B210">
        <v>11</v>
      </c>
      <c r="C210" t="s">
        <v>652</v>
      </c>
      <c r="D210">
        <v>7</v>
      </c>
      <c r="E210">
        <v>7282</v>
      </c>
      <c r="F210">
        <v>1900</v>
      </c>
      <c r="G210" s="4">
        <f t="shared" si="4"/>
        <v>0.26091733040373521</v>
      </c>
    </row>
    <row r="211" spans="1:7">
      <c r="A211" t="s">
        <v>490</v>
      </c>
      <c r="B211">
        <v>11</v>
      </c>
      <c r="C211" t="s">
        <v>653</v>
      </c>
      <c r="D211">
        <v>8</v>
      </c>
      <c r="E211">
        <v>7282</v>
      </c>
      <c r="F211">
        <v>1911</v>
      </c>
      <c r="G211" s="4">
        <f t="shared" si="4"/>
        <v>0.26242790442186215</v>
      </c>
    </row>
    <row r="212" spans="1:7">
      <c r="A212" t="s">
        <v>490</v>
      </c>
      <c r="B212">
        <v>11</v>
      </c>
      <c r="C212" t="s">
        <v>654</v>
      </c>
      <c r="D212">
        <v>9</v>
      </c>
      <c r="E212">
        <v>7282</v>
      </c>
      <c r="F212">
        <v>1947</v>
      </c>
      <c r="G212" s="4">
        <f t="shared" si="4"/>
        <v>0.26737160120845921</v>
      </c>
    </row>
    <row r="213" spans="1:7">
      <c r="A213" t="s">
        <v>490</v>
      </c>
      <c r="B213">
        <v>11</v>
      </c>
      <c r="C213" t="s">
        <v>655</v>
      </c>
      <c r="D213">
        <v>10</v>
      </c>
      <c r="E213">
        <v>7282</v>
      </c>
      <c r="F213">
        <v>2034</v>
      </c>
      <c r="G213" s="4">
        <f t="shared" si="4"/>
        <v>0.27931886844273551</v>
      </c>
    </row>
    <row r="214" spans="1:7">
      <c r="A214" t="s">
        <v>490</v>
      </c>
      <c r="B214">
        <v>11</v>
      </c>
      <c r="C214" t="s">
        <v>656</v>
      </c>
      <c r="D214">
        <v>11</v>
      </c>
      <c r="E214">
        <v>7282</v>
      </c>
      <c r="F214">
        <v>2152</v>
      </c>
      <c r="G214" s="4">
        <f t="shared" si="4"/>
        <v>0.29552320790991488</v>
      </c>
    </row>
    <row r="215" spans="1:7">
      <c r="A215" t="s">
        <v>490</v>
      </c>
      <c r="B215">
        <v>11</v>
      </c>
      <c r="C215" t="s">
        <v>657</v>
      </c>
      <c r="D215">
        <v>12</v>
      </c>
      <c r="E215">
        <v>7282</v>
      </c>
      <c r="F215">
        <v>7060</v>
      </c>
      <c r="G215" s="4">
        <f t="shared" si="4"/>
        <v>0.96951386981598464</v>
      </c>
    </row>
    <row r="216" spans="1:7">
      <c r="A216" t="s">
        <v>490</v>
      </c>
      <c r="B216">
        <v>11</v>
      </c>
      <c r="C216" t="s">
        <v>658</v>
      </c>
      <c r="D216">
        <v>13</v>
      </c>
      <c r="E216">
        <v>7282</v>
      </c>
      <c r="F216">
        <v>7305</v>
      </c>
      <c r="G216" s="4">
        <f t="shared" si="4"/>
        <v>1.0031584729469927</v>
      </c>
    </row>
    <row r="217" spans="1:7">
      <c r="A217" t="s">
        <v>490</v>
      </c>
      <c r="B217">
        <v>12</v>
      </c>
      <c r="C217" t="s">
        <v>213</v>
      </c>
      <c r="D217">
        <v>1</v>
      </c>
      <c r="E217">
        <v>4579</v>
      </c>
      <c r="F217">
        <v>121</v>
      </c>
      <c r="G217" s="4">
        <f t="shared" si="4"/>
        <v>2.6424983620877921E-2</v>
      </c>
    </row>
    <row r="218" spans="1:7">
      <c r="A218" t="s">
        <v>490</v>
      </c>
      <c r="B218">
        <v>12</v>
      </c>
      <c r="C218" t="s">
        <v>659</v>
      </c>
      <c r="D218">
        <v>2</v>
      </c>
      <c r="E218">
        <v>4579</v>
      </c>
      <c r="F218">
        <v>2715</v>
      </c>
      <c r="G218" s="4">
        <f t="shared" si="4"/>
        <v>0.59292421926184757</v>
      </c>
    </row>
    <row r="219" spans="1:7">
      <c r="A219" t="s">
        <v>490</v>
      </c>
      <c r="B219">
        <v>12</v>
      </c>
      <c r="C219" t="s">
        <v>660</v>
      </c>
      <c r="D219">
        <v>3</v>
      </c>
      <c r="E219">
        <v>4579</v>
      </c>
      <c r="F219">
        <v>2869</v>
      </c>
      <c r="G219" s="4">
        <f t="shared" si="4"/>
        <v>0.62655601659751037</v>
      </c>
    </row>
    <row r="220" spans="1:7">
      <c r="A220" t="s">
        <v>490</v>
      </c>
      <c r="B220">
        <v>12</v>
      </c>
      <c r="C220" t="s">
        <v>661</v>
      </c>
      <c r="D220">
        <v>4</v>
      </c>
      <c r="E220">
        <v>4579</v>
      </c>
      <c r="F220">
        <v>3100</v>
      </c>
      <c r="G220" s="4">
        <f t="shared" si="4"/>
        <v>0.67700371260100456</v>
      </c>
    </row>
    <row r="221" spans="1:7">
      <c r="A221" t="s">
        <v>490</v>
      </c>
      <c r="B221">
        <v>12</v>
      </c>
      <c r="C221" t="s">
        <v>662</v>
      </c>
      <c r="D221">
        <v>5</v>
      </c>
      <c r="E221">
        <v>4579</v>
      </c>
      <c r="F221">
        <v>3288</v>
      </c>
      <c r="G221" s="4">
        <f t="shared" si="4"/>
        <v>0.71806071194583976</v>
      </c>
    </row>
    <row r="222" spans="1:7">
      <c r="A222" t="s">
        <v>490</v>
      </c>
      <c r="B222">
        <v>12</v>
      </c>
      <c r="C222" t="s">
        <v>663</v>
      </c>
      <c r="D222">
        <v>6</v>
      </c>
      <c r="E222">
        <v>4579</v>
      </c>
      <c r="F222">
        <v>3349</v>
      </c>
      <c r="G222" s="4">
        <f t="shared" si="4"/>
        <v>0.73138239790347237</v>
      </c>
    </row>
    <row r="223" spans="1:7">
      <c r="A223" t="s">
        <v>490</v>
      </c>
      <c r="B223">
        <v>12</v>
      </c>
      <c r="C223" t="s">
        <v>664</v>
      </c>
      <c r="D223">
        <v>7</v>
      </c>
      <c r="E223">
        <v>4579</v>
      </c>
      <c r="F223">
        <v>3353</v>
      </c>
      <c r="G223" s="4">
        <f t="shared" si="4"/>
        <v>0.73225595108102204</v>
      </c>
    </row>
    <row r="224" spans="1:7">
      <c r="A224" t="s">
        <v>490</v>
      </c>
      <c r="B224">
        <v>12</v>
      </c>
      <c r="C224" t="s">
        <v>665</v>
      </c>
      <c r="D224">
        <v>8</v>
      </c>
      <c r="E224">
        <v>4579</v>
      </c>
      <c r="F224">
        <v>3457</v>
      </c>
      <c r="G224" s="4">
        <f t="shared" si="4"/>
        <v>0.75496833369731386</v>
      </c>
    </row>
    <row r="225" spans="1:7">
      <c r="A225" t="s">
        <v>490</v>
      </c>
      <c r="B225">
        <v>12</v>
      </c>
      <c r="C225" t="s">
        <v>666</v>
      </c>
      <c r="D225">
        <v>9</v>
      </c>
      <c r="E225">
        <v>4579</v>
      </c>
      <c r="F225">
        <v>3649</v>
      </c>
      <c r="G225" s="4">
        <f t="shared" si="4"/>
        <v>0.79689888621969862</v>
      </c>
    </row>
    <row r="226" spans="1:7">
      <c r="A226" t="s">
        <v>490</v>
      </c>
      <c r="B226">
        <v>12</v>
      </c>
      <c r="C226" t="s">
        <v>667</v>
      </c>
      <c r="D226">
        <v>10</v>
      </c>
      <c r="E226">
        <v>4579</v>
      </c>
      <c r="F226">
        <v>3753</v>
      </c>
      <c r="G226" s="4">
        <f t="shared" si="4"/>
        <v>0.81961126883599034</v>
      </c>
    </row>
    <row r="227" spans="1:7">
      <c r="A227" t="s">
        <v>490</v>
      </c>
      <c r="B227">
        <v>12</v>
      </c>
      <c r="C227" t="s">
        <v>668</v>
      </c>
      <c r="D227">
        <v>11</v>
      </c>
      <c r="E227">
        <v>4579</v>
      </c>
      <c r="F227">
        <v>3941</v>
      </c>
      <c r="G227" s="4">
        <f t="shared" si="4"/>
        <v>0.86066826818082554</v>
      </c>
    </row>
    <row r="228" spans="1:7">
      <c r="A228" t="s">
        <v>490</v>
      </c>
      <c r="B228">
        <v>12</v>
      </c>
      <c r="C228" t="s">
        <v>669</v>
      </c>
      <c r="D228">
        <v>12</v>
      </c>
      <c r="E228">
        <v>4579</v>
      </c>
      <c r="F228">
        <v>3963</v>
      </c>
      <c r="G228" s="4">
        <f t="shared" si="4"/>
        <v>0.86547281065734871</v>
      </c>
    </row>
    <row r="229" spans="1:7">
      <c r="A229" t="s">
        <v>490</v>
      </c>
      <c r="B229">
        <v>12</v>
      </c>
      <c r="C229" t="s">
        <v>670</v>
      </c>
      <c r="D229">
        <v>13</v>
      </c>
      <c r="E229">
        <v>4579</v>
      </c>
      <c r="F229">
        <v>3965</v>
      </c>
      <c r="G229" s="4">
        <f t="shared" si="4"/>
        <v>0.86590958724612366</v>
      </c>
    </row>
    <row r="230" spans="1:7">
      <c r="A230" t="s">
        <v>490</v>
      </c>
      <c r="B230">
        <v>12</v>
      </c>
      <c r="C230" t="s">
        <v>671</v>
      </c>
      <c r="D230">
        <v>14</v>
      </c>
      <c r="E230">
        <v>4579</v>
      </c>
      <c r="F230">
        <v>4087</v>
      </c>
      <c r="G230" s="4">
        <f t="shared" si="4"/>
        <v>0.89255295916138899</v>
      </c>
    </row>
    <row r="231" spans="1:7">
      <c r="A231" t="s">
        <v>490</v>
      </c>
      <c r="B231">
        <v>12</v>
      </c>
      <c r="C231" t="s">
        <v>672</v>
      </c>
      <c r="D231">
        <v>15</v>
      </c>
      <c r="E231">
        <v>4579</v>
      </c>
      <c r="F231">
        <v>4217</v>
      </c>
      <c r="G231" s="4">
        <f t="shared" si="4"/>
        <v>0.92094343743175366</v>
      </c>
    </row>
    <row r="232" spans="1:7">
      <c r="A232" t="s">
        <v>490</v>
      </c>
      <c r="B232">
        <v>12</v>
      </c>
      <c r="C232" t="s">
        <v>673</v>
      </c>
      <c r="D232">
        <v>16</v>
      </c>
      <c r="E232">
        <v>4579</v>
      </c>
      <c r="F232">
        <v>4298</v>
      </c>
      <c r="G232" s="4">
        <f t="shared" si="4"/>
        <v>0.93863288927713473</v>
      </c>
    </row>
    <row r="233" spans="1:7">
      <c r="A233" t="s">
        <v>490</v>
      </c>
      <c r="B233">
        <v>12</v>
      </c>
      <c r="C233" t="s">
        <v>674</v>
      </c>
      <c r="D233">
        <v>17</v>
      </c>
      <c r="E233">
        <v>4579</v>
      </c>
      <c r="F233">
        <v>4567</v>
      </c>
      <c r="G233" s="4">
        <f t="shared" si="4"/>
        <v>0.99737934046735099</v>
      </c>
    </row>
    <row r="234" spans="1:7">
      <c r="A234" t="s">
        <v>491</v>
      </c>
      <c r="B234">
        <v>1</v>
      </c>
      <c r="C234" t="s">
        <v>675</v>
      </c>
      <c r="D234">
        <v>1</v>
      </c>
      <c r="E234">
        <v>3281</v>
      </c>
      <c r="F234">
        <v>1266</v>
      </c>
      <c r="G234" s="4">
        <f t="shared" si="4"/>
        <v>0.3858579701310576</v>
      </c>
    </row>
    <row r="235" spans="1:7">
      <c r="A235" t="s">
        <v>491</v>
      </c>
      <c r="B235">
        <v>1</v>
      </c>
      <c r="C235" t="s">
        <v>676</v>
      </c>
      <c r="D235">
        <v>2</v>
      </c>
      <c r="E235">
        <v>3281</v>
      </c>
      <c r="F235">
        <v>1570</v>
      </c>
      <c r="G235" s="4">
        <f t="shared" si="4"/>
        <v>0.47851264858274917</v>
      </c>
    </row>
    <row r="236" spans="1:7">
      <c r="A236" t="s">
        <v>491</v>
      </c>
      <c r="B236">
        <v>1</v>
      </c>
      <c r="C236" t="s">
        <v>677</v>
      </c>
      <c r="D236">
        <v>3</v>
      </c>
      <c r="E236">
        <v>3281</v>
      </c>
      <c r="F236">
        <v>1631</v>
      </c>
      <c r="G236" s="4">
        <f t="shared" si="4"/>
        <v>0.49710454129838466</v>
      </c>
    </row>
    <row r="237" spans="1:7">
      <c r="A237" t="s">
        <v>491</v>
      </c>
      <c r="B237">
        <v>1</v>
      </c>
      <c r="C237" t="s">
        <v>678</v>
      </c>
      <c r="D237">
        <v>4</v>
      </c>
      <c r="E237">
        <v>3281</v>
      </c>
      <c r="F237">
        <v>1693</v>
      </c>
      <c r="G237" s="4">
        <f t="shared" si="4"/>
        <v>0.5160012191405059</v>
      </c>
    </row>
    <row r="238" spans="1:7">
      <c r="A238" t="s">
        <v>491</v>
      </c>
      <c r="B238">
        <v>1</v>
      </c>
      <c r="C238" t="s">
        <v>679</v>
      </c>
      <c r="D238">
        <v>5</v>
      </c>
      <c r="E238">
        <v>3281</v>
      </c>
      <c r="F238">
        <v>2817</v>
      </c>
      <c r="G238" s="4">
        <f t="shared" si="4"/>
        <v>0.85857970131057604</v>
      </c>
    </row>
    <row r="239" spans="1:7">
      <c r="A239" t="s">
        <v>491</v>
      </c>
      <c r="B239">
        <v>1</v>
      </c>
      <c r="C239" t="s">
        <v>680</v>
      </c>
      <c r="D239">
        <v>6</v>
      </c>
      <c r="E239">
        <v>3281</v>
      </c>
      <c r="F239">
        <v>2869</v>
      </c>
      <c r="G239" s="4">
        <f t="shared" si="4"/>
        <v>0.87442852788783909</v>
      </c>
    </row>
    <row r="240" spans="1:7">
      <c r="A240" t="s">
        <v>491</v>
      </c>
      <c r="B240">
        <v>1</v>
      </c>
      <c r="C240" t="s">
        <v>681</v>
      </c>
      <c r="D240">
        <v>7</v>
      </c>
      <c r="E240">
        <v>3281</v>
      </c>
      <c r="F240">
        <v>2924</v>
      </c>
      <c r="G240" s="4">
        <f t="shared" si="4"/>
        <v>0.89119170984455953</v>
      </c>
    </row>
    <row r="241" spans="1:7">
      <c r="A241" t="s">
        <v>492</v>
      </c>
      <c r="B241">
        <v>1</v>
      </c>
      <c r="C241" t="s">
        <v>682</v>
      </c>
      <c r="D241">
        <v>1</v>
      </c>
      <c r="E241">
        <v>15671</v>
      </c>
      <c r="F241">
        <v>520</v>
      </c>
      <c r="G241" s="4">
        <f t="shared" si="4"/>
        <v>3.3182311275604622E-2</v>
      </c>
    </row>
    <row r="242" spans="1:7">
      <c r="A242" t="s">
        <v>492</v>
      </c>
      <c r="B242">
        <v>1</v>
      </c>
      <c r="C242" t="s">
        <v>683</v>
      </c>
      <c r="D242">
        <v>2</v>
      </c>
      <c r="E242">
        <v>15671</v>
      </c>
      <c r="F242">
        <v>593</v>
      </c>
      <c r="G242" s="4">
        <f t="shared" si="4"/>
        <v>3.784059728160296E-2</v>
      </c>
    </row>
    <row r="243" spans="1:7">
      <c r="A243" t="s">
        <v>492</v>
      </c>
      <c r="B243">
        <v>1</v>
      </c>
      <c r="C243" t="s">
        <v>684</v>
      </c>
      <c r="D243">
        <v>3</v>
      </c>
      <c r="E243">
        <v>15671</v>
      </c>
      <c r="F243">
        <v>646</v>
      </c>
      <c r="G243" s="4">
        <f t="shared" si="4"/>
        <v>4.1222640546231891E-2</v>
      </c>
    </row>
    <row r="244" spans="1:7">
      <c r="A244" t="s">
        <v>492</v>
      </c>
      <c r="B244">
        <v>1</v>
      </c>
      <c r="C244" t="s">
        <v>685</v>
      </c>
      <c r="D244">
        <v>4</v>
      </c>
      <c r="E244">
        <v>15671</v>
      </c>
      <c r="F244">
        <v>686</v>
      </c>
      <c r="G244" s="4">
        <f t="shared" si="4"/>
        <v>4.3775126028970712E-2</v>
      </c>
    </row>
    <row r="245" spans="1:7">
      <c r="A245" t="s">
        <v>492</v>
      </c>
      <c r="B245">
        <v>1</v>
      </c>
      <c r="C245" t="s">
        <v>686</v>
      </c>
      <c r="D245">
        <v>5</v>
      </c>
      <c r="E245">
        <v>15671</v>
      </c>
      <c r="F245">
        <v>712</v>
      </c>
      <c r="G245" s="4">
        <f t="shared" si="4"/>
        <v>4.5434241592750939E-2</v>
      </c>
    </row>
    <row r="246" spans="1:7">
      <c r="A246" t="s">
        <v>492</v>
      </c>
      <c r="B246">
        <v>1</v>
      </c>
      <c r="C246" t="s">
        <v>687</v>
      </c>
      <c r="D246">
        <v>6</v>
      </c>
      <c r="E246">
        <v>15671</v>
      </c>
      <c r="F246">
        <v>719</v>
      </c>
      <c r="G246" s="4">
        <f t="shared" si="4"/>
        <v>4.5880926552230236E-2</v>
      </c>
    </row>
    <row r="247" spans="1:7">
      <c r="A247" t="s">
        <v>492</v>
      </c>
      <c r="B247">
        <v>1</v>
      </c>
      <c r="C247" t="s">
        <v>688</v>
      </c>
      <c r="D247">
        <v>7</v>
      </c>
      <c r="E247">
        <v>15671</v>
      </c>
      <c r="F247">
        <v>721</v>
      </c>
      <c r="G247" s="4">
        <f t="shared" si="4"/>
        <v>4.6008550826367178E-2</v>
      </c>
    </row>
    <row r="248" spans="1:7">
      <c r="A248" t="s">
        <v>492</v>
      </c>
      <c r="B248">
        <v>1</v>
      </c>
      <c r="C248" t="s">
        <v>689</v>
      </c>
      <c r="D248">
        <v>8</v>
      </c>
      <c r="E248">
        <v>15671</v>
      </c>
      <c r="F248">
        <v>740</v>
      </c>
      <c r="G248" s="4">
        <f t="shared" si="4"/>
        <v>4.7220981430668114E-2</v>
      </c>
    </row>
    <row r="249" spans="1:7">
      <c r="A249" t="s">
        <v>492</v>
      </c>
      <c r="B249">
        <v>1</v>
      </c>
      <c r="C249" t="s">
        <v>690</v>
      </c>
      <c r="D249">
        <v>9</v>
      </c>
      <c r="E249">
        <v>15671</v>
      </c>
      <c r="F249">
        <v>758</v>
      </c>
      <c r="G249" s="4">
        <f t="shared" si="4"/>
        <v>4.836959989790058E-2</v>
      </c>
    </row>
    <row r="250" spans="1:7">
      <c r="A250" t="s">
        <v>492</v>
      </c>
      <c r="B250">
        <v>1</v>
      </c>
      <c r="C250" t="s">
        <v>691</v>
      </c>
      <c r="D250">
        <v>10</v>
      </c>
      <c r="E250">
        <v>15671</v>
      </c>
      <c r="F250">
        <v>791</v>
      </c>
      <c r="G250" s="4">
        <f t="shared" si="4"/>
        <v>5.0475400421160103E-2</v>
      </c>
    </row>
    <row r="251" spans="1:7">
      <c r="A251" t="s">
        <v>492</v>
      </c>
      <c r="B251">
        <v>1</v>
      </c>
      <c r="C251" t="s">
        <v>692</v>
      </c>
      <c r="D251">
        <v>11</v>
      </c>
      <c r="E251">
        <v>15671</v>
      </c>
      <c r="F251">
        <v>814</v>
      </c>
      <c r="G251" s="4">
        <f t="shared" si="4"/>
        <v>5.1943079573734924E-2</v>
      </c>
    </row>
    <row r="252" spans="1:7">
      <c r="A252" t="s">
        <v>492</v>
      </c>
      <c r="B252">
        <v>1</v>
      </c>
      <c r="C252" t="s">
        <v>693</v>
      </c>
      <c r="D252">
        <v>12</v>
      </c>
      <c r="E252">
        <v>15671</v>
      </c>
      <c r="F252">
        <v>821</v>
      </c>
      <c r="G252" s="4">
        <f t="shared" si="4"/>
        <v>5.2389764533214214E-2</v>
      </c>
    </row>
    <row r="253" spans="1:7">
      <c r="A253" t="s">
        <v>492</v>
      </c>
      <c r="B253">
        <v>1</v>
      </c>
      <c r="C253" t="s">
        <v>694</v>
      </c>
      <c r="D253">
        <v>13</v>
      </c>
      <c r="E253">
        <v>15671</v>
      </c>
      <c r="F253">
        <v>842</v>
      </c>
      <c r="G253" s="4">
        <f t="shared" si="4"/>
        <v>5.3729819411652099E-2</v>
      </c>
    </row>
    <row r="254" spans="1:7">
      <c r="A254" t="s">
        <v>492</v>
      </c>
      <c r="B254">
        <v>1</v>
      </c>
      <c r="C254" t="s">
        <v>695</v>
      </c>
      <c r="D254">
        <v>14</v>
      </c>
      <c r="E254">
        <v>15671</v>
      </c>
      <c r="F254">
        <v>858</v>
      </c>
      <c r="G254" s="4">
        <f t="shared" si="4"/>
        <v>5.4750813604747622E-2</v>
      </c>
    </row>
    <row r="255" spans="1:7">
      <c r="A255" t="s">
        <v>492</v>
      </c>
      <c r="B255">
        <v>1</v>
      </c>
      <c r="C255" t="s">
        <v>696</v>
      </c>
      <c r="D255">
        <v>15</v>
      </c>
      <c r="E255">
        <v>15671</v>
      </c>
      <c r="F255">
        <v>873</v>
      </c>
      <c r="G255" s="4">
        <f t="shared" si="4"/>
        <v>5.5707995660774681E-2</v>
      </c>
    </row>
    <row r="256" spans="1:7">
      <c r="A256" t="s">
        <v>492</v>
      </c>
      <c r="B256">
        <v>1</v>
      </c>
      <c r="C256" t="s">
        <v>697</v>
      </c>
      <c r="D256">
        <v>16</v>
      </c>
      <c r="E256">
        <v>15671</v>
      </c>
      <c r="F256">
        <v>15094</v>
      </c>
      <c r="G256" s="4">
        <f t="shared" si="4"/>
        <v>0.9631803969114926</v>
      </c>
    </row>
    <row r="257" spans="1:7">
      <c r="A257" t="s">
        <v>492</v>
      </c>
      <c r="B257">
        <v>3</v>
      </c>
      <c r="C257" t="s">
        <v>698</v>
      </c>
      <c r="D257">
        <v>1</v>
      </c>
      <c r="E257">
        <v>25233</v>
      </c>
      <c r="F257">
        <v>19268</v>
      </c>
      <c r="G257" s="4">
        <f t="shared" si="4"/>
        <v>0.76360321800816389</v>
      </c>
    </row>
    <row r="258" spans="1:7">
      <c r="A258" t="s">
        <v>492</v>
      </c>
      <c r="B258">
        <v>3</v>
      </c>
      <c r="C258" t="s">
        <v>699</v>
      </c>
      <c r="D258">
        <v>2</v>
      </c>
      <c r="E258">
        <v>25233</v>
      </c>
      <c r="F258">
        <v>22676</v>
      </c>
      <c r="G258" s="4">
        <f t="shared" si="4"/>
        <v>0.89866444735069151</v>
      </c>
    </row>
    <row r="259" spans="1:7">
      <c r="A259" t="s">
        <v>492</v>
      </c>
      <c r="B259">
        <v>3</v>
      </c>
      <c r="C259" t="s">
        <v>700</v>
      </c>
      <c r="D259">
        <v>3</v>
      </c>
      <c r="E259">
        <v>25233</v>
      </c>
      <c r="F259">
        <v>25151</v>
      </c>
      <c r="G259" s="4">
        <f t="shared" ref="G259:G322" si="5">F259/E259</f>
        <v>0.99675028732215754</v>
      </c>
    </row>
    <row r="260" spans="1:7">
      <c r="A260" t="s">
        <v>492</v>
      </c>
      <c r="B260">
        <v>4</v>
      </c>
      <c r="C260" t="s">
        <v>701</v>
      </c>
      <c r="D260">
        <v>1</v>
      </c>
      <c r="E260">
        <v>5344</v>
      </c>
      <c r="F260">
        <v>4649</v>
      </c>
      <c r="G260" s="4">
        <f t="shared" si="5"/>
        <v>0.86994760479041922</v>
      </c>
    </row>
    <row r="261" spans="1:7">
      <c r="A261" t="s">
        <v>492</v>
      </c>
      <c r="B261">
        <v>4</v>
      </c>
      <c r="C261" t="s">
        <v>702</v>
      </c>
      <c r="D261">
        <v>2</v>
      </c>
      <c r="E261">
        <v>5344</v>
      </c>
      <c r="F261">
        <v>4703</v>
      </c>
      <c r="G261" s="4">
        <f t="shared" si="5"/>
        <v>0.88005239520958078</v>
      </c>
    </row>
    <row r="262" spans="1:7">
      <c r="A262" t="s">
        <v>492</v>
      </c>
      <c r="B262">
        <v>4</v>
      </c>
      <c r="C262" t="s">
        <v>703</v>
      </c>
      <c r="D262">
        <v>3</v>
      </c>
      <c r="E262">
        <v>5344</v>
      </c>
      <c r="F262">
        <v>4774</v>
      </c>
      <c r="G262" s="4">
        <f t="shared" si="5"/>
        <v>0.89333832335329344</v>
      </c>
    </row>
    <row r="263" spans="1:7">
      <c r="A263" t="s">
        <v>492</v>
      </c>
      <c r="B263">
        <v>4</v>
      </c>
      <c r="C263" t="s">
        <v>704</v>
      </c>
      <c r="D263">
        <v>4</v>
      </c>
      <c r="E263">
        <v>5344</v>
      </c>
      <c r="F263">
        <v>5049</v>
      </c>
      <c r="G263" s="4">
        <f t="shared" si="5"/>
        <v>0.9447979041916168</v>
      </c>
    </row>
    <row r="264" spans="1:7">
      <c r="A264" t="s">
        <v>492</v>
      </c>
      <c r="B264">
        <v>4</v>
      </c>
      <c r="C264" t="s">
        <v>705</v>
      </c>
      <c r="D264">
        <v>5</v>
      </c>
      <c r="E264">
        <v>5344</v>
      </c>
      <c r="F264">
        <v>5123</v>
      </c>
      <c r="G264" s="4">
        <f t="shared" si="5"/>
        <v>0.95864520958083832</v>
      </c>
    </row>
    <row r="265" spans="1:7">
      <c r="A265" t="s">
        <v>492</v>
      </c>
      <c r="B265">
        <v>4</v>
      </c>
      <c r="C265" t="s">
        <v>706</v>
      </c>
      <c r="D265">
        <v>6</v>
      </c>
      <c r="E265">
        <v>5344</v>
      </c>
      <c r="F265">
        <v>5131</v>
      </c>
      <c r="G265" s="4">
        <f t="shared" si="5"/>
        <v>0.96014221556886226</v>
      </c>
    </row>
    <row r="266" spans="1:7">
      <c r="A266" t="s">
        <v>492</v>
      </c>
      <c r="B266">
        <v>4</v>
      </c>
      <c r="C266" t="s">
        <v>707</v>
      </c>
      <c r="D266">
        <v>7</v>
      </c>
      <c r="E266">
        <v>5344</v>
      </c>
      <c r="F266">
        <v>6107</v>
      </c>
      <c r="G266" s="4">
        <f t="shared" si="5"/>
        <v>1.1427769461077844</v>
      </c>
    </row>
    <row r="267" spans="1:7">
      <c r="A267" t="s">
        <v>492</v>
      </c>
      <c r="B267">
        <v>4</v>
      </c>
      <c r="C267" t="s">
        <v>708</v>
      </c>
      <c r="D267">
        <v>8</v>
      </c>
      <c r="E267">
        <v>5344</v>
      </c>
      <c r="F267">
        <v>6137</v>
      </c>
      <c r="G267" s="4">
        <f t="shared" si="5"/>
        <v>1.1483907185628743</v>
      </c>
    </row>
    <row r="268" spans="1:7">
      <c r="A268" t="s">
        <v>492</v>
      </c>
      <c r="B268">
        <v>4</v>
      </c>
      <c r="C268" t="s">
        <v>709</v>
      </c>
      <c r="D268">
        <v>9</v>
      </c>
      <c r="E268">
        <v>5344</v>
      </c>
      <c r="F268">
        <v>6225</v>
      </c>
      <c r="G268" s="4">
        <f t="shared" si="5"/>
        <v>1.1648577844311376</v>
      </c>
    </row>
    <row r="269" spans="1:7">
      <c r="A269" t="s">
        <v>492</v>
      </c>
      <c r="B269">
        <v>6</v>
      </c>
      <c r="C269" t="s">
        <v>710</v>
      </c>
      <c r="D269">
        <v>1</v>
      </c>
      <c r="E269">
        <v>7449</v>
      </c>
      <c r="F269">
        <v>4594</v>
      </c>
      <c r="G269" s="4">
        <f t="shared" si="5"/>
        <v>0.61672707746006172</v>
      </c>
    </row>
    <row r="270" spans="1:7">
      <c r="A270" t="s">
        <v>492</v>
      </c>
      <c r="B270">
        <v>6</v>
      </c>
      <c r="C270" t="s">
        <v>711</v>
      </c>
      <c r="D270">
        <v>2</v>
      </c>
      <c r="E270">
        <v>7449</v>
      </c>
      <c r="F270">
        <v>4609</v>
      </c>
      <c r="G270" s="4">
        <f t="shared" si="5"/>
        <v>0.61874077057323129</v>
      </c>
    </row>
    <row r="271" spans="1:7">
      <c r="A271" t="s">
        <v>492</v>
      </c>
      <c r="B271">
        <v>7</v>
      </c>
      <c r="C271" t="s">
        <v>473</v>
      </c>
      <c r="D271">
        <v>1</v>
      </c>
      <c r="E271">
        <v>1400</v>
      </c>
      <c r="F271">
        <v>106</v>
      </c>
      <c r="G271" s="4">
        <f t="shared" si="5"/>
        <v>7.571428571428572E-2</v>
      </c>
    </row>
    <row r="272" spans="1:7">
      <c r="A272" t="s">
        <v>492</v>
      </c>
      <c r="B272">
        <v>7</v>
      </c>
      <c r="C272" t="s">
        <v>448</v>
      </c>
      <c r="D272">
        <v>2</v>
      </c>
      <c r="E272">
        <v>1400</v>
      </c>
      <c r="F272">
        <v>195</v>
      </c>
      <c r="G272" s="4">
        <f t="shared" si="5"/>
        <v>0.13928571428571429</v>
      </c>
    </row>
    <row r="273" spans="1:7">
      <c r="A273" t="s">
        <v>492</v>
      </c>
      <c r="B273">
        <v>7</v>
      </c>
      <c r="C273" t="s">
        <v>485</v>
      </c>
      <c r="D273">
        <v>3</v>
      </c>
      <c r="E273">
        <v>1400</v>
      </c>
      <c r="F273">
        <v>286</v>
      </c>
      <c r="G273" s="4">
        <f t="shared" si="5"/>
        <v>0.20428571428571429</v>
      </c>
    </row>
    <row r="274" spans="1:7">
      <c r="A274" t="s">
        <v>492</v>
      </c>
      <c r="B274">
        <v>7</v>
      </c>
      <c r="C274" t="s">
        <v>474</v>
      </c>
      <c r="D274">
        <v>4</v>
      </c>
      <c r="E274">
        <v>1400</v>
      </c>
      <c r="F274">
        <v>898</v>
      </c>
      <c r="G274" s="4">
        <f t="shared" si="5"/>
        <v>0.64142857142857146</v>
      </c>
    </row>
    <row r="275" spans="1:7">
      <c r="A275" t="s">
        <v>492</v>
      </c>
      <c r="B275">
        <v>7</v>
      </c>
      <c r="C275" t="s">
        <v>712</v>
      </c>
      <c r="D275">
        <v>5</v>
      </c>
      <c r="E275">
        <v>1400</v>
      </c>
      <c r="F275">
        <v>1210</v>
      </c>
      <c r="G275" s="4">
        <f t="shared" si="5"/>
        <v>0.86428571428571432</v>
      </c>
    </row>
    <row r="276" spans="1:7">
      <c r="A276" t="s">
        <v>492</v>
      </c>
      <c r="B276">
        <v>7</v>
      </c>
      <c r="C276" t="s">
        <v>713</v>
      </c>
      <c r="D276">
        <v>6</v>
      </c>
      <c r="E276">
        <v>1400</v>
      </c>
      <c r="F276">
        <v>1380</v>
      </c>
      <c r="G276" s="4">
        <f t="shared" si="5"/>
        <v>0.98571428571428577</v>
      </c>
    </row>
    <row r="277" spans="1:7">
      <c r="A277" t="s">
        <v>492</v>
      </c>
      <c r="B277">
        <v>7</v>
      </c>
      <c r="C277" t="s">
        <v>714</v>
      </c>
      <c r="D277">
        <v>7</v>
      </c>
      <c r="E277">
        <v>1400</v>
      </c>
      <c r="F277">
        <v>1845</v>
      </c>
      <c r="G277" s="4">
        <f t="shared" si="5"/>
        <v>1.3178571428571428</v>
      </c>
    </row>
    <row r="278" spans="1:7">
      <c r="A278" t="s">
        <v>493</v>
      </c>
      <c r="B278">
        <v>3</v>
      </c>
      <c r="C278" t="s">
        <v>213</v>
      </c>
      <c r="D278">
        <v>1</v>
      </c>
      <c r="E278">
        <v>7017</v>
      </c>
      <c r="F278">
        <v>474</v>
      </c>
      <c r="G278" s="4">
        <f t="shared" si="5"/>
        <v>6.75502351432236E-2</v>
      </c>
    </row>
    <row r="279" spans="1:7">
      <c r="A279" t="s">
        <v>493</v>
      </c>
      <c r="B279">
        <v>3</v>
      </c>
      <c r="C279" t="s">
        <v>715</v>
      </c>
      <c r="D279">
        <v>2</v>
      </c>
      <c r="E279">
        <v>7017</v>
      </c>
      <c r="F279">
        <v>4064</v>
      </c>
      <c r="G279" s="4">
        <f t="shared" si="5"/>
        <v>0.5791648852786091</v>
      </c>
    </row>
    <row r="280" spans="1:7">
      <c r="A280" t="s">
        <v>493</v>
      </c>
      <c r="B280">
        <v>3</v>
      </c>
      <c r="C280" t="s">
        <v>716</v>
      </c>
      <c r="D280">
        <v>3</v>
      </c>
      <c r="E280">
        <v>7017</v>
      </c>
      <c r="F280">
        <v>4098</v>
      </c>
      <c r="G280" s="4">
        <f t="shared" si="5"/>
        <v>0.58401026079521168</v>
      </c>
    </row>
    <row r="281" spans="1:7">
      <c r="A281" t="s">
        <v>493</v>
      </c>
      <c r="B281">
        <v>7</v>
      </c>
      <c r="C281" t="s">
        <v>506</v>
      </c>
      <c r="D281">
        <v>1</v>
      </c>
      <c r="E281">
        <v>6577</v>
      </c>
      <c r="F281">
        <v>60</v>
      </c>
      <c r="G281" s="4">
        <f t="shared" si="5"/>
        <v>9.1227003192945119E-3</v>
      </c>
    </row>
    <row r="282" spans="1:7">
      <c r="A282" t="s">
        <v>493</v>
      </c>
      <c r="B282">
        <v>7</v>
      </c>
      <c r="C282" t="s">
        <v>507</v>
      </c>
      <c r="D282">
        <v>2</v>
      </c>
      <c r="E282">
        <v>6577</v>
      </c>
      <c r="F282">
        <v>146</v>
      </c>
      <c r="G282" s="4">
        <f t="shared" si="5"/>
        <v>2.2198570776949977E-2</v>
      </c>
    </row>
    <row r="283" spans="1:7">
      <c r="A283" t="s">
        <v>493</v>
      </c>
      <c r="B283">
        <v>7</v>
      </c>
      <c r="C283" t="s">
        <v>717</v>
      </c>
      <c r="D283">
        <v>3</v>
      </c>
      <c r="E283">
        <v>6577</v>
      </c>
      <c r="F283">
        <v>405</v>
      </c>
      <c r="G283" s="4">
        <f t="shared" si="5"/>
        <v>6.1578227155237954E-2</v>
      </c>
    </row>
    <row r="284" spans="1:7">
      <c r="A284" t="s">
        <v>493</v>
      </c>
      <c r="B284">
        <v>7</v>
      </c>
      <c r="C284" t="s">
        <v>718</v>
      </c>
      <c r="D284">
        <v>4</v>
      </c>
      <c r="E284">
        <v>6577</v>
      </c>
      <c r="F284">
        <v>605</v>
      </c>
      <c r="G284" s="4">
        <f t="shared" si="5"/>
        <v>9.1987228219552991E-2</v>
      </c>
    </row>
    <row r="285" spans="1:7">
      <c r="A285" t="s">
        <v>493</v>
      </c>
      <c r="B285">
        <v>7</v>
      </c>
      <c r="C285" t="s">
        <v>719</v>
      </c>
      <c r="D285">
        <v>5</v>
      </c>
      <c r="E285">
        <v>6577</v>
      </c>
      <c r="F285">
        <v>614</v>
      </c>
      <c r="G285" s="4">
        <f t="shared" si="5"/>
        <v>9.3355633267447169E-2</v>
      </c>
    </row>
    <row r="286" spans="1:7">
      <c r="A286" t="s">
        <v>493</v>
      </c>
      <c r="B286">
        <v>7</v>
      </c>
      <c r="C286" t="s">
        <v>720</v>
      </c>
      <c r="D286">
        <v>6</v>
      </c>
      <c r="E286">
        <v>6577</v>
      </c>
      <c r="F286">
        <v>6463</v>
      </c>
      <c r="G286" s="4">
        <f t="shared" si="5"/>
        <v>0.98266686939334047</v>
      </c>
    </row>
    <row r="287" spans="1:7">
      <c r="A287" t="s">
        <v>493</v>
      </c>
      <c r="B287">
        <v>8</v>
      </c>
      <c r="C287" t="s">
        <v>213</v>
      </c>
      <c r="D287">
        <v>1</v>
      </c>
      <c r="E287">
        <v>4231</v>
      </c>
      <c r="F287">
        <v>198</v>
      </c>
      <c r="G287" s="4">
        <f t="shared" si="5"/>
        <v>4.6797447411959348E-2</v>
      </c>
    </row>
    <row r="288" spans="1:7">
      <c r="A288" t="s">
        <v>493</v>
      </c>
      <c r="B288">
        <v>8</v>
      </c>
      <c r="C288" t="s">
        <v>504</v>
      </c>
      <c r="D288">
        <v>2</v>
      </c>
      <c r="E288">
        <v>4231</v>
      </c>
      <c r="F288">
        <v>511</v>
      </c>
      <c r="G288" s="4">
        <f t="shared" si="5"/>
        <v>0.1207752304419759</v>
      </c>
    </row>
    <row r="289" spans="1:7">
      <c r="A289" t="s">
        <v>493</v>
      </c>
      <c r="B289">
        <v>8</v>
      </c>
      <c r="C289" t="s">
        <v>505</v>
      </c>
      <c r="D289">
        <v>3</v>
      </c>
      <c r="E289">
        <v>4231</v>
      </c>
      <c r="F289">
        <v>614</v>
      </c>
      <c r="G289" s="4">
        <f t="shared" si="5"/>
        <v>0.14511935712597496</v>
      </c>
    </row>
    <row r="290" spans="1:7">
      <c r="A290" t="s">
        <v>493</v>
      </c>
      <c r="B290">
        <v>8</v>
      </c>
      <c r="C290" t="s">
        <v>721</v>
      </c>
      <c r="D290">
        <v>4</v>
      </c>
      <c r="E290">
        <v>4231</v>
      </c>
      <c r="F290">
        <v>708</v>
      </c>
      <c r="G290" s="4">
        <f t="shared" si="5"/>
        <v>0.16733632710943039</v>
      </c>
    </row>
    <row r="291" spans="1:7">
      <c r="A291" t="s">
        <v>493</v>
      </c>
      <c r="B291">
        <v>8</v>
      </c>
      <c r="C291" t="s">
        <v>722</v>
      </c>
      <c r="D291">
        <v>5</v>
      </c>
      <c r="E291">
        <v>4231</v>
      </c>
      <c r="F291">
        <v>756</v>
      </c>
      <c r="G291" s="4">
        <f t="shared" si="5"/>
        <v>0.17868116284566296</v>
      </c>
    </row>
    <row r="292" spans="1:7">
      <c r="A292" t="s">
        <v>493</v>
      </c>
      <c r="B292">
        <v>8</v>
      </c>
      <c r="C292" t="s">
        <v>723</v>
      </c>
      <c r="D292">
        <v>6</v>
      </c>
      <c r="E292">
        <v>4231</v>
      </c>
      <c r="F292">
        <v>3113</v>
      </c>
      <c r="G292" s="4">
        <f t="shared" si="5"/>
        <v>0.73575986764358303</v>
      </c>
    </row>
    <row r="293" spans="1:7">
      <c r="A293" t="s">
        <v>493</v>
      </c>
      <c r="B293">
        <v>8</v>
      </c>
      <c r="C293" t="s">
        <v>724</v>
      </c>
      <c r="D293">
        <v>7</v>
      </c>
      <c r="E293">
        <v>4231</v>
      </c>
      <c r="F293">
        <v>3268</v>
      </c>
      <c r="G293" s="4">
        <f t="shared" si="5"/>
        <v>0.77239423304183408</v>
      </c>
    </row>
    <row r="294" spans="1:7">
      <c r="A294" t="s">
        <v>493</v>
      </c>
      <c r="B294">
        <v>8</v>
      </c>
      <c r="C294" t="s">
        <v>725</v>
      </c>
      <c r="D294">
        <v>8</v>
      </c>
      <c r="E294">
        <v>4231</v>
      </c>
      <c r="F294">
        <v>3281</v>
      </c>
      <c r="G294" s="4">
        <f t="shared" si="5"/>
        <v>0.77546679272039709</v>
      </c>
    </row>
    <row r="295" spans="1:7">
      <c r="A295" t="s">
        <v>493</v>
      </c>
      <c r="B295">
        <v>8</v>
      </c>
      <c r="C295" t="s">
        <v>726</v>
      </c>
      <c r="D295">
        <v>9</v>
      </c>
      <c r="E295">
        <v>4231</v>
      </c>
      <c r="F295">
        <v>3471</v>
      </c>
      <c r="G295" s="4">
        <f t="shared" si="5"/>
        <v>0.8203734341763177</v>
      </c>
    </row>
    <row r="296" spans="1:7">
      <c r="A296" t="s">
        <v>493</v>
      </c>
      <c r="B296">
        <v>8</v>
      </c>
      <c r="C296" t="s">
        <v>727</v>
      </c>
      <c r="D296">
        <v>10</v>
      </c>
      <c r="E296">
        <v>4231</v>
      </c>
      <c r="F296">
        <v>3649</v>
      </c>
      <c r="G296" s="4">
        <f t="shared" si="5"/>
        <v>0.86244386669818007</v>
      </c>
    </row>
    <row r="297" spans="1:7">
      <c r="A297" t="s">
        <v>493</v>
      </c>
      <c r="B297">
        <v>8</v>
      </c>
      <c r="C297" t="s">
        <v>728</v>
      </c>
      <c r="D297">
        <v>11</v>
      </c>
      <c r="E297">
        <v>4231</v>
      </c>
      <c r="F297">
        <v>3908</v>
      </c>
      <c r="G297" s="4">
        <f t="shared" si="5"/>
        <v>0.92365870952493501</v>
      </c>
    </row>
    <row r="298" spans="1:7">
      <c r="A298" t="s">
        <v>493</v>
      </c>
      <c r="B298">
        <v>9</v>
      </c>
      <c r="C298" t="s">
        <v>213</v>
      </c>
      <c r="D298">
        <v>1</v>
      </c>
      <c r="E298">
        <v>2845</v>
      </c>
      <c r="F298">
        <v>187</v>
      </c>
      <c r="G298" s="4">
        <f t="shared" si="5"/>
        <v>6.5729349736379616E-2</v>
      </c>
    </row>
    <row r="299" spans="1:7">
      <c r="A299" t="s">
        <v>493</v>
      </c>
      <c r="B299">
        <v>9</v>
      </c>
      <c r="C299" t="s">
        <v>211</v>
      </c>
      <c r="D299">
        <v>2</v>
      </c>
      <c r="E299">
        <v>2845</v>
      </c>
      <c r="F299">
        <v>319</v>
      </c>
      <c r="G299" s="4">
        <f t="shared" si="5"/>
        <v>0.11212653778558876</v>
      </c>
    </row>
    <row r="300" spans="1:7">
      <c r="A300" t="s">
        <v>493</v>
      </c>
      <c r="B300">
        <v>9</v>
      </c>
      <c r="C300" t="s">
        <v>729</v>
      </c>
      <c r="D300">
        <v>3</v>
      </c>
      <c r="E300">
        <v>2845</v>
      </c>
      <c r="F300">
        <v>703</v>
      </c>
      <c r="G300" s="4">
        <f t="shared" si="5"/>
        <v>0.24710017574692442</v>
      </c>
    </row>
    <row r="301" spans="1:7">
      <c r="A301" t="s">
        <v>493</v>
      </c>
      <c r="B301">
        <v>9</v>
      </c>
      <c r="C301" t="s">
        <v>730</v>
      </c>
      <c r="D301">
        <v>4</v>
      </c>
      <c r="E301">
        <v>2845</v>
      </c>
      <c r="F301">
        <v>756</v>
      </c>
      <c r="G301" s="4">
        <f t="shared" si="5"/>
        <v>0.26572934973637963</v>
      </c>
    </row>
    <row r="302" spans="1:7">
      <c r="A302" t="s">
        <v>493</v>
      </c>
      <c r="B302">
        <v>9</v>
      </c>
      <c r="C302" t="s">
        <v>731</v>
      </c>
      <c r="D302">
        <v>5</v>
      </c>
      <c r="E302">
        <v>2845</v>
      </c>
      <c r="F302">
        <v>2761</v>
      </c>
      <c r="G302" s="4">
        <f t="shared" si="5"/>
        <v>0.97047451669595786</v>
      </c>
    </row>
    <row r="303" spans="1:7">
      <c r="A303" t="s">
        <v>493</v>
      </c>
      <c r="B303">
        <v>10</v>
      </c>
      <c r="C303" t="s">
        <v>213</v>
      </c>
      <c r="D303">
        <v>1</v>
      </c>
      <c r="E303">
        <v>1180</v>
      </c>
      <c r="F303">
        <v>96</v>
      </c>
      <c r="G303" s="4">
        <f t="shared" si="5"/>
        <v>8.1355932203389825E-2</v>
      </c>
    </row>
    <row r="304" spans="1:7">
      <c r="A304" t="s">
        <v>493</v>
      </c>
      <c r="B304">
        <v>10</v>
      </c>
      <c r="C304" t="s">
        <v>504</v>
      </c>
      <c r="D304">
        <v>2</v>
      </c>
      <c r="E304">
        <v>1180</v>
      </c>
      <c r="F304">
        <v>394</v>
      </c>
      <c r="G304" s="4">
        <f t="shared" si="5"/>
        <v>0.33389830508474577</v>
      </c>
    </row>
    <row r="305" spans="1:7">
      <c r="A305" t="s">
        <v>493</v>
      </c>
      <c r="B305">
        <v>10</v>
      </c>
      <c r="C305" t="s">
        <v>730</v>
      </c>
      <c r="D305">
        <v>3</v>
      </c>
      <c r="E305">
        <v>1180</v>
      </c>
      <c r="F305">
        <v>569</v>
      </c>
      <c r="G305" s="4">
        <f t="shared" si="5"/>
        <v>0.48220338983050848</v>
      </c>
    </row>
    <row r="306" spans="1:7">
      <c r="A306" t="s">
        <v>493</v>
      </c>
      <c r="B306">
        <v>10</v>
      </c>
      <c r="C306" t="s">
        <v>732</v>
      </c>
      <c r="D306">
        <v>4</v>
      </c>
      <c r="E306">
        <v>1180</v>
      </c>
      <c r="F306">
        <v>668</v>
      </c>
      <c r="G306" s="4">
        <f t="shared" si="5"/>
        <v>0.56610169491525419</v>
      </c>
    </row>
    <row r="307" spans="1:7">
      <c r="A307" t="s">
        <v>493</v>
      </c>
      <c r="B307">
        <v>10</v>
      </c>
      <c r="C307" t="s">
        <v>733</v>
      </c>
      <c r="D307">
        <v>5</v>
      </c>
      <c r="E307">
        <v>1180</v>
      </c>
      <c r="F307">
        <v>769</v>
      </c>
      <c r="G307" s="4">
        <f t="shared" si="5"/>
        <v>0.65169491525423728</v>
      </c>
    </row>
    <row r="308" spans="1:7">
      <c r="A308" t="s">
        <v>493</v>
      </c>
      <c r="B308">
        <v>10</v>
      </c>
      <c r="C308" t="s">
        <v>734</v>
      </c>
      <c r="D308">
        <v>6</v>
      </c>
      <c r="E308">
        <v>1180</v>
      </c>
      <c r="F308">
        <v>847</v>
      </c>
      <c r="G308" s="4">
        <f t="shared" si="5"/>
        <v>0.71779661016949148</v>
      </c>
    </row>
    <row r="309" spans="1:7">
      <c r="A309" t="s">
        <v>493</v>
      </c>
      <c r="B309">
        <v>10</v>
      </c>
      <c r="C309" t="s">
        <v>735</v>
      </c>
      <c r="D309">
        <v>7</v>
      </c>
      <c r="E309">
        <v>1180</v>
      </c>
      <c r="F309">
        <v>848</v>
      </c>
      <c r="G309" s="4">
        <f t="shared" si="5"/>
        <v>0.71864406779661016</v>
      </c>
    </row>
    <row r="310" spans="1:7">
      <c r="A310" t="s">
        <v>493</v>
      </c>
      <c r="B310">
        <v>10</v>
      </c>
      <c r="C310" t="s">
        <v>736</v>
      </c>
      <c r="D310">
        <v>8</v>
      </c>
      <c r="E310">
        <v>1180</v>
      </c>
      <c r="F310">
        <v>870</v>
      </c>
      <c r="G310" s="4">
        <f t="shared" si="5"/>
        <v>0.73728813559322037</v>
      </c>
    </row>
    <row r="311" spans="1:7">
      <c r="A311" t="s">
        <v>493</v>
      </c>
      <c r="B311">
        <v>10</v>
      </c>
      <c r="C311" t="s">
        <v>737</v>
      </c>
      <c r="D311">
        <v>9</v>
      </c>
      <c r="E311">
        <v>1180</v>
      </c>
      <c r="F311">
        <v>915</v>
      </c>
      <c r="G311" s="4">
        <f t="shared" si="5"/>
        <v>0.77542372881355937</v>
      </c>
    </row>
    <row r="312" spans="1:7">
      <c r="A312" t="s">
        <v>493</v>
      </c>
      <c r="B312">
        <v>10</v>
      </c>
      <c r="C312" t="s">
        <v>738</v>
      </c>
      <c r="D312">
        <v>10</v>
      </c>
      <c r="E312">
        <v>1180</v>
      </c>
      <c r="F312">
        <v>938</v>
      </c>
      <c r="G312" s="4">
        <f t="shared" si="5"/>
        <v>0.79491525423728815</v>
      </c>
    </row>
    <row r="313" spans="1:7">
      <c r="A313" t="s">
        <v>493</v>
      </c>
      <c r="B313">
        <v>10</v>
      </c>
      <c r="C313" t="s">
        <v>739</v>
      </c>
      <c r="D313">
        <v>11</v>
      </c>
      <c r="E313">
        <v>1180</v>
      </c>
      <c r="F313">
        <v>941</v>
      </c>
      <c r="G313" s="4">
        <f t="shared" si="5"/>
        <v>0.7974576271186441</v>
      </c>
    </row>
    <row r="314" spans="1:7">
      <c r="A314" t="s">
        <v>493</v>
      </c>
      <c r="B314">
        <v>10</v>
      </c>
      <c r="C314" t="s">
        <v>740</v>
      </c>
      <c r="D314">
        <v>12</v>
      </c>
      <c r="E314">
        <v>1180</v>
      </c>
      <c r="F314">
        <v>949</v>
      </c>
      <c r="G314" s="4">
        <f t="shared" si="5"/>
        <v>0.80423728813559325</v>
      </c>
    </row>
    <row r="315" spans="1:7">
      <c r="A315" t="s">
        <v>493</v>
      </c>
      <c r="B315">
        <v>10</v>
      </c>
      <c r="C315" t="s">
        <v>741</v>
      </c>
      <c r="D315">
        <v>13</v>
      </c>
      <c r="E315">
        <v>1180</v>
      </c>
      <c r="F315">
        <v>951</v>
      </c>
      <c r="G315" s="4">
        <f t="shared" si="5"/>
        <v>0.80593220338983051</v>
      </c>
    </row>
    <row r="316" spans="1:7">
      <c r="A316" t="s">
        <v>493</v>
      </c>
      <c r="B316">
        <v>10</v>
      </c>
      <c r="C316" t="s">
        <v>742</v>
      </c>
      <c r="D316">
        <v>14</v>
      </c>
      <c r="E316">
        <v>1180</v>
      </c>
      <c r="F316">
        <v>952</v>
      </c>
      <c r="G316" s="4">
        <f t="shared" si="5"/>
        <v>0.8067796610169492</v>
      </c>
    </row>
    <row r="317" spans="1:7">
      <c r="A317" t="s">
        <v>493</v>
      </c>
      <c r="B317">
        <v>10</v>
      </c>
      <c r="C317" t="s">
        <v>743</v>
      </c>
      <c r="D317">
        <v>15</v>
      </c>
      <c r="E317">
        <v>1180</v>
      </c>
      <c r="F317">
        <v>1021</v>
      </c>
      <c r="G317" s="4">
        <f t="shared" si="5"/>
        <v>0.86525423728813555</v>
      </c>
    </row>
    <row r="318" spans="1:7">
      <c r="A318" t="s">
        <v>493</v>
      </c>
      <c r="B318">
        <v>10</v>
      </c>
      <c r="C318" t="s">
        <v>744</v>
      </c>
      <c r="D318">
        <v>16</v>
      </c>
      <c r="E318">
        <v>1180</v>
      </c>
      <c r="F318">
        <v>1023</v>
      </c>
      <c r="G318" s="4">
        <f t="shared" si="5"/>
        <v>0.86694915254237293</v>
      </c>
    </row>
    <row r="319" spans="1:7">
      <c r="A319" t="s">
        <v>493</v>
      </c>
      <c r="B319">
        <v>10</v>
      </c>
      <c r="C319" t="s">
        <v>745</v>
      </c>
      <c r="D319">
        <v>17</v>
      </c>
      <c r="E319">
        <v>1180</v>
      </c>
      <c r="F319">
        <v>1033</v>
      </c>
      <c r="G319" s="4">
        <f t="shared" si="5"/>
        <v>0.87542372881355934</v>
      </c>
    </row>
    <row r="320" spans="1:7">
      <c r="A320" t="s">
        <v>493</v>
      </c>
      <c r="B320">
        <v>10</v>
      </c>
      <c r="C320" t="s">
        <v>746</v>
      </c>
      <c r="D320">
        <v>18</v>
      </c>
      <c r="E320">
        <v>1180</v>
      </c>
      <c r="F320">
        <v>1034</v>
      </c>
      <c r="G320" s="4">
        <f t="shared" si="5"/>
        <v>0.87627118644067792</v>
      </c>
    </row>
    <row r="321" spans="1:7">
      <c r="A321" t="s">
        <v>493</v>
      </c>
      <c r="B321">
        <v>10</v>
      </c>
      <c r="C321" t="s">
        <v>747</v>
      </c>
      <c r="D321">
        <v>19</v>
      </c>
      <c r="E321">
        <v>1180</v>
      </c>
      <c r="F321">
        <v>1035</v>
      </c>
      <c r="G321" s="4">
        <f t="shared" si="5"/>
        <v>0.8771186440677966</v>
      </c>
    </row>
    <row r="322" spans="1:7">
      <c r="A322" t="s">
        <v>493</v>
      </c>
      <c r="B322">
        <v>10</v>
      </c>
      <c r="C322" t="s">
        <v>748</v>
      </c>
      <c r="D322">
        <v>20</v>
      </c>
      <c r="E322">
        <v>1180</v>
      </c>
      <c r="F322">
        <v>1037</v>
      </c>
      <c r="G322" s="4">
        <f t="shared" si="5"/>
        <v>0.87881355932203387</v>
      </c>
    </row>
    <row r="323" spans="1:7">
      <c r="A323" t="s">
        <v>493</v>
      </c>
      <c r="B323">
        <v>10</v>
      </c>
      <c r="C323" t="s">
        <v>749</v>
      </c>
      <c r="D323">
        <v>21</v>
      </c>
      <c r="E323">
        <v>1180</v>
      </c>
      <c r="F323">
        <v>1038</v>
      </c>
      <c r="G323" s="4">
        <f t="shared" ref="G323:G386" si="6">F323/E323</f>
        <v>0.87966101694915255</v>
      </c>
    </row>
    <row r="324" spans="1:7">
      <c r="A324" t="s">
        <v>493</v>
      </c>
      <c r="B324">
        <v>10</v>
      </c>
      <c r="C324" t="s">
        <v>750</v>
      </c>
      <c r="D324">
        <v>22</v>
      </c>
      <c r="E324">
        <v>1180</v>
      </c>
      <c r="F324">
        <v>1042</v>
      </c>
      <c r="G324" s="4">
        <f t="shared" si="6"/>
        <v>0.88305084745762707</v>
      </c>
    </row>
    <row r="325" spans="1:7">
      <c r="A325" t="s">
        <v>493</v>
      </c>
      <c r="B325">
        <v>10</v>
      </c>
      <c r="C325" t="s">
        <v>751</v>
      </c>
      <c r="D325">
        <v>23</v>
      </c>
      <c r="E325">
        <v>1180</v>
      </c>
      <c r="F325">
        <v>1045</v>
      </c>
      <c r="G325" s="4">
        <f t="shared" si="6"/>
        <v>0.88559322033898302</v>
      </c>
    </row>
    <row r="326" spans="1:7">
      <c r="A326" t="s">
        <v>493</v>
      </c>
      <c r="B326">
        <v>10</v>
      </c>
      <c r="C326" t="s">
        <v>752</v>
      </c>
      <c r="D326">
        <v>24</v>
      </c>
      <c r="E326">
        <v>1180</v>
      </c>
      <c r="F326">
        <v>1104</v>
      </c>
      <c r="G326" s="4">
        <f t="shared" si="6"/>
        <v>0.93559322033898307</v>
      </c>
    </row>
    <row r="327" spans="1:7">
      <c r="A327" t="s">
        <v>493</v>
      </c>
      <c r="B327">
        <v>10</v>
      </c>
      <c r="C327" t="s">
        <v>753</v>
      </c>
      <c r="D327">
        <v>25</v>
      </c>
      <c r="E327">
        <v>1180</v>
      </c>
      <c r="F327">
        <v>1108</v>
      </c>
      <c r="G327" s="4">
        <f t="shared" si="6"/>
        <v>0.93898305084745759</v>
      </c>
    </row>
    <row r="328" spans="1:7">
      <c r="A328" t="s">
        <v>493</v>
      </c>
      <c r="B328">
        <v>10</v>
      </c>
      <c r="C328" t="s">
        <v>754</v>
      </c>
      <c r="D328">
        <v>26</v>
      </c>
      <c r="E328">
        <v>1180</v>
      </c>
      <c r="F328">
        <v>1115</v>
      </c>
      <c r="G328" s="4">
        <f t="shared" si="6"/>
        <v>0.94491525423728817</v>
      </c>
    </row>
    <row r="329" spans="1:7">
      <c r="A329" t="s">
        <v>493</v>
      </c>
      <c r="B329">
        <v>10</v>
      </c>
      <c r="C329" t="s">
        <v>755</v>
      </c>
      <c r="D329">
        <v>27</v>
      </c>
      <c r="E329">
        <v>1180</v>
      </c>
      <c r="F329">
        <v>1117</v>
      </c>
      <c r="G329" s="4">
        <f t="shared" si="6"/>
        <v>0.94661016949152543</v>
      </c>
    </row>
    <row r="330" spans="1:7">
      <c r="A330" t="s">
        <v>493</v>
      </c>
      <c r="B330">
        <v>10</v>
      </c>
      <c r="C330" t="s">
        <v>756</v>
      </c>
      <c r="D330">
        <v>28</v>
      </c>
      <c r="E330">
        <v>1180</v>
      </c>
      <c r="F330">
        <v>1125</v>
      </c>
      <c r="G330" s="4">
        <f t="shared" si="6"/>
        <v>0.95338983050847459</v>
      </c>
    </row>
    <row r="331" spans="1:7">
      <c r="A331" t="s">
        <v>493</v>
      </c>
      <c r="B331">
        <v>10</v>
      </c>
      <c r="C331" t="s">
        <v>757</v>
      </c>
      <c r="D331">
        <v>29</v>
      </c>
      <c r="E331">
        <v>1180</v>
      </c>
      <c r="F331">
        <v>1136</v>
      </c>
      <c r="G331" s="4">
        <f t="shared" si="6"/>
        <v>0.96271186440677969</v>
      </c>
    </row>
    <row r="332" spans="1:7">
      <c r="A332" t="s">
        <v>493</v>
      </c>
      <c r="B332">
        <v>10</v>
      </c>
      <c r="C332" t="s">
        <v>758</v>
      </c>
      <c r="D332">
        <v>30</v>
      </c>
      <c r="E332">
        <v>1180</v>
      </c>
      <c r="F332">
        <v>1147</v>
      </c>
      <c r="G332" s="4">
        <f t="shared" si="6"/>
        <v>0.9720338983050848</v>
      </c>
    </row>
    <row r="333" spans="1:7">
      <c r="A333" t="s">
        <v>493</v>
      </c>
      <c r="B333">
        <v>10</v>
      </c>
      <c r="C333" t="s">
        <v>759</v>
      </c>
      <c r="D333">
        <v>31</v>
      </c>
      <c r="E333">
        <v>1180</v>
      </c>
      <c r="F333">
        <v>1189</v>
      </c>
      <c r="G333" s="4">
        <f t="shared" si="6"/>
        <v>1.0076271186440677</v>
      </c>
    </row>
    <row r="334" spans="1:7">
      <c r="A334" t="s">
        <v>493</v>
      </c>
      <c r="B334">
        <v>10</v>
      </c>
      <c r="C334" t="s">
        <v>760</v>
      </c>
      <c r="D334">
        <v>32</v>
      </c>
      <c r="E334">
        <v>1180</v>
      </c>
      <c r="F334">
        <v>1212</v>
      </c>
      <c r="G334" s="4">
        <f t="shared" si="6"/>
        <v>1.0271186440677966</v>
      </c>
    </row>
    <row r="335" spans="1:7">
      <c r="A335" t="s">
        <v>494</v>
      </c>
      <c r="B335">
        <v>3</v>
      </c>
      <c r="C335" t="s">
        <v>614</v>
      </c>
      <c r="D335">
        <v>1</v>
      </c>
      <c r="E335">
        <v>43709</v>
      </c>
      <c r="F335">
        <v>42003</v>
      </c>
      <c r="G335" s="4">
        <f t="shared" si="6"/>
        <v>0.96096913679104989</v>
      </c>
    </row>
    <row r="336" spans="1:7">
      <c r="A336" t="s">
        <v>494</v>
      </c>
      <c r="B336">
        <v>3</v>
      </c>
      <c r="C336" t="s">
        <v>506</v>
      </c>
      <c r="D336">
        <v>2</v>
      </c>
      <c r="E336">
        <v>43709</v>
      </c>
      <c r="F336">
        <v>42114</v>
      </c>
      <c r="G336" s="4">
        <f t="shared" si="6"/>
        <v>0.96350865954380105</v>
      </c>
    </row>
    <row r="337" spans="1:7">
      <c r="A337" t="s">
        <v>495</v>
      </c>
      <c r="B337">
        <v>2</v>
      </c>
      <c r="C337" t="s">
        <v>761</v>
      </c>
      <c r="D337">
        <v>1</v>
      </c>
      <c r="E337">
        <v>3822</v>
      </c>
      <c r="F337">
        <v>734</v>
      </c>
      <c r="G337" s="4">
        <f t="shared" si="6"/>
        <v>0.19204604918890633</v>
      </c>
    </row>
    <row r="338" spans="1:7">
      <c r="A338" t="s">
        <v>495</v>
      </c>
      <c r="B338">
        <v>2</v>
      </c>
      <c r="C338" t="s">
        <v>481</v>
      </c>
      <c r="D338">
        <v>2</v>
      </c>
      <c r="E338">
        <v>3822</v>
      </c>
      <c r="F338">
        <v>759</v>
      </c>
      <c r="G338" s="4">
        <f t="shared" si="6"/>
        <v>0.19858712715855573</v>
      </c>
    </row>
    <row r="339" spans="1:7">
      <c r="A339" t="s">
        <v>495</v>
      </c>
      <c r="B339">
        <v>2</v>
      </c>
      <c r="C339" t="s">
        <v>762</v>
      </c>
      <c r="D339">
        <v>3</v>
      </c>
      <c r="E339">
        <v>3822</v>
      </c>
      <c r="F339">
        <v>793</v>
      </c>
      <c r="G339" s="4">
        <f t="shared" si="6"/>
        <v>0.20748299319727892</v>
      </c>
    </row>
    <row r="340" spans="1:7">
      <c r="A340" t="s">
        <v>495</v>
      </c>
      <c r="B340">
        <v>2</v>
      </c>
      <c r="C340" t="s">
        <v>763</v>
      </c>
      <c r="D340">
        <v>4</v>
      </c>
      <c r="E340">
        <v>3822</v>
      </c>
      <c r="F340">
        <v>914</v>
      </c>
      <c r="G340" s="4">
        <f t="shared" si="6"/>
        <v>0.239141810570382</v>
      </c>
    </row>
    <row r="341" spans="1:7">
      <c r="A341" t="s">
        <v>495</v>
      </c>
      <c r="B341">
        <v>2</v>
      </c>
      <c r="C341" t="s">
        <v>764</v>
      </c>
      <c r="D341">
        <v>5</v>
      </c>
      <c r="E341">
        <v>3822</v>
      </c>
      <c r="F341">
        <v>1089</v>
      </c>
      <c r="G341" s="4">
        <f t="shared" si="6"/>
        <v>0.28492935635792777</v>
      </c>
    </row>
    <row r="342" spans="1:7">
      <c r="A342" t="s">
        <v>495</v>
      </c>
      <c r="B342">
        <v>2</v>
      </c>
      <c r="C342" t="s">
        <v>765</v>
      </c>
      <c r="D342">
        <v>6</v>
      </c>
      <c r="E342">
        <v>3822</v>
      </c>
      <c r="F342">
        <v>1118</v>
      </c>
      <c r="G342" s="4">
        <f t="shared" si="6"/>
        <v>0.29251700680272108</v>
      </c>
    </row>
    <row r="343" spans="1:7">
      <c r="A343" t="s">
        <v>495</v>
      </c>
      <c r="B343">
        <v>2</v>
      </c>
      <c r="C343" t="s">
        <v>766</v>
      </c>
      <c r="D343">
        <v>7</v>
      </c>
      <c r="E343">
        <v>3822</v>
      </c>
      <c r="F343">
        <v>1119</v>
      </c>
      <c r="G343" s="4">
        <f t="shared" si="6"/>
        <v>0.29277864992150704</v>
      </c>
    </row>
    <row r="344" spans="1:7">
      <c r="A344" t="s">
        <v>495</v>
      </c>
      <c r="B344">
        <v>2</v>
      </c>
      <c r="C344" t="s">
        <v>767</v>
      </c>
      <c r="D344">
        <v>8</v>
      </c>
      <c r="E344">
        <v>3822</v>
      </c>
      <c r="F344">
        <v>1164</v>
      </c>
      <c r="G344" s="4">
        <f t="shared" si="6"/>
        <v>0.30455259026687598</v>
      </c>
    </row>
    <row r="345" spans="1:7">
      <c r="A345" t="s">
        <v>495</v>
      </c>
      <c r="B345">
        <v>2</v>
      </c>
      <c r="C345" t="s">
        <v>768</v>
      </c>
      <c r="D345">
        <v>9</v>
      </c>
      <c r="E345">
        <v>3822</v>
      </c>
      <c r="F345">
        <v>1192</v>
      </c>
      <c r="G345" s="4">
        <f t="shared" si="6"/>
        <v>0.31187859759288333</v>
      </c>
    </row>
    <row r="346" spans="1:7">
      <c r="A346" t="s">
        <v>495</v>
      </c>
      <c r="B346">
        <v>2</v>
      </c>
      <c r="C346" t="s">
        <v>769</v>
      </c>
      <c r="D346">
        <v>10</v>
      </c>
      <c r="E346">
        <v>3822</v>
      </c>
      <c r="F346">
        <v>1226</v>
      </c>
      <c r="G346" s="4">
        <f t="shared" si="6"/>
        <v>0.3207744636316065</v>
      </c>
    </row>
    <row r="347" spans="1:7">
      <c r="A347" t="s">
        <v>495</v>
      </c>
      <c r="B347">
        <v>2</v>
      </c>
      <c r="C347" t="s">
        <v>770</v>
      </c>
      <c r="D347">
        <v>11</v>
      </c>
      <c r="E347">
        <v>3822</v>
      </c>
      <c r="F347">
        <v>1322</v>
      </c>
      <c r="G347" s="4">
        <f t="shared" si="6"/>
        <v>0.34589220303506019</v>
      </c>
    </row>
    <row r="348" spans="1:7">
      <c r="A348" t="s">
        <v>495</v>
      </c>
      <c r="B348">
        <v>2</v>
      </c>
      <c r="C348" t="s">
        <v>771</v>
      </c>
      <c r="D348">
        <v>12</v>
      </c>
      <c r="E348">
        <v>3822</v>
      </c>
      <c r="F348">
        <v>1402</v>
      </c>
      <c r="G348" s="4">
        <f t="shared" si="6"/>
        <v>0.36682365253793825</v>
      </c>
    </row>
    <row r="349" spans="1:7">
      <c r="A349" t="s">
        <v>495</v>
      </c>
      <c r="B349">
        <v>2</v>
      </c>
      <c r="C349" t="s">
        <v>772</v>
      </c>
      <c r="D349">
        <v>13</v>
      </c>
      <c r="E349">
        <v>3822</v>
      </c>
      <c r="F349">
        <v>1607</v>
      </c>
      <c r="G349" s="4">
        <f t="shared" si="6"/>
        <v>0.42046049188906331</v>
      </c>
    </row>
    <row r="350" spans="1:7">
      <c r="A350" t="s">
        <v>495</v>
      </c>
      <c r="B350">
        <v>2</v>
      </c>
      <c r="C350" t="s">
        <v>773</v>
      </c>
      <c r="D350">
        <v>14</v>
      </c>
      <c r="E350">
        <v>3822</v>
      </c>
      <c r="F350">
        <v>1731</v>
      </c>
      <c r="G350" s="4">
        <f t="shared" si="6"/>
        <v>0.45290423861852436</v>
      </c>
    </row>
    <row r="351" spans="1:7">
      <c r="A351" t="s">
        <v>495</v>
      </c>
      <c r="B351">
        <v>3</v>
      </c>
      <c r="C351" t="s">
        <v>710</v>
      </c>
      <c r="D351">
        <v>1</v>
      </c>
      <c r="E351">
        <v>11648</v>
      </c>
      <c r="F351">
        <v>777</v>
      </c>
      <c r="G351" s="4">
        <f t="shared" si="6"/>
        <v>6.6706730769230768E-2</v>
      </c>
    </row>
    <row r="352" spans="1:7">
      <c r="A352" t="s">
        <v>495</v>
      </c>
      <c r="B352">
        <v>3</v>
      </c>
      <c r="C352" t="s">
        <v>774</v>
      </c>
      <c r="D352">
        <v>2</v>
      </c>
      <c r="E352">
        <v>11648</v>
      </c>
      <c r="F352">
        <v>1910</v>
      </c>
      <c r="G352" s="4">
        <f t="shared" si="6"/>
        <v>0.16397664835164835</v>
      </c>
    </row>
    <row r="353" spans="1:7">
      <c r="A353" t="s">
        <v>495</v>
      </c>
      <c r="B353">
        <v>3</v>
      </c>
      <c r="C353" t="s">
        <v>775</v>
      </c>
      <c r="D353">
        <v>3</v>
      </c>
      <c r="E353">
        <v>11648</v>
      </c>
      <c r="F353">
        <v>2708</v>
      </c>
      <c r="G353" s="4">
        <f t="shared" si="6"/>
        <v>0.23248626373626374</v>
      </c>
    </row>
    <row r="354" spans="1:7">
      <c r="A354" t="s">
        <v>495</v>
      </c>
      <c r="B354">
        <v>3</v>
      </c>
      <c r="C354" t="s">
        <v>776</v>
      </c>
      <c r="D354">
        <v>4</v>
      </c>
      <c r="E354">
        <v>11648</v>
      </c>
      <c r="F354">
        <v>3228</v>
      </c>
      <c r="G354" s="4">
        <f t="shared" si="6"/>
        <v>0.27712912087912089</v>
      </c>
    </row>
    <row r="355" spans="1:7">
      <c r="A355" t="s">
        <v>495</v>
      </c>
      <c r="B355">
        <v>3</v>
      </c>
      <c r="C355" t="s">
        <v>777</v>
      </c>
      <c r="D355">
        <v>5</v>
      </c>
      <c r="E355">
        <v>11648</v>
      </c>
      <c r="F355">
        <v>3886</v>
      </c>
      <c r="G355" s="4">
        <f t="shared" si="6"/>
        <v>0.33361950549450547</v>
      </c>
    </row>
    <row r="356" spans="1:7">
      <c r="A356" t="s">
        <v>495</v>
      </c>
      <c r="B356">
        <v>3</v>
      </c>
      <c r="C356" t="s">
        <v>778</v>
      </c>
      <c r="D356">
        <v>6</v>
      </c>
      <c r="E356">
        <v>11648</v>
      </c>
      <c r="F356">
        <v>6829</v>
      </c>
      <c r="G356" s="4">
        <f t="shared" si="6"/>
        <v>0.58628090659340659</v>
      </c>
    </row>
    <row r="357" spans="1:7">
      <c r="A357" t="s">
        <v>495</v>
      </c>
      <c r="B357">
        <v>4</v>
      </c>
      <c r="C357" t="s">
        <v>710</v>
      </c>
      <c r="D357">
        <v>1</v>
      </c>
      <c r="E357">
        <v>31972</v>
      </c>
      <c r="F357">
        <v>815</v>
      </c>
      <c r="G357" s="4">
        <f t="shared" si="6"/>
        <v>2.5491054672838735E-2</v>
      </c>
    </row>
    <row r="358" spans="1:7">
      <c r="A358" t="s">
        <v>495</v>
      </c>
      <c r="B358">
        <v>4</v>
      </c>
      <c r="C358" t="s">
        <v>779</v>
      </c>
      <c r="D358">
        <v>2</v>
      </c>
      <c r="E358">
        <v>31972</v>
      </c>
      <c r="F358">
        <v>1502</v>
      </c>
      <c r="G358" s="4">
        <f t="shared" si="6"/>
        <v>4.6978606280495432E-2</v>
      </c>
    </row>
    <row r="359" spans="1:7">
      <c r="A359" t="s">
        <v>495</v>
      </c>
      <c r="B359">
        <v>4</v>
      </c>
      <c r="C359" t="s">
        <v>776</v>
      </c>
      <c r="D359">
        <v>3</v>
      </c>
      <c r="E359">
        <v>31972</v>
      </c>
      <c r="F359">
        <v>2532</v>
      </c>
      <c r="G359" s="4">
        <f t="shared" si="6"/>
        <v>7.9194295008132118E-2</v>
      </c>
    </row>
    <row r="360" spans="1:7">
      <c r="A360" t="s">
        <v>495</v>
      </c>
      <c r="B360">
        <v>4</v>
      </c>
      <c r="C360" t="s">
        <v>775</v>
      </c>
      <c r="D360">
        <v>4</v>
      </c>
      <c r="E360">
        <v>31972</v>
      </c>
      <c r="F360">
        <v>2754</v>
      </c>
      <c r="G360" s="4">
        <f t="shared" si="6"/>
        <v>8.6137870636807209E-2</v>
      </c>
    </row>
    <row r="361" spans="1:7">
      <c r="A361" t="s">
        <v>495</v>
      </c>
      <c r="B361">
        <v>4</v>
      </c>
      <c r="C361" t="s">
        <v>777</v>
      </c>
      <c r="D361">
        <v>5</v>
      </c>
      <c r="E361">
        <v>31972</v>
      </c>
      <c r="F361">
        <v>4038</v>
      </c>
      <c r="G361" s="4">
        <f t="shared" si="6"/>
        <v>0.12629801075941449</v>
      </c>
    </row>
    <row r="362" spans="1:7">
      <c r="A362" t="s">
        <v>495</v>
      </c>
      <c r="B362">
        <v>4</v>
      </c>
      <c r="C362" t="s">
        <v>778</v>
      </c>
      <c r="D362">
        <v>6</v>
      </c>
      <c r="E362">
        <v>31972</v>
      </c>
      <c r="F362">
        <v>6920</v>
      </c>
      <c r="G362" s="4">
        <f t="shared" si="6"/>
        <v>0.21643938446140373</v>
      </c>
    </row>
    <row r="363" spans="1:7">
      <c r="A363" t="s">
        <v>495</v>
      </c>
      <c r="B363">
        <v>4</v>
      </c>
      <c r="C363" t="s">
        <v>780</v>
      </c>
      <c r="D363">
        <v>7</v>
      </c>
      <c r="E363">
        <v>31972</v>
      </c>
      <c r="F363">
        <v>7710</v>
      </c>
      <c r="G363" s="4">
        <f t="shared" si="6"/>
        <v>0.2411485049418241</v>
      </c>
    </row>
    <row r="364" spans="1:7">
      <c r="A364" t="s">
        <v>495</v>
      </c>
      <c r="B364">
        <v>4</v>
      </c>
      <c r="C364" t="s">
        <v>781</v>
      </c>
      <c r="D364">
        <v>8</v>
      </c>
      <c r="E364">
        <v>31972</v>
      </c>
      <c r="F364">
        <v>8011</v>
      </c>
      <c r="G364" s="4">
        <f t="shared" si="6"/>
        <v>0.2505629926185412</v>
      </c>
    </row>
    <row r="365" spans="1:7">
      <c r="A365" t="s">
        <v>495</v>
      </c>
      <c r="B365">
        <v>4</v>
      </c>
      <c r="C365" t="s">
        <v>782</v>
      </c>
      <c r="D365">
        <v>9</v>
      </c>
      <c r="E365">
        <v>31972</v>
      </c>
      <c r="F365">
        <v>8692</v>
      </c>
      <c r="G365" s="4">
        <f t="shared" si="6"/>
        <v>0.27186288002001752</v>
      </c>
    </row>
    <row r="366" spans="1:7">
      <c r="A366" t="s">
        <v>495</v>
      </c>
      <c r="B366">
        <v>5</v>
      </c>
      <c r="C366" t="s">
        <v>473</v>
      </c>
      <c r="D366">
        <v>1</v>
      </c>
      <c r="E366">
        <v>978</v>
      </c>
      <c r="F366">
        <v>497</v>
      </c>
      <c r="G366" s="4">
        <f t="shared" si="6"/>
        <v>0.50817995910020453</v>
      </c>
    </row>
    <row r="367" spans="1:7">
      <c r="A367" t="s">
        <v>495</v>
      </c>
      <c r="B367">
        <v>5</v>
      </c>
      <c r="C367" t="s">
        <v>448</v>
      </c>
      <c r="D367">
        <v>2</v>
      </c>
      <c r="E367">
        <v>978</v>
      </c>
      <c r="F367">
        <v>704</v>
      </c>
      <c r="G367" s="4">
        <f t="shared" si="6"/>
        <v>0.71983640081799594</v>
      </c>
    </row>
    <row r="368" spans="1:7">
      <c r="A368" t="s">
        <v>495</v>
      </c>
      <c r="B368">
        <v>5</v>
      </c>
      <c r="C368" t="s">
        <v>485</v>
      </c>
      <c r="D368">
        <v>3</v>
      </c>
      <c r="E368">
        <v>978</v>
      </c>
      <c r="F368">
        <v>903</v>
      </c>
      <c r="G368" s="4">
        <f t="shared" si="6"/>
        <v>0.92331288343558282</v>
      </c>
    </row>
    <row r="369" spans="1:7">
      <c r="A369" t="s">
        <v>495</v>
      </c>
      <c r="B369">
        <v>5</v>
      </c>
      <c r="C369" t="s">
        <v>474</v>
      </c>
      <c r="D369">
        <v>4</v>
      </c>
      <c r="E369">
        <v>978</v>
      </c>
      <c r="F369">
        <v>976</v>
      </c>
      <c r="G369" s="4">
        <f t="shared" si="6"/>
        <v>0.99795501022494892</v>
      </c>
    </row>
    <row r="370" spans="1:7">
      <c r="A370" t="s">
        <v>495</v>
      </c>
      <c r="B370">
        <v>5</v>
      </c>
      <c r="C370" t="s">
        <v>714</v>
      </c>
      <c r="D370">
        <v>5</v>
      </c>
      <c r="E370">
        <v>978</v>
      </c>
      <c r="F370">
        <v>1039</v>
      </c>
      <c r="G370" s="4">
        <f t="shared" si="6"/>
        <v>1.0623721881390593</v>
      </c>
    </row>
    <row r="371" spans="1:7">
      <c r="A371" t="s">
        <v>495</v>
      </c>
      <c r="B371">
        <v>5</v>
      </c>
      <c r="C371" t="s">
        <v>783</v>
      </c>
      <c r="D371">
        <v>6</v>
      </c>
      <c r="E371">
        <v>978</v>
      </c>
      <c r="F371">
        <v>1060</v>
      </c>
      <c r="G371" s="4">
        <f t="shared" si="6"/>
        <v>1.0838445807770962</v>
      </c>
    </row>
    <row r="372" spans="1:7">
      <c r="A372" t="s">
        <v>495</v>
      </c>
      <c r="B372">
        <v>6</v>
      </c>
      <c r="C372" t="s">
        <v>784</v>
      </c>
      <c r="D372">
        <v>1</v>
      </c>
      <c r="E372">
        <v>3006</v>
      </c>
      <c r="F372">
        <v>360</v>
      </c>
      <c r="G372" s="4">
        <f t="shared" si="6"/>
        <v>0.11976047904191617</v>
      </c>
    </row>
    <row r="373" spans="1:7">
      <c r="A373" t="s">
        <v>495</v>
      </c>
      <c r="B373">
        <v>6</v>
      </c>
      <c r="C373" t="s">
        <v>785</v>
      </c>
      <c r="D373">
        <v>2</v>
      </c>
      <c r="E373">
        <v>3006</v>
      </c>
      <c r="F373">
        <v>1087</v>
      </c>
      <c r="G373" s="4">
        <f t="shared" si="6"/>
        <v>0.3616101131071191</v>
      </c>
    </row>
    <row r="374" spans="1:7">
      <c r="A374" t="s">
        <v>495</v>
      </c>
      <c r="B374">
        <v>6</v>
      </c>
      <c r="C374" t="s">
        <v>786</v>
      </c>
      <c r="D374">
        <v>3</v>
      </c>
      <c r="E374">
        <v>3006</v>
      </c>
      <c r="F374">
        <v>1462</v>
      </c>
      <c r="G374" s="4">
        <f t="shared" si="6"/>
        <v>0.48636061210911508</v>
      </c>
    </row>
    <row r="375" spans="1:7">
      <c r="A375" t="s">
        <v>495</v>
      </c>
      <c r="B375">
        <v>6</v>
      </c>
      <c r="C375" t="s">
        <v>787</v>
      </c>
      <c r="D375">
        <v>4</v>
      </c>
      <c r="E375">
        <v>3006</v>
      </c>
      <c r="F375">
        <v>1866</v>
      </c>
      <c r="G375" s="4">
        <f t="shared" si="6"/>
        <v>0.62075848303393211</v>
      </c>
    </row>
    <row r="376" spans="1:7">
      <c r="A376" t="s">
        <v>495</v>
      </c>
      <c r="B376">
        <v>6</v>
      </c>
      <c r="C376" t="s">
        <v>788</v>
      </c>
      <c r="D376">
        <v>5</v>
      </c>
      <c r="E376">
        <v>3006</v>
      </c>
      <c r="F376">
        <v>1953</v>
      </c>
      <c r="G376" s="4">
        <f t="shared" si="6"/>
        <v>0.64970059880239517</v>
      </c>
    </row>
    <row r="377" spans="1:7">
      <c r="A377" t="s">
        <v>495</v>
      </c>
      <c r="B377">
        <v>6</v>
      </c>
      <c r="C377" t="s">
        <v>789</v>
      </c>
      <c r="D377">
        <v>6</v>
      </c>
      <c r="E377">
        <v>3006</v>
      </c>
      <c r="F377">
        <v>2026</v>
      </c>
      <c r="G377" s="4">
        <f t="shared" si="6"/>
        <v>0.67398536260811714</v>
      </c>
    </row>
    <row r="378" spans="1:7">
      <c r="A378" t="s">
        <v>495</v>
      </c>
      <c r="B378">
        <v>6</v>
      </c>
      <c r="C378" t="s">
        <v>790</v>
      </c>
      <c r="D378">
        <v>7</v>
      </c>
      <c r="E378">
        <v>3006</v>
      </c>
      <c r="F378">
        <v>2153</v>
      </c>
      <c r="G378" s="4">
        <f t="shared" si="6"/>
        <v>0.71623419827012647</v>
      </c>
    </row>
    <row r="379" spans="1:7">
      <c r="A379" t="s">
        <v>495</v>
      </c>
      <c r="B379">
        <v>6</v>
      </c>
      <c r="C379" t="s">
        <v>791</v>
      </c>
      <c r="D379">
        <v>8</v>
      </c>
      <c r="E379">
        <v>3006</v>
      </c>
      <c r="F379">
        <v>2324</v>
      </c>
      <c r="G379" s="4">
        <f t="shared" si="6"/>
        <v>0.77312042581503659</v>
      </c>
    </row>
    <row r="380" spans="1:7">
      <c r="A380" t="s">
        <v>495</v>
      </c>
      <c r="B380">
        <v>6</v>
      </c>
      <c r="C380" t="s">
        <v>792</v>
      </c>
      <c r="D380">
        <v>9</v>
      </c>
      <c r="E380">
        <v>3006</v>
      </c>
      <c r="F380">
        <v>2605</v>
      </c>
      <c r="G380" s="4">
        <f t="shared" si="6"/>
        <v>0.86660013306719896</v>
      </c>
    </row>
    <row r="381" spans="1:7">
      <c r="A381" t="s">
        <v>495</v>
      </c>
      <c r="B381">
        <v>6</v>
      </c>
      <c r="C381" t="s">
        <v>793</v>
      </c>
      <c r="D381">
        <v>10</v>
      </c>
      <c r="E381">
        <v>3006</v>
      </c>
      <c r="F381">
        <v>2962</v>
      </c>
      <c r="G381" s="4">
        <f t="shared" si="6"/>
        <v>0.98536260811709908</v>
      </c>
    </row>
    <row r="382" spans="1:7">
      <c r="A382" t="s">
        <v>495</v>
      </c>
      <c r="B382">
        <v>7</v>
      </c>
      <c r="C382" t="s">
        <v>794</v>
      </c>
      <c r="D382">
        <v>1</v>
      </c>
      <c r="E382">
        <v>3859</v>
      </c>
      <c r="F382">
        <v>1078</v>
      </c>
      <c r="G382" s="4">
        <f t="shared" si="6"/>
        <v>0.27934698108318218</v>
      </c>
    </row>
    <row r="383" spans="1:7">
      <c r="A383" t="s">
        <v>495</v>
      </c>
      <c r="B383">
        <v>7</v>
      </c>
      <c r="C383" t="s">
        <v>795</v>
      </c>
      <c r="D383">
        <v>2</v>
      </c>
      <c r="E383">
        <v>3859</v>
      </c>
      <c r="F383">
        <v>1133</v>
      </c>
      <c r="G383" s="4">
        <f t="shared" si="6"/>
        <v>0.29359937807722208</v>
      </c>
    </row>
    <row r="384" spans="1:7">
      <c r="A384" t="s">
        <v>495</v>
      </c>
      <c r="B384">
        <v>7</v>
      </c>
      <c r="C384" t="s">
        <v>796</v>
      </c>
      <c r="D384">
        <v>3</v>
      </c>
      <c r="E384">
        <v>3859</v>
      </c>
      <c r="F384">
        <v>1136</v>
      </c>
      <c r="G384" s="4">
        <f t="shared" si="6"/>
        <v>0.29437678154962427</v>
      </c>
    </row>
    <row r="385" spans="1:7">
      <c r="A385" t="s">
        <v>495</v>
      </c>
      <c r="B385">
        <v>7</v>
      </c>
      <c r="C385" t="s">
        <v>797</v>
      </c>
      <c r="D385">
        <v>4</v>
      </c>
      <c r="E385">
        <v>3859</v>
      </c>
      <c r="F385">
        <v>1147</v>
      </c>
      <c r="G385" s="4">
        <f t="shared" si="6"/>
        <v>0.29722726094843221</v>
      </c>
    </row>
    <row r="386" spans="1:7">
      <c r="A386" t="s">
        <v>495</v>
      </c>
      <c r="B386">
        <v>7</v>
      </c>
      <c r="C386" t="s">
        <v>798</v>
      </c>
      <c r="D386">
        <v>5</v>
      </c>
      <c r="E386">
        <v>3859</v>
      </c>
      <c r="F386">
        <v>1149</v>
      </c>
      <c r="G386" s="4">
        <f t="shared" si="6"/>
        <v>0.29774552993003367</v>
      </c>
    </row>
    <row r="387" spans="1:7">
      <c r="A387" t="s">
        <v>495</v>
      </c>
      <c r="B387">
        <v>7</v>
      </c>
      <c r="C387" t="s">
        <v>799</v>
      </c>
      <c r="D387">
        <v>6</v>
      </c>
      <c r="E387">
        <v>3859</v>
      </c>
      <c r="F387">
        <v>1167</v>
      </c>
      <c r="G387" s="4">
        <f t="shared" ref="G387:G450" si="7">F387/E387</f>
        <v>0.30240995076444677</v>
      </c>
    </row>
    <row r="388" spans="1:7">
      <c r="A388" t="s">
        <v>495</v>
      </c>
      <c r="B388">
        <v>7</v>
      </c>
      <c r="C388" t="s">
        <v>800</v>
      </c>
      <c r="D388">
        <v>7</v>
      </c>
      <c r="E388">
        <v>3859</v>
      </c>
      <c r="F388">
        <v>1213</v>
      </c>
      <c r="G388" s="4">
        <f t="shared" si="7"/>
        <v>0.31433013734128012</v>
      </c>
    </row>
    <row r="389" spans="1:7">
      <c r="A389" t="s">
        <v>495</v>
      </c>
      <c r="B389">
        <v>7</v>
      </c>
      <c r="C389" t="s">
        <v>801</v>
      </c>
      <c r="D389">
        <v>8</v>
      </c>
      <c r="E389">
        <v>3859</v>
      </c>
      <c r="F389">
        <v>1277</v>
      </c>
      <c r="G389" s="4">
        <f t="shared" si="7"/>
        <v>0.33091474475252658</v>
      </c>
    </row>
    <row r="390" spans="1:7">
      <c r="A390" t="s">
        <v>495</v>
      </c>
      <c r="B390">
        <v>7</v>
      </c>
      <c r="C390" t="s">
        <v>802</v>
      </c>
      <c r="D390">
        <v>9</v>
      </c>
      <c r="E390">
        <v>3859</v>
      </c>
      <c r="F390">
        <v>1586</v>
      </c>
      <c r="G390" s="4">
        <f t="shared" si="7"/>
        <v>0.41098730240995074</v>
      </c>
    </row>
    <row r="391" spans="1:7">
      <c r="A391" t="s">
        <v>495</v>
      </c>
      <c r="B391">
        <v>7</v>
      </c>
      <c r="C391" t="s">
        <v>803</v>
      </c>
      <c r="D391">
        <v>10</v>
      </c>
      <c r="E391">
        <v>3859</v>
      </c>
      <c r="F391">
        <v>1622</v>
      </c>
      <c r="G391" s="4">
        <f t="shared" si="7"/>
        <v>0.42031614407877688</v>
      </c>
    </row>
    <row r="392" spans="1:7">
      <c r="A392" t="s">
        <v>495</v>
      </c>
      <c r="B392">
        <v>8</v>
      </c>
      <c r="C392" t="s">
        <v>710</v>
      </c>
      <c r="D392">
        <v>1</v>
      </c>
      <c r="E392">
        <v>12779</v>
      </c>
      <c r="F392">
        <v>790</v>
      </c>
      <c r="G392" s="4">
        <f t="shared" si="7"/>
        <v>6.18201737225135E-2</v>
      </c>
    </row>
    <row r="393" spans="1:7">
      <c r="A393" t="s">
        <v>495</v>
      </c>
      <c r="B393">
        <v>8</v>
      </c>
      <c r="C393" t="s">
        <v>804</v>
      </c>
      <c r="D393">
        <v>2</v>
      </c>
      <c r="E393">
        <v>12779</v>
      </c>
      <c r="F393">
        <v>1273</v>
      </c>
      <c r="G393" s="4">
        <f t="shared" si="7"/>
        <v>9.9616558416151496E-2</v>
      </c>
    </row>
    <row r="394" spans="1:7">
      <c r="A394" t="s">
        <v>495</v>
      </c>
      <c r="B394">
        <v>8</v>
      </c>
      <c r="C394" t="s">
        <v>776</v>
      </c>
      <c r="D394">
        <v>3</v>
      </c>
      <c r="E394">
        <v>12779</v>
      </c>
      <c r="F394">
        <v>2485</v>
      </c>
      <c r="G394" s="4">
        <f t="shared" si="7"/>
        <v>0.19445966038031146</v>
      </c>
    </row>
    <row r="395" spans="1:7">
      <c r="A395" t="s">
        <v>495</v>
      </c>
      <c r="B395">
        <v>8</v>
      </c>
      <c r="C395" t="s">
        <v>805</v>
      </c>
      <c r="D395">
        <v>4</v>
      </c>
      <c r="E395">
        <v>12779</v>
      </c>
      <c r="F395">
        <v>2749</v>
      </c>
      <c r="G395" s="4">
        <f t="shared" si="7"/>
        <v>0.21511855387745521</v>
      </c>
    </row>
    <row r="396" spans="1:7">
      <c r="A396" t="s">
        <v>495</v>
      </c>
      <c r="B396">
        <v>8</v>
      </c>
      <c r="C396" t="s">
        <v>806</v>
      </c>
      <c r="D396">
        <v>5</v>
      </c>
      <c r="E396">
        <v>12779</v>
      </c>
      <c r="F396">
        <v>5297</v>
      </c>
      <c r="G396" s="4">
        <f t="shared" si="7"/>
        <v>0.41450817747867597</v>
      </c>
    </row>
    <row r="397" spans="1:7">
      <c r="A397" t="s">
        <v>495</v>
      </c>
      <c r="B397">
        <v>8</v>
      </c>
      <c r="C397" t="s">
        <v>807</v>
      </c>
      <c r="D397">
        <v>6</v>
      </c>
      <c r="E397">
        <v>12779</v>
      </c>
      <c r="F397">
        <v>6267</v>
      </c>
      <c r="G397" s="4">
        <f t="shared" si="7"/>
        <v>0.49041396040378749</v>
      </c>
    </row>
    <row r="398" spans="1:7">
      <c r="A398" t="s">
        <v>495</v>
      </c>
      <c r="B398">
        <v>9</v>
      </c>
      <c r="C398" t="s">
        <v>710</v>
      </c>
      <c r="D398">
        <v>1</v>
      </c>
      <c r="E398">
        <v>33434</v>
      </c>
      <c r="F398">
        <v>814</v>
      </c>
      <c r="G398" s="4">
        <f t="shared" si="7"/>
        <v>2.4346473649578274E-2</v>
      </c>
    </row>
    <row r="399" spans="1:7">
      <c r="A399" t="s">
        <v>495</v>
      </c>
      <c r="B399">
        <v>9</v>
      </c>
      <c r="C399" t="s">
        <v>808</v>
      </c>
      <c r="D399">
        <v>2</v>
      </c>
      <c r="E399">
        <v>33434</v>
      </c>
      <c r="F399">
        <v>1573</v>
      </c>
      <c r="G399" s="4">
        <f t="shared" si="7"/>
        <v>4.7047915295806667E-2</v>
      </c>
    </row>
    <row r="400" spans="1:7">
      <c r="A400" t="s">
        <v>495</v>
      </c>
      <c r="B400">
        <v>9</v>
      </c>
      <c r="C400" t="s">
        <v>776</v>
      </c>
      <c r="D400">
        <v>3</v>
      </c>
      <c r="E400">
        <v>33434</v>
      </c>
      <c r="F400">
        <v>2494</v>
      </c>
      <c r="G400" s="4">
        <f t="shared" si="7"/>
        <v>7.4594723933720158E-2</v>
      </c>
    </row>
    <row r="401" spans="1:7">
      <c r="A401" t="s">
        <v>495</v>
      </c>
      <c r="B401">
        <v>9</v>
      </c>
      <c r="C401" t="s">
        <v>805</v>
      </c>
      <c r="D401">
        <v>4</v>
      </c>
      <c r="E401">
        <v>33434</v>
      </c>
      <c r="F401">
        <v>3431</v>
      </c>
      <c r="G401" s="4">
        <f t="shared" si="7"/>
        <v>0.10262008733624454</v>
      </c>
    </row>
    <row r="402" spans="1:7">
      <c r="A402" t="s">
        <v>495</v>
      </c>
      <c r="B402">
        <v>9</v>
      </c>
      <c r="C402" t="s">
        <v>806</v>
      </c>
      <c r="D402">
        <v>5</v>
      </c>
      <c r="E402">
        <v>33434</v>
      </c>
      <c r="F402">
        <v>4676</v>
      </c>
      <c r="G402" s="4">
        <f t="shared" si="7"/>
        <v>0.13985762995752826</v>
      </c>
    </row>
    <row r="403" spans="1:7">
      <c r="A403" t="s">
        <v>495</v>
      </c>
      <c r="B403">
        <v>9</v>
      </c>
      <c r="C403" t="s">
        <v>807</v>
      </c>
      <c r="D403">
        <v>6</v>
      </c>
      <c r="E403">
        <v>33434</v>
      </c>
      <c r="F403">
        <v>6255</v>
      </c>
      <c r="G403" s="4">
        <f t="shared" si="7"/>
        <v>0.187085003290064</v>
      </c>
    </row>
    <row r="404" spans="1:7">
      <c r="A404" t="s">
        <v>495</v>
      </c>
      <c r="B404">
        <v>9</v>
      </c>
      <c r="C404" t="s">
        <v>809</v>
      </c>
      <c r="D404">
        <v>7</v>
      </c>
      <c r="E404">
        <v>33434</v>
      </c>
      <c r="F404">
        <v>7385</v>
      </c>
      <c r="G404" s="4">
        <f t="shared" si="7"/>
        <v>0.22088293354070707</v>
      </c>
    </row>
    <row r="405" spans="1:7">
      <c r="A405" t="s">
        <v>495</v>
      </c>
      <c r="B405">
        <v>9</v>
      </c>
      <c r="C405" t="s">
        <v>810</v>
      </c>
      <c r="D405">
        <v>8</v>
      </c>
      <c r="E405">
        <v>33434</v>
      </c>
      <c r="F405">
        <v>8168</v>
      </c>
      <c r="G405" s="4">
        <f t="shared" si="7"/>
        <v>0.24430220733385177</v>
      </c>
    </row>
    <row r="406" spans="1:7">
      <c r="A406" t="s">
        <v>495</v>
      </c>
      <c r="B406">
        <v>9</v>
      </c>
      <c r="C406" t="s">
        <v>811</v>
      </c>
      <c r="D406">
        <v>9</v>
      </c>
      <c r="E406">
        <v>33434</v>
      </c>
      <c r="F406">
        <v>8902</v>
      </c>
      <c r="G406" s="4">
        <f t="shared" si="7"/>
        <v>0.26625590716037567</v>
      </c>
    </row>
    <row r="407" spans="1:7">
      <c r="A407" t="s">
        <v>495</v>
      </c>
      <c r="B407">
        <v>10</v>
      </c>
      <c r="C407" t="s">
        <v>213</v>
      </c>
      <c r="D407">
        <v>1</v>
      </c>
      <c r="E407">
        <v>1055</v>
      </c>
      <c r="F407">
        <v>229</v>
      </c>
      <c r="G407" s="4">
        <f t="shared" si="7"/>
        <v>0.21706161137440758</v>
      </c>
    </row>
    <row r="408" spans="1:7">
      <c r="A408" t="s">
        <v>495</v>
      </c>
      <c r="B408">
        <v>10</v>
      </c>
      <c r="C408" t="s">
        <v>473</v>
      </c>
      <c r="D408">
        <v>2</v>
      </c>
      <c r="E408">
        <v>1055</v>
      </c>
      <c r="F408">
        <v>1007</v>
      </c>
      <c r="G408" s="4">
        <f t="shared" si="7"/>
        <v>0.95450236966824642</v>
      </c>
    </row>
    <row r="409" spans="1:7">
      <c r="A409" t="s">
        <v>495</v>
      </c>
      <c r="B409">
        <v>11</v>
      </c>
      <c r="C409" t="s">
        <v>213</v>
      </c>
      <c r="D409">
        <v>1</v>
      </c>
      <c r="E409">
        <v>8319</v>
      </c>
      <c r="F409">
        <v>374</v>
      </c>
      <c r="G409" s="4">
        <f t="shared" si="7"/>
        <v>4.495732660175502E-2</v>
      </c>
    </row>
    <row r="410" spans="1:7">
      <c r="A410" t="s">
        <v>495</v>
      </c>
      <c r="B410">
        <v>11</v>
      </c>
      <c r="C410" t="s">
        <v>473</v>
      </c>
      <c r="D410">
        <v>2</v>
      </c>
      <c r="E410">
        <v>8319</v>
      </c>
      <c r="F410">
        <v>8059</v>
      </c>
      <c r="G410" s="4">
        <f t="shared" si="7"/>
        <v>0.96874624353888683</v>
      </c>
    </row>
    <row r="411" spans="1:7">
      <c r="A411" t="s">
        <v>495</v>
      </c>
      <c r="B411">
        <v>13</v>
      </c>
      <c r="C411" t="s">
        <v>473</v>
      </c>
      <c r="D411">
        <v>1</v>
      </c>
      <c r="E411">
        <v>26728</v>
      </c>
      <c r="F411">
        <v>1436</v>
      </c>
      <c r="G411" s="4">
        <f t="shared" si="7"/>
        <v>5.3726429212810539E-2</v>
      </c>
    </row>
    <row r="412" spans="1:7">
      <c r="A412" t="s">
        <v>495</v>
      </c>
      <c r="B412">
        <v>13</v>
      </c>
      <c r="C412" t="s">
        <v>448</v>
      </c>
      <c r="D412">
        <v>2</v>
      </c>
      <c r="E412">
        <v>26728</v>
      </c>
      <c r="F412">
        <v>1447</v>
      </c>
      <c r="G412" s="4">
        <f t="shared" si="7"/>
        <v>5.4137982639928167E-2</v>
      </c>
    </row>
    <row r="413" spans="1:7">
      <c r="A413" t="s">
        <v>495</v>
      </c>
      <c r="B413">
        <v>13</v>
      </c>
      <c r="C413" t="s">
        <v>812</v>
      </c>
      <c r="D413">
        <v>3</v>
      </c>
      <c r="E413">
        <v>26728</v>
      </c>
      <c r="F413">
        <v>1598</v>
      </c>
      <c r="G413" s="4">
        <f t="shared" si="7"/>
        <v>5.9787488775815627E-2</v>
      </c>
    </row>
    <row r="414" spans="1:7">
      <c r="A414" t="s">
        <v>495</v>
      </c>
      <c r="B414">
        <v>13</v>
      </c>
      <c r="C414" t="s">
        <v>474</v>
      </c>
      <c r="D414">
        <v>4</v>
      </c>
      <c r="E414">
        <v>26728</v>
      </c>
      <c r="F414">
        <v>27076</v>
      </c>
      <c r="G414" s="4">
        <f t="shared" si="7"/>
        <v>1.013020053876085</v>
      </c>
    </row>
    <row r="415" spans="1:7">
      <c r="A415" t="s">
        <v>495</v>
      </c>
      <c r="B415">
        <v>15</v>
      </c>
      <c r="C415" t="s">
        <v>473</v>
      </c>
      <c r="D415">
        <v>1</v>
      </c>
      <c r="E415">
        <v>19864</v>
      </c>
      <c r="F415">
        <v>844</v>
      </c>
      <c r="G415" s="4">
        <f t="shared" si="7"/>
        <v>4.2488924687877565E-2</v>
      </c>
    </row>
    <row r="416" spans="1:7">
      <c r="A416" t="s">
        <v>495</v>
      </c>
      <c r="B416">
        <v>15</v>
      </c>
      <c r="C416" t="s">
        <v>448</v>
      </c>
      <c r="D416">
        <v>2</v>
      </c>
      <c r="E416">
        <v>19864</v>
      </c>
      <c r="F416">
        <v>913</v>
      </c>
      <c r="G416" s="4">
        <f t="shared" si="7"/>
        <v>4.5962545308095043E-2</v>
      </c>
    </row>
    <row r="417" spans="1:7">
      <c r="A417" t="s">
        <v>495</v>
      </c>
      <c r="B417">
        <v>15</v>
      </c>
      <c r="C417" t="s">
        <v>812</v>
      </c>
      <c r="D417">
        <v>3</v>
      </c>
      <c r="E417">
        <v>19864</v>
      </c>
      <c r="F417">
        <v>994</v>
      </c>
      <c r="G417" s="4">
        <f t="shared" si="7"/>
        <v>5.0040273862263389E-2</v>
      </c>
    </row>
    <row r="418" spans="1:7">
      <c r="A418" t="s">
        <v>495</v>
      </c>
      <c r="B418">
        <v>15</v>
      </c>
      <c r="C418" t="s">
        <v>474</v>
      </c>
      <c r="D418">
        <v>4</v>
      </c>
      <c r="E418">
        <v>19864</v>
      </c>
      <c r="F418">
        <v>19484</v>
      </c>
      <c r="G418" s="4">
        <f t="shared" si="7"/>
        <v>0.98086991542488922</v>
      </c>
    </row>
    <row r="419" spans="1:7">
      <c r="A419" t="s">
        <v>495</v>
      </c>
      <c r="B419">
        <v>16</v>
      </c>
      <c r="C419" t="s">
        <v>473</v>
      </c>
      <c r="D419">
        <v>1</v>
      </c>
      <c r="E419">
        <v>36651</v>
      </c>
      <c r="F419">
        <v>994</v>
      </c>
      <c r="G419" s="4">
        <f t="shared" si="7"/>
        <v>2.712067883550244E-2</v>
      </c>
    </row>
    <row r="420" spans="1:7">
      <c r="A420" t="s">
        <v>495</v>
      </c>
      <c r="B420">
        <v>16</v>
      </c>
      <c r="C420" t="s">
        <v>448</v>
      </c>
      <c r="D420">
        <v>2</v>
      </c>
      <c r="E420">
        <v>36651</v>
      </c>
      <c r="F420">
        <v>1122</v>
      </c>
      <c r="G420" s="4">
        <f t="shared" si="7"/>
        <v>3.0613080134239176E-2</v>
      </c>
    </row>
    <row r="421" spans="1:7">
      <c r="A421" t="s">
        <v>495</v>
      </c>
      <c r="B421">
        <v>16</v>
      </c>
      <c r="C421" t="s">
        <v>812</v>
      </c>
      <c r="D421">
        <v>3</v>
      </c>
      <c r="E421">
        <v>36651</v>
      </c>
      <c r="F421">
        <v>1152</v>
      </c>
      <c r="G421" s="4">
        <f t="shared" si="7"/>
        <v>3.1431611688630595E-2</v>
      </c>
    </row>
    <row r="422" spans="1:7">
      <c r="A422" t="s">
        <v>495</v>
      </c>
      <c r="B422">
        <v>16</v>
      </c>
      <c r="C422" t="s">
        <v>474</v>
      </c>
      <c r="D422">
        <v>4</v>
      </c>
      <c r="E422">
        <v>36651</v>
      </c>
      <c r="F422">
        <v>35921</v>
      </c>
      <c r="G422" s="4">
        <f t="shared" si="7"/>
        <v>0.98008239884314208</v>
      </c>
    </row>
    <row r="423" spans="1:7">
      <c r="A423" t="s">
        <v>495</v>
      </c>
      <c r="B423">
        <v>20</v>
      </c>
      <c r="C423" t="s">
        <v>473</v>
      </c>
      <c r="D423">
        <v>1</v>
      </c>
      <c r="E423">
        <v>3905</v>
      </c>
      <c r="F423">
        <v>2099</v>
      </c>
      <c r="G423" s="4">
        <f t="shared" si="7"/>
        <v>0.53751600512163888</v>
      </c>
    </row>
    <row r="424" spans="1:7">
      <c r="A424" t="s">
        <v>495</v>
      </c>
      <c r="B424">
        <v>20</v>
      </c>
      <c r="C424" t="s">
        <v>213</v>
      </c>
      <c r="D424">
        <v>2</v>
      </c>
      <c r="E424">
        <v>3905</v>
      </c>
      <c r="F424">
        <v>2168</v>
      </c>
      <c r="G424" s="4">
        <f t="shared" si="7"/>
        <v>0.5551856594110115</v>
      </c>
    </row>
    <row r="425" spans="1:7">
      <c r="A425" t="s">
        <v>495</v>
      </c>
      <c r="B425">
        <v>21</v>
      </c>
      <c r="C425" t="s">
        <v>213</v>
      </c>
      <c r="D425">
        <v>1</v>
      </c>
      <c r="E425">
        <v>15627</v>
      </c>
      <c r="F425">
        <v>8011</v>
      </c>
      <c r="G425" s="4">
        <f t="shared" si="7"/>
        <v>0.51263838228706726</v>
      </c>
    </row>
    <row r="426" spans="1:7">
      <c r="A426" t="s">
        <v>495</v>
      </c>
      <c r="B426">
        <v>21</v>
      </c>
      <c r="C426" t="s">
        <v>473</v>
      </c>
      <c r="D426">
        <v>2</v>
      </c>
      <c r="E426">
        <v>15627</v>
      </c>
      <c r="F426">
        <v>8056</v>
      </c>
      <c r="G426" s="4">
        <f t="shared" si="7"/>
        <v>0.5155180136942471</v>
      </c>
    </row>
    <row r="427" spans="1:7">
      <c r="A427" t="s">
        <v>496</v>
      </c>
      <c r="B427">
        <v>2</v>
      </c>
      <c r="C427" t="s">
        <v>813</v>
      </c>
      <c r="D427">
        <v>1</v>
      </c>
      <c r="E427">
        <v>17371</v>
      </c>
      <c r="F427">
        <v>10203</v>
      </c>
      <c r="G427" s="4">
        <f t="shared" si="7"/>
        <v>0.58735824074607101</v>
      </c>
    </row>
    <row r="428" spans="1:7">
      <c r="A428" t="s">
        <v>496</v>
      </c>
      <c r="B428">
        <v>2</v>
      </c>
      <c r="C428" t="s">
        <v>814</v>
      </c>
      <c r="D428">
        <v>2</v>
      </c>
      <c r="E428">
        <v>17371</v>
      </c>
      <c r="F428">
        <v>15311</v>
      </c>
      <c r="G428" s="4">
        <f t="shared" si="7"/>
        <v>0.88141154798226928</v>
      </c>
    </row>
    <row r="429" spans="1:7">
      <c r="A429" t="s">
        <v>496</v>
      </c>
      <c r="B429">
        <v>3</v>
      </c>
      <c r="C429" t="s">
        <v>213</v>
      </c>
      <c r="D429">
        <v>1</v>
      </c>
      <c r="E429">
        <v>39286</v>
      </c>
      <c r="F429">
        <v>1479</v>
      </c>
      <c r="G429" s="4">
        <f t="shared" si="7"/>
        <v>3.7646998930916865E-2</v>
      </c>
    </row>
    <row r="430" spans="1:7">
      <c r="A430" t="s">
        <v>496</v>
      </c>
      <c r="B430">
        <v>3</v>
      </c>
      <c r="C430" t="s">
        <v>815</v>
      </c>
      <c r="D430">
        <v>2</v>
      </c>
      <c r="E430">
        <v>39286</v>
      </c>
      <c r="F430">
        <v>5692</v>
      </c>
      <c r="G430" s="4">
        <f t="shared" si="7"/>
        <v>0.14488621900931631</v>
      </c>
    </row>
    <row r="431" spans="1:7">
      <c r="A431" t="s">
        <v>496</v>
      </c>
      <c r="B431">
        <v>3</v>
      </c>
      <c r="C431" t="s">
        <v>816</v>
      </c>
      <c r="D431">
        <v>3</v>
      </c>
      <c r="E431">
        <v>39286</v>
      </c>
      <c r="F431">
        <v>8073</v>
      </c>
      <c r="G431" s="4">
        <f t="shared" si="7"/>
        <v>0.20549305095962939</v>
      </c>
    </row>
    <row r="432" spans="1:7">
      <c r="A432" t="s">
        <v>496</v>
      </c>
      <c r="B432">
        <v>3</v>
      </c>
      <c r="C432" t="s">
        <v>817</v>
      </c>
      <c r="D432">
        <v>4</v>
      </c>
      <c r="E432">
        <v>39286</v>
      </c>
      <c r="F432">
        <v>10287</v>
      </c>
      <c r="G432" s="4">
        <f t="shared" si="7"/>
        <v>0.261849004734511</v>
      </c>
    </row>
    <row r="433" spans="1:7">
      <c r="A433" t="s">
        <v>496</v>
      </c>
      <c r="B433">
        <v>3</v>
      </c>
      <c r="C433" t="s">
        <v>818</v>
      </c>
      <c r="D433">
        <v>5</v>
      </c>
      <c r="E433">
        <v>39286</v>
      </c>
      <c r="F433">
        <v>36317</v>
      </c>
      <c r="G433" s="4">
        <f t="shared" si="7"/>
        <v>0.92442600417451515</v>
      </c>
    </row>
    <row r="434" spans="1:7">
      <c r="A434" t="s">
        <v>496</v>
      </c>
      <c r="B434">
        <v>3</v>
      </c>
      <c r="C434" t="s">
        <v>819</v>
      </c>
      <c r="D434">
        <v>6</v>
      </c>
      <c r="E434">
        <v>39286</v>
      </c>
      <c r="F434">
        <v>39529</v>
      </c>
      <c r="G434" s="4">
        <f t="shared" si="7"/>
        <v>1.0061854095606577</v>
      </c>
    </row>
    <row r="435" spans="1:7">
      <c r="A435" t="s">
        <v>497</v>
      </c>
      <c r="B435">
        <v>0</v>
      </c>
      <c r="C435" t="s">
        <v>213</v>
      </c>
      <c r="D435">
        <v>1</v>
      </c>
      <c r="E435">
        <v>182</v>
      </c>
      <c r="F435">
        <v>96</v>
      </c>
      <c r="G435" s="4">
        <f t="shared" si="7"/>
        <v>0.52747252747252749</v>
      </c>
    </row>
    <row r="436" spans="1:7">
      <c r="A436" t="s">
        <v>497</v>
      </c>
      <c r="B436">
        <v>0</v>
      </c>
      <c r="C436" t="s">
        <v>210</v>
      </c>
      <c r="D436">
        <v>2</v>
      </c>
      <c r="E436">
        <v>182</v>
      </c>
      <c r="F436">
        <v>133</v>
      </c>
      <c r="G436" s="4">
        <f t="shared" si="7"/>
        <v>0.73076923076923073</v>
      </c>
    </row>
    <row r="437" spans="1:7">
      <c r="A437" t="s">
        <v>497</v>
      </c>
      <c r="B437">
        <v>0</v>
      </c>
      <c r="C437" t="s">
        <v>504</v>
      </c>
      <c r="D437">
        <v>3</v>
      </c>
      <c r="E437">
        <v>182</v>
      </c>
      <c r="F437">
        <v>142</v>
      </c>
      <c r="G437" s="4">
        <f t="shared" si="7"/>
        <v>0.78021978021978022</v>
      </c>
    </row>
    <row r="438" spans="1:7">
      <c r="A438" t="s">
        <v>497</v>
      </c>
      <c r="B438">
        <v>0</v>
      </c>
      <c r="C438" t="s">
        <v>505</v>
      </c>
      <c r="D438">
        <v>4</v>
      </c>
      <c r="E438">
        <v>182</v>
      </c>
      <c r="F438">
        <v>181</v>
      </c>
      <c r="G438" s="4">
        <f t="shared" si="7"/>
        <v>0.99450549450549453</v>
      </c>
    </row>
    <row r="439" spans="1:7">
      <c r="A439" t="s">
        <v>497</v>
      </c>
      <c r="B439">
        <v>1</v>
      </c>
      <c r="C439" t="s">
        <v>820</v>
      </c>
      <c r="D439">
        <v>1</v>
      </c>
      <c r="E439">
        <v>10314</v>
      </c>
      <c r="F439">
        <v>858</v>
      </c>
      <c r="G439" s="4">
        <f t="shared" si="7"/>
        <v>8.318789994182664E-2</v>
      </c>
    </row>
    <row r="440" spans="1:7">
      <c r="A440" t="s">
        <v>497</v>
      </c>
      <c r="B440">
        <v>1</v>
      </c>
      <c r="C440" t="s">
        <v>213</v>
      </c>
      <c r="D440">
        <v>2</v>
      </c>
      <c r="E440">
        <v>10314</v>
      </c>
      <c r="F440">
        <v>2036</v>
      </c>
      <c r="G440" s="4">
        <f t="shared" si="7"/>
        <v>0.19740159007174715</v>
      </c>
    </row>
    <row r="441" spans="1:7">
      <c r="A441" t="s">
        <v>497</v>
      </c>
      <c r="B441">
        <v>1</v>
      </c>
      <c r="C441" t="s">
        <v>821</v>
      </c>
      <c r="D441">
        <v>3</v>
      </c>
      <c r="E441">
        <v>10314</v>
      </c>
      <c r="F441">
        <v>2912</v>
      </c>
      <c r="G441" s="4">
        <f t="shared" si="7"/>
        <v>0.28233469071165407</v>
      </c>
    </row>
    <row r="442" spans="1:7">
      <c r="A442" t="s">
        <v>497</v>
      </c>
      <c r="B442">
        <v>1</v>
      </c>
      <c r="C442" t="s">
        <v>822</v>
      </c>
      <c r="D442">
        <v>4</v>
      </c>
      <c r="E442">
        <v>10314</v>
      </c>
      <c r="F442">
        <v>6165</v>
      </c>
      <c r="G442" s="4">
        <f t="shared" si="7"/>
        <v>0.59773123909249559</v>
      </c>
    </row>
    <row r="443" spans="1:7">
      <c r="A443" t="s">
        <v>498</v>
      </c>
      <c r="B443">
        <v>1</v>
      </c>
      <c r="C443" t="s">
        <v>476</v>
      </c>
      <c r="D443">
        <v>1</v>
      </c>
      <c r="E443">
        <v>5178</v>
      </c>
      <c r="F443">
        <v>565</v>
      </c>
      <c r="G443" s="4">
        <f t="shared" si="7"/>
        <v>0.10911548860563924</v>
      </c>
    </row>
    <row r="444" spans="1:7">
      <c r="A444" t="s">
        <v>498</v>
      </c>
      <c r="B444">
        <v>1</v>
      </c>
      <c r="C444" t="s">
        <v>823</v>
      </c>
      <c r="D444">
        <v>2</v>
      </c>
      <c r="E444">
        <v>5178</v>
      </c>
      <c r="F444">
        <v>568</v>
      </c>
      <c r="G444" s="4">
        <f t="shared" si="7"/>
        <v>0.1096948628814214</v>
      </c>
    </row>
    <row r="445" spans="1:7">
      <c r="A445" t="s">
        <v>498</v>
      </c>
      <c r="B445">
        <v>1</v>
      </c>
      <c r="C445" t="s">
        <v>762</v>
      </c>
      <c r="D445">
        <v>3</v>
      </c>
      <c r="E445">
        <v>5178</v>
      </c>
      <c r="F445">
        <v>1154</v>
      </c>
      <c r="G445" s="4">
        <f t="shared" si="7"/>
        <v>0.22286597141753572</v>
      </c>
    </row>
    <row r="446" spans="1:7">
      <c r="A446" t="s">
        <v>498</v>
      </c>
      <c r="B446">
        <v>1</v>
      </c>
      <c r="C446" t="s">
        <v>824</v>
      </c>
      <c r="D446">
        <v>4</v>
      </c>
      <c r="E446">
        <v>5178</v>
      </c>
      <c r="F446">
        <v>1167</v>
      </c>
      <c r="G446" s="4">
        <f t="shared" si="7"/>
        <v>0.22537659327925841</v>
      </c>
    </row>
    <row r="447" spans="1:7">
      <c r="A447" t="s">
        <v>498</v>
      </c>
      <c r="B447">
        <v>1</v>
      </c>
      <c r="C447" t="s">
        <v>825</v>
      </c>
      <c r="D447">
        <v>5</v>
      </c>
      <c r="E447">
        <v>5178</v>
      </c>
      <c r="F447">
        <v>1226</v>
      </c>
      <c r="G447" s="4">
        <f t="shared" si="7"/>
        <v>0.23677095403630746</v>
      </c>
    </row>
    <row r="448" spans="1:7">
      <c r="A448" t="s">
        <v>498</v>
      </c>
      <c r="B448">
        <v>1</v>
      </c>
      <c r="C448" t="s">
        <v>826</v>
      </c>
      <c r="D448">
        <v>6</v>
      </c>
      <c r="E448">
        <v>5178</v>
      </c>
      <c r="F448">
        <v>1238</v>
      </c>
      <c r="G448" s="4">
        <f t="shared" si="7"/>
        <v>0.23908845113943608</v>
      </c>
    </row>
    <row r="449" spans="1:7">
      <c r="A449" t="s">
        <v>498</v>
      </c>
      <c r="B449">
        <v>1</v>
      </c>
      <c r="C449" t="s">
        <v>474</v>
      </c>
      <c r="D449">
        <v>7</v>
      </c>
      <c r="E449">
        <v>5178</v>
      </c>
      <c r="F449">
        <v>1268</v>
      </c>
      <c r="G449" s="4">
        <f t="shared" si="7"/>
        <v>0.24488219389725763</v>
      </c>
    </row>
    <row r="450" spans="1:7">
      <c r="A450" t="s">
        <v>498</v>
      </c>
      <c r="B450">
        <v>1</v>
      </c>
      <c r="C450" t="s">
        <v>812</v>
      </c>
      <c r="D450">
        <v>8</v>
      </c>
      <c r="E450">
        <v>5178</v>
      </c>
      <c r="F450">
        <v>1555</v>
      </c>
      <c r="G450" s="4">
        <f t="shared" si="7"/>
        <v>0.30030899961375046</v>
      </c>
    </row>
    <row r="451" spans="1:7">
      <c r="A451" t="s">
        <v>499</v>
      </c>
      <c r="B451">
        <v>3</v>
      </c>
      <c r="C451" t="s">
        <v>213</v>
      </c>
      <c r="D451">
        <v>1</v>
      </c>
      <c r="E451">
        <v>62645</v>
      </c>
      <c r="F451">
        <v>54811</v>
      </c>
      <c r="G451" s="4">
        <f t="shared" ref="G451:G514" si="8">F451/E451</f>
        <v>0.87494612499002311</v>
      </c>
    </row>
    <row r="452" spans="1:7">
      <c r="A452" t="s">
        <v>499</v>
      </c>
      <c r="B452">
        <v>3</v>
      </c>
      <c r="C452" t="s">
        <v>473</v>
      </c>
      <c r="D452">
        <v>2</v>
      </c>
      <c r="E452">
        <v>62645</v>
      </c>
      <c r="F452">
        <v>55609</v>
      </c>
      <c r="G452" s="4">
        <f t="shared" si="8"/>
        <v>0.88768457179343918</v>
      </c>
    </row>
    <row r="453" spans="1:7">
      <c r="A453" t="s">
        <v>500</v>
      </c>
      <c r="B453">
        <v>1</v>
      </c>
      <c r="C453" t="s">
        <v>213</v>
      </c>
      <c r="D453">
        <v>1</v>
      </c>
      <c r="E453">
        <v>33352</v>
      </c>
      <c r="F453">
        <v>7005</v>
      </c>
      <c r="G453" s="4">
        <f t="shared" si="8"/>
        <v>0.21003238186615494</v>
      </c>
    </row>
    <row r="454" spans="1:7">
      <c r="A454" t="s">
        <v>500</v>
      </c>
      <c r="B454">
        <v>1</v>
      </c>
      <c r="C454" t="s">
        <v>827</v>
      </c>
      <c r="D454">
        <v>2</v>
      </c>
      <c r="E454">
        <v>33352</v>
      </c>
      <c r="F454">
        <v>8004</v>
      </c>
      <c r="G454" s="4">
        <f t="shared" si="8"/>
        <v>0.23998560805948668</v>
      </c>
    </row>
    <row r="455" spans="1:7">
      <c r="A455" t="s">
        <v>500</v>
      </c>
      <c r="B455">
        <v>1</v>
      </c>
      <c r="C455" t="s">
        <v>716</v>
      </c>
      <c r="D455">
        <v>3</v>
      </c>
      <c r="E455">
        <v>33352</v>
      </c>
      <c r="F455">
        <v>8503</v>
      </c>
      <c r="G455" s="4">
        <f t="shared" si="8"/>
        <v>0.25494722955145116</v>
      </c>
    </row>
    <row r="456" spans="1:7">
      <c r="A456" t="s">
        <v>500</v>
      </c>
      <c r="B456">
        <v>1</v>
      </c>
      <c r="C456" t="s">
        <v>828</v>
      </c>
      <c r="D456">
        <v>4</v>
      </c>
      <c r="E456">
        <v>33352</v>
      </c>
      <c r="F456">
        <v>9527</v>
      </c>
      <c r="G456" s="4">
        <f t="shared" si="8"/>
        <v>0.28565003597985128</v>
      </c>
    </row>
    <row r="457" spans="1:7">
      <c r="A457" t="s">
        <v>500</v>
      </c>
      <c r="B457">
        <v>1</v>
      </c>
      <c r="C457" t="s">
        <v>829</v>
      </c>
      <c r="D457">
        <v>5</v>
      </c>
      <c r="E457">
        <v>33352</v>
      </c>
      <c r="F457">
        <v>10028</v>
      </c>
      <c r="G457" s="4">
        <f t="shared" si="8"/>
        <v>0.30067162389062124</v>
      </c>
    </row>
    <row r="458" spans="1:7">
      <c r="A458" t="s">
        <v>501</v>
      </c>
      <c r="B458">
        <v>4</v>
      </c>
      <c r="C458" t="s">
        <v>213</v>
      </c>
      <c r="D458">
        <v>1</v>
      </c>
      <c r="E458">
        <v>18013</v>
      </c>
      <c r="F458">
        <v>215</v>
      </c>
      <c r="G458" s="4">
        <f t="shared" si="8"/>
        <v>1.1935824127019375E-2</v>
      </c>
    </row>
    <row r="459" spans="1:7">
      <c r="A459" t="s">
        <v>501</v>
      </c>
      <c r="B459">
        <v>4</v>
      </c>
      <c r="C459" t="s">
        <v>210</v>
      </c>
      <c r="D459">
        <v>2</v>
      </c>
      <c r="E459">
        <v>18013</v>
      </c>
      <c r="F459">
        <v>2071</v>
      </c>
      <c r="G459" s="4">
        <f t="shared" si="8"/>
        <v>0.11497251984677732</v>
      </c>
    </row>
    <row r="460" spans="1:7">
      <c r="A460" t="s">
        <v>501</v>
      </c>
      <c r="B460">
        <v>4</v>
      </c>
      <c r="C460" t="s">
        <v>830</v>
      </c>
      <c r="D460">
        <v>3</v>
      </c>
      <c r="E460">
        <v>18013</v>
      </c>
      <c r="F460">
        <v>5627</v>
      </c>
      <c r="G460" s="4">
        <f t="shared" si="8"/>
        <v>0.31238549936157217</v>
      </c>
    </row>
    <row r="461" spans="1:7">
      <c r="A461" t="s">
        <v>501</v>
      </c>
      <c r="B461">
        <v>4</v>
      </c>
      <c r="C461" t="s">
        <v>831</v>
      </c>
      <c r="D461">
        <v>4</v>
      </c>
      <c r="E461">
        <v>18013</v>
      </c>
      <c r="F461">
        <v>5642</v>
      </c>
      <c r="G461" s="4">
        <f t="shared" si="8"/>
        <v>0.31321823127741077</v>
      </c>
    </row>
    <row r="462" spans="1:7">
      <c r="A462" t="s">
        <v>501</v>
      </c>
      <c r="B462">
        <v>4</v>
      </c>
      <c r="C462" t="s">
        <v>504</v>
      </c>
      <c r="D462">
        <v>5</v>
      </c>
      <c r="E462">
        <v>18013</v>
      </c>
      <c r="F462">
        <v>5916</v>
      </c>
      <c r="G462" s="4">
        <f t="shared" si="8"/>
        <v>0.32842946760672848</v>
      </c>
    </row>
    <row r="463" spans="1:7">
      <c r="A463" t="s">
        <v>501</v>
      </c>
      <c r="B463">
        <v>4</v>
      </c>
      <c r="C463" t="s">
        <v>832</v>
      </c>
      <c r="D463">
        <v>6</v>
      </c>
      <c r="E463">
        <v>18013</v>
      </c>
      <c r="F463">
        <v>8759</v>
      </c>
      <c r="G463" s="4">
        <f t="shared" si="8"/>
        <v>0.48625992338866375</v>
      </c>
    </row>
    <row r="464" spans="1:7">
      <c r="A464" t="s">
        <v>501</v>
      </c>
      <c r="B464">
        <v>4</v>
      </c>
      <c r="C464" t="s">
        <v>833</v>
      </c>
      <c r="D464">
        <v>7</v>
      </c>
      <c r="E464">
        <v>18013</v>
      </c>
      <c r="F464">
        <v>14063</v>
      </c>
      <c r="G464" s="4">
        <f t="shared" si="8"/>
        <v>0.78071392882917889</v>
      </c>
    </row>
    <row r="465" spans="1:7">
      <c r="A465" t="s">
        <v>501</v>
      </c>
      <c r="B465">
        <v>5</v>
      </c>
      <c r="C465" t="s">
        <v>834</v>
      </c>
      <c r="D465">
        <v>1</v>
      </c>
      <c r="E465">
        <v>30900</v>
      </c>
      <c r="F465">
        <v>6173</v>
      </c>
      <c r="G465" s="4">
        <f t="shared" si="8"/>
        <v>0.19977346278317151</v>
      </c>
    </row>
    <row r="466" spans="1:7">
      <c r="A466" t="s">
        <v>501</v>
      </c>
      <c r="B466">
        <v>5</v>
      </c>
      <c r="C466" t="s">
        <v>213</v>
      </c>
      <c r="D466">
        <v>2</v>
      </c>
      <c r="E466">
        <v>30900</v>
      </c>
      <c r="F466">
        <v>6303</v>
      </c>
      <c r="G466" s="4">
        <f t="shared" si="8"/>
        <v>0.20398058252427184</v>
      </c>
    </row>
    <row r="467" spans="1:7">
      <c r="A467" t="s">
        <v>501</v>
      </c>
      <c r="B467">
        <v>5</v>
      </c>
      <c r="C467" t="s">
        <v>821</v>
      </c>
      <c r="D467">
        <v>3</v>
      </c>
      <c r="E467">
        <v>30900</v>
      </c>
      <c r="F467">
        <v>9323</v>
      </c>
      <c r="G467" s="4">
        <f t="shared" si="8"/>
        <v>0.30171521035598703</v>
      </c>
    </row>
    <row r="468" spans="1:7">
      <c r="A468" t="s">
        <v>501</v>
      </c>
      <c r="B468">
        <v>5</v>
      </c>
      <c r="C468" t="s">
        <v>835</v>
      </c>
      <c r="D468">
        <v>4</v>
      </c>
      <c r="E468">
        <v>30900</v>
      </c>
      <c r="F468">
        <v>15049</v>
      </c>
      <c r="G468" s="4">
        <f t="shared" si="8"/>
        <v>0.48702265372168285</v>
      </c>
    </row>
    <row r="469" spans="1:7">
      <c r="A469" t="s">
        <v>501</v>
      </c>
      <c r="B469">
        <v>5</v>
      </c>
      <c r="C469" t="s">
        <v>836</v>
      </c>
      <c r="D469">
        <v>5</v>
      </c>
      <c r="E469">
        <v>30900</v>
      </c>
      <c r="F469">
        <v>20598</v>
      </c>
      <c r="G469" s="4">
        <f t="shared" si="8"/>
        <v>0.66660194174757281</v>
      </c>
    </row>
    <row r="470" spans="1:7">
      <c r="A470" t="s">
        <v>501</v>
      </c>
      <c r="B470">
        <v>7</v>
      </c>
      <c r="C470" t="s">
        <v>211</v>
      </c>
      <c r="D470">
        <v>1</v>
      </c>
      <c r="E470">
        <v>1010</v>
      </c>
      <c r="F470">
        <v>284</v>
      </c>
      <c r="G470" s="4">
        <f t="shared" si="8"/>
        <v>0.28118811881188122</v>
      </c>
    </row>
    <row r="471" spans="1:7">
      <c r="A471" t="s">
        <v>501</v>
      </c>
      <c r="B471">
        <v>7</v>
      </c>
      <c r="C471" t="s">
        <v>213</v>
      </c>
      <c r="D471">
        <v>2</v>
      </c>
      <c r="E471">
        <v>1010</v>
      </c>
      <c r="F471">
        <v>520</v>
      </c>
      <c r="G471" s="4">
        <f t="shared" si="8"/>
        <v>0.51485148514851486</v>
      </c>
    </row>
    <row r="472" spans="1:7">
      <c r="A472" t="s">
        <v>501</v>
      </c>
      <c r="B472">
        <v>7</v>
      </c>
      <c r="C472" t="s">
        <v>210</v>
      </c>
      <c r="D472">
        <v>3</v>
      </c>
      <c r="E472">
        <v>1010</v>
      </c>
      <c r="F472">
        <v>883</v>
      </c>
      <c r="G472" s="4">
        <f t="shared" si="8"/>
        <v>0.87425742574257426</v>
      </c>
    </row>
    <row r="473" spans="1:7">
      <c r="A473" t="s">
        <v>501</v>
      </c>
      <c r="B473">
        <v>8</v>
      </c>
      <c r="C473" t="s">
        <v>479</v>
      </c>
      <c r="D473">
        <v>1</v>
      </c>
      <c r="E473">
        <v>1259</v>
      </c>
      <c r="F473">
        <v>374</v>
      </c>
      <c r="G473" s="4">
        <f t="shared" si="8"/>
        <v>0.29706115965051627</v>
      </c>
    </row>
    <row r="474" spans="1:7">
      <c r="A474" t="s">
        <v>501</v>
      </c>
      <c r="B474">
        <v>8</v>
      </c>
      <c r="C474" t="s">
        <v>449</v>
      </c>
      <c r="D474">
        <v>2</v>
      </c>
      <c r="E474">
        <v>1259</v>
      </c>
      <c r="F474">
        <v>629</v>
      </c>
      <c r="G474" s="4">
        <f t="shared" si="8"/>
        <v>0.49960285941223193</v>
      </c>
    </row>
    <row r="475" spans="1:7">
      <c r="A475" t="s">
        <v>501</v>
      </c>
      <c r="B475">
        <v>8</v>
      </c>
      <c r="C475" t="s">
        <v>837</v>
      </c>
      <c r="D475">
        <v>3</v>
      </c>
      <c r="E475">
        <v>1259</v>
      </c>
      <c r="F475">
        <v>666</v>
      </c>
      <c r="G475" s="4">
        <f t="shared" si="8"/>
        <v>0.5289912629070691</v>
      </c>
    </row>
    <row r="476" spans="1:7">
      <c r="A476" t="s">
        <v>501</v>
      </c>
      <c r="B476">
        <v>8</v>
      </c>
      <c r="C476" t="s">
        <v>481</v>
      </c>
      <c r="D476">
        <v>4</v>
      </c>
      <c r="E476">
        <v>1259</v>
      </c>
      <c r="F476">
        <v>667</v>
      </c>
      <c r="G476" s="4">
        <f t="shared" si="8"/>
        <v>0.52978554408260525</v>
      </c>
    </row>
    <row r="477" spans="1:7">
      <c r="A477" t="s">
        <v>501</v>
      </c>
      <c r="B477">
        <v>8</v>
      </c>
      <c r="C477" t="s">
        <v>838</v>
      </c>
      <c r="D477">
        <v>5</v>
      </c>
      <c r="E477">
        <v>1259</v>
      </c>
      <c r="F477">
        <v>920</v>
      </c>
      <c r="G477" s="4">
        <f t="shared" si="8"/>
        <v>0.73073868149324861</v>
      </c>
    </row>
    <row r="478" spans="1:7">
      <c r="A478" t="s">
        <v>501</v>
      </c>
      <c r="B478">
        <v>9</v>
      </c>
      <c r="C478" t="s">
        <v>839</v>
      </c>
      <c r="D478">
        <v>1</v>
      </c>
      <c r="E478">
        <v>1098</v>
      </c>
      <c r="F478">
        <v>257</v>
      </c>
      <c r="G478" s="4">
        <f t="shared" si="8"/>
        <v>0.23406193078324225</v>
      </c>
    </row>
    <row r="479" spans="1:7">
      <c r="A479" t="s">
        <v>501</v>
      </c>
      <c r="B479">
        <v>9</v>
      </c>
      <c r="C479" t="s">
        <v>840</v>
      </c>
      <c r="D479">
        <v>2</v>
      </c>
      <c r="E479">
        <v>1098</v>
      </c>
      <c r="F479">
        <v>266</v>
      </c>
      <c r="G479" s="4">
        <f t="shared" si="8"/>
        <v>0.24225865209471767</v>
      </c>
    </row>
    <row r="480" spans="1:7">
      <c r="A480" t="s">
        <v>501</v>
      </c>
      <c r="B480">
        <v>9</v>
      </c>
      <c r="C480" t="s">
        <v>841</v>
      </c>
      <c r="D480">
        <v>3</v>
      </c>
      <c r="E480">
        <v>1098</v>
      </c>
      <c r="F480">
        <v>274</v>
      </c>
      <c r="G480" s="4">
        <f t="shared" si="8"/>
        <v>0.24954462659380691</v>
      </c>
    </row>
    <row r="481" spans="1:7">
      <c r="A481" t="s">
        <v>501</v>
      </c>
      <c r="B481">
        <v>9</v>
      </c>
      <c r="C481" t="s">
        <v>842</v>
      </c>
      <c r="D481">
        <v>4</v>
      </c>
      <c r="E481">
        <v>1098</v>
      </c>
      <c r="F481">
        <v>300</v>
      </c>
      <c r="G481" s="4">
        <f t="shared" si="8"/>
        <v>0.27322404371584702</v>
      </c>
    </row>
    <row r="482" spans="1:7">
      <c r="A482" t="s">
        <v>501</v>
      </c>
      <c r="B482">
        <v>9</v>
      </c>
      <c r="C482" t="s">
        <v>843</v>
      </c>
      <c r="D482">
        <v>5</v>
      </c>
      <c r="E482">
        <v>1098</v>
      </c>
      <c r="F482">
        <v>332</v>
      </c>
      <c r="G482" s="4">
        <f t="shared" si="8"/>
        <v>0.30236794171220399</v>
      </c>
    </row>
    <row r="483" spans="1:7">
      <c r="A483" t="s">
        <v>501</v>
      </c>
      <c r="B483">
        <v>9</v>
      </c>
      <c r="C483" t="s">
        <v>844</v>
      </c>
      <c r="D483">
        <v>6</v>
      </c>
      <c r="E483">
        <v>1098</v>
      </c>
      <c r="F483">
        <v>340</v>
      </c>
      <c r="G483" s="4">
        <f t="shared" si="8"/>
        <v>0.30965391621129323</v>
      </c>
    </row>
    <row r="484" spans="1:7">
      <c r="A484" t="s">
        <v>501</v>
      </c>
      <c r="B484">
        <v>9</v>
      </c>
      <c r="C484" t="s">
        <v>845</v>
      </c>
      <c r="D484">
        <v>7</v>
      </c>
      <c r="E484">
        <v>1098</v>
      </c>
      <c r="F484">
        <v>341</v>
      </c>
      <c r="G484" s="4">
        <f t="shared" si="8"/>
        <v>0.31056466302367941</v>
      </c>
    </row>
    <row r="485" spans="1:7">
      <c r="A485" t="s">
        <v>501</v>
      </c>
      <c r="B485">
        <v>9</v>
      </c>
      <c r="C485" t="s">
        <v>846</v>
      </c>
      <c r="D485">
        <v>8</v>
      </c>
      <c r="E485">
        <v>1098</v>
      </c>
      <c r="F485">
        <v>344</v>
      </c>
      <c r="G485" s="4">
        <f t="shared" si="8"/>
        <v>0.31329690346083788</v>
      </c>
    </row>
    <row r="486" spans="1:7">
      <c r="A486" t="s">
        <v>501</v>
      </c>
      <c r="B486">
        <v>9</v>
      </c>
      <c r="C486" t="s">
        <v>847</v>
      </c>
      <c r="D486">
        <v>9</v>
      </c>
      <c r="E486">
        <v>1098</v>
      </c>
      <c r="F486">
        <v>347</v>
      </c>
      <c r="G486" s="4">
        <f t="shared" si="8"/>
        <v>0.31602914389799636</v>
      </c>
    </row>
    <row r="487" spans="1:7">
      <c r="A487" t="s">
        <v>501</v>
      </c>
      <c r="B487">
        <v>9</v>
      </c>
      <c r="C487" t="s">
        <v>475</v>
      </c>
      <c r="D487">
        <v>10</v>
      </c>
      <c r="E487">
        <v>1098</v>
      </c>
      <c r="F487">
        <v>349</v>
      </c>
      <c r="G487" s="4">
        <f t="shared" si="8"/>
        <v>0.31785063752276865</v>
      </c>
    </row>
    <row r="488" spans="1:7">
      <c r="A488" t="s">
        <v>501</v>
      </c>
      <c r="B488">
        <v>9</v>
      </c>
      <c r="C488" t="s">
        <v>848</v>
      </c>
      <c r="D488">
        <v>11</v>
      </c>
      <c r="E488">
        <v>1098</v>
      </c>
      <c r="F488">
        <v>353</v>
      </c>
      <c r="G488" s="4">
        <f t="shared" si="8"/>
        <v>0.3214936247723133</v>
      </c>
    </row>
    <row r="489" spans="1:7">
      <c r="A489" t="s">
        <v>501</v>
      </c>
      <c r="B489">
        <v>9</v>
      </c>
      <c r="C489" t="s">
        <v>849</v>
      </c>
      <c r="D489">
        <v>12</v>
      </c>
      <c r="E489">
        <v>1098</v>
      </c>
      <c r="F489">
        <v>418</v>
      </c>
      <c r="G489" s="4">
        <f t="shared" si="8"/>
        <v>0.38069216757741348</v>
      </c>
    </row>
    <row r="490" spans="1:7">
      <c r="A490" t="s">
        <v>501</v>
      </c>
      <c r="B490">
        <v>9</v>
      </c>
      <c r="C490" t="s">
        <v>850</v>
      </c>
      <c r="D490">
        <v>13</v>
      </c>
      <c r="E490">
        <v>1098</v>
      </c>
      <c r="F490">
        <v>443</v>
      </c>
      <c r="G490" s="4">
        <f t="shared" si="8"/>
        <v>0.40346083788706738</v>
      </c>
    </row>
    <row r="491" spans="1:7">
      <c r="A491" t="s">
        <v>501</v>
      </c>
      <c r="B491">
        <v>9</v>
      </c>
      <c r="C491" t="s">
        <v>851</v>
      </c>
      <c r="D491">
        <v>14</v>
      </c>
      <c r="E491">
        <v>1098</v>
      </c>
      <c r="F491">
        <v>485</v>
      </c>
      <c r="G491" s="4">
        <f t="shared" si="8"/>
        <v>0.44171220400728595</v>
      </c>
    </row>
    <row r="492" spans="1:7">
      <c r="A492" t="s">
        <v>501</v>
      </c>
      <c r="B492">
        <v>9</v>
      </c>
      <c r="C492" t="s">
        <v>852</v>
      </c>
      <c r="D492">
        <v>15</v>
      </c>
      <c r="E492">
        <v>1098</v>
      </c>
      <c r="F492">
        <v>663</v>
      </c>
      <c r="G492" s="4">
        <f t="shared" si="8"/>
        <v>0.60382513661202186</v>
      </c>
    </row>
    <row r="493" spans="1:7">
      <c r="A493" t="s">
        <v>501</v>
      </c>
      <c r="B493">
        <v>9</v>
      </c>
      <c r="C493" t="s">
        <v>853</v>
      </c>
      <c r="D493">
        <v>16</v>
      </c>
      <c r="E493">
        <v>1098</v>
      </c>
      <c r="F493">
        <v>697</v>
      </c>
      <c r="G493" s="4">
        <f t="shared" si="8"/>
        <v>0.63479052823315119</v>
      </c>
    </row>
    <row r="494" spans="1:7">
      <c r="A494" t="s">
        <v>501</v>
      </c>
      <c r="B494">
        <v>9</v>
      </c>
      <c r="C494" t="s">
        <v>854</v>
      </c>
      <c r="D494">
        <v>17</v>
      </c>
      <c r="E494">
        <v>1098</v>
      </c>
      <c r="F494">
        <v>741</v>
      </c>
      <c r="G494" s="4">
        <f t="shared" si="8"/>
        <v>0.67486338797814205</v>
      </c>
    </row>
    <row r="495" spans="1:7">
      <c r="A495" t="s">
        <v>501</v>
      </c>
      <c r="B495">
        <v>9</v>
      </c>
      <c r="C495" t="s">
        <v>855</v>
      </c>
      <c r="D495">
        <v>18</v>
      </c>
      <c r="E495">
        <v>1098</v>
      </c>
      <c r="F495">
        <v>754</v>
      </c>
      <c r="G495" s="4">
        <f t="shared" si="8"/>
        <v>0.68670309653916206</v>
      </c>
    </row>
    <row r="496" spans="1:7">
      <c r="A496" t="s">
        <v>501</v>
      </c>
      <c r="B496">
        <v>10</v>
      </c>
      <c r="C496" t="s">
        <v>210</v>
      </c>
      <c r="D496">
        <v>1</v>
      </c>
      <c r="E496">
        <v>1279</v>
      </c>
      <c r="F496">
        <v>1202</v>
      </c>
      <c r="G496" s="4">
        <f t="shared" si="8"/>
        <v>0.93979671618451921</v>
      </c>
    </row>
    <row r="497" spans="1:7">
      <c r="A497" t="s">
        <v>501</v>
      </c>
      <c r="B497">
        <v>10</v>
      </c>
      <c r="C497" t="s">
        <v>448</v>
      </c>
      <c r="D497">
        <v>2</v>
      </c>
      <c r="E497">
        <v>1279</v>
      </c>
      <c r="F497">
        <v>1207</v>
      </c>
      <c r="G497" s="4">
        <f t="shared" si="8"/>
        <v>0.94370602032838158</v>
      </c>
    </row>
    <row r="498" spans="1:7">
      <c r="A498" t="s">
        <v>501</v>
      </c>
      <c r="B498">
        <v>10</v>
      </c>
      <c r="C498" t="s">
        <v>449</v>
      </c>
      <c r="D498">
        <v>3</v>
      </c>
      <c r="E498">
        <v>1279</v>
      </c>
      <c r="F498">
        <v>1210</v>
      </c>
      <c r="G498" s="4">
        <f t="shared" si="8"/>
        <v>0.94605160281469902</v>
      </c>
    </row>
    <row r="499" spans="1:7">
      <c r="A499" t="s">
        <v>501</v>
      </c>
      <c r="B499">
        <v>10</v>
      </c>
      <c r="C499" t="s">
        <v>211</v>
      </c>
      <c r="D499">
        <v>4</v>
      </c>
      <c r="E499">
        <v>1279</v>
      </c>
      <c r="F499">
        <v>1233</v>
      </c>
      <c r="G499" s="4">
        <f t="shared" si="8"/>
        <v>0.96403440187646594</v>
      </c>
    </row>
    <row r="500" spans="1:7">
      <c r="A500" t="s">
        <v>501</v>
      </c>
      <c r="B500">
        <v>11</v>
      </c>
      <c r="C500" t="s">
        <v>815</v>
      </c>
      <c r="D500">
        <v>1</v>
      </c>
      <c r="E500">
        <v>2217</v>
      </c>
      <c r="F500">
        <v>260</v>
      </c>
      <c r="G500" s="4">
        <f t="shared" si="8"/>
        <v>0.11727559765448804</v>
      </c>
    </row>
    <row r="501" spans="1:7">
      <c r="A501" t="s">
        <v>501</v>
      </c>
      <c r="B501">
        <v>11</v>
      </c>
      <c r="C501" t="s">
        <v>856</v>
      </c>
      <c r="D501">
        <v>2</v>
      </c>
      <c r="E501">
        <v>2217</v>
      </c>
      <c r="F501">
        <v>957</v>
      </c>
      <c r="G501" s="4">
        <f t="shared" si="8"/>
        <v>0.4316644113667118</v>
      </c>
    </row>
    <row r="502" spans="1:7">
      <c r="A502" t="s">
        <v>501</v>
      </c>
      <c r="B502">
        <v>11</v>
      </c>
      <c r="C502" t="s">
        <v>857</v>
      </c>
      <c r="D502">
        <v>3</v>
      </c>
      <c r="E502">
        <v>2217</v>
      </c>
      <c r="F502">
        <v>1032</v>
      </c>
      <c r="G502" s="4">
        <f t="shared" si="8"/>
        <v>0.4654939106901218</v>
      </c>
    </row>
    <row r="503" spans="1:7">
      <c r="A503" t="s">
        <v>501</v>
      </c>
      <c r="B503">
        <v>11</v>
      </c>
      <c r="C503" t="s">
        <v>858</v>
      </c>
      <c r="D503">
        <v>4</v>
      </c>
      <c r="E503">
        <v>2217</v>
      </c>
      <c r="F503">
        <v>1034</v>
      </c>
      <c r="G503" s="4">
        <f t="shared" si="8"/>
        <v>0.46639603067207941</v>
      </c>
    </row>
    <row r="504" spans="1:7">
      <c r="A504" t="s">
        <v>501</v>
      </c>
      <c r="B504">
        <v>11</v>
      </c>
      <c r="C504" t="s">
        <v>859</v>
      </c>
      <c r="D504">
        <v>5</v>
      </c>
      <c r="E504">
        <v>2217</v>
      </c>
      <c r="F504">
        <v>1045</v>
      </c>
      <c r="G504" s="4">
        <f t="shared" si="8"/>
        <v>0.47135769057284621</v>
      </c>
    </row>
    <row r="505" spans="1:7">
      <c r="A505" t="s">
        <v>501</v>
      </c>
      <c r="B505">
        <v>11</v>
      </c>
      <c r="C505" t="s">
        <v>817</v>
      </c>
      <c r="D505">
        <v>6</v>
      </c>
      <c r="E505">
        <v>2217</v>
      </c>
      <c r="F505">
        <v>1078</v>
      </c>
      <c r="G505" s="4">
        <f t="shared" si="8"/>
        <v>0.48624267027514662</v>
      </c>
    </row>
    <row r="506" spans="1:7">
      <c r="A506" t="s">
        <v>501</v>
      </c>
      <c r="B506">
        <v>11</v>
      </c>
      <c r="C506" t="s">
        <v>860</v>
      </c>
      <c r="D506">
        <v>7</v>
      </c>
      <c r="E506">
        <v>2217</v>
      </c>
      <c r="F506">
        <v>1084</v>
      </c>
      <c r="G506" s="4">
        <f t="shared" si="8"/>
        <v>0.48894903022101938</v>
      </c>
    </row>
    <row r="507" spans="1:7">
      <c r="A507" t="s">
        <v>501</v>
      </c>
      <c r="B507">
        <v>11</v>
      </c>
      <c r="C507" t="s">
        <v>861</v>
      </c>
      <c r="D507">
        <v>8</v>
      </c>
      <c r="E507">
        <v>2217</v>
      </c>
      <c r="F507">
        <v>1203</v>
      </c>
      <c r="G507" s="4">
        <f t="shared" si="8"/>
        <v>0.54262516914749659</v>
      </c>
    </row>
    <row r="508" spans="1:7">
      <c r="A508" t="s">
        <v>501</v>
      </c>
      <c r="B508">
        <v>11</v>
      </c>
      <c r="C508" t="s">
        <v>862</v>
      </c>
      <c r="D508">
        <v>9</v>
      </c>
      <c r="E508">
        <v>2217</v>
      </c>
      <c r="F508">
        <v>1205</v>
      </c>
      <c r="G508" s="4">
        <f t="shared" si="8"/>
        <v>0.54352728912945425</v>
      </c>
    </row>
    <row r="509" spans="1:7">
      <c r="A509" t="s">
        <v>501</v>
      </c>
      <c r="B509">
        <v>11</v>
      </c>
      <c r="C509" t="s">
        <v>863</v>
      </c>
      <c r="D509">
        <v>10</v>
      </c>
      <c r="E509">
        <v>2217</v>
      </c>
      <c r="F509">
        <v>1216</v>
      </c>
      <c r="G509" s="4">
        <f t="shared" si="8"/>
        <v>0.54848894903022105</v>
      </c>
    </row>
    <row r="510" spans="1:7">
      <c r="A510" t="s">
        <v>501</v>
      </c>
      <c r="B510">
        <v>11</v>
      </c>
      <c r="C510" t="s">
        <v>864</v>
      </c>
      <c r="D510">
        <v>11</v>
      </c>
      <c r="E510">
        <v>2217</v>
      </c>
      <c r="F510">
        <v>1233</v>
      </c>
      <c r="G510" s="4">
        <f t="shared" si="8"/>
        <v>0.55615696887686061</v>
      </c>
    </row>
    <row r="511" spans="1:7">
      <c r="A511" t="s">
        <v>501</v>
      </c>
      <c r="B511">
        <v>11</v>
      </c>
      <c r="C511" t="s">
        <v>865</v>
      </c>
      <c r="D511">
        <v>12</v>
      </c>
      <c r="E511">
        <v>2217</v>
      </c>
      <c r="F511">
        <v>1255</v>
      </c>
      <c r="G511" s="4">
        <f t="shared" si="8"/>
        <v>0.56608028867839422</v>
      </c>
    </row>
    <row r="512" spans="1:7">
      <c r="A512" t="s">
        <v>501</v>
      </c>
      <c r="B512">
        <v>11</v>
      </c>
      <c r="C512" t="s">
        <v>866</v>
      </c>
      <c r="D512">
        <v>13</v>
      </c>
      <c r="E512">
        <v>2217</v>
      </c>
      <c r="F512">
        <v>1268</v>
      </c>
      <c r="G512" s="4">
        <f t="shared" si="8"/>
        <v>0.57194406856111868</v>
      </c>
    </row>
    <row r="513" spans="1:7">
      <c r="A513" t="s">
        <v>501</v>
      </c>
      <c r="B513">
        <v>11</v>
      </c>
      <c r="C513" t="s">
        <v>867</v>
      </c>
      <c r="D513">
        <v>14</v>
      </c>
      <c r="E513">
        <v>2217</v>
      </c>
      <c r="F513">
        <v>1287</v>
      </c>
      <c r="G513" s="4">
        <f t="shared" si="8"/>
        <v>0.58051420838971579</v>
      </c>
    </row>
    <row r="514" spans="1:7">
      <c r="A514" t="s">
        <v>501</v>
      </c>
      <c r="B514">
        <v>11</v>
      </c>
      <c r="C514" t="s">
        <v>868</v>
      </c>
      <c r="D514">
        <v>15</v>
      </c>
      <c r="E514">
        <v>2217</v>
      </c>
      <c r="F514">
        <v>1288</v>
      </c>
      <c r="G514" s="4">
        <f t="shared" si="8"/>
        <v>0.58096526838069462</v>
      </c>
    </row>
    <row r="515" spans="1:7">
      <c r="A515" t="s">
        <v>501</v>
      </c>
      <c r="B515">
        <v>11</v>
      </c>
      <c r="C515" t="s">
        <v>869</v>
      </c>
      <c r="D515">
        <v>16</v>
      </c>
      <c r="E515">
        <v>2217</v>
      </c>
      <c r="F515">
        <v>1307</v>
      </c>
      <c r="G515" s="4">
        <f t="shared" ref="G515:G545" si="9">F515/E515</f>
        <v>0.58953540820929184</v>
      </c>
    </row>
    <row r="516" spans="1:7">
      <c r="A516" t="s">
        <v>501</v>
      </c>
      <c r="B516">
        <v>11</v>
      </c>
      <c r="C516" t="s">
        <v>870</v>
      </c>
      <c r="D516">
        <v>17</v>
      </c>
      <c r="E516">
        <v>2217</v>
      </c>
      <c r="F516">
        <v>1331</v>
      </c>
      <c r="G516" s="4">
        <f t="shared" si="9"/>
        <v>0.600360847992783</v>
      </c>
    </row>
    <row r="517" spans="1:7">
      <c r="A517" t="s">
        <v>501</v>
      </c>
      <c r="B517">
        <v>11</v>
      </c>
      <c r="C517" t="s">
        <v>871</v>
      </c>
      <c r="D517">
        <v>18</v>
      </c>
      <c r="E517">
        <v>2217</v>
      </c>
      <c r="F517">
        <v>1368</v>
      </c>
      <c r="G517" s="4">
        <f t="shared" si="9"/>
        <v>0.61705006765899861</v>
      </c>
    </row>
    <row r="518" spans="1:7">
      <c r="A518" t="s">
        <v>501</v>
      </c>
      <c r="B518">
        <v>11</v>
      </c>
      <c r="C518" t="s">
        <v>872</v>
      </c>
      <c r="D518">
        <v>19</v>
      </c>
      <c r="E518">
        <v>2217</v>
      </c>
      <c r="F518">
        <v>1373</v>
      </c>
      <c r="G518" s="4">
        <f t="shared" si="9"/>
        <v>0.61930536761389265</v>
      </c>
    </row>
    <row r="519" spans="1:7">
      <c r="A519" t="s">
        <v>501</v>
      </c>
      <c r="B519">
        <v>12</v>
      </c>
      <c r="C519" t="s">
        <v>873</v>
      </c>
      <c r="D519">
        <v>1</v>
      </c>
      <c r="E519">
        <v>1308</v>
      </c>
      <c r="F519">
        <v>231</v>
      </c>
      <c r="G519" s="4">
        <f t="shared" si="9"/>
        <v>0.17660550458715596</v>
      </c>
    </row>
    <row r="520" spans="1:7">
      <c r="A520" t="s">
        <v>501</v>
      </c>
      <c r="B520">
        <v>12</v>
      </c>
      <c r="C520" t="s">
        <v>874</v>
      </c>
      <c r="D520">
        <v>2</v>
      </c>
      <c r="E520">
        <v>1308</v>
      </c>
      <c r="F520">
        <v>758</v>
      </c>
      <c r="G520" s="4">
        <f t="shared" si="9"/>
        <v>0.57951070336391441</v>
      </c>
    </row>
    <row r="521" spans="1:7">
      <c r="A521" t="s">
        <v>501</v>
      </c>
      <c r="B521">
        <v>12</v>
      </c>
      <c r="C521" t="s">
        <v>875</v>
      </c>
      <c r="D521">
        <v>3</v>
      </c>
      <c r="E521">
        <v>1308</v>
      </c>
      <c r="F521">
        <v>760</v>
      </c>
      <c r="G521" s="4">
        <f t="shared" si="9"/>
        <v>0.58103975535168195</v>
      </c>
    </row>
    <row r="522" spans="1:7">
      <c r="A522" t="s">
        <v>501</v>
      </c>
      <c r="B522">
        <v>12</v>
      </c>
      <c r="C522" t="s">
        <v>876</v>
      </c>
      <c r="D522">
        <v>4</v>
      </c>
      <c r="E522">
        <v>1308</v>
      </c>
      <c r="F522">
        <v>782</v>
      </c>
      <c r="G522" s="4">
        <f t="shared" si="9"/>
        <v>0.59785932721712542</v>
      </c>
    </row>
    <row r="523" spans="1:7">
      <c r="A523" t="s">
        <v>501</v>
      </c>
      <c r="B523">
        <v>12</v>
      </c>
      <c r="C523" t="s">
        <v>840</v>
      </c>
      <c r="D523">
        <v>5</v>
      </c>
      <c r="E523">
        <v>1308</v>
      </c>
      <c r="F523">
        <v>801</v>
      </c>
      <c r="G523" s="4">
        <f t="shared" si="9"/>
        <v>0.61238532110091748</v>
      </c>
    </row>
    <row r="524" spans="1:7">
      <c r="A524" t="s">
        <v>501</v>
      </c>
      <c r="B524">
        <v>12</v>
      </c>
      <c r="C524" t="s">
        <v>467</v>
      </c>
      <c r="D524">
        <v>6</v>
      </c>
      <c r="E524">
        <v>1308</v>
      </c>
      <c r="F524">
        <v>823</v>
      </c>
      <c r="G524" s="4">
        <f t="shared" si="9"/>
        <v>0.62920489296636084</v>
      </c>
    </row>
    <row r="525" spans="1:7">
      <c r="A525" t="s">
        <v>501</v>
      </c>
      <c r="B525">
        <v>12</v>
      </c>
      <c r="C525" t="s">
        <v>877</v>
      </c>
      <c r="D525">
        <v>7</v>
      </c>
      <c r="E525">
        <v>1308</v>
      </c>
      <c r="F525">
        <v>846</v>
      </c>
      <c r="G525" s="4">
        <f t="shared" si="9"/>
        <v>0.64678899082568808</v>
      </c>
    </row>
    <row r="526" spans="1:7">
      <c r="A526" t="s">
        <v>501</v>
      </c>
      <c r="B526">
        <v>12</v>
      </c>
      <c r="C526" t="s">
        <v>878</v>
      </c>
      <c r="D526">
        <v>8</v>
      </c>
      <c r="E526">
        <v>1308</v>
      </c>
      <c r="F526">
        <v>858</v>
      </c>
      <c r="G526" s="4">
        <f t="shared" si="9"/>
        <v>0.65596330275229353</v>
      </c>
    </row>
    <row r="527" spans="1:7">
      <c r="A527" t="s">
        <v>501</v>
      </c>
      <c r="B527">
        <v>12</v>
      </c>
      <c r="C527" t="s">
        <v>879</v>
      </c>
      <c r="D527">
        <v>9</v>
      </c>
      <c r="E527">
        <v>1308</v>
      </c>
      <c r="F527">
        <v>889</v>
      </c>
      <c r="G527" s="4">
        <f t="shared" si="9"/>
        <v>0.67966360856269115</v>
      </c>
    </row>
    <row r="528" spans="1:7">
      <c r="A528" t="s">
        <v>501</v>
      </c>
      <c r="B528">
        <v>13</v>
      </c>
      <c r="C528" t="s">
        <v>473</v>
      </c>
      <c r="D528">
        <v>1</v>
      </c>
      <c r="E528">
        <v>243</v>
      </c>
      <c r="F528">
        <v>158</v>
      </c>
      <c r="G528" s="4">
        <f t="shared" si="9"/>
        <v>0.65020576131687247</v>
      </c>
    </row>
    <row r="529" spans="1:7">
      <c r="A529" t="s">
        <v>501</v>
      </c>
      <c r="B529">
        <v>13</v>
      </c>
      <c r="C529" t="s">
        <v>213</v>
      </c>
      <c r="D529">
        <v>2</v>
      </c>
      <c r="E529">
        <v>243</v>
      </c>
      <c r="F529">
        <v>230</v>
      </c>
      <c r="G529" s="4">
        <f t="shared" si="9"/>
        <v>0.94650205761316875</v>
      </c>
    </row>
    <row r="530" spans="1:7">
      <c r="A530" t="s">
        <v>880</v>
      </c>
      <c r="B530">
        <v>2</v>
      </c>
      <c r="C530" t="s">
        <v>213</v>
      </c>
      <c r="D530">
        <v>1</v>
      </c>
      <c r="E530">
        <v>2710</v>
      </c>
      <c r="F530">
        <v>19</v>
      </c>
      <c r="G530" s="4">
        <f t="shared" si="9"/>
        <v>7.0110701107011066E-3</v>
      </c>
    </row>
    <row r="531" spans="1:7">
      <c r="A531" t="s">
        <v>880</v>
      </c>
      <c r="B531">
        <v>2</v>
      </c>
      <c r="C531" t="s">
        <v>881</v>
      </c>
      <c r="D531">
        <v>2</v>
      </c>
      <c r="E531">
        <v>2710</v>
      </c>
      <c r="F531">
        <v>843</v>
      </c>
      <c r="G531" s="4">
        <f t="shared" si="9"/>
        <v>0.31107011070110702</v>
      </c>
    </row>
    <row r="532" spans="1:7">
      <c r="A532" t="s">
        <v>880</v>
      </c>
      <c r="B532">
        <v>2</v>
      </c>
      <c r="C532" t="s">
        <v>211</v>
      </c>
      <c r="D532">
        <v>3</v>
      </c>
      <c r="E532">
        <v>2710</v>
      </c>
      <c r="F532">
        <v>1239</v>
      </c>
      <c r="G532" s="4">
        <f t="shared" si="9"/>
        <v>0.45719557195571958</v>
      </c>
    </row>
    <row r="533" spans="1:7">
      <c r="A533" t="s">
        <v>880</v>
      </c>
      <c r="B533">
        <v>2</v>
      </c>
      <c r="C533" t="s">
        <v>721</v>
      </c>
      <c r="D533">
        <v>4</v>
      </c>
      <c r="E533">
        <v>2710</v>
      </c>
      <c r="F533">
        <v>1785</v>
      </c>
      <c r="G533" s="4">
        <f t="shared" si="9"/>
        <v>0.65867158671586712</v>
      </c>
    </row>
    <row r="534" spans="1:7">
      <c r="A534" t="s">
        <v>880</v>
      </c>
      <c r="B534">
        <v>6</v>
      </c>
      <c r="C534" t="s">
        <v>507</v>
      </c>
      <c r="D534">
        <v>1</v>
      </c>
      <c r="E534">
        <v>1112</v>
      </c>
      <c r="F534">
        <v>852</v>
      </c>
      <c r="G534" s="4">
        <f t="shared" si="9"/>
        <v>0.76618705035971224</v>
      </c>
    </row>
    <row r="535" spans="1:7">
      <c r="A535" t="s">
        <v>880</v>
      </c>
      <c r="B535">
        <v>6</v>
      </c>
      <c r="C535" t="s">
        <v>882</v>
      </c>
      <c r="D535">
        <v>2</v>
      </c>
      <c r="E535">
        <v>1112</v>
      </c>
      <c r="F535">
        <v>859</v>
      </c>
      <c r="G535" s="4">
        <f t="shared" si="9"/>
        <v>0.77248201438848918</v>
      </c>
    </row>
    <row r="536" spans="1:7">
      <c r="A536" t="s">
        <v>880</v>
      </c>
      <c r="B536">
        <v>6</v>
      </c>
      <c r="C536" t="s">
        <v>883</v>
      </c>
      <c r="D536">
        <v>3</v>
      </c>
      <c r="E536">
        <v>1112</v>
      </c>
      <c r="F536">
        <v>971</v>
      </c>
      <c r="G536" s="4">
        <f t="shared" si="9"/>
        <v>0.87320143884892087</v>
      </c>
    </row>
    <row r="537" spans="1:7">
      <c r="A537" t="s">
        <v>880</v>
      </c>
      <c r="B537">
        <v>6</v>
      </c>
      <c r="C537" t="s">
        <v>884</v>
      </c>
      <c r="D537">
        <v>4</v>
      </c>
      <c r="E537">
        <v>1112</v>
      </c>
      <c r="F537">
        <v>976</v>
      </c>
      <c r="G537" s="4">
        <f t="shared" si="9"/>
        <v>0.87769784172661869</v>
      </c>
    </row>
    <row r="538" spans="1:7">
      <c r="A538" t="s">
        <v>880</v>
      </c>
      <c r="B538">
        <v>6</v>
      </c>
      <c r="C538" t="s">
        <v>885</v>
      </c>
      <c r="D538">
        <v>5</v>
      </c>
      <c r="E538">
        <v>1112</v>
      </c>
      <c r="F538">
        <v>983</v>
      </c>
      <c r="G538" s="4">
        <f t="shared" si="9"/>
        <v>0.88399280575539574</v>
      </c>
    </row>
    <row r="539" spans="1:7">
      <c r="A539" t="s">
        <v>880</v>
      </c>
      <c r="B539">
        <v>6</v>
      </c>
      <c r="C539" t="s">
        <v>717</v>
      </c>
      <c r="D539">
        <v>6</v>
      </c>
      <c r="E539">
        <v>1112</v>
      </c>
      <c r="F539">
        <v>985</v>
      </c>
      <c r="G539" s="4">
        <f t="shared" si="9"/>
        <v>0.88579136690647486</v>
      </c>
    </row>
    <row r="540" spans="1:7">
      <c r="A540" t="s">
        <v>880</v>
      </c>
      <c r="B540">
        <v>8</v>
      </c>
      <c r="C540" t="s">
        <v>473</v>
      </c>
      <c r="D540">
        <v>1</v>
      </c>
      <c r="E540">
        <v>1300</v>
      </c>
      <c r="F540">
        <v>1201</v>
      </c>
      <c r="G540" s="4">
        <f t="shared" si="9"/>
        <v>0.92384615384615387</v>
      </c>
    </row>
    <row r="541" spans="1:7">
      <c r="A541" t="s">
        <v>880</v>
      </c>
      <c r="B541">
        <v>8</v>
      </c>
      <c r="C541" t="s">
        <v>213</v>
      </c>
      <c r="D541">
        <v>2</v>
      </c>
      <c r="E541">
        <v>1300</v>
      </c>
      <c r="F541">
        <v>1227</v>
      </c>
      <c r="G541" s="4">
        <f t="shared" si="9"/>
        <v>0.94384615384615389</v>
      </c>
    </row>
    <row r="542" spans="1:7">
      <c r="A542" t="s">
        <v>880</v>
      </c>
      <c r="B542">
        <v>11</v>
      </c>
      <c r="C542" t="s">
        <v>814</v>
      </c>
      <c r="D542">
        <v>1</v>
      </c>
      <c r="E542">
        <v>12468</v>
      </c>
      <c r="F542">
        <v>10037</v>
      </c>
      <c r="G542" s="4">
        <f t="shared" si="9"/>
        <v>0.80502085338466478</v>
      </c>
    </row>
    <row r="543" spans="1:7">
      <c r="A543" t="s">
        <v>880</v>
      </c>
      <c r="B543">
        <v>11</v>
      </c>
      <c r="C543" t="s">
        <v>886</v>
      </c>
      <c r="D543">
        <v>2</v>
      </c>
      <c r="E543">
        <v>12468</v>
      </c>
      <c r="F543">
        <v>10936</v>
      </c>
      <c r="G543" s="4">
        <f t="shared" si="9"/>
        <v>0.87712544112929103</v>
      </c>
    </row>
    <row r="544" spans="1:7">
      <c r="A544" t="s">
        <v>880</v>
      </c>
      <c r="B544">
        <v>11</v>
      </c>
      <c r="C544" t="s">
        <v>887</v>
      </c>
      <c r="D544">
        <v>3</v>
      </c>
      <c r="E544">
        <v>12468</v>
      </c>
      <c r="F544">
        <v>11523</v>
      </c>
      <c r="G544" s="4">
        <f t="shared" si="9"/>
        <v>0.92420596727622717</v>
      </c>
    </row>
    <row r="545" spans="1:7">
      <c r="A545" t="s">
        <v>880</v>
      </c>
      <c r="B545">
        <v>11</v>
      </c>
      <c r="C545" t="s">
        <v>888</v>
      </c>
      <c r="D545">
        <v>4</v>
      </c>
      <c r="E545">
        <v>12468</v>
      </c>
      <c r="F545">
        <v>11720</v>
      </c>
      <c r="G545" s="4">
        <f t="shared" si="9"/>
        <v>0.94000641642605065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5"/>
  <sheetViews>
    <sheetView topLeftCell="A520" workbookViewId="0">
      <selection activeCell="A555" sqref="A555:XFD555"/>
    </sheetView>
  </sheetViews>
  <sheetFormatPr baseColWidth="10" defaultRowHeight="15" x14ac:dyDescent="0"/>
  <cols>
    <col min="1" max="1" width="25.33203125" bestFit="1" customWidth="1"/>
  </cols>
  <sheetData>
    <row r="1" spans="1:9">
      <c r="A1" t="s">
        <v>486</v>
      </c>
      <c r="B1" t="s">
        <v>487</v>
      </c>
      <c r="C1" t="s">
        <v>488</v>
      </c>
      <c r="D1" s="2" t="s">
        <v>450</v>
      </c>
      <c r="E1" s="2" t="s">
        <v>452</v>
      </c>
      <c r="F1" s="2" t="s">
        <v>451</v>
      </c>
      <c r="G1" s="2" t="s">
        <v>453</v>
      </c>
      <c r="H1" s="2" t="s">
        <v>277</v>
      </c>
      <c r="I1" s="2" t="s">
        <v>502</v>
      </c>
    </row>
    <row r="2" spans="1:9">
      <c r="A2" t="s">
        <v>458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4">
        <f>D2/H2</f>
        <v>0.90196078431372551</v>
      </c>
    </row>
    <row r="3" spans="1:9">
      <c r="A3" t="s">
        <v>458</v>
      </c>
      <c r="B3">
        <v>1</v>
      </c>
      <c r="C3">
        <v>2</v>
      </c>
      <c r="D3">
        <v>49</v>
      </c>
      <c r="E3">
        <v>0</v>
      </c>
      <c r="F3">
        <v>2</v>
      </c>
      <c r="G3">
        <v>0</v>
      </c>
      <c r="H3">
        <v>51</v>
      </c>
      <c r="I3" s="4">
        <f t="shared" ref="I3:I66" si="0">D3/H3</f>
        <v>0.96078431372549022</v>
      </c>
    </row>
    <row r="4" spans="1:9">
      <c r="A4" t="s">
        <v>458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4">
        <f t="shared" si="0"/>
        <v>1</v>
      </c>
    </row>
    <row r="5" spans="1:9">
      <c r="A5" t="s">
        <v>458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4">
        <f t="shared" si="0"/>
        <v>1</v>
      </c>
    </row>
    <row r="6" spans="1:9">
      <c r="A6" t="s">
        <v>458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4">
        <f t="shared" si="0"/>
        <v>0.33333333333333331</v>
      </c>
    </row>
    <row r="7" spans="1:9">
      <c r="A7" t="s">
        <v>458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4">
        <f t="shared" si="0"/>
        <v>0.5757575757575758</v>
      </c>
    </row>
    <row r="8" spans="1:9">
      <c r="A8" t="s">
        <v>458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4">
        <f t="shared" si="0"/>
        <v>0.60606060606060608</v>
      </c>
    </row>
    <row r="9" spans="1:9">
      <c r="A9" t="s">
        <v>458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4">
        <f t="shared" si="0"/>
        <v>0.78787878787878785</v>
      </c>
    </row>
    <row r="10" spans="1:9">
      <c r="A10" t="s">
        <v>458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4">
        <f t="shared" si="0"/>
        <v>0.78787878787878785</v>
      </c>
    </row>
    <row r="11" spans="1:9">
      <c r="A11" t="s">
        <v>458</v>
      </c>
      <c r="B11">
        <v>2</v>
      </c>
      <c r="C11">
        <v>6</v>
      </c>
      <c r="D11">
        <v>31</v>
      </c>
      <c r="E11">
        <v>0</v>
      </c>
      <c r="F11">
        <v>2</v>
      </c>
      <c r="G11">
        <v>0</v>
      </c>
      <c r="H11">
        <v>33</v>
      </c>
      <c r="I11" s="4">
        <f t="shared" si="0"/>
        <v>0.93939393939393945</v>
      </c>
    </row>
    <row r="12" spans="1:9">
      <c r="A12" t="s">
        <v>458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4">
        <f t="shared" si="0"/>
        <v>0.96969696969696972</v>
      </c>
    </row>
    <row r="13" spans="1:9">
      <c r="A13" t="s">
        <v>458</v>
      </c>
      <c r="B13">
        <v>2</v>
      </c>
      <c r="C13">
        <v>8</v>
      </c>
      <c r="D13">
        <v>32</v>
      </c>
      <c r="E13">
        <v>0</v>
      </c>
      <c r="F13">
        <v>1</v>
      </c>
      <c r="G13">
        <v>0</v>
      </c>
      <c r="H13">
        <v>33</v>
      </c>
      <c r="I13" s="4">
        <f t="shared" si="0"/>
        <v>0.96969696969696972</v>
      </c>
    </row>
    <row r="14" spans="1:9">
      <c r="A14" t="s">
        <v>458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4">
        <f t="shared" si="0"/>
        <v>1</v>
      </c>
    </row>
    <row r="15" spans="1:9">
      <c r="A15" t="s">
        <v>458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4">
        <f t="shared" si="0"/>
        <v>1</v>
      </c>
    </row>
    <row r="16" spans="1:9">
      <c r="A16" t="s">
        <v>458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4">
        <f t="shared" si="0"/>
        <v>1</v>
      </c>
    </row>
    <row r="17" spans="1:9">
      <c r="A17" t="s">
        <v>458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4">
        <f t="shared" si="0"/>
        <v>1</v>
      </c>
    </row>
    <row r="18" spans="1:9">
      <c r="A18" t="s">
        <v>458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4">
        <f t="shared" si="0"/>
        <v>1</v>
      </c>
    </row>
    <row r="19" spans="1:9">
      <c r="A19" t="s">
        <v>458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4">
        <f t="shared" si="0"/>
        <v>1</v>
      </c>
    </row>
    <row r="20" spans="1:9">
      <c r="A20" t="s">
        <v>458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4">
        <f t="shared" si="0"/>
        <v>1</v>
      </c>
    </row>
    <row r="21" spans="1:9">
      <c r="A21" t="s">
        <v>458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4">
        <f t="shared" si="0"/>
        <v>0.22222222222222221</v>
      </c>
    </row>
    <row r="22" spans="1:9">
      <c r="A22" t="s">
        <v>458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4">
        <f t="shared" si="0"/>
        <v>0.55555555555555558</v>
      </c>
    </row>
    <row r="23" spans="1:9">
      <c r="A23" t="s">
        <v>458</v>
      </c>
      <c r="B23">
        <v>6</v>
      </c>
      <c r="C23">
        <v>3</v>
      </c>
      <c r="D23">
        <v>11</v>
      </c>
      <c r="E23">
        <v>0</v>
      </c>
      <c r="F23">
        <v>2</v>
      </c>
      <c r="G23">
        <v>0</v>
      </c>
      <c r="H23">
        <v>18</v>
      </c>
      <c r="I23" s="4">
        <f t="shared" si="0"/>
        <v>0.61111111111111116</v>
      </c>
    </row>
    <row r="24" spans="1:9">
      <c r="A24" t="s">
        <v>458</v>
      </c>
      <c r="B24">
        <v>6</v>
      </c>
      <c r="C24">
        <v>4</v>
      </c>
      <c r="D24">
        <v>16</v>
      </c>
      <c r="E24">
        <v>0</v>
      </c>
      <c r="F24">
        <v>2</v>
      </c>
      <c r="G24">
        <v>0</v>
      </c>
      <c r="H24">
        <v>18</v>
      </c>
      <c r="I24" s="4">
        <f t="shared" si="0"/>
        <v>0.88888888888888884</v>
      </c>
    </row>
    <row r="25" spans="1:9">
      <c r="A25" t="s">
        <v>458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4">
        <f t="shared" si="0"/>
        <v>1</v>
      </c>
    </row>
    <row r="26" spans="1:9">
      <c r="A26" t="s">
        <v>458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4">
        <f t="shared" si="0"/>
        <v>6.5217391304347824E-2</v>
      </c>
    </row>
    <row r="27" spans="1:9">
      <c r="A27" t="s">
        <v>458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4">
        <f t="shared" si="0"/>
        <v>6.5217391304347824E-2</v>
      </c>
    </row>
    <row r="28" spans="1:9">
      <c r="A28" t="s">
        <v>458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4">
        <f t="shared" si="0"/>
        <v>6.5217391304347824E-2</v>
      </c>
    </row>
    <row r="29" spans="1:9">
      <c r="A29" t="s">
        <v>458</v>
      </c>
      <c r="B29">
        <v>9</v>
      </c>
      <c r="C29">
        <v>4</v>
      </c>
      <c r="D29">
        <v>7</v>
      </c>
      <c r="E29">
        <v>0</v>
      </c>
      <c r="F29">
        <v>1</v>
      </c>
      <c r="G29">
        <v>0</v>
      </c>
      <c r="H29">
        <v>46</v>
      </c>
      <c r="I29" s="4">
        <f t="shared" si="0"/>
        <v>0.15217391304347827</v>
      </c>
    </row>
    <row r="30" spans="1:9">
      <c r="A30" t="s">
        <v>458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4">
        <f t="shared" si="0"/>
        <v>0.2391304347826087</v>
      </c>
    </row>
    <row r="31" spans="1:9">
      <c r="A31" t="s">
        <v>458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4">
        <f t="shared" si="0"/>
        <v>0.5</v>
      </c>
    </row>
    <row r="32" spans="1:9">
      <c r="A32" t="s">
        <v>458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4">
        <f t="shared" si="0"/>
        <v>0.65217391304347827</v>
      </c>
    </row>
    <row r="33" spans="1:9">
      <c r="A33" t="s">
        <v>458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4">
        <f t="shared" si="0"/>
        <v>0.91304347826086951</v>
      </c>
    </row>
    <row r="34" spans="1:9">
      <c r="A34" t="s">
        <v>458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4">
        <f t="shared" si="0"/>
        <v>1</v>
      </c>
    </row>
    <row r="35" spans="1:9">
      <c r="A35" t="s">
        <v>458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4">
        <f t="shared" si="0"/>
        <v>1</v>
      </c>
    </row>
    <row r="36" spans="1:9">
      <c r="A36" t="s">
        <v>489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4">
        <f t="shared" si="0"/>
        <v>0.19354838709677419</v>
      </c>
    </row>
    <row r="37" spans="1:9">
      <c r="A37" t="s">
        <v>489</v>
      </c>
      <c r="B37">
        <v>2</v>
      </c>
      <c r="C37">
        <v>2</v>
      </c>
      <c r="D37">
        <v>22</v>
      </c>
      <c r="E37">
        <v>0</v>
      </c>
      <c r="F37">
        <v>2</v>
      </c>
      <c r="G37">
        <v>0</v>
      </c>
      <c r="H37">
        <v>31</v>
      </c>
      <c r="I37" s="4">
        <f t="shared" si="0"/>
        <v>0.70967741935483875</v>
      </c>
    </row>
    <row r="38" spans="1:9">
      <c r="A38" t="s">
        <v>489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4">
        <f t="shared" si="0"/>
        <v>0.93548387096774188</v>
      </c>
    </row>
    <row r="39" spans="1:9">
      <c r="A39" t="s">
        <v>489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4">
        <f t="shared" si="0"/>
        <v>1</v>
      </c>
    </row>
    <row r="40" spans="1:9">
      <c r="A40" t="s">
        <v>489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4">
        <f t="shared" si="0"/>
        <v>0.19354838709677419</v>
      </c>
    </row>
    <row r="41" spans="1:9">
      <c r="A41" t="s">
        <v>489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4">
        <f t="shared" si="0"/>
        <v>0.54838709677419351</v>
      </c>
    </row>
    <row r="42" spans="1:9">
      <c r="A42" t="s">
        <v>489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4">
        <f t="shared" si="0"/>
        <v>0.93548387096774188</v>
      </c>
    </row>
    <row r="43" spans="1:9">
      <c r="A43" t="s">
        <v>489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4">
        <f t="shared" si="0"/>
        <v>1</v>
      </c>
    </row>
    <row r="44" spans="1:9">
      <c r="A44" t="s">
        <v>489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4">
        <f t="shared" si="0"/>
        <v>0.125</v>
      </c>
    </row>
    <row r="45" spans="1:9">
      <c r="A45" t="s">
        <v>489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4">
        <f t="shared" si="0"/>
        <v>0.375</v>
      </c>
    </row>
    <row r="46" spans="1:9">
      <c r="A46" t="s">
        <v>489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4">
        <f t="shared" si="0"/>
        <v>0.625</v>
      </c>
    </row>
    <row r="47" spans="1:9">
      <c r="A47" t="s">
        <v>489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4">
        <f t="shared" si="0"/>
        <v>0.875</v>
      </c>
    </row>
    <row r="48" spans="1:9">
      <c r="A48" t="s">
        <v>489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4">
        <f t="shared" si="0"/>
        <v>1</v>
      </c>
    </row>
    <row r="49" spans="1:9">
      <c r="A49" t="s">
        <v>489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4">
        <f t="shared" si="0"/>
        <v>1.6393442622950821E-2</v>
      </c>
    </row>
    <row r="50" spans="1:9">
      <c r="A50" t="s">
        <v>489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4">
        <f t="shared" si="0"/>
        <v>3.2786885245901641E-2</v>
      </c>
    </row>
    <row r="51" spans="1:9">
      <c r="A51" t="s">
        <v>489</v>
      </c>
      <c r="B51">
        <v>16</v>
      </c>
      <c r="C51">
        <v>3</v>
      </c>
      <c r="D51">
        <v>166</v>
      </c>
      <c r="E51">
        <v>0</v>
      </c>
      <c r="F51">
        <v>2</v>
      </c>
      <c r="G51">
        <v>0</v>
      </c>
      <c r="H51">
        <v>183</v>
      </c>
      <c r="I51" s="4">
        <f t="shared" si="0"/>
        <v>0.90710382513661203</v>
      </c>
    </row>
    <row r="52" spans="1:9">
      <c r="A52" t="s">
        <v>489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4">
        <f t="shared" si="0"/>
        <v>1</v>
      </c>
    </row>
    <row r="53" spans="1:9">
      <c r="A53" t="s">
        <v>489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4">
        <f t="shared" si="0"/>
        <v>2.1276595744680851E-2</v>
      </c>
    </row>
    <row r="54" spans="1:9">
      <c r="A54" t="s">
        <v>489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4">
        <f t="shared" si="0"/>
        <v>4.2553191489361701E-2</v>
      </c>
    </row>
    <row r="55" spans="1:9">
      <c r="A55" t="s">
        <v>489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4">
        <f t="shared" si="0"/>
        <v>0.12056737588652482</v>
      </c>
    </row>
    <row r="56" spans="1:9">
      <c r="A56" t="s">
        <v>489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4">
        <f t="shared" si="0"/>
        <v>0.16312056737588654</v>
      </c>
    </row>
    <row r="57" spans="1:9">
      <c r="A57" t="s">
        <v>489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4">
        <f t="shared" si="0"/>
        <v>0.24822695035460993</v>
      </c>
    </row>
    <row r="58" spans="1:9">
      <c r="A58" t="s">
        <v>489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4">
        <f t="shared" si="0"/>
        <v>0.26950354609929078</v>
      </c>
    </row>
    <row r="59" spans="1:9">
      <c r="A59" t="s">
        <v>489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4">
        <f t="shared" si="0"/>
        <v>0.29078014184397161</v>
      </c>
    </row>
    <row r="60" spans="1:9">
      <c r="A60" t="s">
        <v>489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4">
        <f t="shared" si="0"/>
        <v>0.31205673758865249</v>
      </c>
    </row>
    <row r="61" spans="1:9">
      <c r="A61" t="s">
        <v>489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4">
        <f t="shared" si="0"/>
        <v>0.33333333333333331</v>
      </c>
    </row>
    <row r="62" spans="1:9">
      <c r="A62" t="s">
        <v>489</v>
      </c>
      <c r="B62">
        <v>18</v>
      </c>
      <c r="C62">
        <v>10</v>
      </c>
      <c r="D62">
        <v>47</v>
      </c>
      <c r="E62">
        <v>0</v>
      </c>
      <c r="F62">
        <v>4</v>
      </c>
      <c r="G62">
        <v>0</v>
      </c>
      <c r="H62">
        <v>141</v>
      </c>
      <c r="I62" s="4">
        <f t="shared" si="0"/>
        <v>0.33333333333333331</v>
      </c>
    </row>
    <row r="63" spans="1:9">
      <c r="A63" t="s">
        <v>489</v>
      </c>
      <c r="B63">
        <v>18</v>
      </c>
      <c r="C63">
        <v>11</v>
      </c>
      <c r="D63">
        <v>47</v>
      </c>
      <c r="E63">
        <v>0</v>
      </c>
      <c r="F63">
        <v>4</v>
      </c>
      <c r="G63">
        <v>0</v>
      </c>
      <c r="H63">
        <v>141</v>
      </c>
      <c r="I63" s="4">
        <f t="shared" si="0"/>
        <v>0.33333333333333331</v>
      </c>
    </row>
    <row r="64" spans="1:9">
      <c r="A64" t="s">
        <v>489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4">
        <f t="shared" si="0"/>
        <v>0.36170212765957449</v>
      </c>
    </row>
    <row r="65" spans="1:9">
      <c r="A65" t="s">
        <v>489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4">
        <f t="shared" si="0"/>
        <v>0.36170212765957449</v>
      </c>
    </row>
    <row r="66" spans="1:9">
      <c r="A66" t="s">
        <v>489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4">
        <f t="shared" si="0"/>
        <v>0.36170212765957449</v>
      </c>
    </row>
    <row r="67" spans="1:9">
      <c r="A67" t="s">
        <v>489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4">
        <f t="shared" ref="I67:I130" si="1">D67/H67</f>
        <v>0.36170212765957449</v>
      </c>
    </row>
    <row r="68" spans="1:9">
      <c r="A68" t="s">
        <v>489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4">
        <f t="shared" si="1"/>
        <v>0.36170212765957449</v>
      </c>
    </row>
    <row r="69" spans="1:9">
      <c r="A69" t="s">
        <v>489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4">
        <f t="shared" si="1"/>
        <v>0.36170212765957449</v>
      </c>
    </row>
    <row r="70" spans="1:9">
      <c r="A70" t="s">
        <v>489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4">
        <f t="shared" si="1"/>
        <v>0.36170212765957449</v>
      </c>
    </row>
    <row r="71" spans="1:9">
      <c r="A71" t="s">
        <v>489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4">
        <f t="shared" si="1"/>
        <v>0.46099290780141844</v>
      </c>
    </row>
    <row r="72" spans="1:9">
      <c r="A72" t="s">
        <v>489</v>
      </c>
      <c r="B72">
        <v>18</v>
      </c>
      <c r="C72">
        <v>20</v>
      </c>
      <c r="D72">
        <v>84</v>
      </c>
      <c r="E72">
        <v>0</v>
      </c>
      <c r="F72">
        <v>8</v>
      </c>
      <c r="G72">
        <v>0</v>
      </c>
      <c r="H72">
        <v>141</v>
      </c>
      <c r="I72" s="4">
        <f t="shared" si="1"/>
        <v>0.5957446808510638</v>
      </c>
    </row>
    <row r="73" spans="1:9">
      <c r="A73" t="s">
        <v>489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4">
        <f t="shared" si="1"/>
        <v>0.5957446808510638</v>
      </c>
    </row>
    <row r="74" spans="1:9">
      <c r="A74" t="s">
        <v>489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4">
        <f t="shared" si="1"/>
        <v>0.63120567375886527</v>
      </c>
    </row>
    <row r="75" spans="1:9">
      <c r="A75" t="s">
        <v>489</v>
      </c>
      <c r="B75">
        <v>18</v>
      </c>
      <c r="C75">
        <v>23</v>
      </c>
      <c r="D75">
        <v>102</v>
      </c>
      <c r="E75">
        <v>0</v>
      </c>
      <c r="F75">
        <v>7</v>
      </c>
      <c r="G75">
        <v>0</v>
      </c>
      <c r="H75">
        <v>141</v>
      </c>
      <c r="I75" s="4">
        <f t="shared" si="1"/>
        <v>0.72340425531914898</v>
      </c>
    </row>
    <row r="76" spans="1:9">
      <c r="A76" t="s">
        <v>489</v>
      </c>
      <c r="B76">
        <v>18</v>
      </c>
      <c r="C76">
        <v>24</v>
      </c>
      <c r="D76">
        <v>102</v>
      </c>
      <c r="E76">
        <v>0</v>
      </c>
      <c r="F76">
        <v>7</v>
      </c>
      <c r="G76">
        <v>0</v>
      </c>
      <c r="H76">
        <v>141</v>
      </c>
      <c r="I76" s="4">
        <f t="shared" si="1"/>
        <v>0.72340425531914898</v>
      </c>
    </row>
    <row r="77" spans="1:9">
      <c r="A77" t="s">
        <v>489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4">
        <f t="shared" si="1"/>
        <v>0.72340425531914898</v>
      </c>
    </row>
    <row r="78" spans="1:9">
      <c r="A78" t="s">
        <v>489</v>
      </c>
      <c r="B78">
        <v>18</v>
      </c>
      <c r="C78">
        <v>26</v>
      </c>
      <c r="D78">
        <v>107</v>
      </c>
      <c r="E78">
        <v>0</v>
      </c>
      <c r="F78">
        <v>8</v>
      </c>
      <c r="G78">
        <v>0</v>
      </c>
      <c r="H78">
        <v>141</v>
      </c>
      <c r="I78" s="4">
        <f t="shared" si="1"/>
        <v>0.75886524822695034</v>
      </c>
    </row>
    <row r="79" spans="1:9">
      <c r="A79" t="s">
        <v>489</v>
      </c>
      <c r="B79">
        <v>18</v>
      </c>
      <c r="C79">
        <v>27</v>
      </c>
      <c r="D79">
        <v>107</v>
      </c>
      <c r="E79">
        <v>0</v>
      </c>
      <c r="F79">
        <v>8</v>
      </c>
      <c r="G79">
        <v>0</v>
      </c>
      <c r="H79">
        <v>141</v>
      </c>
      <c r="I79" s="4">
        <f t="shared" si="1"/>
        <v>0.75886524822695034</v>
      </c>
    </row>
    <row r="80" spans="1:9">
      <c r="A80" t="s">
        <v>489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4">
        <f t="shared" si="1"/>
        <v>0.75886524822695034</v>
      </c>
    </row>
    <row r="81" spans="1:9">
      <c r="A81" t="s">
        <v>489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4">
        <f t="shared" si="1"/>
        <v>0.75886524822695034</v>
      </c>
    </row>
    <row r="82" spans="1:9">
      <c r="A82" t="s">
        <v>489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4">
        <f t="shared" si="1"/>
        <v>0.75886524822695034</v>
      </c>
    </row>
    <row r="83" spans="1:9">
      <c r="A83" t="s">
        <v>489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4">
        <f t="shared" si="1"/>
        <v>0.75886524822695034</v>
      </c>
    </row>
    <row r="84" spans="1:9">
      <c r="A84" t="s">
        <v>489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4">
        <f t="shared" si="1"/>
        <v>0.75886524822695034</v>
      </c>
    </row>
    <row r="85" spans="1:9">
      <c r="A85" t="s">
        <v>489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4">
        <f t="shared" si="1"/>
        <v>0.75886524822695034</v>
      </c>
    </row>
    <row r="86" spans="1:9">
      <c r="A86" t="s">
        <v>489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4">
        <f t="shared" si="1"/>
        <v>0.75886524822695034</v>
      </c>
    </row>
    <row r="87" spans="1:9">
      <c r="A87" t="s">
        <v>489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4">
        <f t="shared" si="1"/>
        <v>0.75886524822695034</v>
      </c>
    </row>
    <row r="88" spans="1:9">
      <c r="A88" t="s">
        <v>489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4">
        <f t="shared" si="1"/>
        <v>0.75886524822695034</v>
      </c>
    </row>
    <row r="89" spans="1:9">
      <c r="A89" t="s">
        <v>489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4">
        <f t="shared" si="1"/>
        <v>0.75886524822695034</v>
      </c>
    </row>
    <row r="90" spans="1:9">
      <c r="A90" t="s">
        <v>489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4">
        <f t="shared" si="1"/>
        <v>0.75886524822695034</v>
      </c>
    </row>
    <row r="91" spans="1:9">
      <c r="A91" t="s">
        <v>489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4">
        <f t="shared" si="1"/>
        <v>0.75886524822695034</v>
      </c>
    </row>
    <row r="92" spans="1:9">
      <c r="A92" t="s">
        <v>489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4">
        <f t="shared" si="1"/>
        <v>1</v>
      </c>
    </row>
    <row r="93" spans="1:9">
      <c r="A93" t="s">
        <v>489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4">
        <f t="shared" si="1"/>
        <v>1</v>
      </c>
    </row>
    <row r="94" spans="1:9">
      <c r="A94" t="s">
        <v>489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4">
        <f t="shared" si="1"/>
        <v>1</v>
      </c>
    </row>
    <row r="95" spans="1:9">
      <c r="A95" t="s">
        <v>489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4">
        <f t="shared" si="1"/>
        <v>1</v>
      </c>
    </row>
    <row r="96" spans="1:9">
      <c r="A96" t="s">
        <v>489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4">
        <f t="shared" si="1"/>
        <v>1</v>
      </c>
    </row>
    <row r="97" spans="1:9">
      <c r="A97" t="s">
        <v>489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4">
        <f t="shared" si="1"/>
        <v>1</v>
      </c>
    </row>
    <row r="98" spans="1:9">
      <c r="A98" t="s">
        <v>489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4">
        <f t="shared" si="1"/>
        <v>1</v>
      </c>
    </row>
    <row r="99" spans="1:9">
      <c r="A99" t="s">
        <v>489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4">
        <f t="shared" si="1"/>
        <v>2.3622047244094488E-2</v>
      </c>
    </row>
    <row r="100" spans="1:9">
      <c r="A100" t="s">
        <v>489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4">
        <f t="shared" si="1"/>
        <v>4.7244094488188976E-2</v>
      </c>
    </row>
    <row r="101" spans="1:9">
      <c r="A101" t="s">
        <v>489</v>
      </c>
      <c r="B101">
        <v>19</v>
      </c>
      <c r="C101">
        <v>3</v>
      </c>
      <c r="D101">
        <v>83</v>
      </c>
      <c r="E101">
        <v>0</v>
      </c>
      <c r="F101">
        <v>9</v>
      </c>
      <c r="G101">
        <v>0</v>
      </c>
      <c r="H101">
        <v>127</v>
      </c>
      <c r="I101" s="4">
        <f t="shared" si="1"/>
        <v>0.65354330708661412</v>
      </c>
    </row>
    <row r="102" spans="1:9">
      <c r="A102" t="s">
        <v>489</v>
      </c>
      <c r="B102">
        <v>19</v>
      </c>
      <c r="C102">
        <v>4</v>
      </c>
      <c r="D102">
        <v>88</v>
      </c>
      <c r="E102">
        <v>0</v>
      </c>
      <c r="F102">
        <v>10</v>
      </c>
      <c r="G102">
        <v>0</v>
      </c>
      <c r="H102">
        <v>127</v>
      </c>
      <c r="I102" s="4">
        <f t="shared" si="1"/>
        <v>0.69291338582677164</v>
      </c>
    </row>
    <row r="103" spans="1:9">
      <c r="A103" t="s">
        <v>489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4">
        <f t="shared" si="1"/>
        <v>0.73228346456692917</v>
      </c>
    </row>
    <row r="104" spans="1:9">
      <c r="A104" t="s">
        <v>489</v>
      </c>
      <c r="B104">
        <v>19</v>
      </c>
      <c r="C104">
        <v>6</v>
      </c>
      <c r="D104">
        <v>126</v>
      </c>
      <c r="E104">
        <v>0</v>
      </c>
      <c r="F104">
        <v>1</v>
      </c>
      <c r="G104">
        <v>0</v>
      </c>
      <c r="H104">
        <v>127</v>
      </c>
      <c r="I104" s="4">
        <f t="shared" si="1"/>
        <v>0.99212598425196852</v>
      </c>
    </row>
    <row r="105" spans="1:9">
      <c r="A105" t="s">
        <v>489</v>
      </c>
      <c r="B105">
        <v>19</v>
      </c>
      <c r="C105">
        <v>7</v>
      </c>
      <c r="D105">
        <v>127</v>
      </c>
      <c r="E105">
        <v>0</v>
      </c>
      <c r="F105">
        <v>0</v>
      </c>
      <c r="G105">
        <v>0</v>
      </c>
      <c r="H105">
        <v>127</v>
      </c>
      <c r="I105" s="4">
        <f t="shared" si="1"/>
        <v>1</v>
      </c>
    </row>
    <row r="106" spans="1:9">
      <c r="A106" t="s">
        <v>489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4">
        <f t="shared" si="1"/>
        <v>1</v>
      </c>
    </row>
    <row r="107" spans="1:9">
      <c r="A107" t="s">
        <v>489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4">
        <f t="shared" si="1"/>
        <v>1</v>
      </c>
    </row>
    <row r="108" spans="1:9">
      <c r="A108" t="s">
        <v>489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4">
        <f t="shared" si="1"/>
        <v>1</v>
      </c>
    </row>
    <row r="109" spans="1:9">
      <c r="A109" t="s">
        <v>489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4">
        <f t="shared" si="1"/>
        <v>1</v>
      </c>
    </row>
    <row r="110" spans="1:9">
      <c r="A110" t="s">
        <v>489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4">
        <f t="shared" si="1"/>
        <v>1</v>
      </c>
    </row>
    <row r="111" spans="1:9">
      <c r="A111" t="s">
        <v>489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4">
        <f t="shared" si="1"/>
        <v>1</v>
      </c>
    </row>
    <row r="112" spans="1:9">
      <c r="A112" t="s">
        <v>489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4">
        <f t="shared" si="1"/>
        <v>1</v>
      </c>
    </row>
    <row r="113" spans="1:9">
      <c r="A113" t="s">
        <v>489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4">
        <f t="shared" si="1"/>
        <v>1</v>
      </c>
    </row>
    <row r="114" spans="1:9">
      <c r="A114" t="s">
        <v>489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4">
        <f t="shared" si="1"/>
        <v>1</v>
      </c>
    </row>
    <row r="115" spans="1:9">
      <c r="A115" t="s">
        <v>489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4">
        <f t="shared" si="1"/>
        <v>1</v>
      </c>
    </row>
    <row r="116" spans="1:9">
      <c r="A116" t="s">
        <v>489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4">
        <f t="shared" si="1"/>
        <v>1</v>
      </c>
    </row>
    <row r="117" spans="1:9">
      <c r="A117" t="s">
        <v>489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4">
        <f t="shared" si="1"/>
        <v>1</v>
      </c>
    </row>
    <row r="118" spans="1:9">
      <c r="A118" t="s">
        <v>489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4">
        <f t="shared" si="1"/>
        <v>1</v>
      </c>
    </row>
    <row r="119" spans="1:9">
      <c r="A119" t="s">
        <v>489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4">
        <f t="shared" si="1"/>
        <v>1</v>
      </c>
    </row>
    <row r="120" spans="1:9">
      <c r="A120" t="s">
        <v>489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4">
        <f t="shared" si="1"/>
        <v>1</v>
      </c>
    </row>
    <row r="121" spans="1:9">
      <c r="A121" t="s">
        <v>489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4">
        <f t="shared" si="1"/>
        <v>1</v>
      </c>
    </row>
    <row r="122" spans="1:9">
      <c r="A122" t="s">
        <v>489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4">
        <f t="shared" si="1"/>
        <v>1</v>
      </c>
    </row>
    <row r="123" spans="1:9">
      <c r="A123" t="s">
        <v>489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4">
        <f t="shared" si="1"/>
        <v>1</v>
      </c>
    </row>
    <row r="124" spans="1:9">
      <c r="A124" t="s">
        <v>489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4">
        <f t="shared" si="1"/>
        <v>1</v>
      </c>
    </row>
    <row r="125" spans="1:9">
      <c r="A125" t="s">
        <v>489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4">
        <f t="shared" si="1"/>
        <v>1</v>
      </c>
    </row>
    <row r="126" spans="1:9">
      <c r="A126" t="s">
        <v>489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4">
        <f t="shared" si="1"/>
        <v>1</v>
      </c>
    </row>
    <row r="127" spans="1:9">
      <c r="A127" t="s">
        <v>489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4">
        <f t="shared" si="1"/>
        <v>0.19801980198019803</v>
      </c>
    </row>
    <row r="128" spans="1:9">
      <c r="A128" t="s">
        <v>489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4">
        <f t="shared" si="1"/>
        <v>0.22772277227722773</v>
      </c>
    </row>
    <row r="129" spans="1:9">
      <c r="A129" t="s">
        <v>489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4">
        <f t="shared" si="1"/>
        <v>0.25742574257425743</v>
      </c>
    </row>
    <row r="130" spans="1:9">
      <c r="A130" t="s">
        <v>489</v>
      </c>
      <c r="B130">
        <v>20</v>
      </c>
      <c r="C130">
        <v>4</v>
      </c>
      <c r="D130">
        <v>29</v>
      </c>
      <c r="E130">
        <v>0</v>
      </c>
      <c r="F130">
        <v>9</v>
      </c>
      <c r="G130">
        <v>0</v>
      </c>
      <c r="H130">
        <v>101</v>
      </c>
      <c r="I130" s="4">
        <f t="shared" si="1"/>
        <v>0.28712871287128711</v>
      </c>
    </row>
    <row r="131" spans="1:9">
      <c r="A131" t="s">
        <v>489</v>
      </c>
      <c r="B131">
        <v>20</v>
      </c>
      <c r="C131">
        <v>5</v>
      </c>
      <c r="D131">
        <v>45</v>
      </c>
      <c r="E131">
        <v>0</v>
      </c>
      <c r="F131">
        <v>9</v>
      </c>
      <c r="G131">
        <v>0</v>
      </c>
      <c r="H131">
        <v>101</v>
      </c>
      <c r="I131" s="4">
        <f t="shared" ref="I131:I194" si="2">D131/H131</f>
        <v>0.44554455445544555</v>
      </c>
    </row>
    <row r="132" spans="1:9">
      <c r="A132" t="s">
        <v>489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4">
        <f t="shared" si="2"/>
        <v>0.44554455445544555</v>
      </c>
    </row>
    <row r="133" spans="1:9">
      <c r="A133" t="s">
        <v>489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4">
        <f t="shared" si="2"/>
        <v>0.52475247524752477</v>
      </c>
    </row>
    <row r="134" spans="1:9">
      <c r="A134" t="s">
        <v>489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4">
        <f t="shared" si="2"/>
        <v>0.52475247524752477</v>
      </c>
    </row>
    <row r="135" spans="1:9">
      <c r="A135" t="s">
        <v>489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4">
        <f t="shared" si="2"/>
        <v>0.52475247524752477</v>
      </c>
    </row>
    <row r="136" spans="1:9">
      <c r="A136" t="s">
        <v>489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4">
        <f t="shared" si="2"/>
        <v>0.52475247524752477</v>
      </c>
    </row>
    <row r="137" spans="1:9">
      <c r="A137" t="s">
        <v>489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4">
        <f t="shared" si="2"/>
        <v>0.52475247524752477</v>
      </c>
    </row>
    <row r="138" spans="1:9">
      <c r="A138" t="s">
        <v>489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4">
        <f t="shared" si="2"/>
        <v>0.52475247524752477</v>
      </c>
    </row>
    <row r="139" spans="1:9">
      <c r="A139" t="s">
        <v>489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4">
        <f t="shared" si="2"/>
        <v>0.52475247524752477</v>
      </c>
    </row>
    <row r="140" spans="1:9">
      <c r="A140" t="s">
        <v>489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4">
        <f t="shared" si="2"/>
        <v>0.70297029702970293</v>
      </c>
    </row>
    <row r="141" spans="1:9">
      <c r="A141" t="s">
        <v>489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4">
        <f t="shared" si="2"/>
        <v>0.70297029702970293</v>
      </c>
    </row>
    <row r="142" spans="1:9">
      <c r="A142" t="s">
        <v>489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4">
        <f t="shared" si="2"/>
        <v>0.70297029702970293</v>
      </c>
    </row>
    <row r="143" spans="1:9">
      <c r="A143" t="s">
        <v>489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4">
        <f t="shared" si="2"/>
        <v>0.70297029702970293</v>
      </c>
    </row>
    <row r="144" spans="1:9">
      <c r="A144" t="s">
        <v>489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4">
        <f t="shared" si="2"/>
        <v>0.70297029702970293</v>
      </c>
    </row>
    <row r="145" spans="1:9">
      <c r="A145" t="s">
        <v>489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4">
        <f t="shared" si="2"/>
        <v>0.70297029702970293</v>
      </c>
    </row>
    <row r="146" spans="1:9">
      <c r="A146" t="s">
        <v>489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4">
        <f t="shared" si="2"/>
        <v>0.70297029702970293</v>
      </c>
    </row>
    <row r="147" spans="1:9">
      <c r="A147" t="s">
        <v>489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4">
        <f t="shared" si="2"/>
        <v>0.70297029702970293</v>
      </c>
    </row>
    <row r="148" spans="1:9">
      <c r="A148" t="s">
        <v>489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4">
        <f t="shared" si="2"/>
        <v>0.70297029702970293</v>
      </c>
    </row>
    <row r="149" spans="1:9">
      <c r="A149" t="s">
        <v>489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4">
        <f t="shared" si="2"/>
        <v>1</v>
      </c>
    </row>
    <row r="150" spans="1:9">
      <c r="A150" t="s">
        <v>489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4">
        <f t="shared" si="2"/>
        <v>1</v>
      </c>
    </row>
    <row r="151" spans="1:9">
      <c r="A151" t="s">
        <v>489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4">
        <f t="shared" si="2"/>
        <v>1</v>
      </c>
    </row>
    <row r="152" spans="1:9">
      <c r="A152" t="s">
        <v>489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4">
        <f t="shared" si="2"/>
        <v>1</v>
      </c>
    </row>
    <row r="153" spans="1:9">
      <c r="A153" t="s">
        <v>489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4">
        <f t="shared" si="2"/>
        <v>1</v>
      </c>
    </row>
    <row r="154" spans="1:9">
      <c r="A154" t="s">
        <v>489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4">
        <f t="shared" si="2"/>
        <v>1</v>
      </c>
    </row>
    <row r="155" spans="1:9">
      <c r="A155" t="s">
        <v>489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4">
        <f t="shared" si="2"/>
        <v>1</v>
      </c>
    </row>
    <row r="156" spans="1:9">
      <c r="A156" t="s">
        <v>489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4">
        <f t="shared" si="2"/>
        <v>1</v>
      </c>
    </row>
    <row r="157" spans="1:9">
      <c r="A157" t="s">
        <v>489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4">
        <f t="shared" si="2"/>
        <v>1</v>
      </c>
    </row>
    <row r="158" spans="1:9">
      <c r="A158" t="s">
        <v>489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4">
        <f t="shared" si="2"/>
        <v>1</v>
      </c>
    </row>
    <row r="159" spans="1:9">
      <c r="A159" t="s">
        <v>489</v>
      </c>
      <c r="B159">
        <v>20</v>
      </c>
      <c r="C159">
        <v>33</v>
      </c>
      <c r="D159">
        <v>101</v>
      </c>
      <c r="E159">
        <v>0</v>
      </c>
      <c r="F159">
        <v>4</v>
      </c>
      <c r="G159">
        <v>0</v>
      </c>
      <c r="H159">
        <v>101</v>
      </c>
      <c r="I159" s="4">
        <f t="shared" si="2"/>
        <v>1</v>
      </c>
    </row>
    <row r="160" spans="1:9">
      <c r="A160" t="s">
        <v>490</v>
      </c>
      <c r="B160">
        <v>1</v>
      </c>
      <c r="C160">
        <v>1</v>
      </c>
      <c r="D160">
        <v>11</v>
      </c>
      <c r="E160">
        <v>0</v>
      </c>
      <c r="F160">
        <v>7</v>
      </c>
      <c r="G160">
        <v>0</v>
      </c>
      <c r="H160">
        <v>17</v>
      </c>
      <c r="I160" s="4">
        <f t="shared" si="2"/>
        <v>0.6470588235294118</v>
      </c>
    </row>
    <row r="161" spans="1:9">
      <c r="A161" t="s">
        <v>490</v>
      </c>
      <c r="B161">
        <v>1</v>
      </c>
      <c r="C161">
        <v>2</v>
      </c>
      <c r="D161">
        <v>11</v>
      </c>
      <c r="E161">
        <v>0</v>
      </c>
      <c r="F161">
        <v>7</v>
      </c>
      <c r="G161">
        <v>0</v>
      </c>
      <c r="H161">
        <v>17</v>
      </c>
      <c r="I161" s="4">
        <f t="shared" si="2"/>
        <v>0.6470588235294118</v>
      </c>
    </row>
    <row r="162" spans="1:9">
      <c r="A162" t="s">
        <v>490</v>
      </c>
      <c r="B162">
        <v>1</v>
      </c>
      <c r="C162">
        <v>3</v>
      </c>
      <c r="D162">
        <v>11</v>
      </c>
      <c r="E162">
        <v>0</v>
      </c>
      <c r="F162">
        <v>7</v>
      </c>
      <c r="G162">
        <v>0</v>
      </c>
      <c r="H162">
        <v>17</v>
      </c>
      <c r="I162" s="4">
        <f t="shared" si="2"/>
        <v>0.6470588235294118</v>
      </c>
    </row>
    <row r="163" spans="1:9">
      <c r="A163" t="s">
        <v>490</v>
      </c>
      <c r="B163">
        <v>1</v>
      </c>
      <c r="C163">
        <v>4</v>
      </c>
      <c r="D163">
        <v>12</v>
      </c>
      <c r="E163">
        <v>0</v>
      </c>
      <c r="F163">
        <v>7</v>
      </c>
      <c r="G163">
        <v>0</v>
      </c>
      <c r="H163">
        <v>17</v>
      </c>
      <c r="I163" s="4">
        <f t="shared" si="2"/>
        <v>0.70588235294117652</v>
      </c>
    </row>
    <row r="164" spans="1:9">
      <c r="A164" t="s">
        <v>490</v>
      </c>
      <c r="B164">
        <v>1</v>
      </c>
      <c r="C164">
        <v>5</v>
      </c>
      <c r="D164">
        <v>17</v>
      </c>
      <c r="E164">
        <v>0</v>
      </c>
      <c r="F164">
        <v>2</v>
      </c>
      <c r="G164">
        <v>0</v>
      </c>
      <c r="H164">
        <v>17</v>
      </c>
      <c r="I164" s="4">
        <f t="shared" si="2"/>
        <v>1</v>
      </c>
    </row>
    <row r="165" spans="1:9">
      <c r="A165" t="s">
        <v>490</v>
      </c>
      <c r="B165">
        <v>2</v>
      </c>
      <c r="C165">
        <v>1</v>
      </c>
      <c r="D165">
        <v>5</v>
      </c>
      <c r="E165">
        <v>0</v>
      </c>
      <c r="F165">
        <v>1</v>
      </c>
      <c r="G165">
        <v>0</v>
      </c>
      <c r="H165">
        <v>112</v>
      </c>
      <c r="I165" s="4">
        <f t="shared" si="2"/>
        <v>4.4642857142857144E-2</v>
      </c>
    </row>
    <row r="166" spans="1:9">
      <c r="A166" t="s">
        <v>490</v>
      </c>
      <c r="B166">
        <v>2</v>
      </c>
      <c r="C166">
        <v>2</v>
      </c>
      <c r="D166">
        <v>56</v>
      </c>
      <c r="E166">
        <v>0</v>
      </c>
      <c r="F166">
        <v>12</v>
      </c>
      <c r="G166">
        <v>0</v>
      </c>
      <c r="H166">
        <v>112</v>
      </c>
      <c r="I166" s="4">
        <f t="shared" si="2"/>
        <v>0.5</v>
      </c>
    </row>
    <row r="167" spans="1:9">
      <c r="A167" t="s">
        <v>490</v>
      </c>
      <c r="B167">
        <v>2</v>
      </c>
      <c r="C167">
        <v>3</v>
      </c>
      <c r="D167">
        <v>112</v>
      </c>
      <c r="E167">
        <v>0</v>
      </c>
      <c r="F167">
        <v>0</v>
      </c>
      <c r="G167">
        <v>0</v>
      </c>
      <c r="H167">
        <v>112</v>
      </c>
      <c r="I167" s="4">
        <f t="shared" si="2"/>
        <v>1</v>
      </c>
    </row>
    <row r="168" spans="1:9">
      <c r="A168" t="s">
        <v>490</v>
      </c>
      <c r="B168">
        <v>3</v>
      </c>
      <c r="C168">
        <v>1</v>
      </c>
      <c r="D168">
        <v>41</v>
      </c>
      <c r="E168">
        <v>0</v>
      </c>
      <c r="F168">
        <v>2</v>
      </c>
      <c r="G168">
        <v>0</v>
      </c>
      <c r="H168">
        <v>44</v>
      </c>
      <c r="I168" s="4">
        <f t="shared" si="2"/>
        <v>0.93181818181818177</v>
      </c>
    </row>
    <row r="169" spans="1:9">
      <c r="A169" t="s">
        <v>490</v>
      </c>
      <c r="B169">
        <v>3</v>
      </c>
      <c r="C169">
        <v>2</v>
      </c>
      <c r="D169">
        <v>44</v>
      </c>
      <c r="E169">
        <v>0</v>
      </c>
      <c r="F169">
        <v>0</v>
      </c>
      <c r="G169">
        <v>0</v>
      </c>
      <c r="H169">
        <v>44</v>
      </c>
      <c r="I169" s="4">
        <f t="shared" si="2"/>
        <v>1</v>
      </c>
    </row>
    <row r="170" spans="1:9">
      <c r="A170" t="s">
        <v>490</v>
      </c>
      <c r="B170">
        <v>7</v>
      </c>
      <c r="C170">
        <v>1</v>
      </c>
      <c r="D170">
        <v>40</v>
      </c>
      <c r="E170">
        <v>0</v>
      </c>
      <c r="F170">
        <v>2</v>
      </c>
      <c r="G170">
        <v>0</v>
      </c>
      <c r="H170">
        <v>43</v>
      </c>
      <c r="I170" s="4">
        <f t="shared" si="2"/>
        <v>0.93023255813953487</v>
      </c>
    </row>
    <row r="171" spans="1:9">
      <c r="A171" t="s">
        <v>490</v>
      </c>
      <c r="B171">
        <v>7</v>
      </c>
      <c r="C171">
        <v>2</v>
      </c>
      <c r="D171">
        <v>43</v>
      </c>
      <c r="E171">
        <v>0</v>
      </c>
      <c r="F171">
        <v>0</v>
      </c>
      <c r="G171">
        <v>0</v>
      </c>
      <c r="H171">
        <v>43</v>
      </c>
      <c r="I171" s="4">
        <f t="shared" si="2"/>
        <v>1</v>
      </c>
    </row>
    <row r="172" spans="1:9">
      <c r="A172" t="s">
        <v>490</v>
      </c>
      <c r="B172">
        <v>10</v>
      </c>
      <c r="C172">
        <v>1</v>
      </c>
      <c r="D172">
        <v>47</v>
      </c>
      <c r="E172">
        <v>0</v>
      </c>
      <c r="F172">
        <v>8</v>
      </c>
      <c r="G172">
        <v>0</v>
      </c>
      <c r="H172">
        <v>406</v>
      </c>
      <c r="I172" s="4">
        <f t="shared" si="2"/>
        <v>0.11576354679802955</v>
      </c>
    </row>
    <row r="173" spans="1:9">
      <c r="A173" t="s">
        <v>490</v>
      </c>
      <c r="B173">
        <v>10</v>
      </c>
      <c r="C173">
        <v>2</v>
      </c>
      <c r="D173">
        <v>47</v>
      </c>
      <c r="E173">
        <v>0</v>
      </c>
      <c r="F173">
        <v>11</v>
      </c>
      <c r="G173">
        <v>0</v>
      </c>
      <c r="H173">
        <v>406</v>
      </c>
      <c r="I173" s="4">
        <f t="shared" si="2"/>
        <v>0.11576354679802955</v>
      </c>
    </row>
    <row r="174" spans="1:9">
      <c r="A174" t="s">
        <v>490</v>
      </c>
      <c r="B174">
        <v>10</v>
      </c>
      <c r="C174">
        <v>3</v>
      </c>
      <c r="D174">
        <v>47</v>
      </c>
      <c r="E174">
        <v>0</v>
      </c>
      <c r="F174">
        <v>11</v>
      </c>
      <c r="G174">
        <v>0</v>
      </c>
      <c r="H174">
        <v>406</v>
      </c>
      <c r="I174" s="4">
        <f t="shared" si="2"/>
        <v>0.11576354679802955</v>
      </c>
    </row>
    <row r="175" spans="1:9">
      <c r="A175" t="s">
        <v>490</v>
      </c>
      <c r="B175">
        <v>10</v>
      </c>
      <c r="C175">
        <v>4</v>
      </c>
      <c r="D175">
        <v>47</v>
      </c>
      <c r="E175">
        <v>0</v>
      </c>
      <c r="F175">
        <v>11</v>
      </c>
      <c r="G175">
        <v>0</v>
      </c>
      <c r="H175">
        <v>406</v>
      </c>
      <c r="I175" s="4">
        <f t="shared" si="2"/>
        <v>0.11576354679802955</v>
      </c>
    </row>
    <row r="176" spans="1:9">
      <c r="A176" t="s">
        <v>490</v>
      </c>
      <c r="B176">
        <v>10</v>
      </c>
      <c r="C176">
        <v>5</v>
      </c>
      <c r="D176">
        <v>84</v>
      </c>
      <c r="E176">
        <v>0</v>
      </c>
      <c r="F176">
        <v>11</v>
      </c>
      <c r="G176">
        <v>0</v>
      </c>
      <c r="H176">
        <v>406</v>
      </c>
      <c r="I176" s="4">
        <f t="shared" si="2"/>
        <v>0.20689655172413793</v>
      </c>
    </row>
    <row r="177" spans="1:9">
      <c r="A177" t="s">
        <v>490</v>
      </c>
      <c r="B177">
        <v>10</v>
      </c>
      <c r="C177">
        <v>6</v>
      </c>
      <c r="D177">
        <v>84</v>
      </c>
      <c r="E177">
        <v>0</v>
      </c>
      <c r="F177">
        <v>11</v>
      </c>
      <c r="G177">
        <v>0</v>
      </c>
      <c r="H177">
        <v>406</v>
      </c>
      <c r="I177" s="4">
        <f t="shared" si="2"/>
        <v>0.20689655172413793</v>
      </c>
    </row>
    <row r="178" spans="1:9">
      <c r="A178" t="s">
        <v>490</v>
      </c>
      <c r="B178">
        <v>10</v>
      </c>
      <c r="C178">
        <v>7</v>
      </c>
      <c r="D178">
        <v>84</v>
      </c>
      <c r="E178">
        <v>0</v>
      </c>
      <c r="F178">
        <v>11</v>
      </c>
      <c r="G178">
        <v>0</v>
      </c>
      <c r="H178">
        <v>406</v>
      </c>
      <c r="I178" s="4">
        <f t="shared" si="2"/>
        <v>0.20689655172413793</v>
      </c>
    </row>
    <row r="179" spans="1:9">
      <c r="A179" t="s">
        <v>490</v>
      </c>
      <c r="B179">
        <v>10</v>
      </c>
      <c r="C179">
        <v>8</v>
      </c>
      <c r="D179">
        <v>84</v>
      </c>
      <c r="E179">
        <v>0</v>
      </c>
      <c r="F179">
        <v>11</v>
      </c>
      <c r="G179">
        <v>0</v>
      </c>
      <c r="H179">
        <v>406</v>
      </c>
      <c r="I179" s="4">
        <f t="shared" si="2"/>
        <v>0.20689655172413793</v>
      </c>
    </row>
    <row r="180" spans="1:9">
      <c r="A180" t="s">
        <v>490</v>
      </c>
      <c r="B180">
        <v>10</v>
      </c>
      <c r="C180">
        <v>9</v>
      </c>
      <c r="D180">
        <v>90</v>
      </c>
      <c r="E180">
        <v>0</v>
      </c>
      <c r="F180">
        <v>8</v>
      </c>
      <c r="G180">
        <v>0</v>
      </c>
      <c r="H180">
        <v>406</v>
      </c>
      <c r="I180" s="4">
        <f t="shared" si="2"/>
        <v>0.22167487684729065</v>
      </c>
    </row>
    <row r="181" spans="1:9">
      <c r="A181" t="s">
        <v>490</v>
      </c>
      <c r="B181">
        <v>10</v>
      </c>
      <c r="C181">
        <v>10</v>
      </c>
      <c r="D181">
        <v>90</v>
      </c>
      <c r="E181">
        <v>0</v>
      </c>
      <c r="F181">
        <v>8</v>
      </c>
      <c r="G181">
        <v>0</v>
      </c>
      <c r="H181">
        <v>406</v>
      </c>
      <c r="I181" s="4">
        <f t="shared" si="2"/>
        <v>0.22167487684729065</v>
      </c>
    </row>
    <row r="182" spans="1:9">
      <c r="A182" t="s">
        <v>490</v>
      </c>
      <c r="B182">
        <v>10</v>
      </c>
      <c r="C182">
        <v>11</v>
      </c>
      <c r="D182">
        <v>90</v>
      </c>
      <c r="E182">
        <v>0</v>
      </c>
      <c r="F182">
        <v>8</v>
      </c>
      <c r="G182">
        <v>0</v>
      </c>
      <c r="H182">
        <v>406</v>
      </c>
      <c r="I182" s="4">
        <f t="shared" si="2"/>
        <v>0.22167487684729065</v>
      </c>
    </row>
    <row r="183" spans="1:9">
      <c r="A183" t="s">
        <v>490</v>
      </c>
      <c r="B183">
        <v>10</v>
      </c>
      <c r="C183">
        <v>12</v>
      </c>
      <c r="D183">
        <v>90</v>
      </c>
      <c r="E183">
        <v>0</v>
      </c>
      <c r="F183">
        <v>8</v>
      </c>
      <c r="G183">
        <v>0</v>
      </c>
      <c r="H183">
        <v>406</v>
      </c>
      <c r="I183" s="4">
        <f t="shared" si="2"/>
        <v>0.22167487684729065</v>
      </c>
    </row>
    <row r="184" spans="1:9">
      <c r="A184" t="s">
        <v>490</v>
      </c>
      <c r="B184">
        <v>10</v>
      </c>
      <c r="C184">
        <v>13</v>
      </c>
      <c r="D184">
        <v>90</v>
      </c>
      <c r="E184">
        <v>0</v>
      </c>
      <c r="F184">
        <v>8</v>
      </c>
      <c r="G184">
        <v>0</v>
      </c>
      <c r="H184">
        <v>406</v>
      </c>
      <c r="I184" s="4">
        <f t="shared" si="2"/>
        <v>0.22167487684729065</v>
      </c>
    </row>
    <row r="185" spans="1:9">
      <c r="A185" t="s">
        <v>490</v>
      </c>
      <c r="B185">
        <v>10</v>
      </c>
      <c r="C185">
        <v>14</v>
      </c>
      <c r="D185">
        <v>90</v>
      </c>
      <c r="E185">
        <v>0</v>
      </c>
      <c r="F185">
        <v>8</v>
      </c>
      <c r="G185">
        <v>0</v>
      </c>
      <c r="H185">
        <v>406</v>
      </c>
      <c r="I185" s="4">
        <f t="shared" si="2"/>
        <v>0.22167487684729065</v>
      </c>
    </row>
    <row r="186" spans="1:9">
      <c r="A186" t="s">
        <v>490</v>
      </c>
      <c r="B186">
        <v>10</v>
      </c>
      <c r="C186">
        <v>15</v>
      </c>
      <c r="D186">
        <v>90</v>
      </c>
      <c r="E186">
        <v>0</v>
      </c>
      <c r="F186">
        <v>8</v>
      </c>
      <c r="G186">
        <v>0</v>
      </c>
      <c r="H186">
        <v>406</v>
      </c>
      <c r="I186" s="4">
        <f t="shared" si="2"/>
        <v>0.22167487684729065</v>
      </c>
    </row>
    <row r="187" spans="1:9">
      <c r="A187" t="s">
        <v>490</v>
      </c>
      <c r="B187">
        <v>10</v>
      </c>
      <c r="C187">
        <v>16</v>
      </c>
      <c r="D187">
        <v>90</v>
      </c>
      <c r="E187">
        <v>0</v>
      </c>
      <c r="F187">
        <v>8</v>
      </c>
      <c r="G187">
        <v>0</v>
      </c>
      <c r="H187">
        <v>406</v>
      </c>
      <c r="I187" s="4">
        <f t="shared" si="2"/>
        <v>0.22167487684729065</v>
      </c>
    </row>
    <row r="188" spans="1:9">
      <c r="A188" t="s">
        <v>490</v>
      </c>
      <c r="B188">
        <v>10</v>
      </c>
      <c r="C188">
        <v>17</v>
      </c>
      <c r="D188">
        <v>137</v>
      </c>
      <c r="E188">
        <v>0</v>
      </c>
      <c r="F188">
        <v>7</v>
      </c>
      <c r="G188">
        <v>0</v>
      </c>
      <c r="H188">
        <v>406</v>
      </c>
      <c r="I188" s="4">
        <f t="shared" si="2"/>
        <v>0.33743842364532017</v>
      </c>
    </row>
    <row r="189" spans="1:9">
      <c r="A189" t="s">
        <v>490</v>
      </c>
      <c r="B189">
        <v>10</v>
      </c>
      <c r="C189">
        <v>18</v>
      </c>
      <c r="D189">
        <v>183</v>
      </c>
      <c r="E189">
        <v>0</v>
      </c>
      <c r="F189">
        <v>7</v>
      </c>
      <c r="G189">
        <v>0</v>
      </c>
      <c r="H189">
        <v>406</v>
      </c>
      <c r="I189" s="4">
        <f t="shared" si="2"/>
        <v>0.45073891625615764</v>
      </c>
    </row>
    <row r="190" spans="1:9">
      <c r="A190" t="s">
        <v>490</v>
      </c>
      <c r="B190">
        <v>10</v>
      </c>
      <c r="C190">
        <v>19</v>
      </c>
      <c r="D190">
        <v>238</v>
      </c>
      <c r="E190">
        <v>0</v>
      </c>
      <c r="F190">
        <v>4</v>
      </c>
      <c r="G190">
        <v>0</v>
      </c>
      <c r="H190">
        <v>406</v>
      </c>
      <c r="I190" s="4">
        <f t="shared" si="2"/>
        <v>0.58620689655172409</v>
      </c>
    </row>
    <row r="191" spans="1:9">
      <c r="A191" t="s">
        <v>490</v>
      </c>
      <c r="B191">
        <v>10</v>
      </c>
      <c r="C191">
        <v>20</v>
      </c>
      <c r="D191">
        <v>238</v>
      </c>
      <c r="E191">
        <v>0</v>
      </c>
      <c r="F191">
        <v>4</v>
      </c>
      <c r="G191">
        <v>0</v>
      </c>
      <c r="H191">
        <v>406</v>
      </c>
      <c r="I191" s="4">
        <f t="shared" si="2"/>
        <v>0.58620689655172409</v>
      </c>
    </row>
    <row r="192" spans="1:9">
      <c r="A192" t="s">
        <v>490</v>
      </c>
      <c r="B192">
        <v>10</v>
      </c>
      <c r="C192">
        <v>21</v>
      </c>
      <c r="D192">
        <v>238</v>
      </c>
      <c r="E192">
        <v>0</v>
      </c>
      <c r="F192">
        <v>4</v>
      </c>
      <c r="G192">
        <v>0</v>
      </c>
      <c r="H192">
        <v>406</v>
      </c>
      <c r="I192" s="4">
        <f t="shared" si="2"/>
        <v>0.58620689655172409</v>
      </c>
    </row>
    <row r="193" spans="1:9">
      <c r="A193" t="s">
        <v>490</v>
      </c>
      <c r="B193">
        <v>10</v>
      </c>
      <c r="C193">
        <v>22</v>
      </c>
      <c r="D193">
        <v>238</v>
      </c>
      <c r="E193">
        <v>0</v>
      </c>
      <c r="F193">
        <v>4</v>
      </c>
      <c r="G193">
        <v>0</v>
      </c>
      <c r="H193">
        <v>406</v>
      </c>
      <c r="I193" s="4">
        <f t="shared" si="2"/>
        <v>0.58620689655172409</v>
      </c>
    </row>
    <row r="194" spans="1:9">
      <c r="A194" t="s">
        <v>490</v>
      </c>
      <c r="B194">
        <v>10</v>
      </c>
      <c r="C194">
        <v>23</v>
      </c>
      <c r="D194">
        <v>313</v>
      </c>
      <c r="E194">
        <v>0</v>
      </c>
      <c r="F194">
        <v>2</v>
      </c>
      <c r="G194">
        <v>0</v>
      </c>
      <c r="H194">
        <v>406</v>
      </c>
      <c r="I194" s="4">
        <f t="shared" si="2"/>
        <v>0.77093596059113301</v>
      </c>
    </row>
    <row r="195" spans="1:9">
      <c r="A195" t="s">
        <v>490</v>
      </c>
      <c r="B195">
        <v>10</v>
      </c>
      <c r="C195">
        <v>24</v>
      </c>
      <c r="D195">
        <v>313</v>
      </c>
      <c r="E195">
        <v>0</v>
      </c>
      <c r="F195">
        <v>2</v>
      </c>
      <c r="G195">
        <v>0</v>
      </c>
      <c r="H195">
        <v>406</v>
      </c>
      <c r="I195" s="4">
        <f t="shared" ref="I195:I258" si="3">D195/H195</f>
        <v>0.77093596059113301</v>
      </c>
    </row>
    <row r="196" spans="1:9">
      <c r="A196" t="s">
        <v>490</v>
      </c>
      <c r="B196">
        <v>10</v>
      </c>
      <c r="C196">
        <v>25</v>
      </c>
      <c r="D196">
        <v>313</v>
      </c>
      <c r="E196">
        <v>0</v>
      </c>
      <c r="F196">
        <v>2</v>
      </c>
      <c r="G196">
        <v>0</v>
      </c>
      <c r="H196">
        <v>406</v>
      </c>
      <c r="I196" s="4">
        <f t="shared" si="3"/>
        <v>0.77093596059113301</v>
      </c>
    </row>
    <row r="197" spans="1:9">
      <c r="A197" t="s">
        <v>490</v>
      </c>
      <c r="B197">
        <v>10</v>
      </c>
      <c r="C197">
        <v>26</v>
      </c>
      <c r="D197">
        <v>313</v>
      </c>
      <c r="E197">
        <v>0</v>
      </c>
      <c r="F197">
        <v>2</v>
      </c>
      <c r="G197">
        <v>0</v>
      </c>
      <c r="H197">
        <v>406</v>
      </c>
      <c r="I197" s="4">
        <f t="shared" si="3"/>
        <v>0.77093596059113301</v>
      </c>
    </row>
    <row r="198" spans="1:9">
      <c r="A198" t="s">
        <v>490</v>
      </c>
      <c r="B198">
        <v>10</v>
      </c>
      <c r="C198">
        <v>27</v>
      </c>
      <c r="D198">
        <v>313</v>
      </c>
      <c r="E198">
        <v>0</v>
      </c>
      <c r="F198">
        <v>2</v>
      </c>
      <c r="G198">
        <v>0</v>
      </c>
      <c r="H198">
        <v>406</v>
      </c>
      <c r="I198" s="4">
        <f t="shared" si="3"/>
        <v>0.77093596059113301</v>
      </c>
    </row>
    <row r="199" spans="1:9">
      <c r="A199" t="s">
        <v>490</v>
      </c>
      <c r="B199">
        <v>10</v>
      </c>
      <c r="C199">
        <v>28</v>
      </c>
      <c r="D199">
        <v>313</v>
      </c>
      <c r="E199">
        <v>0</v>
      </c>
      <c r="F199">
        <v>2</v>
      </c>
      <c r="G199">
        <v>0</v>
      </c>
      <c r="H199">
        <v>406</v>
      </c>
      <c r="I199" s="4">
        <f t="shared" si="3"/>
        <v>0.77093596059113301</v>
      </c>
    </row>
    <row r="200" spans="1:9">
      <c r="A200" t="s">
        <v>490</v>
      </c>
      <c r="B200">
        <v>10</v>
      </c>
      <c r="C200">
        <v>29</v>
      </c>
      <c r="D200">
        <v>313</v>
      </c>
      <c r="E200">
        <v>0</v>
      </c>
      <c r="F200">
        <v>2</v>
      </c>
      <c r="G200">
        <v>0</v>
      </c>
      <c r="H200">
        <v>406</v>
      </c>
      <c r="I200" s="4">
        <f t="shared" si="3"/>
        <v>0.77093596059113301</v>
      </c>
    </row>
    <row r="201" spans="1:9">
      <c r="A201" t="s">
        <v>490</v>
      </c>
      <c r="B201">
        <v>10</v>
      </c>
      <c r="C201">
        <v>30</v>
      </c>
      <c r="D201">
        <v>313</v>
      </c>
      <c r="E201">
        <v>0</v>
      </c>
      <c r="F201">
        <v>2</v>
      </c>
      <c r="G201">
        <v>0</v>
      </c>
      <c r="H201">
        <v>406</v>
      </c>
      <c r="I201" s="4">
        <f t="shared" si="3"/>
        <v>0.77093596059113301</v>
      </c>
    </row>
    <row r="202" spans="1:9">
      <c r="A202" t="s">
        <v>490</v>
      </c>
      <c r="B202">
        <v>10</v>
      </c>
      <c r="C202">
        <v>31</v>
      </c>
      <c r="D202">
        <v>406</v>
      </c>
      <c r="E202">
        <v>0</v>
      </c>
      <c r="F202">
        <v>0</v>
      </c>
      <c r="G202">
        <v>0</v>
      </c>
      <c r="H202">
        <v>406</v>
      </c>
      <c r="I202" s="4">
        <f t="shared" si="3"/>
        <v>1</v>
      </c>
    </row>
    <row r="203" spans="1:9">
      <c r="A203" t="s">
        <v>490</v>
      </c>
      <c r="B203">
        <v>10</v>
      </c>
      <c r="C203">
        <v>32</v>
      </c>
      <c r="D203">
        <v>406</v>
      </c>
      <c r="E203">
        <v>0</v>
      </c>
      <c r="F203">
        <v>0</v>
      </c>
      <c r="G203">
        <v>0</v>
      </c>
      <c r="H203">
        <v>406</v>
      </c>
      <c r="I203" s="4">
        <f t="shared" si="3"/>
        <v>1</v>
      </c>
    </row>
    <row r="204" spans="1:9">
      <c r="A204" t="s">
        <v>490</v>
      </c>
      <c r="B204">
        <v>11</v>
      </c>
      <c r="C204">
        <v>1</v>
      </c>
      <c r="D204">
        <v>1</v>
      </c>
      <c r="E204">
        <v>0</v>
      </c>
      <c r="F204">
        <v>1</v>
      </c>
      <c r="G204">
        <v>0</v>
      </c>
      <c r="H204">
        <v>192</v>
      </c>
      <c r="I204" s="4">
        <f t="shared" si="3"/>
        <v>5.208333333333333E-3</v>
      </c>
    </row>
    <row r="205" spans="1:9">
      <c r="A205" t="s">
        <v>490</v>
      </c>
      <c r="B205">
        <v>11</v>
      </c>
      <c r="C205">
        <v>2</v>
      </c>
      <c r="D205">
        <v>17</v>
      </c>
      <c r="E205">
        <v>0</v>
      </c>
      <c r="F205">
        <v>18</v>
      </c>
      <c r="G205">
        <v>0</v>
      </c>
      <c r="H205">
        <v>192</v>
      </c>
      <c r="I205" s="4">
        <f t="shared" si="3"/>
        <v>8.8541666666666671E-2</v>
      </c>
    </row>
    <row r="206" spans="1:9">
      <c r="A206" t="s">
        <v>490</v>
      </c>
      <c r="B206">
        <v>11</v>
      </c>
      <c r="C206">
        <v>3</v>
      </c>
      <c r="D206">
        <v>23</v>
      </c>
      <c r="E206">
        <v>0</v>
      </c>
      <c r="F206">
        <v>15</v>
      </c>
      <c r="G206">
        <v>0</v>
      </c>
      <c r="H206">
        <v>192</v>
      </c>
      <c r="I206" s="4">
        <f t="shared" si="3"/>
        <v>0.11979166666666667</v>
      </c>
    </row>
    <row r="207" spans="1:9">
      <c r="A207" t="s">
        <v>490</v>
      </c>
      <c r="B207">
        <v>11</v>
      </c>
      <c r="C207">
        <v>4</v>
      </c>
      <c r="D207">
        <v>50</v>
      </c>
      <c r="E207">
        <v>0</v>
      </c>
      <c r="F207">
        <v>13</v>
      </c>
      <c r="G207">
        <v>0</v>
      </c>
      <c r="H207">
        <v>192</v>
      </c>
      <c r="I207" s="4">
        <f t="shared" si="3"/>
        <v>0.26041666666666669</v>
      </c>
    </row>
    <row r="208" spans="1:9">
      <c r="A208" t="s">
        <v>490</v>
      </c>
      <c r="B208">
        <v>11</v>
      </c>
      <c r="C208">
        <v>5</v>
      </c>
      <c r="D208">
        <v>77</v>
      </c>
      <c r="E208">
        <v>0</v>
      </c>
      <c r="F208">
        <v>11</v>
      </c>
      <c r="G208">
        <v>0</v>
      </c>
      <c r="H208">
        <v>192</v>
      </c>
      <c r="I208" s="4">
        <f t="shared" si="3"/>
        <v>0.40104166666666669</v>
      </c>
    </row>
    <row r="209" spans="1:9">
      <c r="A209" t="s">
        <v>490</v>
      </c>
      <c r="B209">
        <v>11</v>
      </c>
      <c r="C209">
        <v>6</v>
      </c>
      <c r="D209">
        <v>104</v>
      </c>
      <c r="E209">
        <v>0</v>
      </c>
      <c r="F209">
        <v>9</v>
      </c>
      <c r="G209">
        <v>0</v>
      </c>
      <c r="H209">
        <v>192</v>
      </c>
      <c r="I209" s="4">
        <f t="shared" si="3"/>
        <v>0.54166666666666663</v>
      </c>
    </row>
    <row r="210" spans="1:9">
      <c r="A210" t="s">
        <v>490</v>
      </c>
      <c r="B210">
        <v>11</v>
      </c>
      <c r="C210">
        <v>7</v>
      </c>
      <c r="D210">
        <v>131</v>
      </c>
      <c r="E210">
        <v>0</v>
      </c>
      <c r="F210">
        <v>7</v>
      </c>
      <c r="G210">
        <v>0</v>
      </c>
      <c r="H210">
        <v>192</v>
      </c>
      <c r="I210" s="4">
        <f t="shared" si="3"/>
        <v>0.68229166666666663</v>
      </c>
    </row>
    <row r="211" spans="1:9">
      <c r="A211" t="s">
        <v>490</v>
      </c>
      <c r="B211">
        <v>11</v>
      </c>
      <c r="C211">
        <v>8</v>
      </c>
      <c r="D211">
        <v>131</v>
      </c>
      <c r="E211">
        <v>0</v>
      </c>
      <c r="F211">
        <v>7</v>
      </c>
      <c r="G211">
        <v>0</v>
      </c>
      <c r="H211">
        <v>192</v>
      </c>
      <c r="I211" s="4">
        <f t="shared" si="3"/>
        <v>0.68229166666666663</v>
      </c>
    </row>
    <row r="212" spans="1:9">
      <c r="A212" t="s">
        <v>490</v>
      </c>
      <c r="B212">
        <v>11</v>
      </c>
      <c r="C212">
        <v>9</v>
      </c>
      <c r="D212">
        <v>131</v>
      </c>
      <c r="E212">
        <v>0</v>
      </c>
      <c r="F212">
        <v>7</v>
      </c>
      <c r="G212">
        <v>0</v>
      </c>
      <c r="H212">
        <v>192</v>
      </c>
      <c r="I212" s="4">
        <f t="shared" si="3"/>
        <v>0.68229166666666663</v>
      </c>
    </row>
    <row r="213" spans="1:9">
      <c r="A213" t="s">
        <v>490</v>
      </c>
      <c r="B213">
        <v>11</v>
      </c>
      <c r="C213">
        <v>10</v>
      </c>
      <c r="D213">
        <v>131</v>
      </c>
      <c r="E213">
        <v>0</v>
      </c>
      <c r="F213">
        <v>7</v>
      </c>
      <c r="G213">
        <v>0</v>
      </c>
      <c r="H213">
        <v>192</v>
      </c>
      <c r="I213" s="4">
        <f t="shared" si="3"/>
        <v>0.68229166666666663</v>
      </c>
    </row>
    <row r="214" spans="1:9">
      <c r="A214" t="s">
        <v>490</v>
      </c>
      <c r="B214">
        <v>11</v>
      </c>
      <c r="C214">
        <v>11</v>
      </c>
      <c r="D214">
        <v>131</v>
      </c>
      <c r="E214">
        <v>0</v>
      </c>
      <c r="F214">
        <v>7</v>
      </c>
      <c r="G214">
        <v>0</v>
      </c>
      <c r="H214">
        <v>192</v>
      </c>
      <c r="I214" s="4">
        <f t="shared" si="3"/>
        <v>0.68229166666666663</v>
      </c>
    </row>
    <row r="215" spans="1:9">
      <c r="A215" t="s">
        <v>490</v>
      </c>
      <c r="B215">
        <v>11</v>
      </c>
      <c r="C215">
        <v>12</v>
      </c>
      <c r="D215">
        <v>192</v>
      </c>
      <c r="E215">
        <v>0</v>
      </c>
      <c r="F215">
        <v>0</v>
      </c>
      <c r="G215">
        <v>0</v>
      </c>
      <c r="H215">
        <v>192</v>
      </c>
      <c r="I215" s="4">
        <f t="shared" si="3"/>
        <v>1</v>
      </c>
    </row>
    <row r="216" spans="1:9">
      <c r="A216" t="s">
        <v>490</v>
      </c>
      <c r="B216">
        <v>11</v>
      </c>
      <c r="C216">
        <v>13</v>
      </c>
      <c r="D216">
        <v>192</v>
      </c>
      <c r="E216">
        <v>0</v>
      </c>
      <c r="F216">
        <v>0</v>
      </c>
      <c r="G216">
        <v>0</v>
      </c>
      <c r="H216">
        <v>192</v>
      </c>
      <c r="I216" s="4">
        <f t="shared" si="3"/>
        <v>1</v>
      </c>
    </row>
    <row r="217" spans="1:9">
      <c r="A217" t="s">
        <v>490</v>
      </c>
      <c r="B217">
        <v>12</v>
      </c>
      <c r="C217">
        <v>1</v>
      </c>
      <c r="D217">
        <v>1</v>
      </c>
      <c r="E217">
        <v>0</v>
      </c>
      <c r="F217">
        <v>1</v>
      </c>
      <c r="G217">
        <v>0</v>
      </c>
      <c r="H217">
        <v>118</v>
      </c>
      <c r="I217" s="4">
        <f t="shared" si="3"/>
        <v>8.4745762711864406E-3</v>
      </c>
    </row>
    <row r="218" spans="1:9">
      <c r="A218" t="s">
        <v>490</v>
      </c>
      <c r="B218">
        <v>12</v>
      </c>
      <c r="C218">
        <v>2</v>
      </c>
      <c r="D218">
        <v>62</v>
      </c>
      <c r="E218">
        <v>0</v>
      </c>
      <c r="F218">
        <v>9</v>
      </c>
      <c r="G218">
        <v>0</v>
      </c>
      <c r="H218">
        <v>118</v>
      </c>
      <c r="I218" s="4">
        <f t="shared" si="3"/>
        <v>0.52542372881355937</v>
      </c>
    </row>
    <row r="219" spans="1:9">
      <c r="A219" t="s">
        <v>490</v>
      </c>
      <c r="B219">
        <v>12</v>
      </c>
      <c r="C219">
        <v>3</v>
      </c>
      <c r="D219">
        <v>66</v>
      </c>
      <c r="E219">
        <v>0</v>
      </c>
      <c r="F219">
        <v>9</v>
      </c>
      <c r="G219">
        <v>0</v>
      </c>
      <c r="H219">
        <v>118</v>
      </c>
      <c r="I219" s="4">
        <f t="shared" si="3"/>
        <v>0.55932203389830504</v>
      </c>
    </row>
    <row r="220" spans="1:9">
      <c r="A220" t="s">
        <v>490</v>
      </c>
      <c r="B220">
        <v>12</v>
      </c>
      <c r="C220">
        <v>4</v>
      </c>
      <c r="D220">
        <v>70</v>
      </c>
      <c r="E220">
        <v>0</v>
      </c>
      <c r="F220">
        <v>9</v>
      </c>
      <c r="G220">
        <v>0</v>
      </c>
      <c r="H220">
        <v>118</v>
      </c>
      <c r="I220" s="4">
        <f t="shared" si="3"/>
        <v>0.59322033898305082</v>
      </c>
    </row>
    <row r="221" spans="1:9">
      <c r="A221" t="s">
        <v>490</v>
      </c>
      <c r="B221">
        <v>12</v>
      </c>
      <c r="C221">
        <v>5</v>
      </c>
      <c r="D221">
        <v>84</v>
      </c>
      <c r="E221">
        <v>0</v>
      </c>
      <c r="F221">
        <v>6</v>
      </c>
      <c r="G221">
        <v>0</v>
      </c>
      <c r="H221">
        <v>118</v>
      </c>
      <c r="I221" s="4">
        <f t="shared" si="3"/>
        <v>0.71186440677966101</v>
      </c>
    </row>
    <row r="222" spans="1:9">
      <c r="A222" t="s">
        <v>490</v>
      </c>
      <c r="B222">
        <v>12</v>
      </c>
      <c r="C222">
        <v>6</v>
      </c>
      <c r="D222">
        <v>105</v>
      </c>
      <c r="E222">
        <v>0</v>
      </c>
      <c r="F222">
        <v>3</v>
      </c>
      <c r="G222">
        <v>0</v>
      </c>
      <c r="H222">
        <v>118</v>
      </c>
      <c r="I222" s="4">
        <f t="shared" si="3"/>
        <v>0.88983050847457623</v>
      </c>
    </row>
    <row r="223" spans="1:9">
      <c r="A223" t="s">
        <v>490</v>
      </c>
      <c r="B223">
        <v>12</v>
      </c>
      <c r="C223">
        <v>7</v>
      </c>
      <c r="D223">
        <v>118</v>
      </c>
      <c r="E223">
        <v>0</v>
      </c>
      <c r="F223">
        <v>0</v>
      </c>
      <c r="G223">
        <v>0</v>
      </c>
      <c r="H223">
        <v>118</v>
      </c>
      <c r="I223" s="4">
        <f t="shared" si="3"/>
        <v>1</v>
      </c>
    </row>
    <row r="224" spans="1:9">
      <c r="A224" t="s">
        <v>490</v>
      </c>
      <c r="B224">
        <v>12</v>
      </c>
      <c r="C224">
        <v>8</v>
      </c>
      <c r="D224">
        <v>118</v>
      </c>
      <c r="E224">
        <v>0</v>
      </c>
      <c r="F224">
        <v>0</v>
      </c>
      <c r="G224">
        <v>0</v>
      </c>
      <c r="H224">
        <v>118</v>
      </c>
      <c r="I224" s="4">
        <f t="shared" si="3"/>
        <v>1</v>
      </c>
    </row>
    <row r="225" spans="1:9">
      <c r="A225" t="s">
        <v>490</v>
      </c>
      <c r="B225">
        <v>12</v>
      </c>
      <c r="C225">
        <v>9</v>
      </c>
      <c r="D225">
        <v>118</v>
      </c>
      <c r="E225">
        <v>0</v>
      </c>
      <c r="F225">
        <v>0</v>
      </c>
      <c r="G225">
        <v>0</v>
      </c>
      <c r="H225">
        <v>118</v>
      </c>
      <c r="I225" s="4">
        <f t="shared" si="3"/>
        <v>1</v>
      </c>
    </row>
    <row r="226" spans="1:9">
      <c r="A226" t="s">
        <v>490</v>
      </c>
      <c r="B226">
        <v>12</v>
      </c>
      <c r="C226">
        <v>10</v>
      </c>
      <c r="D226">
        <v>118</v>
      </c>
      <c r="E226">
        <v>0</v>
      </c>
      <c r="F226">
        <v>0</v>
      </c>
      <c r="G226">
        <v>0</v>
      </c>
      <c r="H226">
        <v>118</v>
      </c>
      <c r="I226" s="4">
        <f t="shared" si="3"/>
        <v>1</v>
      </c>
    </row>
    <row r="227" spans="1:9">
      <c r="A227" t="s">
        <v>490</v>
      </c>
      <c r="B227">
        <v>12</v>
      </c>
      <c r="C227">
        <v>11</v>
      </c>
      <c r="D227">
        <v>118</v>
      </c>
      <c r="E227">
        <v>0</v>
      </c>
      <c r="F227">
        <v>0</v>
      </c>
      <c r="G227">
        <v>0</v>
      </c>
      <c r="H227">
        <v>118</v>
      </c>
      <c r="I227" s="4">
        <f t="shared" si="3"/>
        <v>1</v>
      </c>
    </row>
    <row r="228" spans="1:9">
      <c r="A228" t="s">
        <v>490</v>
      </c>
      <c r="B228">
        <v>12</v>
      </c>
      <c r="C228">
        <v>12</v>
      </c>
      <c r="D228">
        <v>118</v>
      </c>
      <c r="E228">
        <v>0</v>
      </c>
      <c r="F228">
        <v>0</v>
      </c>
      <c r="G228">
        <v>0</v>
      </c>
      <c r="H228">
        <v>118</v>
      </c>
      <c r="I228" s="4">
        <f t="shared" si="3"/>
        <v>1</v>
      </c>
    </row>
    <row r="229" spans="1:9">
      <c r="A229" t="s">
        <v>490</v>
      </c>
      <c r="B229">
        <v>12</v>
      </c>
      <c r="C229">
        <v>13</v>
      </c>
      <c r="D229">
        <v>118</v>
      </c>
      <c r="E229">
        <v>0</v>
      </c>
      <c r="F229">
        <v>0</v>
      </c>
      <c r="G229">
        <v>0</v>
      </c>
      <c r="H229">
        <v>118</v>
      </c>
      <c r="I229" s="4">
        <f t="shared" si="3"/>
        <v>1</v>
      </c>
    </row>
    <row r="230" spans="1:9">
      <c r="A230" t="s">
        <v>490</v>
      </c>
      <c r="B230">
        <v>12</v>
      </c>
      <c r="C230">
        <v>14</v>
      </c>
      <c r="D230">
        <v>118</v>
      </c>
      <c r="E230">
        <v>0</v>
      </c>
      <c r="F230">
        <v>0</v>
      </c>
      <c r="G230">
        <v>0</v>
      </c>
      <c r="H230">
        <v>118</v>
      </c>
      <c r="I230" s="4">
        <f t="shared" si="3"/>
        <v>1</v>
      </c>
    </row>
    <row r="231" spans="1:9">
      <c r="A231" t="s">
        <v>490</v>
      </c>
      <c r="B231">
        <v>12</v>
      </c>
      <c r="C231">
        <v>15</v>
      </c>
      <c r="D231">
        <v>118</v>
      </c>
      <c r="E231">
        <v>0</v>
      </c>
      <c r="F231">
        <v>0</v>
      </c>
      <c r="G231">
        <v>0</v>
      </c>
      <c r="H231">
        <v>118</v>
      </c>
      <c r="I231" s="4">
        <f t="shared" si="3"/>
        <v>1</v>
      </c>
    </row>
    <row r="232" spans="1:9">
      <c r="A232" t="s">
        <v>490</v>
      </c>
      <c r="B232">
        <v>12</v>
      </c>
      <c r="C232">
        <v>16</v>
      </c>
      <c r="D232">
        <v>118</v>
      </c>
      <c r="E232">
        <v>0</v>
      </c>
      <c r="F232">
        <v>0</v>
      </c>
      <c r="G232">
        <v>0</v>
      </c>
      <c r="H232">
        <v>118</v>
      </c>
      <c r="I232" s="4">
        <f t="shared" si="3"/>
        <v>1</v>
      </c>
    </row>
    <row r="233" spans="1:9">
      <c r="A233" t="s">
        <v>490</v>
      </c>
      <c r="B233">
        <v>12</v>
      </c>
      <c r="C233">
        <v>17</v>
      </c>
      <c r="D233">
        <v>118</v>
      </c>
      <c r="E233">
        <v>0</v>
      </c>
      <c r="F233">
        <v>0</v>
      </c>
      <c r="G233">
        <v>0</v>
      </c>
      <c r="H233">
        <v>118</v>
      </c>
      <c r="I233" s="4">
        <f t="shared" si="3"/>
        <v>1</v>
      </c>
    </row>
    <row r="234" spans="1:9">
      <c r="A234" t="s">
        <v>491</v>
      </c>
      <c r="B234">
        <v>1</v>
      </c>
      <c r="C234">
        <v>1</v>
      </c>
      <c r="D234">
        <v>18</v>
      </c>
      <c r="E234">
        <v>0</v>
      </c>
      <c r="F234">
        <v>4</v>
      </c>
      <c r="G234">
        <v>0</v>
      </c>
      <c r="H234">
        <v>88</v>
      </c>
      <c r="I234" s="4">
        <f t="shared" si="3"/>
        <v>0.20454545454545456</v>
      </c>
    </row>
    <row r="235" spans="1:9">
      <c r="A235" t="s">
        <v>491</v>
      </c>
      <c r="B235">
        <v>1</v>
      </c>
      <c r="C235">
        <v>2</v>
      </c>
      <c r="D235">
        <v>34</v>
      </c>
      <c r="E235">
        <v>0</v>
      </c>
      <c r="F235">
        <v>4</v>
      </c>
      <c r="G235">
        <v>0</v>
      </c>
      <c r="H235">
        <v>88</v>
      </c>
      <c r="I235" s="4">
        <f t="shared" si="3"/>
        <v>0.38636363636363635</v>
      </c>
    </row>
    <row r="236" spans="1:9">
      <c r="A236" t="s">
        <v>491</v>
      </c>
      <c r="B236">
        <v>1</v>
      </c>
      <c r="C236">
        <v>3</v>
      </c>
      <c r="D236">
        <v>34</v>
      </c>
      <c r="E236">
        <v>0</v>
      </c>
      <c r="F236">
        <v>4</v>
      </c>
      <c r="G236">
        <v>0</v>
      </c>
      <c r="H236">
        <v>88</v>
      </c>
      <c r="I236" s="4">
        <f t="shared" si="3"/>
        <v>0.38636363636363635</v>
      </c>
    </row>
    <row r="237" spans="1:9">
      <c r="A237" t="s">
        <v>491</v>
      </c>
      <c r="B237">
        <v>1</v>
      </c>
      <c r="C237">
        <v>4</v>
      </c>
      <c r="D237">
        <v>34</v>
      </c>
      <c r="E237">
        <v>0</v>
      </c>
      <c r="F237">
        <v>4</v>
      </c>
      <c r="G237">
        <v>0</v>
      </c>
      <c r="H237">
        <v>88</v>
      </c>
      <c r="I237" s="4">
        <f t="shared" si="3"/>
        <v>0.38636363636363635</v>
      </c>
    </row>
    <row r="238" spans="1:9">
      <c r="A238" t="s">
        <v>491</v>
      </c>
      <c r="B238">
        <v>1</v>
      </c>
      <c r="C238">
        <v>5</v>
      </c>
      <c r="D238">
        <v>88</v>
      </c>
      <c r="E238">
        <v>0</v>
      </c>
      <c r="F238">
        <v>0</v>
      </c>
      <c r="G238">
        <v>0</v>
      </c>
      <c r="H238">
        <v>88</v>
      </c>
      <c r="I238" s="4">
        <f t="shared" si="3"/>
        <v>1</v>
      </c>
    </row>
    <row r="239" spans="1:9">
      <c r="A239" t="s">
        <v>491</v>
      </c>
      <c r="B239">
        <v>1</v>
      </c>
      <c r="C239">
        <v>6</v>
      </c>
      <c r="D239">
        <v>88</v>
      </c>
      <c r="E239">
        <v>0</v>
      </c>
      <c r="F239">
        <v>0</v>
      </c>
      <c r="G239">
        <v>0</v>
      </c>
      <c r="H239">
        <v>88</v>
      </c>
      <c r="I239" s="4">
        <f t="shared" si="3"/>
        <v>1</v>
      </c>
    </row>
    <row r="240" spans="1:9">
      <c r="A240" t="s">
        <v>491</v>
      </c>
      <c r="B240">
        <v>1</v>
      </c>
      <c r="C240">
        <v>7</v>
      </c>
      <c r="D240">
        <v>88</v>
      </c>
      <c r="E240">
        <v>0</v>
      </c>
      <c r="F240">
        <v>0</v>
      </c>
      <c r="G240">
        <v>0</v>
      </c>
      <c r="H240">
        <v>88</v>
      </c>
      <c r="I240" s="4">
        <f t="shared" si="3"/>
        <v>1</v>
      </c>
    </row>
    <row r="241" spans="1:9">
      <c r="A241" t="s">
        <v>492</v>
      </c>
      <c r="B241">
        <v>1</v>
      </c>
      <c r="C241">
        <v>1</v>
      </c>
      <c r="D241">
        <v>13</v>
      </c>
      <c r="E241">
        <v>0</v>
      </c>
      <c r="F241">
        <v>3</v>
      </c>
      <c r="G241">
        <v>0</v>
      </c>
      <c r="H241">
        <v>165</v>
      </c>
      <c r="I241" s="4">
        <f t="shared" si="3"/>
        <v>7.8787878787878782E-2</v>
      </c>
    </row>
    <row r="242" spans="1:9">
      <c r="A242" t="s">
        <v>492</v>
      </c>
      <c r="B242">
        <v>1</v>
      </c>
      <c r="C242">
        <v>2</v>
      </c>
      <c r="D242">
        <v>15</v>
      </c>
      <c r="E242">
        <v>0</v>
      </c>
      <c r="F242">
        <v>3</v>
      </c>
      <c r="G242">
        <v>0</v>
      </c>
      <c r="H242">
        <v>165</v>
      </c>
      <c r="I242" s="4">
        <f t="shared" si="3"/>
        <v>9.0909090909090912E-2</v>
      </c>
    </row>
    <row r="243" spans="1:9">
      <c r="A243" t="s">
        <v>492</v>
      </c>
      <c r="B243">
        <v>1</v>
      </c>
      <c r="C243">
        <v>3</v>
      </c>
      <c r="D243">
        <v>21</v>
      </c>
      <c r="E243">
        <v>0</v>
      </c>
      <c r="F243">
        <v>4</v>
      </c>
      <c r="G243">
        <v>0</v>
      </c>
      <c r="H243">
        <v>165</v>
      </c>
      <c r="I243" s="4">
        <f t="shared" si="3"/>
        <v>0.12727272727272726</v>
      </c>
    </row>
    <row r="244" spans="1:9">
      <c r="A244" t="s">
        <v>492</v>
      </c>
      <c r="B244">
        <v>1</v>
      </c>
      <c r="C244">
        <v>4</v>
      </c>
      <c r="D244">
        <v>22</v>
      </c>
      <c r="E244">
        <v>0</v>
      </c>
      <c r="F244">
        <v>4</v>
      </c>
      <c r="G244">
        <v>0</v>
      </c>
      <c r="H244">
        <v>165</v>
      </c>
      <c r="I244" s="4">
        <f t="shared" si="3"/>
        <v>0.13333333333333333</v>
      </c>
    </row>
    <row r="245" spans="1:9">
      <c r="A245" t="s">
        <v>492</v>
      </c>
      <c r="B245">
        <v>1</v>
      </c>
      <c r="C245">
        <v>5</v>
      </c>
      <c r="D245">
        <v>24</v>
      </c>
      <c r="E245">
        <v>0</v>
      </c>
      <c r="F245">
        <v>4</v>
      </c>
      <c r="G245">
        <v>0</v>
      </c>
      <c r="H245">
        <v>165</v>
      </c>
      <c r="I245" s="4">
        <f t="shared" si="3"/>
        <v>0.14545454545454545</v>
      </c>
    </row>
    <row r="246" spans="1:9">
      <c r="A246" t="s">
        <v>492</v>
      </c>
      <c r="B246">
        <v>1</v>
      </c>
      <c r="C246">
        <v>6</v>
      </c>
      <c r="D246">
        <v>26</v>
      </c>
      <c r="E246">
        <v>0</v>
      </c>
      <c r="F246">
        <v>4</v>
      </c>
      <c r="G246">
        <v>0</v>
      </c>
      <c r="H246">
        <v>165</v>
      </c>
      <c r="I246" s="4">
        <f t="shared" si="3"/>
        <v>0.15757575757575756</v>
      </c>
    </row>
    <row r="247" spans="1:9">
      <c r="A247" t="s">
        <v>492</v>
      </c>
      <c r="B247">
        <v>1</v>
      </c>
      <c r="C247">
        <v>7</v>
      </c>
      <c r="D247">
        <v>27</v>
      </c>
      <c r="E247">
        <v>0</v>
      </c>
      <c r="F247">
        <v>4</v>
      </c>
      <c r="G247">
        <v>0</v>
      </c>
      <c r="H247">
        <v>165</v>
      </c>
      <c r="I247" s="4">
        <f t="shared" si="3"/>
        <v>0.16363636363636364</v>
      </c>
    </row>
    <row r="248" spans="1:9">
      <c r="A248" t="s">
        <v>492</v>
      </c>
      <c r="B248">
        <v>1</v>
      </c>
      <c r="C248">
        <v>8</v>
      </c>
      <c r="D248">
        <v>28</v>
      </c>
      <c r="E248">
        <v>0</v>
      </c>
      <c r="F248">
        <v>4</v>
      </c>
      <c r="G248">
        <v>0</v>
      </c>
      <c r="H248">
        <v>165</v>
      </c>
      <c r="I248" s="4">
        <f t="shared" si="3"/>
        <v>0.16969696969696971</v>
      </c>
    </row>
    <row r="249" spans="1:9">
      <c r="A249" t="s">
        <v>492</v>
      </c>
      <c r="B249">
        <v>1</v>
      </c>
      <c r="C249">
        <v>9</v>
      </c>
      <c r="D249">
        <v>30</v>
      </c>
      <c r="E249">
        <v>0</v>
      </c>
      <c r="F249">
        <v>4</v>
      </c>
      <c r="G249">
        <v>0</v>
      </c>
      <c r="H249">
        <v>165</v>
      </c>
      <c r="I249" s="4">
        <f t="shared" si="3"/>
        <v>0.18181818181818182</v>
      </c>
    </row>
    <row r="250" spans="1:9">
      <c r="A250" t="s">
        <v>492</v>
      </c>
      <c r="B250">
        <v>1</v>
      </c>
      <c r="C250">
        <v>10</v>
      </c>
      <c r="D250">
        <v>32</v>
      </c>
      <c r="E250">
        <v>0</v>
      </c>
      <c r="F250">
        <v>4</v>
      </c>
      <c r="G250">
        <v>0</v>
      </c>
      <c r="H250">
        <v>165</v>
      </c>
      <c r="I250" s="4">
        <f t="shared" si="3"/>
        <v>0.19393939393939394</v>
      </c>
    </row>
    <row r="251" spans="1:9">
      <c r="A251" t="s">
        <v>492</v>
      </c>
      <c r="B251">
        <v>1</v>
      </c>
      <c r="C251">
        <v>11</v>
      </c>
      <c r="D251">
        <v>35</v>
      </c>
      <c r="E251">
        <v>0</v>
      </c>
      <c r="F251">
        <v>5</v>
      </c>
      <c r="G251">
        <v>0</v>
      </c>
      <c r="H251">
        <v>165</v>
      </c>
      <c r="I251" s="4">
        <f t="shared" si="3"/>
        <v>0.21212121212121213</v>
      </c>
    </row>
    <row r="252" spans="1:9">
      <c r="A252" t="s">
        <v>492</v>
      </c>
      <c r="B252">
        <v>1</v>
      </c>
      <c r="C252">
        <v>12</v>
      </c>
      <c r="D252">
        <v>36</v>
      </c>
      <c r="E252">
        <v>0</v>
      </c>
      <c r="F252">
        <v>4</v>
      </c>
      <c r="G252">
        <v>0</v>
      </c>
      <c r="H252">
        <v>165</v>
      </c>
      <c r="I252" s="4">
        <f t="shared" si="3"/>
        <v>0.21818181818181817</v>
      </c>
    </row>
    <row r="253" spans="1:9">
      <c r="A253" t="s">
        <v>492</v>
      </c>
      <c r="B253">
        <v>1</v>
      </c>
      <c r="C253">
        <v>13</v>
      </c>
      <c r="D253">
        <v>39</v>
      </c>
      <c r="E253">
        <v>0</v>
      </c>
      <c r="F253">
        <v>4</v>
      </c>
      <c r="G253">
        <v>0</v>
      </c>
      <c r="H253">
        <v>165</v>
      </c>
      <c r="I253" s="4">
        <f t="shared" si="3"/>
        <v>0.23636363636363636</v>
      </c>
    </row>
    <row r="254" spans="1:9">
      <c r="A254" t="s">
        <v>492</v>
      </c>
      <c r="B254">
        <v>1</v>
      </c>
      <c r="C254">
        <v>14</v>
      </c>
      <c r="D254">
        <v>40</v>
      </c>
      <c r="E254">
        <v>0</v>
      </c>
      <c r="F254">
        <v>3</v>
      </c>
      <c r="G254">
        <v>0</v>
      </c>
      <c r="H254">
        <v>165</v>
      </c>
      <c r="I254" s="4">
        <f t="shared" si="3"/>
        <v>0.24242424242424243</v>
      </c>
    </row>
    <row r="255" spans="1:9">
      <c r="A255" t="s">
        <v>492</v>
      </c>
      <c r="B255">
        <v>1</v>
      </c>
      <c r="C255">
        <v>15</v>
      </c>
      <c r="D255">
        <v>41</v>
      </c>
      <c r="E255">
        <v>0</v>
      </c>
      <c r="F255">
        <v>2</v>
      </c>
      <c r="G255">
        <v>0</v>
      </c>
      <c r="H255">
        <v>165</v>
      </c>
      <c r="I255" s="4">
        <f t="shared" si="3"/>
        <v>0.24848484848484848</v>
      </c>
    </row>
    <row r="256" spans="1:9">
      <c r="A256" t="s">
        <v>492</v>
      </c>
      <c r="B256">
        <v>1</v>
      </c>
      <c r="C256">
        <v>16</v>
      </c>
      <c r="D256">
        <v>165</v>
      </c>
      <c r="E256">
        <v>0</v>
      </c>
      <c r="F256">
        <v>0</v>
      </c>
      <c r="G256">
        <v>0</v>
      </c>
      <c r="H256">
        <v>165</v>
      </c>
      <c r="I256" s="4">
        <f t="shared" si="3"/>
        <v>1</v>
      </c>
    </row>
    <row r="257" spans="1:9">
      <c r="A257" t="s">
        <v>492</v>
      </c>
      <c r="B257">
        <v>3</v>
      </c>
      <c r="C257">
        <v>1</v>
      </c>
      <c r="D257">
        <v>279</v>
      </c>
      <c r="E257">
        <v>0</v>
      </c>
      <c r="F257">
        <v>2</v>
      </c>
      <c r="G257">
        <v>0</v>
      </c>
      <c r="H257">
        <v>332</v>
      </c>
      <c r="I257" s="4">
        <f t="shared" si="3"/>
        <v>0.84036144578313254</v>
      </c>
    </row>
    <row r="258" spans="1:9">
      <c r="A258" t="s">
        <v>492</v>
      </c>
      <c r="B258">
        <v>3</v>
      </c>
      <c r="C258">
        <v>2</v>
      </c>
      <c r="D258">
        <v>331</v>
      </c>
      <c r="E258">
        <v>0</v>
      </c>
      <c r="F258">
        <v>1</v>
      </c>
      <c r="G258">
        <v>0</v>
      </c>
      <c r="H258">
        <v>332</v>
      </c>
      <c r="I258" s="4">
        <f t="shared" si="3"/>
        <v>0.99698795180722888</v>
      </c>
    </row>
    <row r="259" spans="1:9">
      <c r="A259" t="s">
        <v>492</v>
      </c>
      <c r="B259">
        <v>3</v>
      </c>
      <c r="C259">
        <v>3</v>
      </c>
      <c r="D259">
        <v>332</v>
      </c>
      <c r="E259">
        <v>0</v>
      </c>
      <c r="F259">
        <v>0</v>
      </c>
      <c r="G259">
        <v>0</v>
      </c>
      <c r="H259">
        <v>332</v>
      </c>
      <c r="I259" s="4">
        <f t="shared" ref="I259:I322" si="4">D259/H259</f>
        <v>1</v>
      </c>
    </row>
    <row r="260" spans="1:9">
      <c r="A260" t="s">
        <v>492</v>
      </c>
      <c r="B260">
        <v>4</v>
      </c>
      <c r="C260">
        <v>1</v>
      </c>
      <c r="D260">
        <v>112</v>
      </c>
      <c r="E260">
        <v>0</v>
      </c>
      <c r="F260">
        <v>5</v>
      </c>
      <c r="G260">
        <v>0</v>
      </c>
      <c r="H260">
        <f>129</f>
        <v>129</v>
      </c>
      <c r="I260" s="4">
        <f t="shared" si="4"/>
        <v>0.86821705426356588</v>
      </c>
    </row>
    <row r="261" spans="1:9">
      <c r="A261" t="s">
        <v>492</v>
      </c>
      <c r="B261">
        <v>4</v>
      </c>
      <c r="C261">
        <v>2</v>
      </c>
      <c r="D261">
        <v>116</v>
      </c>
      <c r="E261">
        <v>0</v>
      </c>
      <c r="F261">
        <v>3</v>
      </c>
      <c r="G261">
        <v>0</v>
      </c>
      <c r="H261">
        <f>129</f>
        <v>129</v>
      </c>
      <c r="I261" s="4">
        <f t="shared" si="4"/>
        <v>0.89922480620155043</v>
      </c>
    </row>
    <row r="262" spans="1:9">
      <c r="A262" t="s">
        <v>492</v>
      </c>
      <c r="B262">
        <v>4</v>
      </c>
      <c r="C262">
        <v>3</v>
      </c>
      <c r="D262">
        <v>119</v>
      </c>
      <c r="E262">
        <v>0</v>
      </c>
      <c r="F262">
        <v>2</v>
      </c>
      <c r="G262">
        <v>0</v>
      </c>
      <c r="H262">
        <f>129</f>
        <v>129</v>
      </c>
      <c r="I262" s="4">
        <f t="shared" si="4"/>
        <v>0.92248062015503873</v>
      </c>
    </row>
    <row r="263" spans="1:9">
      <c r="A263" t="s">
        <v>492</v>
      </c>
      <c r="B263">
        <v>4</v>
      </c>
      <c r="C263">
        <v>4</v>
      </c>
      <c r="D263">
        <v>128</v>
      </c>
      <c r="E263">
        <v>0</v>
      </c>
      <c r="F263">
        <v>1</v>
      </c>
      <c r="G263">
        <v>0</v>
      </c>
      <c r="H263">
        <f>129</f>
        <v>129</v>
      </c>
      <c r="I263" s="4">
        <f t="shared" si="4"/>
        <v>0.99224806201550386</v>
      </c>
    </row>
    <row r="264" spans="1:9">
      <c r="A264" t="s">
        <v>492</v>
      </c>
      <c r="B264">
        <v>4</v>
      </c>
      <c r="C264">
        <v>5</v>
      </c>
      <c r="D264">
        <v>128</v>
      </c>
      <c r="E264">
        <v>0</v>
      </c>
      <c r="F264">
        <v>1</v>
      </c>
      <c r="G264">
        <v>0</v>
      </c>
      <c r="H264">
        <f>129</f>
        <v>129</v>
      </c>
      <c r="I264" s="4">
        <f t="shared" si="4"/>
        <v>0.99224806201550386</v>
      </c>
    </row>
    <row r="265" spans="1:9">
      <c r="A265" t="s">
        <v>492</v>
      </c>
      <c r="B265">
        <v>4</v>
      </c>
      <c r="C265">
        <v>6</v>
      </c>
      <c r="D265">
        <v>128</v>
      </c>
      <c r="E265">
        <v>0</v>
      </c>
      <c r="F265">
        <v>1</v>
      </c>
      <c r="G265">
        <v>0</v>
      </c>
      <c r="H265">
        <f>129</f>
        <v>129</v>
      </c>
      <c r="I265" s="4">
        <f t="shared" si="4"/>
        <v>0.99224806201550386</v>
      </c>
    </row>
    <row r="266" spans="1:9">
      <c r="A266" t="s">
        <v>492</v>
      </c>
      <c r="B266">
        <v>4</v>
      </c>
      <c r="C266">
        <v>7</v>
      </c>
      <c r="D266">
        <v>129</v>
      </c>
      <c r="E266">
        <v>0</v>
      </c>
      <c r="F266">
        <v>0</v>
      </c>
      <c r="G266">
        <v>0</v>
      </c>
      <c r="H266">
        <f>129</f>
        <v>129</v>
      </c>
      <c r="I266" s="4">
        <f t="shared" si="4"/>
        <v>1</v>
      </c>
    </row>
    <row r="267" spans="1:9">
      <c r="A267" t="s">
        <v>492</v>
      </c>
      <c r="B267">
        <v>4</v>
      </c>
      <c r="C267">
        <v>8</v>
      </c>
      <c r="D267">
        <v>129</v>
      </c>
      <c r="E267">
        <v>0</v>
      </c>
      <c r="F267">
        <v>0</v>
      </c>
      <c r="G267">
        <v>0</v>
      </c>
      <c r="H267">
        <f>129</f>
        <v>129</v>
      </c>
      <c r="I267" s="4">
        <f t="shared" si="4"/>
        <v>1</v>
      </c>
    </row>
    <row r="268" spans="1:9">
      <c r="A268" t="s">
        <v>492</v>
      </c>
      <c r="B268">
        <v>4</v>
      </c>
      <c r="C268">
        <v>9</v>
      </c>
      <c r="D268">
        <v>129</v>
      </c>
      <c r="E268">
        <v>0</v>
      </c>
      <c r="F268">
        <v>0</v>
      </c>
      <c r="G268">
        <v>0</v>
      </c>
      <c r="H268">
        <f>129</f>
        <v>129</v>
      </c>
      <c r="I268" s="4">
        <f t="shared" si="4"/>
        <v>1</v>
      </c>
    </row>
    <row r="269" spans="1:9">
      <c r="A269" t="s">
        <v>492</v>
      </c>
      <c r="B269">
        <v>6</v>
      </c>
      <c r="C269">
        <v>1</v>
      </c>
      <c r="D269">
        <v>78</v>
      </c>
      <c r="E269">
        <v>0</v>
      </c>
      <c r="F269">
        <v>3</v>
      </c>
      <c r="G269">
        <v>0</v>
      </c>
      <c r="H269">
        <v>121</v>
      </c>
      <c r="I269" s="4">
        <f t="shared" si="4"/>
        <v>0.64462809917355368</v>
      </c>
    </row>
    <row r="270" spans="1:9">
      <c r="A270" t="s">
        <v>492</v>
      </c>
      <c r="B270">
        <v>6</v>
      </c>
      <c r="C270">
        <v>2</v>
      </c>
      <c r="D270">
        <v>121</v>
      </c>
      <c r="E270">
        <v>0</v>
      </c>
      <c r="F270">
        <v>0</v>
      </c>
      <c r="G270">
        <v>0</v>
      </c>
      <c r="H270">
        <v>121</v>
      </c>
      <c r="I270" s="4">
        <f t="shared" si="4"/>
        <v>1</v>
      </c>
    </row>
    <row r="271" spans="1:9">
      <c r="A271" t="s">
        <v>492</v>
      </c>
      <c r="B271">
        <v>7</v>
      </c>
      <c r="C271">
        <v>1</v>
      </c>
      <c r="D271">
        <v>1</v>
      </c>
      <c r="E271">
        <v>0</v>
      </c>
      <c r="F271">
        <v>1</v>
      </c>
      <c r="G271">
        <v>0</v>
      </c>
      <c r="H271">
        <v>41</v>
      </c>
      <c r="I271" s="4">
        <f t="shared" si="4"/>
        <v>2.4390243902439025E-2</v>
      </c>
    </row>
    <row r="272" spans="1:9">
      <c r="A272" t="s">
        <v>492</v>
      </c>
      <c r="B272">
        <v>7</v>
      </c>
      <c r="C272">
        <v>2</v>
      </c>
      <c r="D272">
        <v>3</v>
      </c>
      <c r="E272">
        <v>0</v>
      </c>
      <c r="F272">
        <v>1</v>
      </c>
      <c r="G272">
        <v>0</v>
      </c>
      <c r="H272">
        <v>41</v>
      </c>
      <c r="I272" s="4">
        <f t="shared" si="4"/>
        <v>7.3170731707317069E-2</v>
      </c>
    </row>
    <row r="273" spans="1:9">
      <c r="A273" t="s">
        <v>492</v>
      </c>
      <c r="B273">
        <v>7</v>
      </c>
      <c r="C273">
        <v>3</v>
      </c>
      <c r="D273">
        <v>6</v>
      </c>
      <c r="E273">
        <v>0</v>
      </c>
      <c r="F273">
        <v>2</v>
      </c>
      <c r="G273">
        <v>0</v>
      </c>
      <c r="H273">
        <v>41</v>
      </c>
      <c r="I273" s="4">
        <f t="shared" si="4"/>
        <v>0.14634146341463414</v>
      </c>
    </row>
    <row r="274" spans="1:9">
      <c r="A274" t="s">
        <v>492</v>
      </c>
      <c r="B274">
        <v>7</v>
      </c>
      <c r="C274">
        <v>4</v>
      </c>
      <c r="D274">
        <v>7</v>
      </c>
      <c r="E274">
        <v>0</v>
      </c>
      <c r="F274">
        <v>1</v>
      </c>
      <c r="G274">
        <v>0</v>
      </c>
      <c r="H274">
        <v>41</v>
      </c>
      <c r="I274" s="4">
        <f t="shared" si="4"/>
        <v>0.17073170731707318</v>
      </c>
    </row>
    <row r="275" spans="1:9">
      <c r="A275" t="s">
        <v>492</v>
      </c>
      <c r="B275">
        <v>7</v>
      </c>
      <c r="C275">
        <v>5</v>
      </c>
      <c r="D275">
        <v>11</v>
      </c>
      <c r="E275">
        <v>0</v>
      </c>
      <c r="F275">
        <v>3</v>
      </c>
      <c r="G275">
        <v>0</v>
      </c>
      <c r="H275">
        <v>41</v>
      </c>
      <c r="I275" s="4">
        <f t="shared" si="4"/>
        <v>0.26829268292682928</v>
      </c>
    </row>
    <row r="276" spans="1:9">
      <c r="A276" t="s">
        <v>492</v>
      </c>
      <c r="B276">
        <v>7</v>
      </c>
      <c r="C276">
        <v>6</v>
      </c>
      <c r="D276">
        <v>11</v>
      </c>
      <c r="E276">
        <v>0</v>
      </c>
      <c r="F276">
        <v>3</v>
      </c>
      <c r="G276">
        <v>0</v>
      </c>
      <c r="H276">
        <v>41</v>
      </c>
      <c r="I276" s="4">
        <f t="shared" si="4"/>
        <v>0.26829268292682928</v>
      </c>
    </row>
    <row r="277" spans="1:9">
      <c r="A277" s="6" t="s">
        <v>492</v>
      </c>
      <c r="B277" s="6">
        <v>7</v>
      </c>
      <c r="C277" s="6">
        <v>7</v>
      </c>
      <c r="D277" s="6">
        <v>41</v>
      </c>
      <c r="E277" s="6">
        <v>0</v>
      </c>
      <c r="F277" s="6">
        <v>2</v>
      </c>
      <c r="G277" s="6">
        <v>0</v>
      </c>
      <c r="H277" s="6">
        <v>41</v>
      </c>
      <c r="I277" s="4">
        <f t="shared" si="4"/>
        <v>1</v>
      </c>
    </row>
    <row r="278" spans="1:9">
      <c r="A278" t="s">
        <v>493</v>
      </c>
      <c r="B278">
        <v>3</v>
      </c>
      <c r="C278">
        <v>1</v>
      </c>
      <c r="D278">
        <v>6</v>
      </c>
      <c r="E278">
        <v>0</v>
      </c>
      <c r="F278">
        <v>1</v>
      </c>
      <c r="G278">
        <v>0</v>
      </c>
      <c r="H278">
        <v>62</v>
      </c>
      <c r="I278" s="4">
        <f t="shared" si="4"/>
        <v>9.6774193548387094E-2</v>
      </c>
    </row>
    <row r="279" spans="1:9">
      <c r="A279" t="s">
        <v>493</v>
      </c>
      <c r="B279">
        <v>3</v>
      </c>
      <c r="C279">
        <v>2</v>
      </c>
      <c r="D279">
        <v>46</v>
      </c>
      <c r="E279">
        <v>0</v>
      </c>
      <c r="F279">
        <v>3</v>
      </c>
      <c r="G279">
        <v>0</v>
      </c>
      <c r="H279">
        <v>62</v>
      </c>
      <c r="I279" s="4">
        <f t="shared" si="4"/>
        <v>0.74193548387096775</v>
      </c>
    </row>
    <row r="280" spans="1:9">
      <c r="A280" t="s">
        <v>493</v>
      </c>
      <c r="B280">
        <v>3</v>
      </c>
      <c r="C280">
        <v>3</v>
      </c>
      <c r="D280">
        <v>62</v>
      </c>
      <c r="E280">
        <v>0</v>
      </c>
      <c r="F280">
        <v>0</v>
      </c>
      <c r="G280">
        <v>0</v>
      </c>
      <c r="H280">
        <v>62</v>
      </c>
      <c r="I280" s="4">
        <f t="shared" si="4"/>
        <v>1</v>
      </c>
    </row>
    <row r="281" spans="1:9">
      <c r="A281" t="s">
        <v>493</v>
      </c>
      <c r="B281">
        <v>7</v>
      </c>
      <c r="C281">
        <v>1</v>
      </c>
      <c r="D281">
        <v>3</v>
      </c>
      <c r="E281">
        <v>0</v>
      </c>
      <c r="F281">
        <v>0</v>
      </c>
      <c r="G281">
        <v>0</v>
      </c>
      <c r="H281">
        <v>56</v>
      </c>
      <c r="I281" s="4">
        <f t="shared" si="4"/>
        <v>5.3571428571428568E-2</v>
      </c>
    </row>
    <row r="282" spans="1:9">
      <c r="A282" t="s">
        <v>493</v>
      </c>
      <c r="B282">
        <v>7</v>
      </c>
      <c r="C282">
        <v>2</v>
      </c>
      <c r="D282">
        <v>4</v>
      </c>
      <c r="E282">
        <v>0</v>
      </c>
      <c r="F282">
        <v>1</v>
      </c>
      <c r="G282">
        <v>0</v>
      </c>
      <c r="H282">
        <v>56</v>
      </c>
      <c r="I282" s="4">
        <f t="shared" si="4"/>
        <v>7.1428571428571425E-2</v>
      </c>
    </row>
    <row r="283" spans="1:9">
      <c r="A283" t="s">
        <v>493</v>
      </c>
      <c r="B283">
        <v>7</v>
      </c>
      <c r="C283">
        <v>3</v>
      </c>
      <c r="D283">
        <v>16</v>
      </c>
      <c r="E283">
        <v>0</v>
      </c>
      <c r="F283">
        <v>1</v>
      </c>
      <c r="G283">
        <v>0</v>
      </c>
      <c r="H283">
        <v>56</v>
      </c>
      <c r="I283" s="4">
        <f t="shared" si="4"/>
        <v>0.2857142857142857</v>
      </c>
    </row>
    <row r="284" spans="1:9">
      <c r="A284" t="s">
        <v>493</v>
      </c>
      <c r="B284">
        <v>7</v>
      </c>
      <c r="C284">
        <v>4</v>
      </c>
      <c r="D284">
        <v>27</v>
      </c>
      <c r="E284">
        <v>0</v>
      </c>
      <c r="F284">
        <v>1</v>
      </c>
      <c r="G284">
        <v>0</v>
      </c>
      <c r="H284">
        <v>56</v>
      </c>
      <c r="I284" s="4">
        <f t="shared" si="4"/>
        <v>0.48214285714285715</v>
      </c>
    </row>
    <row r="285" spans="1:9">
      <c r="A285" t="s">
        <v>493</v>
      </c>
      <c r="B285">
        <v>7</v>
      </c>
      <c r="C285">
        <v>5</v>
      </c>
      <c r="D285">
        <v>29</v>
      </c>
      <c r="E285">
        <v>0</v>
      </c>
      <c r="F285">
        <v>1</v>
      </c>
      <c r="G285">
        <v>0</v>
      </c>
      <c r="H285">
        <v>56</v>
      </c>
      <c r="I285" s="4">
        <f t="shared" si="4"/>
        <v>0.5178571428571429</v>
      </c>
    </row>
    <row r="286" spans="1:9">
      <c r="A286" t="s">
        <v>493</v>
      </c>
      <c r="B286">
        <v>7</v>
      </c>
      <c r="C286">
        <v>6</v>
      </c>
      <c r="D286">
        <v>56</v>
      </c>
      <c r="E286">
        <v>0</v>
      </c>
      <c r="F286">
        <v>0</v>
      </c>
      <c r="G286">
        <v>0</v>
      </c>
      <c r="H286">
        <v>56</v>
      </c>
      <c r="I286" s="4">
        <f t="shared" si="4"/>
        <v>1</v>
      </c>
    </row>
    <row r="287" spans="1:9">
      <c r="A287" t="s">
        <v>493</v>
      </c>
      <c r="B287">
        <v>8</v>
      </c>
      <c r="C287">
        <v>1</v>
      </c>
      <c r="D287">
        <v>4</v>
      </c>
      <c r="E287">
        <v>0</v>
      </c>
      <c r="F287">
        <v>1</v>
      </c>
      <c r="G287">
        <v>0</v>
      </c>
      <c r="H287">
        <v>86</v>
      </c>
      <c r="I287" s="4">
        <f t="shared" si="4"/>
        <v>4.6511627906976744E-2</v>
      </c>
    </row>
    <row r="288" spans="1:9">
      <c r="A288" t="s">
        <v>493</v>
      </c>
      <c r="B288">
        <v>8</v>
      </c>
      <c r="C288">
        <v>2</v>
      </c>
      <c r="D288">
        <v>15</v>
      </c>
      <c r="E288">
        <v>0</v>
      </c>
      <c r="F288">
        <v>2</v>
      </c>
      <c r="G288">
        <v>0</v>
      </c>
      <c r="H288">
        <v>86</v>
      </c>
      <c r="I288" s="4">
        <f t="shared" si="4"/>
        <v>0.1744186046511628</v>
      </c>
    </row>
    <row r="289" spans="1:9">
      <c r="A289" t="s">
        <v>493</v>
      </c>
      <c r="B289">
        <v>8</v>
      </c>
      <c r="C289">
        <v>3</v>
      </c>
      <c r="D289">
        <v>19</v>
      </c>
      <c r="E289">
        <v>0</v>
      </c>
      <c r="F289">
        <v>2</v>
      </c>
      <c r="G289">
        <v>0</v>
      </c>
      <c r="H289">
        <v>86</v>
      </c>
      <c r="I289" s="4">
        <f t="shared" si="4"/>
        <v>0.22093023255813954</v>
      </c>
    </row>
    <row r="290" spans="1:9">
      <c r="A290" t="s">
        <v>493</v>
      </c>
      <c r="B290">
        <v>8</v>
      </c>
      <c r="C290">
        <v>4</v>
      </c>
      <c r="D290">
        <v>29</v>
      </c>
      <c r="E290">
        <v>0</v>
      </c>
      <c r="F290">
        <v>2</v>
      </c>
      <c r="G290">
        <v>0</v>
      </c>
      <c r="H290">
        <v>86</v>
      </c>
      <c r="I290" s="4">
        <f t="shared" si="4"/>
        <v>0.33720930232558138</v>
      </c>
    </row>
    <row r="291" spans="1:9">
      <c r="A291" t="s">
        <v>493</v>
      </c>
      <c r="B291">
        <v>8</v>
      </c>
      <c r="C291">
        <v>5</v>
      </c>
      <c r="D291">
        <v>31</v>
      </c>
      <c r="E291">
        <v>0</v>
      </c>
      <c r="F291">
        <v>2</v>
      </c>
      <c r="G291">
        <v>0</v>
      </c>
      <c r="H291">
        <v>86</v>
      </c>
      <c r="I291" s="4">
        <f t="shared" si="4"/>
        <v>0.36046511627906974</v>
      </c>
    </row>
    <row r="292" spans="1:9">
      <c r="A292" t="s">
        <v>493</v>
      </c>
      <c r="B292">
        <v>8</v>
      </c>
      <c r="C292">
        <v>6</v>
      </c>
      <c r="D292">
        <v>65</v>
      </c>
      <c r="E292">
        <v>0</v>
      </c>
      <c r="F292">
        <v>2</v>
      </c>
      <c r="G292">
        <v>0</v>
      </c>
      <c r="H292">
        <v>86</v>
      </c>
      <c r="I292" s="4">
        <f t="shared" si="4"/>
        <v>0.7558139534883721</v>
      </c>
    </row>
    <row r="293" spans="1:9">
      <c r="A293" t="s">
        <v>493</v>
      </c>
      <c r="B293">
        <v>8</v>
      </c>
      <c r="C293">
        <v>7</v>
      </c>
      <c r="D293">
        <v>69</v>
      </c>
      <c r="E293">
        <v>0</v>
      </c>
      <c r="F293">
        <v>3</v>
      </c>
      <c r="G293">
        <v>0</v>
      </c>
      <c r="H293">
        <v>86</v>
      </c>
      <c r="I293" s="4">
        <f t="shared" si="4"/>
        <v>0.80232558139534882</v>
      </c>
    </row>
    <row r="294" spans="1:9">
      <c r="A294" t="s">
        <v>493</v>
      </c>
      <c r="B294">
        <v>8</v>
      </c>
      <c r="C294">
        <v>8</v>
      </c>
      <c r="D294">
        <v>70</v>
      </c>
      <c r="E294">
        <v>0</v>
      </c>
      <c r="F294">
        <v>2</v>
      </c>
      <c r="G294">
        <v>0</v>
      </c>
      <c r="H294">
        <v>86</v>
      </c>
      <c r="I294" s="4">
        <f t="shared" si="4"/>
        <v>0.81395348837209303</v>
      </c>
    </row>
    <row r="295" spans="1:9">
      <c r="A295" t="s">
        <v>493</v>
      </c>
      <c r="B295">
        <v>8</v>
      </c>
      <c r="C295">
        <v>9</v>
      </c>
      <c r="D295">
        <v>75</v>
      </c>
      <c r="E295">
        <v>0</v>
      </c>
      <c r="F295">
        <v>2</v>
      </c>
      <c r="G295">
        <v>0</v>
      </c>
      <c r="H295">
        <v>86</v>
      </c>
      <c r="I295" s="4">
        <f t="shared" si="4"/>
        <v>0.87209302325581395</v>
      </c>
    </row>
    <row r="296" spans="1:9">
      <c r="A296" t="s">
        <v>493</v>
      </c>
      <c r="B296">
        <v>8</v>
      </c>
      <c r="C296">
        <v>10</v>
      </c>
      <c r="D296">
        <v>79</v>
      </c>
      <c r="E296">
        <v>0</v>
      </c>
      <c r="F296">
        <v>2</v>
      </c>
      <c r="G296">
        <v>0</v>
      </c>
      <c r="H296">
        <v>86</v>
      </c>
      <c r="I296" s="4">
        <f t="shared" si="4"/>
        <v>0.91860465116279066</v>
      </c>
    </row>
    <row r="297" spans="1:9">
      <c r="A297" t="s">
        <v>493</v>
      </c>
      <c r="B297">
        <v>8</v>
      </c>
      <c r="C297">
        <v>11</v>
      </c>
      <c r="D297">
        <v>86</v>
      </c>
      <c r="E297">
        <v>0</v>
      </c>
      <c r="F297">
        <v>0</v>
      </c>
      <c r="G297">
        <v>0</v>
      </c>
      <c r="H297">
        <v>86</v>
      </c>
      <c r="I297" s="4">
        <f t="shared" si="4"/>
        <v>1</v>
      </c>
    </row>
    <row r="298" spans="1:9">
      <c r="A298" t="s">
        <v>493</v>
      </c>
      <c r="B298">
        <v>9</v>
      </c>
      <c r="C298">
        <v>1</v>
      </c>
      <c r="D298">
        <v>4</v>
      </c>
      <c r="E298">
        <v>0</v>
      </c>
      <c r="F298">
        <v>1</v>
      </c>
      <c r="G298">
        <v>0</v>
      </c>
      <c r="H298">
        <v>46</v>
      </c>
      <c r="I298" s="4">
        <f t="shared" si="4"/>
        <v>8.6956521739130432E-2</v>
      </c>
    </row>
    <row r="299" spans="1:9">
      <c r="A299" t="s">
        <v>493</v>
      </c>
      <c r="B299">
        <v>9</v>
      </c>
      <c r="C299">
        <v>2</v>
      </c>
      <c r="D299">
        <v>9</v>
      </c>
      <c r="E299">
        <v>0</v>
      </c>
      <c r="F299">
        <v>1</v>
      </c>
      <c r="G299">
        <v>0</v>
      </c>
      <c r="H299">
        <v>46</v>
      </c>
      <c r="I299" s="4">
        <f t="shared" si="4"/>
        <v>0.19565217391304349</v>
      </c>
    </row>
    <row r="300" spans="1:9">
      <c r="A300" t="s">
        <v>493</v>
      </c>
      <c r="B300">
        <v>9</v>
      </c>
      <c r="C300">
        <v>3</v>
      </c>
      <c r="D300">
        <v>19</v>
      </c>
      <c r="E300">
        <v>0</v>
      </c>
      <c r="F300">
        <v>1</v>
      </c>
      <c r="G300">
        <v>0</v>
      </c>
      <c r="H300">
        <v>46</v>
      </c>
      <c r="I300" s="4">
        <f t="shared" si="4"/>
        <v>0.41304347826086957</v>
      </c>
    </row>
    <row r="301" spans="1:9">
      <c r="A301" t="s">
        <v>493</v>
      </c>
      <c r="B301">
        <v>9</v>
      </c>
      <c r="C301">
        <v>4</v>
      </c>
      <c r="D301">
        <v>21</v>
      </c>
      <c r="E301">
        <v>0</v>
      </c>
      <c r="F301">
        <v>1</v>
      </c>
      <c r="G301">
        <v>0</v>
      </c>
      <c r="H301">
        <v>46</v>
      </c>
      <c r="I301" s="4">
        <f t="shared" si="4"/>
        <v>0.45652173913043476</v>
      </c>
    </row>
    <row r="302" spans="1:9">
      <c r="A302" t="s">
        <v>493</v>
      </c>
      <c r="B302">
        <v>9</v>
      </c>
      <c r="C302">
        <v>5</v>
      </c>
      <c r="D302">
        <v>46</v>
      </c>
      <c r="E302">
        <v>0</v>
      </c>
      <c r="F302">
        <v>0</v>
      </c>
      <c r="G302">
        <v>0</v>
      </c>
      <c r="H302">
        <v>46</v>
      </c>
      <c r="I302" s="4">
        <f t="shared" si="4"/>
        <v>1</v>
      </c>
    </row>
    <row r="303" spans="1:9">
      <c r="A303" t="s">
        <v>493</v>
      </c>
      <c r="B303">
        <v>10</v>
      </c>
      <c r="C303">
        <v>1</v>
      </c>
      <c r="D303">
        <v>1</v>
      </c>
      <c r="E303">
        <v>0</v>
      </c>
      <c r="F303">
        <v>1</v>
      </c>
      <c r="G303">
        <v>0</v>
      </c>
      <c r="H303">
        <v>30</v>
      </c>
      <c r="I303" s="4">
        <f t="shared" si="4"/>
        <v>3.3333333333333333E-2</v>
      </c>
    </row>
    <row r="304" spans="1:9">
      <c r="A304" t="s">
        <v>493</v>
      </c>
      <c r="B304">
        <v>10</v>
      </c>
      <c r="C304">
        <v>2</v>
      </c>
      <c r="D304">
        <v>6</v>
      </c>
      <c r="E304">
        <v>0</v>
      </c>
      <c r="F304">
        <v>3</v>
      </c>
      <c r="G304">
        <v>0</v>
      </c>
      <c r="H304">
        <v>30</v>
      </c>
      <c r="I304" s="4">
        <f t="shared" si="4"/>
        <v>0.2</v>
      </c>
    </row>
    <row r="305" spans="1:9">
      <c r="A305" t="s">
        <v>493</v>
      </c>
      <c r="B305">
        <v>10</v>
      </c>
      <c r="C305">
        <v>3</v>
      </c>
      <c r="D305">
        <v>12</v>
      </c>
      <c r="E305">
        <v>0</v>
      </c>
      <c r="F305">
        <v>4</v>
      </c>
      <c r="G305">
        <v>0</v>
      </c>
      <c r="H305">
        <v>30</v>
      </c>
      <c r="I305" s="4">
        <f t="shared" si="4"/>
        <v>0.4</v>
      </c>
    </row>
    <row r="306" spans="1:9">
      <c r="A306" t="s">
        <v>493</v>
      </c>
      <c r="B306">
        <v>10</v>
      </c>
      <c r="C306">
        <v>4</v>
      </c>
      <c r="D306">
        <v>13</v>
      </c>
      <c r="E306">
        <v>0</v>
      </c>
      <c r="F306">
        <v>3</v>
      </c>
      <c r="G306">
        <v>0</v>
      </c>
      <c r="H306">
        <v>30</v>
      </c>
      <c r="I306" s="4">
        <f t="shared" si="4"/>
        <v>0.43333333333333335</v>
      </c>
    </row>
    <row r="307" spans="1:9">
      <c r="A307" t="s">
        <v>493</v>
      </c>
      <c r="B307">
        <v>10</v>
      </c>
      <c r="C307">
        <v>5</v>
      </c>
      <c r="D307">
        <v>19</v>
      </c>
      <c r="E307">
        <v>0</v>
      </c>
      <c r="F307">
        <v>4</v>
      </c>
      <c r="G307">
        <v>0</v>
      </c>
      <c r="H307">
        <v>30</v>
      </c>
      <c r="I307" s="4">
        <f t="shared" si="4"/>
        <v>0.6333333333333333</v>
      </c>
    </row>
    <row r="308" spans="1:9">
      <c r="A308" t="s">
        <v>493</v>
      </c>
      <c r="B308">
        <v>10</v>
      </c>
      <c r="C308">
        <v>6</v>
      </c>
      <c r="D308">
        <v>19</v>
      </c>
      <c r="E308">
        <v>0</v>
      </c>
      <c r="F308">
        <v>4</v>
      </c>
      <c r="G308">
        <v>0</v>
      </c>
      <c r="H308">
        <v>30</v>
      </c>
      <c r="I308" s="4">
        <f t="shared" si="4"/>
        <v>0.6333333333333333</v>
      </c>
    </row>
    <row r="309" spans="1:9">
      <c r="A309" t="s">
        <v>493</v>
      </c>
      <c r="B309">
        <v>10</v>
      </c>
      <c r="C309">
        <v>7</v>
      </c>
      <c r="D309">
        <v>20</v>
      </c>
      <c r="E309">
        <v>0</v>
      </c>
      <c r="F309">
        <v>3</v>
      </c>
      <c r="G309">
        <v>0</v>
      </c>
      <c r="H309">
        <v>30</v>
      </c>
      <c r="I309" s="4">
        <f t="shared" si="4"/>
        <v>0.66666666666666663</v>
      </c>
    </row>
    <row r="310" spans="1:9">
      <c r="A310" t="s">
        <v>493</v>
      </c>
      <c r="B310">
        <v>10</v>
      </c>
      <c r="C310">
        <v>8</v>
      </c>
      <c r="D310">
        <v>24</v>
      </c>
      <c r="E310">
        <v>0</v>
      </c>
      <c r="F310">
        <v>3</v>
      </c>
      <c r="G310">
        <v>0</v>
      </c>
      <c r="H310">
        <v>30</v>
      </c>
      <c r="I310" s="4">
        <f t="shared" si="4"/>
        <v>0.8</v>
      </c>
    </row>
    <row r="311" spans="1:9">
      <c r="A311" t="s">
        <v>493</v>
      </c>
      <c r="B311">
        <v>10</v>
      </c>
      <c r="C311">
        <v>9</v>
      </c>
      <c r="D311">
        <v>24</v>
      </c>
      <c r="E311">
        <v>0</v>
      </c>
      <c r="F311">
        <v>3</v>
      </c>
      <c r="G311">
        <v>0</v>
      </c>
      <c r="H311">
        <v>30</v>
      </c>
      <c r="I311" s="4">
        <f t="shared" si="4"/>
        <v>0.8</v>
      </c>
    </row>
    <row r="312" spans="1:9">
      <c r="A312" t="s">
        <v>493</v>
      </c>
      <c r="B312">
        <v>10</v>
      </c>
      <c r="C312">
        <v>10</v>
      </c>
      <c r="D312">
        <v>28</v>
      </c>
      <c r="E312">
        <v>0</v>
      </c>
      <c r="F312">
        <v>2</v>
      </c>
      <c r="G312">
        <v>0</v>
      </c>
      <c r="H312">
        <v>30</v>
      </c>
      <c r="I312" s="4">
        <f t="shared" si="4"/>
        <v>0.93333333333333335</v>
      </c>
    </row>
    <row r="313" spans="1:9">
      <c r="A313" t="s">
        <v>493</v>
      </c>
      <c r="B313">
        <v>10</v>
      </c>
      <c r="C313">
        <v>11</v>
      </c>
      <c r="D313">
        <v>28</v>
      </c>
      <c r="E313">
        <v>0</v>
      </c>
      <c r="F313">
        <v>2</v>
      </c>
      <c r="G313">
        <v>0</v>
      </c>
      <c r="H313">
        <v>30</v>
      </c>
      <c r="I313" s="4">
        <f t="shared" si="4"/>
        <v>0.93333333333333335</v>
      </c>
    </row>
    <row r="314" spans="1:9">
      <c r="A314" t="s">
        <v>493</v>
      </c>
      <c r="B314">
        <v>10</v>
      </c>
      <c r="C314">
        <v>12</v>
      </c>
      <c r="D314">
        <v>29</v>
      </c>
      <c r="E314">
        <v>0</v>
      </c>
      <c r="F314">
        <v>1</v>
      </c>
      <c r="G314">
        <v>0</v>
      </c>
      <c r="H314">
        <v>30</v>
      </c>
      <c r="I314" s="4">
        <f t="shared" si="4"/>
        <v>0.96666666666666667</v>
      </c>
    </row>
    <row r="315" spans="1:9">
      <c r="A315" t="s">
        <v>493</v>
      </c>
      <c r="B315">
        <v>10</v>
      </c>
      <c r="C315">
        <v>13</v>
      </c>
      <c r="D315">
        <v>30</v>
      </c>
      <c r="E315">
        <v>0</v>
      </c>
      <c r="F315">
        <v>0</v>
      </c>
      <c r="G315">
        <v>0</v>
      </c>
      <c r="H315">
        <v>30</v>
      </c>
      <c r="I315" s="4">
        <f t="shared" si="4"/>
        <v>1</v>
      </c>
    </row>
    <row r="316" spans="1:9">
      <c r="A316" t="s">
        <v>493</v>
      </c>
      <c r="B316">
        <v>10</v>
      </c>
      <c r="C316">
        <v>14</v>
      </c>
      <c r="D316">
        <v>30</v>
      </c>
      <c r="E316">
        <v>0</v>
      </c>
      <c r="F316">
        <v>0</v>
      </c>
      <c r="G316">
        <v>0</v>
      </c>
      <c r="H316">
        <v>30</v>
      </c>
      <c r="I316" s="4">
        <f t="shared" si="4"/>
        <v>1</v>
      </c>
    </row>
    <row r="317" spans="1:9">
      <c r="A317" t="s">
        <v>493</v>
      </c>
      <c r="B317">
        <v>10</v>
      </c>
      <c r="C317">
        <v>15</v>
      </c>
      <c r="D317">
        <v>30</v>
      </c>
      <c r="E317">
        <v>0</v>
      </c>
      <c r="F317">
        <v>0</v>
      </c>
      <c r="G317">
        <v>0</v>
      </c>
      <c r="H317">
        <v>30</v>
      </c>
      <c r="I317" s="4">
        <f t="shared" si="4"/>
        <v>1</v>
      </c>
    </row>
    <row r="318" spans="1:9">
      <c r="A318" t="s">
        <v>493</v>
      </c>
      <c r="B318">
        <v>10</v>
      </c>
      <c r="C318">
        <v>16</v>
      </c>
      <c r="D318">
        <v>30</v>
      </c>
      <c r="E318">
        <v>0</v>
      </c>
      <c r="F318">
        <v>0</v>
      </c>
      <c r="G318">
        <v>0</v>
      </c>
      <c r="H318">
        <v>30</v>
      </c>
      <c r="I318" s="4">
        <f t="shared" si="4"/>
        <v>1</v>
      </c>
    </row>
    <row r="319" spans="1:9">
      <c r="A319" t="s">
        <v>493</v>
      </c>
      <c r="B319">
        <v>10</v>
      </c>
      <c r="C319">
        <v>17</v>
      </c>
      <c r="D319">
        <v>30</v>
      </c>
      <c r="E319">
        <v>0</v>
      </c>
      <c r="F319">
        <v>0</v>
      </c>
      <c r="G319">
        <v>0</v>
      </c>
      <c r="H319">
        <v>30</v>
      </c>
      <c r="I319" s="4">
        <f t="shared" si="4"/>
        <v>1</v>
      </c>
    </row>
    <row r="320" spans="1:9">
      <c r="A320" t="s">
        <v>493</v>
      </c>
      <c r="B320">
        <v>10</v>
      </c>
      <c r="C320">
        <v>18</v>
      </c>
      <c r="D320">
        <v>30</v>
      </c>
      <c r="E320">
        <v>0</v>
      </c>
      <c r="F320">
        <v>0</v>
      </c>
      <c r="G320">
        <v>0</v>
      </c>
      <c r="H320">
        <v>30</v>
      </c>
      <c r="I320" s="4">
        <f t="shared" si="4"/>
        <v>1</v>
      </c>
    </row>
    <row r="321" spans="1:9">
      <c r="A321" t="s">
        <v>493</v>
      </c>
      <c r="B321">
        <v>10</v>
      </c>
      <c r="C321">
        <v>19</v>
      </c>
      <c r="D321">
        <v>30</v>
      </c>
      <c r="E321">
        <v>0</v>
      </c>
      <c r="F321">
        <v>0</v>
      </c>
      <c r="G321">
        <v>0</v>
      </c>
      <c r="H321">
        <v>30</v>
      </c>
      <c r="I321" s="4">
        <f t="shared" si="4"/>
        <v>1</v>
      </c>
    </row>
    <row r="322" spans="1:9">
      <c r="A322" t="s">
        <v>493</v>
      </c>
      <c r="B322">
        <v>10</v>
      </c>
      <c r="C322">
        <v>20</v>
      </c>
      <c r="D322">
        <v>30</v>
      </c>
      <c r="E322">
        <v>0</v>
      </c>
      <c r="F322">
        <v>0</v>
      </c>
      <c r="G322">
        <v>0</v>
      </c>
      <c r="H322">
        <v>30</v>
      </c>
      <c r="I322" s="4">
        <f t="shared" si="4"/>
        <v>1</v>
      </c>
    </row>
    <row r="323" spans="1:9">
      <c r="A323" t="s">
        <v>493</v>
      </c>
      <c r="B323">
        <v>10</v>
      </c>
      <c r="C323">
        <v>21</v>
      </c>
      <c r="D323">
        <v>30</v>
      </c>
      <c r="E323">
        <v>0</v>
      </c>
      <c r="F323">
        <v>0</v>
      </c>
      <c r="G323">
        <v>0</v>
      </c>
      <c r="H323">
        <v>30</v>
      </c>
      <c r="I323" s="4">
        <f t="shared" ref="I323:I386" si="5">D323/H323</f>
        <v>1</v>
      </c>
    </row>
    <row r="324" spans="1:9">
      <c r="A324" t="s">
        <v>493</v>
      </c>
      <c r="B324">
        <v>10</v>
      </c>
      <c r="C324">
        <v>22</v>
      </c>
      <c r="D324">
        <v>30</v>
      </c>
      <c r="E324">
        <v>0</v>
      </c>
      <c r="F324">
        <v>0</v>
      </c>
      <c r="G324">
        <v>0</v>
      </c>
      <c r="H324">
        <v>30</v>
      </c>
      <c r="I324" s="4">
        <f t="shared" si="5"/>
        <v>1</v>
      </c>
    </row>
    <row r="325" spans="1:9">
      <c r="A325" t="s">
        <v>493</v>
      </c>
      <c r="B325">
        <v>10</v>
      </c>
      <c r="C325">
        <v>23</v>
      </c>
      <c r="D325">
        <v>30</v>
      </c>
      <c r="E325">
        <v>0</v>
      </c>
      <c r="F325">
        <v>0</v>
      </c>
      <c r="G325">
        <v>0</v>
      </c>
      <c r="H325">
        <v>30</v>
      </c>
      <c r="I325" s="4">
        <f t="shared" si="5"/>
        <v>1</v>
      </c>
    </row>
    <row r="326" spans="1:9">
      <c r="A326" t="s">
        <v>493</v>
      </c>
      <c r="B326">
        <v>10</v>
      </c>
      <c r="C326">
        <v>24</v>
      </c>
      <c r="D326">
        <v>30</v>
      </c>
      <c r="E326">
        <v>0</v>
      </c>
      <c r="F326">
        <v>0</v>
      </c>
      <c r="G326">
        <v>0</v>
      </c>
      <c r="H326">
        <v>30</v>
      </c>
      <c r="I326" s="4">
        <f t="shared" si="5"/>
        <v>1</v>
      </c>
    </row>
    <row r="327" spans="1:9">
      <c r="A327" t="s">
        <v>493</v>
      </c>
      <c r="B327">
        <v>10</v>
      </c>
      <c r="C327">
        <v>25</v>
      </c>
      <c r="D327">
        <v>30</v>
      </c>
      <c r="E327">
        <v>0</v>
      </c>
      <c r="F327">
        <v>0</v>
      </c>
      <c r="G327">
        <v>0</v>
      </c>
      <c r="H327">
        <v>30</v>
      </c>
      <c r="I327" s="4">
        <f t="shared" si="5"/>
        <v>1</v>
      </c>
    </row>
    <row r="328" spans="1:9">
      <c r="A328" t="s">
        <v>493</v>
      </c>
      <c r="B328">
        <v>10</v>
      </c>
      <c r="C328">
        <v>26</v>
      </c>
      <c r="D328">
        <v>30</v>
      </c>
      <c r="E328">
        <v>0</v>
      </c>
      <c r="F328">
        <v>0</v>
      </c>
      <c r="G328">
        <v>0</v>
      </c>
      <c r="H328">
        <v>30</v>
      </c>
      <c r="I328" s="4">
        <f t="shared" si="5"/>
        <v>1</v>
      </c>
    </row>
    <row r="329" spans="1:9">
      <c r="A329" t="s">
        <v>493</v>
      </c>
      <c r="B329">
        <v>10</v>
      </c>
      <c r="C329">
        <v>27</v>
      </c>
      <c r="D329">
        <v>30</v>
      </c>
      <c r="E329">
        <v>0</v>
      </c>
      <c r="F329">
        <v>0</v>
      </c>
      <c r="G329">
        <v>0</v>
      </c>
      <c r="H329">
        <v>30</v>
      </c>
      <c r="I329" s="4">
        <f t="shared" si="5"/>
        <v>1</v>
      </c>
    </row>
    <row r="330" spans="1:9">
      <c r="A330" t="s">
        <v>493</v>
      </c>
      <c r="B330">
        <v>10</v>
      </c>
      <c r="C330">
        <v>28</v>
      </c>
      <c r="D330">
        <v>30</v>
      </c>
      <c r="E330">
        <v>0</v>
      </c>
      <c r="F330">
        <v>0</v>
      </c>
      <c r="G330">
        <v>0</v>
      </c>
      <c r="H330">
        <v>30</v>
      </c>
      <c r="I330" s="4">
        <f t="shared" si="5"/>
        <v>1</v>
      </c>
    </row>
    <row r="331" spans="1:9">
      <c r="A331" t="s">
        <v>493</v>
      </c>
      <c r="B331">
        <v>10</v>
      </c>
      <c r="C331">
        <v>29</v>
      </c>
      <c r="D331">
        <v>30</v>
      </c>
      <c r="E331">
        <v>0</v>
      </c>
      <c r="F331">
        <v>0</v>
      </c>
      <c r="G331">
        <v>0</v>
      </c>
      <c r="H331">
        <v>30</v>
      </c>
      <c r="I331" s="4">
        <f t="shared" si="5"/>
        <v>1</v>
      </c>
    </row>
    <row r="332" spans="1:9">
      <c r="A332" t="s">
        <v>493</v>
      </c>
      <c r="B332">
        <v>10</v>
      </c>
      <c r="C332">
        <v>30</v>
      </c>
      <c r="D332">
        <v>30</v>
      </c>
      <c r="E332">
        <v>0</v>
      </c>
      <c r="F332">
        <v>0</v>
      </c>
      <c r="G332">
        <v>0</v>
      </c>
      <c r="H332">
        <v>30</v>
      </c>
      <c r="I332" s="4">
        <f t="shared" si="5"/>
        <v>1</v>
      </c>
    </row>
    <row r="333" spans="1:9">
      <c r="A333" t="s">
        <v>493</v>
      </c>
      <c r="B333">
        <v>10</v>
      </c>
      <c r="C333">
        <v>31</v>
      </c>
      <c r="D333">
        <v>30</v>
      </c>
      <c r="E333">
        <v>0</v>
      </c>
      <c r="F333">
        <v>0</v>
      </c>
      <c r="G333">
        <v>0</v>
      </c>
      <c r="H333">
        <v>30</v>
      </c>
      <c r="I333" s="4">
        <f t="shared" si="5"/>
        <v>1</v>
      </c>
    </row>
    <row r="334" spans="1:9">
      <c r="A334" t="s">
        <v>493</v>
      </c>
      <c r="B334">
        <v>10</v>
      </c>
      <c r="C334">
        <v>32</v>
      </c>
      <c r="D334">
        <v>30</v>
      </c>
      <c r="E334">
        <v>0</v>
      </c>
      <c r="F334">
        <v>0</v>
      </c>
      <c r="G334">
        <v>0</v>
      </c>
      <c r="H334">
        <v>30</v>
      </c>
      <c r="I334" s="4">
        <f t="shared" si="5"/>
        <v>1</v>
      </c>
    </row>
    <row r="335" spans="1:9">
      <c r="A335" t="s">
        <v>494</v>
      </c>
      <c r="B335">
        <v>3</v>
      </c>
      <c r="C335">
        <v>1</v>
      </c>
      <c r="D335">
        <v>130</v>
      </c>
      <c r="E335">
        <v>0</v>
      </c>
      <c r="F335">
        <v>3</v>
      </c>
      <c r="G335">
        <v>0</v>
      </c>
      <c r="H335">
        <v>139</v>
      </c>
      <c r="I335" s="4">
        <f t="shared" si="5"/>
        <v>0.93525179856115104</v>
      </c>
    </row>
    <row r="336" spans="1:9">
      <c r="A336" t="s">
        <v>494</v>
      </c>
      <c r="B336">
        <v>3</v>
      </c>
      <c r="C336">
        <v>2</v>
      </c>
      <c r="D336">
        <v>139</v>
      </c>
      <c r="E336">
        <v>0</v>
      </c>
      <c r="F336">
        <v>0</v>
      </c>
      <c r="G336">
        <v>0</v>
      </c>
      <c r="H336">
        <v>139</v>
      </c>
      <c r="I336" s="4">
        <f t="shared" si="5"/>
        <v>1</v>
      </c>
    </row>
    <row r="337" spans="1:9">
      <c r="A337" t="s">
        <v>495</v>
      </c>
      <c r="B337">
        <v>2</v>
      </c>
      <c r="C337">
        <v>1</v>
      </c>
      <c r="D337">
        <v>14</v>
      </c>
      <c r="E337">
        <v>0</v>
      </c>
      <c r="F337">
        <v>10</v>
      </c>
      <c r="G337">
        <v>0</v>
      </c>
      <c r="H337">
        <v>112</v>
      </c>
      <c r="I337" s="4">
        <f t="shared" si="5"/>
        <v>0.125</v>
      </c>
    </row>
    <row r="338" spans="1:9">
      <c r="A338" t="s">
        <v>495</v>
      </c>
      <c r="B338">
        <v>2</v>
      </c>
      <c r="C338">
        <v>2</v>
      </c>
      <c r="D338">
        <v>26</v>
      </c>
      <c r="E338">
        <v>0</v>
      </c>
      <c r="F338">
        <v>8</v>
      </c>
      <c r="G338">
        <v>0</v>
      </c>
      <c r="H338">
        <v>112</v>
      </c>
      <c r="I338" s="4">
        <f t="shared" si="5"/>
        <v>0.23214285714285715</v>
      </c>
    </row>
    <row r="339" spans="1:9">
      <c r="A339" t="s">
        <v>495</v>
      </c>
      <c r="B339">
        <v>2</v>
      </c>
      <c r="C339">
        <v>3</v>
      </c>
      <c r="D339">
        <v>39</v>
      </c>
      <c r="E339">
        <v>0</v>
      </c>
      <c r="F339">
        <v>6</v>
      </c>
      <c r="G339">
        <v>0</v>
      </c>
      <c r="H339">
        <v>112</v>
      </c>
      <c r="I339" s="4">
        <f t="shared" si="5"/>
        <v>0.3482142857142857</v>
      </c>
    </row>
    <row r="340" spans="1:9">
      <c r="A340" t="s">
        <v>495</v>
      </c>
      <c r="B340">
        <v>2</v>
      </c>
      <c r="C340">
        <v>4</v>
      </c>
      <c r="D340">
        <v>50</v>
      </c>
      <c r="E340">
        <v>0</v>
      </c>
      <c r="F340">
        <v>4</v>
      </c>
      <c r="G340">
        <v>0</v>
      </c>
      <c r="H340">
        <v>112</v>
      </c>
      <c r="I340" s="4">
        <f t="shared" si="5"/>
        <v>0.44642857142857145</v>
      </c>
    </row>
    <row r="341" spans="1:9">
      <c r="A341" t="s">
        <v>495</v>
      </c>
      <c r="B341">
        <v>2</v>
      </c>
      <c r="C341">
        <v>5</v>
      </c>
      <c r="D341">
        <v>62</v>
      </c>
      <c r="E341">
        <v>0</v>
      </c>
      <c r="F341">
        <v>4</v>
      </c>
      <c r="G341">
        <v>0</v>
      </c>
      <c r="H341">
        <v>112</v>
      </c>
      <c r="I341" s="4">
        <f t="shared" si="5"/>
        <v>0.5535714285714286</v>
      </c>
    </row>
    <row r="342" spans="1:9">
      <c r="A342" t="s">
        <v>495</v>
      </c>
      <c r="B342">
        <v>2</v>
      </c>
      <c r="C342">
        <v>6</v>
      </c>
      <c r="D342">
        <v>72</v>
      </c>
      <c r="E342">
        <v>0</v>
      </c>
      <c r="F342">
        <v>1</v>
      </c>
      <c r="G342">
        <v>0</v>
      </c>
      <c r="H342">
        <v>112</v>
      </c>
      <c r="I342" s="4">
        <f t="shared" si="5"/>
        <v>0.6428571428571429</v>
      </c>
    </row>
    <row r="343" spans="1:9">
      <c r="A343" t="s">
        <v>495</v>
      </c>
      <c r="B343">
        <v>2</v>
      </c>
      <c r="C343">
        <v>7</v>
      </c>
      <c r="D343">
        <v>72</v>
      </c>
      <c r="E343">
        <v>0</v>
      </c>
      <c r="F343">
        <v>1</v>
      </c>
      <c r="G343">
        <v>0</v>
      </c>
      <c r="H343">
        <v>112</v>
      </c>
      <c r="I343" s="4">
        <f t="shared" si="5"/>
        <v>0.6428571428571429</v>
      </c>
    </row>
    <row r="344" spans="1:9">
      <c r="A344" t="s">
        <v>495</v>
      </c>
      <c r="B344">
        <v>2</v>
      </c>
      <c r="C344">
        <v>8</v>
      </c>
      <c r="D344">
        <v>72</v>
      </c>
      <c r="E344">
        <v>0</v>
      </c>
      <c r="F344">
        <v>1</v>
      </c>
      <c r="G344">
        <v>0</v>
      </c>
      <c r="H344">
        <v>112</v>
      </c>
      <c r="I344" s="4">
        <f t="shared" si="5"/>
        <v>0.6428571428571429</v>
      </c>
    </row>
    <row r="345" spans="1:9">
      <c r="A345" t="s">
        <v>495</v>
      </c>
      <c r="B345">
        <v>2</v>
      </c>
      <c r="C345">
        <v>9</v>
      </c>
      <c r="D345">
        <v>72</v>
      </c>
      <c r="E345">
        <v>0</v>
      </c>
      <c r="F345">
        <v>1</v>
      </c>
      <c r="G345">
        <v>0</v>
      </c>
      <c r="H345">
        <v>112</v>
      </c>
      <c r="I345" s="4">
        <f t="shared" si="5"/>
        <v>0.6428571428571429</v>
      </c>
    </row>
    <row r="346" spans="1:9">
      <c r="A346" t="s">
        <v>495</v>
      </c>
      <c r="B346">
        <v>2</v>
      </c>
      <c r="C346">
        <v>10</v>
      </c>
      <c r="D346">
        <v>89</v>
      </c>
      <c r="E346">
        <v>0</v>
      </c>
      <c r="F346">
        <v>1</v>
      </c>
      <c r="G346">
        <v>0</v>
      </c>
      <c r="H346">
        <v>112</v>
      </c>
      <c r="I346" s="4">
        <f t="shared" si="5"/>
        <v>0.7946428571428571</v>
      </c>
    </row>
    <row r="347" spans="1:9">
      <c r="A347" t="s">
        <v>495</v>
      </c>
      <c r="B347">
        <v>2</v>
      </c>
      <c r="C347">
        <v>11</v>
      </c>
      <c r="D347">
        <v>89</v>
      </c>
      <c r="E347">
        <v>0</v>
      </c>
      <c r="F347">
        <v>1</v>
      </c>
      <c r="G347">
        <v>0</v>
      </c>
      <c r="H347">
        <v>112</v>
      </c>
      <c r="I347" s="4">
        <f t="shared" si="5"/>
        <v>0.7946428571428571</v>
      </c>
    </row>
    <row r="348" spans="1:9">
      <c r="A348" t="s">
        <v>495</v>
      </c>
      <c r="B348">
        <v>2</v>
      </c>
      <c r="C348">
        <v>12</v>
      </c>
      <c r="D348">
        <v>112</v>
      </c>
      <c r="E348">
        <v>0</v>
      </c>
      <c r="F348">
        <v>0</v>
      </c>
      <c r="G348">
        <v>0</v>
      </c>
      <c r="H348">
        <v>112</v>
      </c>
      <c r="I348" s="4">
        <f t="shared" si="5"/>
        <v>1</v>
      </c>
    </row>
    <row r="349" spans="1:9">
      <c r="A349" t="s">
        <v>495</v>
      </c>
      <c r="B349">
        <v>2</v>
      </c>
      <c r="C349">
        <v>13</v>
      </c>
      <c r="D349">
        <v>112</v>
      </c>
      <c r="E349">
        <v>0</v>
      </c>
      <c r="F349">
        <v>0</v>
      </c>
      <c r="G349">
        <v>0</v>
      </c>
      <c r="H349">
        <v>112</v>
      </c>
      <c r="I349" s="4">
        <f t="shared" si="5"/>
        <v>1</v>
      </c>
    </row>
    <row r="350" spans="1:9">
      <c r="A350" t="s">
        <v>495</v>
      </c>
      <c r="B350">
        <v>2</v>
      </c>
      <c r="C350">
        <v>14</v>
      </c>
      <c r="D350">
        <v>112</v>
      </c>
      <c r="E350">
        <v>0</v>
      </c>
      <c r="F350">
        <v>0</v>
      </c>
      <c r="G350">
        <v>0</v>
      </c>
      <c r="H350">
        <v>112</v>
      </c>
      <c r="I350" s="4">
        <f t="shared" si="5"/>
        <v>1</v>
      </c>
    </row>
    <row r="351" spans="1:9">
      <c r="A351" t="s">
        <v>495</v>
      </c>
      <c r="B351">
        <v>3</v>
      </c>
      <c r="C351">
        <v>1</v>
      </c>
      <c r="D351">
        <v>19</v>
      </c>
      <c r="E351">
        <v>0</v>
      </c>
      <c r="F351">
        <v>1</v>
      </c>
      <c r="G351">
        <v>0</v>
      </c>
      <c r="H351">
        <v>140</v>
      </c>
      <c r="I351" s="4">
        <f t="shared" si="5"/>
        <v>0.1357142857142857</v>
      </c>
    </row>
    <row r="352" spans="1:9">
      <c r="A352" t="s">
        <v>495</v>
      </c>
      <c r="B352">
        <v>3</v>
      </c>
      <c r="C352">
        <v>2</v>
      </c>
      <c r="D352">
        <v>28</v>
      </c>
      <c r="E352">
        <v>0</v>
      </c>
      <c r="F352">
        <v>7</v>
      </c>
      <c r="G352">
        <v>0</v>
      </c>
      <c r="H352">
        <v>140</v>
      </c>
      <c r="I352" s="4">
        <f t="shared" si="5"/>
        <v>0.2</v>
      </c>
    </row>
    <row r="353" spans="1:9">
      <c r="A353" t="s">
        <v>495</v>
      </c>
      <c r="B353">
        <v>3</v>
      </c>
      <c r="C353">
        <v>3</v>
      </c>
      <c r="D353">
        <v>63</v>
      </c>
      <c r="E353">
        <v>0</v>
      </c>
      <c r="F353">
        <v>5</v>
      </c>
      <c r="G353">
        <v>0</v>
      </c>
      <c r="H353">
        <v>140</v>
      </c>
      <c r="I353" s="4">
        <f t="shared" si="5"/>
        <v>0.45</v>
      </c>
    </row>
    <row r="354" spans="1:9">
      <c r="A354" t="s">
        <v>495</v>
      </c>
      <c r="B354">
        <v>3</v>
      </c>
      <c r="C354">
        <v>4</v>
      </c>
      <c r="D354">
        <v>63</v>
      </c>
      <c r="E354">
        <v>0</v>
      </c>
      <c r="F354">
        <v>5</v>
      </c>
      <c r="G354">
        <v>0</v>
      </c>
      <c r="H354">
        <v>140</v>
      </c>
      <c r="I354" s="4">
        <f t="shared" si="5"/>
        <v>0.45</v>
      </c>
    </row>
    <row r="355" spans="1:9">
      <c r="A355" t="s">
        <v>495</v>
      </c>
      <c r="B355">
        <v>3</v>
      </c>
      <c r="C355">
        <v>5</v>
      </c>
      <c r="D355">
        <v>120</v>
      </c>
      <c r="E355">
        <v>0</v>
      </c>
      <c r="F355">
        <v>3</v>
      </c>
      <c r="G355">
        <v>0</v>
      </c>
      <c r="H355">
        <v>140</v>
      </c>
      <c r="I355" s="4">
        <f t="shared" si="5"/>
        <v>0.8571428571428571</v>
      </c>
    </row>
    <row r="356" spans="1:9">
      <c r="A356" t="s">
        <v>495</v>
      </c>
      <c r="B356">
        <v>3</v>
      </c>
      <c r="C356">
        <v>6</v>
      </c>
      <c r="D356">
        <v>140</v>
      </c>
      <c r="E356">
        <v>0</v>
      </c>
      <c r="F356">
        <v>2</v>
      </c>
      <c r="G356">
        <v>0</v>
      </c>
      <c r="H356">
        <v>140</v>
      </c>
      <c r="I356" s="4">
        <f t="shared" si="5"/>
        <v>1</v>
      </c>
    </row>
    <row r="357" spans="1:9">
      <c r="A357" t="s">
        <v>495</v>
      </c>
      <c r="B357">
        <v>4</v>
      </c>
      <c r="C357">
        <v>1</v>
      </c>
      <c r="D357">
        <v>19</v>
      </c>
      <c r="E357">
        <v>0</v>
      </c>
      <c r="F357">
        <v>1</v>
      </c>
      <c r="G357">
        <v>0</v>
      </c>
      <c r="H357">
        <v>272</v>
      </c>
      <c r="I357" s="4">
        <f t="shared" si="5"/>
        <v>6.985294117647059E-2</v>
      </c>
    </row>
    <row r="358" spans="1:9">
      <c r="A358" t="s">
        <v>495</v>
      </c>
      <c r="B358">
        <v>4</v>
      </c>
      <c r="C358">
        <v>2</v>
      </c>
      <c r="D358">
        <v>31</v>
      </c>
      <c r="E358">
        <v>0</v>
      </c>
      <c r="F358">
        <v>13</v>
      </c>
      <c r="G358">
        <v>0</v>
      </c>
      <c r="H358">
        <v>272</v>
      </c>
      <c r="I358" s="4">
        <f t="shared" si="5"/>
        <v>0.11397058823529412</v>
      </c>
    </row>
    <row r="359" spans="1:9">
      <c r="A359" t="s">
        <v>495</v>
      </c>
      <c r="B359">
        <v>4</v>
      </c>
      <c r="C359">
        <v>3</v>
      </c>
      <c r="D359">
        <v>66</v>
      </c>
      <c r="E359">
        <v>0</v>
      </c>
      <c r="F359">
        <v>11</v>
      </c>
      <c r="G359">
        <v>0</v>
      </c>
      <c r="H359">
        <v>272</v>
      </c>
      <c r="I359" s="4">
        <f t="shared" si="5"/>
        <v>0.24264705882352941</v>
      </c>
    </row>
    <row r="360" spans="1:9">
      <c r="A360" t="s">
        <v>495</v>
      </c>
      <c r="B360">
        <v>4</v>
      </c>
      <c r="C360">
        <v>4</v>
      </c>
      <c r="D360">
        <v>101</v>
      </c>
      <c r="E360">
        <v>0</v>
      </c>
      <c r="F360">
        <v>9</v>
      </c>
      <c r="G360">
        <v>0</v>
      </c>
      <c r="H360">
        <v>272</v>
      </c>
      <c r="I360" s="4">
        <f t="shared" si="5"/>
        <v>0.37132352941176472</v>
      </c>
    </row>
    <row r="361" spans="1:9">
      <c r="A361" t="s">
        <v>495</v>
      </c>
      <c r="B361">
        <v>4</v>
      </c>
      <c r="C361">
        <v>5</v>
      </c>
      <c r="D361">
        <v>154</v>
      </c>
      <c r="E361">
        <v>0</v>
      </c>
      <c r="F361">
        <v>7</v>
      </c>
      <c r="G361">
        <v>0</v>
      </c>
      <c r="H361">
        <v>272</v>
      </c>
      <c r="I361" s="4">
        <f t="shared" si="5"/>
        <v>0.56617647058823528</v>
      </c>
    </row>
    <row r="362" spans="1:9">
      <c r="A362" t="s">
        <v>495</v>
      </c>
      <c r="B362">
        <v>4</v>
      </c>
      <c r="C362">
        <v>6</v>
      </c>
      <c r="D362">
        <v>175</v>
      </c>
      <c r="E362">
        <v>0</v>
      </c>
      <c r="F362">
        <v>5</v>
      </c>
      <c r="G362">
        <v>0</v>
      </c>
      <c r="H362">
        <v>272</v>
      </c>
      <c r="I362" s="4">
        <f t="shared" si="5"/>
        <v>0.64338235294117652</v>
      </c>
    </row>
    <row r="363" spans="1:9">
      <c r="A363" t="s">
        <v>495</v>
      </c>
      <c r="B363">
        <v>4</v>
      </c>
      <c r="C363">
        <v>7</v>
      </c>
      <c r="D363">
        <v>202</v>
      </c>
      <c r="E363">
        <v>0</v>
      </c>
      <c r="F363">
        <v>3</v>
      </c>
      <c r="G363">
        <v>0</v>
      </c>
      <c r="H363">
        <v>272</v>
      </c>
      <c r="I363" s="4">
        <f t="shared" si="5"/>
        <v>0.74264705882352944</v>
      </c>
    </row>
    <row r="364" spans="1:9">
      <c r="A364" t="s">
        <v>495</v>
      </c>
      <c r="B364">
        <v>4</v>
      </c>
      <c r="C364">
        <v>8</v>
      </c>
      <c r="D364">
        <v>234</v>
      </c>
      <c r="E364">
        <v>0</v>
      </c>
      <c r="F364">
        <v>1</v>
      </c>
      <c r="G364">
        <v>0</v>
      </c>
      <c r="H364">
        <v>272</v>
      </c>
      <c r="I364" s="4">
        <f t="shared" si="5"/>
        <v>0.86029411764705888</v>
      </c>
    </row>
    <row r="365" spans="1:9">
      <c r="A365" t="s">
        <v>495</v>
      </c>
      <c r="B365">
        <v>4</v>
      </c>
      <c r="C365">
        <v>9</v>
      </c>
      <c r="D365">
        <v>272</v>
      </c>
      <c r="E365">
        <v>0</v>
      </c>
      <c r="F365">
        <v>0</v>
      </c>
      <c r="G365">
        <v>0</v>
      </c>
      <c r="H365">
        <v>272</v>
      </c>
      <c r="I365" s="4">
        <f t="shared" si="5"/>
        <v>1</v>
      </c>
    </row>
    <row r="366" spans="1:9">
      <c r="A366" t="s">
        <v>495</v>
      </c>
      <c r="B366">
        <v>5</v>
      </c>
      <c r="C366">
        <v>1</v>
      </c>
      <c r="D366">
        <v>8</v>
      </c>
      <c r="E366">
        <v>0</v>
      </c>
      <c r="F366">
        <v>3</v>
      </c>
      <c r="G366">
        <v>0</v>
      </c>
      <c r="H366">
        <v>22</v>
      </c>
      <c r="I366" s="4">
        <f t="shared" si="5"/>
        <v>0.36363636363636365</v>
      </c>
    </row>
    <row r="367" spans="1:9">
      <c r="A367" t="s">
        <v>495</v>
      </c>
      <c r="B367">
        <v>5</v>
      </c>
      <c r="C367">
        <v>2</v>
      </c>
      <c r="D367">
        <v>12</v>
      </c>
      <c r="E367">
        <v>0</v>
      </c>
      <c r="F367">
        <v>3</v>
      </c>
      <c r="G367">
        <v>0</v>
      </c>
      <c r="H367">
        <v>22</v>
      </c>
      <c r="I367" s="4">
        <f t="shared" si="5"/>
        <v>0.54545454545454541</v>
      </c>
    </row>
    <row r="368" spans="1:9">
      <c r="A368" t="s">
        <v>495</v>
      </c>
      <c r="B368">
        <v>5</v>
      </c>
      <c r="C368">
        <v>3</v>
      </c>
      <c r="D368">
        <v>16</v>
      </c>
      <c r="E368">
        <v>0</v>
      </c>
      <c r="F368">
        <v>3</v>
      </c>
      <c r="G368">
        <v>0</v>
      </c>
      <c r="H368">
        <v>22</v>
      </c>
      <c r="I368" s="4">
        <f t="shared" si="5"/>
        <v>0.72727272727272729</v>
      </c>
    </row>
    <row r="369" spans="1:9">
      <c r="A369" t="s">
        <v>495</v>
      </c>
      <c r="B369">
        <v>5</v>
      </c>
      <c r="C369">
        <v>4</v>
      </c>
      <c r="D369">
        <v>17</v>
      </c>
      <c r="E369">
        <v>0</v>
      </c>
      <c r="F369">
        <v>2</v>
      </c>
      <c r="G369">
        <v>0</v>
      </c>
      <c r="H369">
        <v>22</v>
      </c>
      <c r="I369" s="4">
        <f t="shared" si="5"/>
        <v>0.77272727272727271</v>
      </c>
    </row>
    <row r="370" spans="1:9">
      <c r="A370" t="s">
        <v>495</v>
      </c>
      <c r="B370">
        <v>5</v>
      </c>
      <c r="C370">
        <v>5</v>
      </c>
      <c r="D370">
        <v>19</v>
      </c>
      <c r="E370">
        <v>0</v>
      </c>
      <c r="F370">
        <v>2</v>
      </c>
      <c r="G370">
        <v>0</v>
      </c>
      <c r="H370">
        <v>22</v>
      </c>
      <c r="I370" s="4">
        <f t="shared" si="5"/>
        <v>0.86363636363636365</v>
      </c>
    </row>
    <row r="371" spans="1:9">
      <c r="A371" t="s">
        <v>495</v>
      </c>
      <c r="B371">
        <v>5</v>
      </c>
      <c r="C371">
        <v>6</v>
      </c>
      <c r="D371">
        <v>22</v>
      </c>
      <c r="E371">
        <v>0</v>
      </c>
      <c r="F371">
        <v>0</v>
      </c>
      <c r="G371">
        <v>0</v>
      </c>
      <c r="H371">
        <v>22</v>
      </c>
      <c r="I371" s="4">
        <f t="shared" si="5"/>
        <v>1</v>
      </c>
    </row>
    <row r="372" spans="1:9">
      <c r="A372" t="s">
        <v>495</v>
      </c>
      <c r="B372">
        <v>6</v>
      </c>
      <c r="C372">
        <v>1</v>
      </c>
      <c r="D372">
        <v>6</v>
      </c>
      <c r="E372">
        <v>0</v>
      </c>
      <c r="F372">
        <v>5</v>
      </c>
      <c r="G372">
        <v>0</v>
      </c>
      <c r="H372">
        <v>21</v>
      </c>
      <c r="I372" s="4">
        <f t="shared" si="5"/>
        <v>0.2857142857142857</v>
      </c>
    </row>
    <row r="373" spans="1:9">
      <c r="A373" t="s">
        <v>495</v>
      </c>
      <c r="B373">
        <v>6</v>
      </c>
      <c r="C373">
        <v>2</v>
      </c>
      <c r="D373">
        <v>10</v>
      </c>
      <c r="E373">
        <v>0</v>
      </c>
      <c r="F373">
        <v>4</v>
      </c>
      <c r="G373">
        <v>0</v>
      </c>
      <c r="H373">
        <v>21</v>
      </c>
      <c r="I373" s="4">
        <f t="shared" si="5"/>
        <v>0.47619047619047616</v>
      </c>
    </row>
    <row r="374" spans="1:9">
      <c r="A374" t="s">
        <v>495</v>
      </c>
      <c r="B374">
        <v>6</v>
      </c>
      <c r="C374">
        <v>3</v>
      </c>
      <c r="D374">
        <v>10</v>
      </c>
      <c r="E374">
        <v>0</v>
      </c>
      <c r="F374">
        <v>4</v>
      </c>
      <c r="G374">
        <v>0</v>
      </c>
      <c r="H374">
        <v>21</v>
      </c>
      <c r="I374" s="4">
        <f t="shared" si="5"/>
        <v>0.47619047619047616</v>
      </c>
    </row>
    <row r="375" spans="1:9">
      <c r="A375" t="s">
        <v>495</v>
      </c>
      <c r="B375">
        <v>6</v>
      </c>
      <c r="C375">
        <v>4</v>
      </c>
      <c r="D375">
        <v>16</v>
      </c>
      <c r="E375">
        <v>0</v>
      </c>
      <c r="F375">
        <v>4</v>
      </c>
      <c r="G375">
        <v>0</v>
      </c>
      <c r="H375">
        <v>21</v>
      </c>
      <c r="I375" s="4">
        <f t="shared" si="5"/>
        <v>0.76190476190476186</v>
      </c>
    </row>
    <row r="376" spans="1:9">
      <c r="A376" t="s">
        <v>495</v>
      </c>
      <c r="B376">
        <v>6</v>
      </c>
      <c r="C376">
        <v>5</v>
      </c>
      <c r="D376">
        <v>18</v>
      </c>
      <c r="E376">
        <v>0</v>
      </c>
      <c r="F376">
        <v>2</v>
      </c>
      <c r="G376">
        <v>0</v>
      </c>
      <c r="H376">
        <v>21</v>
      </c>
      <c r="I376" s="4">
        <f t="shared" si="5"/>
        <v>0.8571428571428571</v>
      </c>
    </row>
    <row r="377" spans="1:9">
      <c r="A377" t="s">
        <v>495</v>
      </c>
      <c r="B377">
        <v>6</v>
      </c>
      <c r="C377">
        <v>6</v>
      </c>
      <c r="D377">
        <v>18</v>
      </c>
      <c r="E377">
        <v>0</v>
      </c>
      <c r="F377">
        <v>2</v>
      </c>
      <c r="G377">
        <v>0</v>
      </c>
      <c r="H377">
        <v>21</v>
      </c>
      <c r="I377" s="4">
        <f t="shared" si="5"/>
        <v>0.8571428571428571</v>
      </c>
    </row>
    <row r="378" spans="1:9">
      <c r="A378" t="s">
        <v>495</v>
      </c>
      <c r="B378">
        <v>6</v>
      </c>
      <c r="C378">
        <v>7</v>
      </c>
      <c r="D378">
        <v>21</v>
      </c>
      <c r="E378">
        <v>0</v>
      </c>
      <c r="F378">
        <v>0</v>
      </c>
      <c r="G378">
        <v>0</v>
      </c>
      <c r="H378">
        <v>21</v>
      </c>
      <c r="I378" s="4">
        <f t="shared" si="5"/>
        <v>1</v>
      </c>
    </row>
    <row r="379" spans="1:9">
      <c r="A379" t="s">
        <v>495</v>
      </c>
      <c r="B379">
        <v>6</v>
      </c>
      <c r="C379">
        <v>8</v>
      </c>
      <c r="D379">
        <v>21</v>
      </c>
      <c r="E379">
        <v>0</v>
      </c>
      <c r="F379">
        <v>0</v>
      </c>
      <c r="G379">
        <v>0</v>
      </c>
      <c r="H379">
        <v>21</v>
      </c>
      <c r="I379" s="4">
        <f t="shared" si="5"/>
        <v>1</v>
      </c>
    </row>
    <row r="380" spans="1:9">
      <c r="A380" t="s">
        <v>495</v>
      </c>
      <c r="B380">
        <v>6</v>
      </c>
      <c r="C380">
        <v>9</v>
      </c>
      <c r="D380">
        <v>21</v>
      </c>
      <c r="E380">
        <v>0</v>
      </c>
      <c r="F380">
        <v>0</v>
      </c>
      <c r="G380">
        <v>0</v>
      </c>
      <c r="H380">
        <v>21</v>
      </c>
      <c r="I380" s="4">
        <f t="shared" si="5"/>
        <v>1</v>
      </c>
    </row>
    <row r="381" spans="1:9">
      <c r="A381" t="s">
        <v>495</v>
      </c>
      <c r="B381">
        <v>6</v>
      </c>
      <c r="C381">
        <v>10</v>
      </c>
      <c r="D381">
        <v>21</v>
      </c>
      <c r="E381">
        <v>0</v>
      </c>
      <c r="F381">
        <v>0</v>
      </c>
      <c r="G381">
        <v>0</v>
      </c>
      <c r="H381">
        <v>21</v>
      </c>
      <c r="I381" s="4">
        <f t="shared" si="5"/>
        <v>1</v>
      </c>
    </row>
    <row r="382" spans="1:9">
      <c r="A382" t="s">
        <v>495</v>
      </c>
      <c r="B382">
        <v>7</v>
      </c>
      <c r="C382">
        <v>1</v>
      </c>
      <c r="D382">
        <v>24</v>
      </c>
      <c r="E382">
        <v>0</v>
      </c>
      <c r="F382">
        <v>7</v>
      </c>
      <c r="G382">
        <v>0</v>
      </c>
      <c r="H382">
        <v>120</v>
      </c>
      <c r="I382" s="4">
        <f t="shared" si="5"/>
        <v>0.2</v>
      </c>
    </row>
    <row r="383" spans="1:9">
      <c r="A383" t="s">
        <v>495</v>
      </c>
      <c r="B383">
        <v>7</v>
      </c>
      <c r="C383">
        <v>2</v>
      </c>
      <c r="D383">
        <v>35</v>
      </c>
      <c r="E383">
        <v>0</v>
      </c>
      <c r="F383">
        <v>7</v>
      </c>
      <c r="G383">
        <v>0</v>
      </c>
      <c r="H383">
        <v>120</v>
      </c>
      <c r="I383" s="4">
        <f t="shared" si="5"/>
        <v>0.29166666666666669</v>
      </c>
    </row>
    <row r="384" spans="1:9">
      <c r="A384" t="s">
        <v>495</v>
      </c>
      <c r="B384">
        <v>7</v>
      </c>
      <c r="C384">
        <v>3</v>
      </c>
      <c r="D384">
        <v>39</v>
      </c>
      <c r="E384">
        <v>0</v>
      </c>
      <c r="F384">
        <v>11</v>
      </c>
      <c r="G384">
        <v>0</v>
      </c>
      <c r="H384">
        <v>120</v>
      </c>
      <c r="I384" s="4">
        <f t="shared" si="5"/>
        <v>0.32500000000000001</v>
      </c>
    </row>
    <row r="385" spans="1:9">
      <c r="A385" t="s">
        <v>495</v>
      </c>
      <c r="B385">
        <v>7</v>
      </c>
      <c r="C385">
        <v>4</v>
      </c>
      <c r="D385">
        <v>52</v>
      </c>
      <c r="E385">
        <v>0</v>
      </c>
      <c r="F385">
        <v>11</v>
      </c>
      <c r="G385">
        <v>0</v>
      </c>
      <c r="H385">
        <v>120</v>
      </c>
      <c r="I385" s="4">
        <f t="shared" si="5"/>
        <v>0.43333333333333335</v>
      </c>
    </row>
    <row r="386" spans="1:9">
      <c r="A386" t="s">
        <v>495</v>
      </c>
      <c r="B386">
        <v>7</v>
      </c>
      <c r="C386">
        <v>5</v>
      </c>
      <c r="D386">
        <v>68</v>
      </c>
      <c r="E386">
        <v>0</v>
      </c>
      <c r="F386">
        <v>9</v>
      </c>
      <c r="G386">
        <v>0</v>
      </c>
      <c r="H386">
        <v>120</v>
      </c>
      <c r="I386" s="4">
        <f t="shared" si="5"/>
        <v>0.56666666666666665</v>
      </c>
    </row>
    <row r="387" spans="1:9">
      <c r="A387" t="s">
        <v>495</v>
      </c>
      <c r="B387">
        <v>7</v>
      </c>
      <c r="C387">
        <v>6</v>
      </c>
      <c r="D387">
        <v>71</v>
      </c>
      <c r="E387">
        <v>0</v>
      </c>
      <c r="F387">
        <v>7</v>
      </c>
      <c r="G387">
        <v>0</v>
      </c>
      <c r="H387">
        <v>120</v>
      </c>
      <c r="I387" s="4">
        <f t="shared" ref="I387:I450" si="6">D387/H387</f>
        <v>0.59166666666666667</v>
      </c>
    </row>
    <row r="388" spans="1:9">
      <c r="A388" t="s">
        <v>495</v>
      </c>
      <c r="B388">
        <v>7</v>
      </c>
      <c r="C388">
        <v>7</v>
      </c>
      <c r="D388">
        <v>78</v>
      </c>
      <c r="E388">
        <v>0</v>
      </c>
      <c r="F388">
        <v>5</v>
      </c>
      <c r="G388">
        <v>0</v>
      </c>
      <c r="H388">
        <v>120</v>
      </c>
      <c r="I388" s="4">
        <f t="shared" si="6"/>
        <v>0.65</v>
      </c>
    </row>
    <row r="389" spans="1:9">
      <c r="A389" t="s">
        <v>495</v>
      </c>
      <c r="B389">
        <v>7</v>
      </c>
      <c r="C389">
        <v>8</v>
      </c>
      <c r="D389">
        <v>88</v>
      </c>
      <c r="E389">
        <v>0</v>
      </c>
      <c r="F389">
        <v>3</v>
      </c>
      <c r="G389">
        <v>0</v>
      </c>
      <c r="H389">
        <v>120</v>
      </c>
      <c r="I389" s="4">
        <f t="shared" si="6"/>
        <v>0.73333333333333328</v>
      </c>
    </row>
    <row r="390" spans="1:9">
      <c r="A390" t="s">
        <v>495</v>
      </c>
      <c r="B390">
        <v>7</v>
      </c>
      <c r="C390">
        <v>9</v>
      </c>
      <c r="D390">
        <v>102</v>
      </c>
      <c r="E390">
        <v>0</v>
      </c>
      <c r="F390">
        <v>1</v>
      </c>
      <c r="G390">
        <v>0</v>
      </c>
      <c r="H390">
        <v>120</v>
      </c>
      <c r="I390" s="4">
        <f t="shared" si="6"/>
        <v>0.85</v>
      </c>
    </row>
    <row r="391" spans="1:9">
      <c r="A391" t="s">
        <v>495</v>
      </c>
      <c r="B391">
        <v>7</v>
      </c>
      <c r="C391">
        <v>10</v>
      </c>
      <c r="D391">
        <v>120</v>
      </c>
      <c r="E391">
        <v>0</v>
      </c>
      <c r="F391">
        <v>0</v>
      </c>
      <c r="G391">
        <v>0</v>
      </c>
      <c r="H391">
        <v>120</v>
      </c>
      <c r="I391" s="4">
        <f t="shared" si="6"/>
        <v>1</v>
      </c>
    </row>
    <row r="392" spans="1:9">
      <c r="A392" t="s">
        <v>495</v>
      </c>
      <c r="B392">
        <v>8</v>
      </c>
      <c r="C392">
        <v>1</v>
      </c>
      <c r="D392">
        <v>19</v>
      </c>
      <c r="E392">
        <v>0</v>
      </c>
      <c r="F392">
        <v>1</v>
      </c>
      <c r="G392">
        <v>0</v>
      </c>
      <c r="H392">
        <v>162</v>
      </c>
      <c r="I392" s="4">
        <f t="shared" si="6"/>
        <v>0.11728395061728394</v>
      </c>
    </row>
    <row r="393" spans="1:9">
      <c r="A393" t="s">
        <v>495</v>
      </c>
      <c r="B393">
        <v>8</v>
      </c>
      <c r="C393">
        <v>2</v>
      </c>
      <c r="D393">
        <v>28</v>
      </c>
      <c r="E393">
        <v>0</v>
      </c>
      <c r="F393">
        <v>7</v>
      </c>
      <c r="G393">
        <v>0</v>
      </c>
      <c r="H393">
        <v>162</v>
      </c>
      <c r="I393" s="4">
        <f t="shared" si="6"/>
        <v>0.1728395061728395</v>
      </c>
    </row>
    <row r="394" spans="1:9">
      <c r="A394" t="s">
        <v>495</v>
      </c>
      <c r="B394">
        <v>8</v>
      </c>
      <c r="C394">
        <v>3</v>
      </c>
      <c r="D394">
        <v>63</v>
      </c>
      <c r="E394">
        <v>0</v>
      </c>
      <c r="F394">
        <v>5</v>
      </c>
      <c r="G394">
        <v>0</v>
      </c>
      <c r="H394">
        <v>162</v>
      </c>
      <c r="I394" s="4">
        <f t="shared" si="6"/>
        <v>0.3888888888888889</v>
      </c>
    </row>
    <row r="395" spans="1:9">
      <c r="A395" t="s">
        <v>495</v>
      </c>
      <c r="B395">
        <v>8</v>
      </c>
      <c r="C395">
        <v>4</v>
      </c>
      <c r="D395">
        <v>107</v>
      </c>
      <c r="E395">
        <v>0</v>
      </c>
      <c r="F395">
        <v>3</v>
      </c>
      <c r="G395">
        <v>0</v>
      </c>
      <c r="H395">
        <v>162</v>
      </c>
      <c r="I395" s="4">
        <f t="shared" si="6"/>
        <v>0.66049382716049387</v>
      </c>
    </row>
    <row r="396" spans="1:9">
      <c r="A396" t="s">
        <v>495</v>
      </c>
      <c r="B396">
        <v>8</v>
      </c>
      <c r="C396">
        <v>5</v>
      </c>
      <c r="D396">
        <v>140</v>
      </c>
      <c r="E396">
        <v>0</v>
      </c>
      <c r="F396">
        <v>1</v>
      </c>
      <c r="G396">
        <v>0</v>
      </c>
      <c r="H396">
        <v>162</v>
      </c>
      <c r="I396" s="4">
        <f t="shared" si="6"/>
        <v>0.86419753086419748</v>
      </c>
    </row>
    <row r="397" spans="1:9">
      <c r="A397" t="s">
        <v>495</v>
      </c>
      <c r="B397">
        <v>8</v>
      </c>
      <c r="C397">
        <v>6</v>
      </c>
      <c r="D397">
        <v>162</v>
      </c>
      <c r="E397">
        <v>0</v>
      </c>
      <c r="F397">
        <v>0</v>
      </c>
      <c r="G397">
        <v>0</v>
      </c>
      <c r="H397">
        <v>162</v>
      </c>
      <c r="I397" s="4">
        <f t="shared" si="6"/>
        <v>1</v>
      </c>
    </row>
    <row r="398" spans="1:9">
      <c r="A398" t="s">
        <v>495</v>
      </c>
      <c r="B398">
        <v>9</v>
      </c>
      <c r="C398">
        <v>1</v>
      </c>
      <c r="D398">
        <v>19</v>
      </c>
      <c r="E398">
        <v>0</v>
      </c>
      <c r="F398">
        <v>1</v>
      </c>
      <c r="G398">
        <v>0</v>
      </c>
      <c r="H398">
        <v>258</v>
      </c>
      <c r="I398" s="4">
        <f t="shared" si="6"/>
        <v>7.3643410852713184E-2</v>
      </c>
    </row>
    <row r="399" spans="1:9">
      <c r="A399" t="s">
        <v>495</v>
      </c>
      <c r="B399">
        <v>9</v>
      </c>
      <c r="C399">
        <v>2</v>
      </c>
      <c r="D399">
        <v>31</v>
      </c>
      <c r="E399">
        <v>0</v>
      </c>
      <c r="F399">
        <v>13</v>
      </c>
      <c r="G399">
        <v>0</v>
      </c>
      <c r="H399">
        <v>258</v>
      </c>
      <c r="I399" s="4">
        <f t="shared" si="6"/>
        <v>0.12015503875968993</v>
      </c>
    </row>
    <row r="400" spans="1:9">
      <c r="A400" t="s">
        <v>495</v>
      </c>
      <c r="B400">
        <v>9</v>
      </c>
      <c r="C400">
        <v>3</v>
      </c>
      <c r="D400">
        <v>66</v>
      </c>
      <c r="E400">
        <v>0</v>
      </c>
      <c r="F400">
        <v>11</v>
      </c>
      <c r="G400">
        <v>0</v>
      </c>
      <c r="H400">
        <v>258</v>
      </c>
      <c r="I400" s="4">
        <f t="shared" si="6"/>
        <v>0.2558139534883721</v>
      </c>
    </row>
    <row r="401" spans="1:9">
      <c r="A401" t="s">
        <v>495</v>
      </c>
      <c r="B401">
        <v>9</v>
      </c>
      <c r="C401">
        <v>4</v>
      </c>
      <c r="D401">
        <v>110</v>
      </c>
      <c r="E401">
        <v>0</v>
      </c>
      <c r="F401">
        <v>9</v>
      </c>
      <c r="G401">
        <v>0</v>
      </c>
      <c r="H401">
        <v>258</v>
      </c>
      <c r="I401" s="4">
        <f t="shared" si="6"/>
        <v>0.4263565891472868</v>
      </c>
    </row>
    <row r="402" spans="1:9">
      <c r="A402" t="s">
        <v>495</v>
      </c>
      <c r="B402">
        <v>9</v>
      </c>
      <c r="C402">
        <v>5</v>
      </c>
      <c r="D402">
        <v>143</v>
      </c>
      <c r="E402">
        <v>0</v>
      </c>
      <c r="F402">
        <v>7</v>
      </c>
      <c r="G402">
        <v>0</v>
      </c>
      <c r="H402">
        <v>258</v>
      </c>
      <c r="I402" s="4">
        <f t="shared" si="6"/>
        <v>0.55426356589147285</v>
      </c>
    </row>
    <row r="403" spans="1:9">
      <c r="A403" t="s">
        <v>495</v>
      </c>
      <c r="B403">
        <v>9</v>
      </c>
      <c r="C403">
        <v>6</v>
      </c>
      <c r="D403">
        <v>165</v>
      </c>
      <c r="E403">
        <v>0</v>
      </c>
      <c r="F403">
        <v>5</v>
      </c>
      <c r="G403">
        <v>0</v>
      </c>
      <c r="H403">
        <v>258</v>
      </c>
      <c r="I403" s="4">
        <f t="shared" si="6"/>
        <v>0.63953488372093026</v>
      </c>
    </row>
    <row r="404" spans="1:9">
      <c r="A404" t="s">
        <v>495</v>
      </c>
      <c r="B404">
        <v>9</v>
      </c>
      <c r="C404">
        <v>7</v>
      </c>
      <c r="D404">
        <v>192</v>
      </c>
      <c r="E404">
        <v>0</v>
      </c>
      <c r="F404">
        <v>3</v>
      </c>
      <c r="G404">
        <v>0</v>
      </c>
      <c r="H404">
        <v>258</v>
      </c>
      <c r="I404" s="4">
        <f t="shared" si="6"/>
        <v>0.7441860465116279</v>
      </c>
    </row>
    <row r="405" spans="1:9">
      <c r="A405" t="s">
        <v>495</v>
      </c>
      <c r="B405">
        <v>9</v>
      </c>
      <c r="C405">
        <v>8</v>
      </c>
      <c r="D405">
        <v>223</v>
      </c>
      <c r="E405">
        <v>0</v>
      </c>
      <c r="F405">
        <v>1</v>
      </c>
      <c r="G405">
        <v>0</v>
      </c>
      <c r="H405">
        <v>258</v>
      </c>
      <c r="I405" s="4">
        <f t="shared" si="6"/>
        <v>0.86434108527131781</v>
      </c>
    </row>
    <row r="406" spans="1:9">
      <c r="A406" t="s">
        <v>495</v>
      </c>
      <c r="B406">
        <v>9</v>
      </c>
      <c r="C406">
        <v>9</v>
      </c>
      <c r="D406">
        <v>258</v>
      </c>
      <c r="E406">
        <v>0</v>
      </c>
      <c r="F406">
        <v>0</v>
      </c>
      <c r="G406">
        <v>0</v>
      </c>
      <c r="H406">
        <v>258</v>
      </c>
      <c r="I406" s="4">
        <f t="shared" si="6"/>
        <v>1</v>
      </c>
    </row>
    <row r="407" spans="1:9">
      <c r="A407" t="s">
        <v>495</v>
      </c>
      <c r="B407">
        <v>10</v>
      </c>
      <c r="C407">
        <v>1</v>
      </c>
      <c r="D407">
        <v>5</v>
      </c>
      <c r="E407">
        <v>0</v>
      </c>
      <c r="F407">
        <v>5</v>
      </c>
      <c r="G407">
        <v>0</v>
      </c>
      <c r="H407">
        <v>9</v>
      </c>
      <c r="I407" s="4">
        <f t="shared" si="6"/>
        <v>0.55555555555555558</v>
      </c>
    </row>
    <row r="408" spans="1:9">
      <c r="A408" s="6" t="s">
        <v>495</v>
      </c>
      <c r="B408" s="6">
        <v>10</v>
      </c>
      <c r="C408" s="6">
        <v>2</v>
      </c>
      <c r="D408" s="6">
        <v>9</v>
      </c>
      <c r="E408" s="6">
        <v>0</v>
      </c>
      <c r="F408" s="6">
        <v>1</v>
      </c>
      <c r="G408" s="6">
        <v>0</v>
      </c>
      <c r="H408" s="6">
        <v>9</v>
      </c>
      <c r="I408" s="4">
        <f t="shared" si="6"/>
        <v>1</v>
      </c>
    </row>
    <row r="409" spans="1:9">
      <c r="A409" t="s">
        <v>495</v>
      </c>
      <c r="B409">
        <v>11</v>
      </c>
      <c r="C409">
        <v>1</v>
      </c>
      <c r="D409">
        <v>18</v>
      </c>
      <c r="E409">
        <v>0</v>
      </c>
      <c r="F409">
        <v>1</v>
      </c>
      <c r="G409">
        <v>0</v>
      </c>
      <c r="H409">
        <v>53</v>
      </c>
      <c r="I409" s="4">
        <f t="shared" si="6"/>
        <v>0.33962264150943394</v>
      </c>
    </row>
    <row r="410" spans="1:9">
      <c r="A410" t="s">
        <v>495</v>
      </c>
      <c r="B410">
        <v>11</v>
      </c>
      <c r="C410">
        <v>2</v>
      </c>
      <c r="D410">
        <v>53</v>
      </c>
      <c r="E410">
        <v>0</v>
      </c>
      <c r="F410">
        <v>0</v>
      </c>
      <c r="G410">
        <v>0</v>
      </c>
      <c r="H410">
        <v>53</v>
      </c>
      <c r="I410" s="4">
        <f t="shared" si="6"/>
        <v>1</v>
      </c>
    </row>
    <row r="411" spans="1:9">
      <c r="A411" t="s">
        <v>495</v>
      </c>
      <c r="B411">
        <v>13</v>
      </c>
      <c r="C411">
        <v>1</v>
      </c>
      <c r="D411">
        <v>1</v>
      </c>
      <c r="E411">
        <v>0</v>
      </c>
      <c r="F411">
        <v>1</v>
      </c>
      <c r="G411">
        <v>0</v>
      </c>
      <c r="H411">
        <v>737</v>
      </c>
      <c r="I411" s="4">
        <f t="shared" si="6"/>
        <v>1.3568521031207597E-3</v>
      </c>
    </row>
    <row r="412" spans="1:9">
      <c r="A412" t="s">
        <v>495</v>
      </c>
      <c r="B412">
        <v>13</v>
      </c>
      <c r="C412">
        <v>2</v>
      </c>
      <c r="D412">
        <v>3</v>
      </c>
      <c r="E412">
        <v>0</v>
      </c>
      <c r="F412">
        <v>1</v>
      </c>
      <c r="G412">
        <v>0</v>
      </c>
      <c r="H412">
        <v>737</v>
      </c>
      <c r="I412" s="4">
        <f t="shared" si="6"/>
        <v>4.0705563093622792E-3</v>
      </c>
    </row>
    <row r="413" spans="1:9">
      <c r="A413" t="s">
        <v>495</v>
      </c>
      <c r="B413">
        <v>13</v>
      </c>
      <c r="C413">
        <v>3</v>
      </c>
      <c r="D413">
        <v>5</v>
      </c>
      <c r="E413">
        <v>0</v>
      </c>
      <c r="F413">
        <v>1</v>
      </c>
      <c r="G413">
        <v>0</v>
      </c>
      <c r="H413">
        <v>737</v>
      </c>
      <c r="I413" s="4">
        <f t="shared" si="6"/>
        <v>6.7842605156037995E-3</v>
      </c>
    </row>
    <row r="414" spans="1:9">
      <c r="A414" t="s">
        <v>495</v>
      </c>
      <c r="B414">
        <v>13</v>
      </c>
      <c r="C414">
        <v>4</v>
      </c>
      <c r="D414">
        <v>737</v>
      </c>
      <c r="E414">
        <v>0</v>
      </c>
      <c r="F414">
        <v>0</v>
      </c>
      <c r="G414">
        <v>0</v>
      </c>
      <c r="H414">
        <v>737</v>
      </c>
      <c r="I414" s="4">
        <f t="shared" si="6"/>
        <v>1</v>
      </c>
    </row>
    <row r="415" spans="1:9">
      <c r="A415" t="s">
        <v>495</v>
      </c>
      <c r="B415">
        <v>14</v>
      </c>
      <c r="C415">
        <v>1</v>
      </c>
      <c r="D415">
        <v>1</v>
      </c>
      <c r="E415">
        <v>0</v>
      </c>
      <c r="F415">
        <v>1</v>
      </c>
      <c r="G415">
        <v>0</v>
      </c>
      <c r="H415">
        <v>958</v>
      </c>
      <c r="I415" s="4">
        <f t="shared" si="6"/>
        <v>1.0438413361169101E-3</v>
      </c>
    </row>
    <row r="416" spans="1:9">
      <c r="A416" t="s">
        <v>495</v>
      </c>
      <c r="B416">
        <v>14</v>
      </c>
      <c r="C416">
        <v>2</v>
      </c>
      <c r="D416">
        <v>3</v>
      </c>
      <c r="E416">
        <v>0</v>
      </c>
      <c r="F416">
        <v>1</v>
      </c>
      <c r="G416">
        <v>0</v>
      </c>
      <c r="H416">
        <v>958</v>
      </c>
      <c r="I416" s="4">
        <f t="shared" si="6"/>
        <v>3.1315240083507308E-3</v>
      </c>
    </row>
    <row r="417" spans="1:9">
      <c r="A417" t="s">
        <v>495</v>
      </c>
      <c r="B417">
        <v>14</v>
      </c>
      <c r="C417">
        <v>3</v>
      </c>
      <c r="D417">
        <v>5</v>
      </c>
      <c r="E417">
        <v>0</v>
      </c>
      <c r="F417">
        <v>1</v>
      </c>
      <c r="G417">
        <v>0</v>
      </c>
      <c r="H417">
        <v>958</v>
      </c>
      <c r="I417" s="4">
        <f t="shared" si="6"/>
        <v>5.2192066805845511E-3</v>
      </c>
    </row>
    <row r="418" spans="1:9">
      <c r="A418" t="s">
        <v>495</v>
      </c>
      <c r="B418">
        <v>14</v>
      </c>
      <c r="C418">
        <v>4</v>
      </c>
      <c r="D418">
        <v>381</v>
      </c>
      <c r="E418">
        <v>0</v>
      </c>
      <c r="F418">
        <v>5</v>
      </c>
      <c r="G418">
        <v>0</v>
      </c>
      <c r="H418">
        <v>958</v>
      </c>
      <c r="I418" s="4">
        <f t="shared" si="6"/>
        <v>0.39770354906054278</v>
      </c>
    </row>
    <row r="419" spans="1:9">
      <c r="A419" t="s">
        <v>495</v>
      </c>
      <c r="B419">
        <v>14</v>
      </c>
      <c r="C419">
        <v>5</v>
      </c>
      <c r="D419">
        <v>561</v>
      </c>
      <c r="E419">
        <v>0</v>
      </c>
      <c r="F419">
        <v>3</v>
      </c>
      <c r="G419">
        <v>0</v>
      </c>
      <c r="H419">
        <v>958</v>
      </c>
      <c r="I419" s="4">
        <f t="shared" si="6"/>
        <v>0.58559498956158662</v>
      </c>
    </row>
    <row r="420" spans="1:9">
      <c r="A420" t="s">
        <v>495</v>
      </c>
      <c r="B420">
        <v>14</v>
      </c>
      <c r="C420">
        <v>6</v>
      </c>
      <c r="D420">
        <v>562</v>
      </c>
      <c r="E420">
        <v>0</v>
      </c>
      <c r="F420">
        <v>2</v>
      </c>
      <c r="G420">
        <v>0</v>
      </c>
      <c r="H420">
        <v>958</v>
      </c>
      <c r="I420" s="4">
        <f t="shared" si="6"/>
        <v>0.58663883089770352</v>
      </c>
    </row>
    <row r="421" spans="1:9">
      <c r="A421" t="s">
        <v>495</v>
      </c>
      <c r="B421">
        <v>14</v>
      </c>
      <c r="C421">
        <v>7</v>
      </c>
      <c r="D421">
        <v>564</v>
      </c>
      <c r="E421">
        <v>0</v>
      </c>
      <c r="F421">
        <v>1</v>
      </c>
      <c r="G421">
        <v>0</v>
      </c>
      <c r="H421">
        <v>958</v>
      </c>
      <c r="I421" s="4">
        <f t="shared" si="6"/>
        <v>0.58872651356993733</v>
      </c>
    </row>
    <row r="422" spans="1:9">
      <c r="A422" t="s">
        <v>495</v>
      </c>
      <c r="B422">
        <v>14</v>
      </c>
      <c r="C422">
        <v>8</v>
      </c>
      <c r="D422">
        <v>564</v>
      </c>
      <c r="E422">
        <v>0</v>
      </c>
      <c r="F422">
        <v>1</v>
      </c>
      <c r="G422">
        <v>0</v>
      </c>
      <c r="H422">
        <v>958</v>
      </c>
      <c r="I422" s="4">
        <f t="shared" si="6"/>
        <v>0.58872651356993733</v>
      </c>
    </row>
    <row r="423" spans="1:9">
      <c r="A423" t="s">
        <v>495</v>
      </c>
      <c r="B423">
        <v>14</v>
      </c>
      <c r="C423">
        <v>9</v>
      </c>
      <c r="D423">
        <v>564</v>
      </c>
      <c r="E423">
        <v>0</v>
      </c>
      <c r="F423">
        <v>1</v>
      </c>
      <c r="G423">
        <v>0</v>
      </c>
      <c r="H423">
        <v>958</v>
      </c>
      <c r="I423" s="4">
        <f t="shared" si="6"/>
        <v>0.58872651356993733</v>
      </c>
    </row>
    <row r="424" spans="1:9">
      <c r="A424" t="s">
        <v>495</v>
      </c>
      <c r="B424">
        <v>14</v>
      </c>
      <c r="C424">
        <v>10</v>
      </c>
      <c r="D424">
        <v>957</v>
      </c>
      <c r="E424">
        <v>0</v>
      </c>
      <c r="F424">
        <v>1</v>
      </c>
      <c r="G424">
        <v>0</v>
      </c>
      <c r="H424">
        <v>958</v>
      </c>
      <c r="I424" s="4">
        <f t="shared" si="6"/>
        <v>0.9989561586638831</v>
      </c>
    </row>
    <row r="425" spans="1:9">
      <c r="A425" t="s">
        <v>495</v>
      </c>
      <c r="B425">
        <v>14</v>
      </c>
      <c r="C425">
        <v>11</v>
      </c>
      <c r="D425">
        <v>958</v>
      </c>
      <c r="E425">
        <v>0</v>
      </c>
      <c r="F425">
        <v>0</v>
      </c>
      <c r="G425">
        <v>0</v>
      </c>
      <c r="H425">
        <v>958</v>
      </c>
      <c r="I425" s="4">
        <f t="shared" si="6"/>
        <v>1</v>
      </c>
    </row>
    <row r="426" spans="1:9">
      <c r="A426" t="s">
        <v>495</v>
      </c>
      <c r="B426">
        <v>15</v>
      </c>
      <c r="C426">
        <v>1</v>
      </c>
      <c r="D426">
        <v>1</v>
      </c>
      <c r="E426">
        <v>0</v>
      </c>
      <c r="F426">
        <v>1</v>
      </c>
      <c r="G426">
        <v>0</v>
      </c>
      <c r="H426">
        <v>475</v>
      </c>
      <c r="I426" s="4">
        <f t="shared" si="6"/>
        <v>2.1052631578947368E-3</v>
      </c>
    </row>
    <row r="427" spans="1:9">
      <c r="A427" t="s">
        <v>495</v>
      </c>
      <c r="B427">
        <v>15</v>
      </c>
      <c r="C427">
        <v>2</v>
      </c>
      <c r="D427">
        <v>1</v>
      </c>
      <c r="E427">
        <v>0</v>
      </c>
      <c r="F427">
        <v>1</v>
      </c>
      <c r="G427">
        <v>0</v>
      </c>
      <c r="H427">
        <v>475</v>
      </c>
      <c r="I427" s="4">
        <f t="shared" si="6"/>
        <v>2.1052631578947368E-3</v>
      </c>
    </row>
    <row r="428" spans="1:9">
      <c r="A428" t="s">
        <v>495</v>
      </c>
      <c r="B428">
        <v>15</v>
      </c>
      <c r="C428">
        <v>3</v>
      </c>
      <c r="D428">
        <v>4</v>
      </c>
      <c r="E428">
        <v>0</v>
      </c>
      <c r="F428">
        <v>2</v>
      </c>
      <c r="G428">
        <v>0</v>
      </c>
      <c r="H428">
        <v>475</v>
      </c>
      <c r="I428" s="4">
        <f t="shared" si="6"/>
        <v>8.4210526315789472E-3</v>
      </c>
    </row>
    <row r="429" spans="1:9">
      <c r="A429" t="s">
        <v>495</v>
      </c>
      <c r="B429">
        <v>15</v>
      </c>
      <c r="C429">
        <v>4</v>
      </c>
      <c r="D429">
        <v>475</v>
      </c>
      <c r="E429">
        <v>0</v>
      </c>
      <c r="F429">
        <v>1</v>
      </c>
      <c r="G429">
        <v>0</v>
      </c>
      <c r="H429">
        <v>475</v>
      </c>
      <c r="I429" s="4">
        <f t="shared" si="6"/>
        <v>1</v>
      </c>
    </row>
    <row r="430" spans="1:9">
      <c r="A430" t="s">
        <v>495</v>
      </c>
      <c r="B430">
        <v>16</v>
      </c>
      <c r="C430">
        <v>1</v>
      </c>
      <c r="D430">
        <v>1</v>
      </c>
      <c r="E430">
        <v>0</v>
      </c>
      <c r="F430">
        <v>1</v>
      </c>
      <c r="G430">
        <v>0</v>
      </c>
      <c r="H430">
        <v>607</v>
      </c>
      <c r="I430" s="4">
        <f t="shared" si="6"/>
        <v>1.6474464579901153E-3</v>
      </c>
    </row>
    <row r="431" spans="1:9">
      <c r="A431" t="s">
        <v>495</v>
      </c>
      <c r="B431">
        <v>16</v>
      </c>
      <c r="C431">
        <v>2</v>
      </c>
      <c r="D431">
        <v>3</v>
      </c>
      <c r="E431">
        <v>0</v>
      </c>
      <c r="F431">
        <v>1</v>
      </c>
      <c r="G431">
        <v>0</v>
      </c>
      <c r="H431">
        <v>607</v>
      </c>
      <c r="I431" s="4">
        <f t="shared" si="6"/>
        <v>4.9423393739703456E-3</v>
      </c>
    </row>
    <row r="432" spans="1:9">
      <c r="A432" t="s">
        <v>495</v>
      </c>
      <c r="B432">
        <v>16</v>
      </c>
      <c r="C432">
        <v>3</v>
      </c>
      <c r="D432">
        <v>5</v>
      </c>
      <c r="E432">
        <v>0</v>
      </c>
      <c r="F432">
        <v>1</v>
      </c>
      <c r="G432">
        <v>0</v>
      </c>
      <c r="H432">
        <v>607</v>
      </c>
      <c r="I432" s="4">
        <f t="shared" si="6"/>
        <v>8.2372322899505763E-3</v>
      </c>
    </row>
    <row r="433" spans="1:9">
      <c r="A433" t="s">
        <v>495</v>
      </c>
      <c r="B433">
        <v>16</v>
      </c>
      <c r="C433">
        <v>4</v>
      </c>
      <c r="D433">
        <v>607</v>
      </c>
      <c r="E433">
        <v>0</v>
      </c>
      <c r="F433">
        <v>0</v>
      </c>
      <c r="G433">
        <v>0</v>
      </c>
      <c r="H433">
        <v>607</v>
      </c>
      <c r="I433" s="4">
        <f t="shared" si="6"/>
        <v>1</v>
      </c>
    </row>
    <row r="434" spans="1:9">
      <c r="A434" t="s">
        <v>495</v>
      </c>
      <c r="B434">
        <v>20</v>
      </c>
      <c r="C434">
        <v>1</v>
      </c>
      <c r="D434">
        <v>16</v>
      </c>
      <c r="E434">
        <v>0</v>
      </c>
      <c r="F434">
        <v>2</v>
      </c>
      <c r="G434">
        <v>0</v>
      </c>
      <c r="H434">
        <v>27</v>
      </c>
      <c r="I434" s="4">
        <f t="shared" si="6"/>
        <v>0.59259259259259256</v>
      </c>
    </row>
    <row r="435" spans="1:9">
      <c r="A435" t="s">
        <v>495</v>
      </c>
      <c r="B435">
        <v>20</v>
      </c>
      <c r="C435">
        <v>2</v>
      </c>
      <c r="D435">
        <v>27</v>
      </c>
      <c r="E435">
        <v>0</v>
      </c>
      <c r="F435">
        <v>0</v>
      </c>
      <c r="G435">
        <v>0</v>
      </c>
      <c r="H435">
        <v>27</v>
      </c>
      <c r="I435" s="4">
        <f t="shared" si="6"/>
        <v>1</v>
      </c>
    </row>
    <row r="436" spans="1:9">
      <c r="A436" t="s">
        <v>495</v>
      </c>
      <c r="B436">
        <v>21</v>
      </c>
      <c r="C436">
        <v>1</v>
      </c>
      <c r="D436">
        <v>31</v>
      </c>
      <c r="E436">
        <v>0</v>
      </c>
      <c r="F436">
        <v>1</v>
      </c>
      <c r="G436">
        <v>0</v>
      </c>
      <c r="H436">
        <v>57</v>
      </c>
      <c r="I436" s="4">
        <f t="shared" si="6"/>
        <v>0.54385964912280704</v>
      </c>
    </row>
    <row r="437" spans="1:9">
      <c r="A437" t="s">
        <v>495</v>
      </c>
      <c r="B437">
        <v>21</v>
      </c>
      <c r="C437">
        <v>2</v>
      </c>
      <c r="D437">
        <v>57</v>
      </c>
      <c r="E437">
        <v>0</v>
      </c>
      <c r="F437">
        <v>0</v>
      </c>
      <c r="G437">
        <v>0</v>
      </c>
      <c r="H437">
        <v>57</v>
      </c>
      <c r="I437" s="4">
        <f t="shared" si="6"/>
        <v>1</v>
      </c>
    </row>
    <row r="438" spans="1:9">
      <c r="A438" t="s">
        <v>496</v>
      </c>
      <c r="B438">
        <v>2</v>
      </c>
      <c r="C438">
        <v>1</v>
      </c>
      <c r="D438">
        <v>47</v>
      </c>
      <c r="E438">
        <v>0</v>
      </c>
      <c r="F438">
        <v>7</v>
      </c>
      <c r="G438">
        <v>0</v>
      </c>
      <c r="H438">
        <v>63</v>
      </c>
      <c r="I438" s="4">
        <f t="shared" si="6"/>
        <v>0.74603174603174605</v>
      </c>
    </row>
    <row r="439" spans="1:9">
      <c r="A439" s="6" t="s">
        <v>496</v>
      </c>
      <c r="B439" s="6">
        <v>2</v>
      </c>
      <c r="C439" s="6">
        <v>2</v>
      </c>
      <c r="D439" s="6">
        <v>63</v>
      </c>
      <c r="E439" s="6">
        <v>0</v>
      </c>
      <c r="F439" s="6">
        <v>2</v>
      </c>
      <c r="G439" s="6">
        <v>0</v>
      </c>
      <c r="H439" s="6">
        <v>63</v>
      </c>
      <c r="I439" s="4">
        <f t="shared" si="6"/>
        <v>1</v>
      </c>
    </row>
    <row r="440" spans="1:9">
      <c r="A440" t="s">
        <v>496</v>
      </c>
      <c r="B440">
        <v>3</v>
      </c>
      <c r="C440">
        <v>1</v>
      </c>
      <c r="D440">
        <v>7</v>
      </c>
      <c r="E440">
        <v>0</v>
      </c>
      <c r="F440">
        <v>1</v>
      </c>
      <c r="G440">
        <v>0</v>
      </c>
      <c r="H440">
        <v>147</v>
      </c>
      <c r="I440" s="4">
        <f t="shared" si="6"/>
        <v>4.7619047619047616E-2</v>
      </c>
    </row>
    <row r="441" spans="1:9">
      <c r="A441" t="s">
        <v>496</v>
      </c>
      <c r="B441">
        <v>3</v>
      </c>
      <c r="C441">
        <v>2</v>
      </c>
      <c r="D441">
        <v>30</v>
      </c>
      <c r="E441">
        <v>0</v>
      </c>
      <c r="F441">
        <v>3</v>
      </c>
      <c r="G441">
        <v>0</v>
      </c>
      <c r="H441">
        <v>147</v>
      </c>
      <c r="I441" s="4">
        <f t="shared" si="6"/>
        <v>0.20408163265306123</v>
      </c>
    </row>
    <row r="442" spans="1:9">
      <c r="A442" t="s">
        <v>496</v>
      </c>
      <c r="B442">
        <v>3</v>
      </c>
      <c r="C442">
        <v>3</v>
      </c>
      <c r="D442">
        <v>45</v>
      </c>
      <c r="E442">
        <v>0</v>
      </c>
      <c r="F442">
        <v>6</v>
      </c>
      <c r="G442">
        <v>0</v>
      </c>
      <c r="H442">
        <v>147</v>
      </c>
      <c r="I442" s="4">
        <f t="shared" si="6"/>
        <v>0.30612244897959184</v>
      </c>
    </row>
    <row r="443" spans="1:9">
      <c r="A443" t="s">
        <v>496</v>
      </c>
      <c r="B443">
        <v>3</v>
      </c>
      <c r="C443">
        <v>4</v>
      </c>
      <c r="D443">
        <v>51</v>
      </c>
      <c r="E443">
        <v>0</v>
      </c>
      <c r="F443">
        <v>3</v>
      </c>
      <c r="G443">
        <v>0</v>
      </c>
      <c r="H443">
        <v>147</v>
      </c>
      <c r="I443" s="4">
        <f t="shared" si="6"/>
        <v>0.34693877551020408</v>
      </c>
    </row>
    <row r="444" spans="1:9">
      <c r="A444" t="s">
        <v>496</v>
      </c>
      <c r="B444">
        <v>3</v>
      </c>
      <c r="C444">
        <v>5</v>
      </c>
      <c r="D444">
        <v>147</v>
      </c>
      <c r="E444">
        <v>0</v>
      </c>
      <c r="F444">
        <v>0</v>
      </c>
      <c r="G444">
        <v>0</v>
      </c>
      <c r="H444">
        <v>147</v>
      </c>
      <c r="I444" s="4">
        <f t="shared" si="6"/>
        <v>1</v>
      </c>
    </row>
    <row r="445" spans="1:9">
      <c r="A445" t="s">
        <v>496</v>
      </c>
      <c r="B445">
        <v>3</v>
      </c>
      <c r="C445">
        <v>6</v>
      </c>
      <c r="D445">
        <v>147</v>
      </c>
      <c r="E445">
        <v>0</v>
      </c>
      <c r="F445">
        <v>0</v>
      </c>
      <c r="G445">
        <v>0</v>
      </c>
      <c r="H445">
        <v>147</v>
      </c>
      <c r="I445" s="4">
        <f t="shared" si="6"/>
        <v>1</v>
      </c>
    </row>
    <row r="446" spans="1:9">
      <c r="A446" t="s">
        <v>497</v>
      </c>
      <c r="B446">
        <v>0</v>
      </c>
      <c r="C446">
        <v>1</v>
      </c>
      <c r="D446">
        <v>1</v>
      </c>
      <c r="E446">
        <v>0</v>
      </c>
      <c r="F446">
        <v>1</v>
      </c>
      <c r="G446">
        <v>0</v>
      </c>
      <c r="H446">
        <v>10</v>
      </c>
      <c r="I446" s="4">
        <f t="shared" si="6"/>
        <v>0.1</v>
      </c>
    </row>
    <row r="447" spans="1:9">
      <c r="A447" t="s">
        <v>497</v>
      </c>
      <c r="B447">
        <v>0</v>
      </c>
      <c r="C447">
        <v>2</v>
      </c>
      <c r="D447">
        <v>4</v>
      </c>
      <c r="E447">
        <v>0</v>
      </c>
      <c r="F447">
        <v>5</v>
      </c>
      <c r="G447">
        <v>0</v>
      </c>
      <c r="H447">
        <v>10</v>
      </c>
      <c r="I447" s="4">
        <f t="shared" si="6"/>
        <v>0.4</v>
      </c>
    </row>
    <row r="448" spans="1:9">
      <c r="A448" t="s">
        <v>497</v>
      </c>
      <c r="B448">
        <v>0</v>
      </c>
      <c r="C448">
        <v>3</v>
      </c>
      <c r="D448">
        <v>6</v>
      </c>
      <c r="E448">
        <v>0</v>
      </c>
      <c r="F448">
        <v>4</v>
      </c>
      <c r="G448">
        <v>0</v>
      </c>
      <c r="H448">
        <v>10</v>
      </c>
      <c r="I448" s="4">
        <f t="shared" si="6"/>
        <v>0.6</v>
      </c>
    </row>
    <row r="449" spans="1:9">
      <c r="A449" t="s">
        <v>497</v>
      </c>
      <c r="B449">
        <v>0</v>
      </c>
      <c r="C449">
        <v>4</v>
      </c>
      <c r="D449">
        <v>10</v>
      </c>
      <c r="E449">
        <v>0</v>
      </c>
      <c r="F449">
        <v>0</v>
      </c>
      <c r="G449">
        <v>0</v>
      </c>
      <c r="H449">
        <v>10</v>
      </c>
      <c r="I449" s="4">
        <f t="shared" si="6"/>
        <v>1</v>
      </c>
    </row>
    <row r="450" spans="1:9">
      <c r="A450" t="s">
        <v>497</v>
      </c>
      <c r="B450">
        <v>1</v>
      </c>
      <c r="C450">
        <v>1</v>
      </c>
      <c r="D450">
        <v>11</v>
      </c>
      <c r="E450">
        <v>0</v>
      </c>
      <c r="F450">
        <v>8</v>
      </c>
      <c r="G450">
        <v>0</v>
      </c>
      <c r="H450">
        <v>113</v>
      </c>
      <c r="I450" s="4">
        <f t="shared" si="6"/>
        <v>9.7345132743362831E-2</v>
      </c>
    </row>
    <row r="451" spans="1:9">
      <c r="A451" t="s">
        <v>497</v>
      </c>
      <c r="B451">
        <v>1</v>
      </c>
      <c r="C451">
        <v>2</v>
      </c>
      <c r="D451">
        <v>30</v>
      </c>
      <c r="E451">
        <v>0</v>
      </c>
      <c r="F451">
        <v>5</v>
      </c>
      <c r="G451">
        <v>0</v>
      </c>
      <c r="H451">
        <v>113</v>
      </c>
      <c r="I451" s="4">
        <f t="shared" ref="I451:I514" si="7">D451/H451</f>
        <v>0.26548672566371684</v>
      </c>
    </row>
    <row r="452" spans="1:9">
      <c r="A452" t="s">
        <v>497</v>
      </c>
      <c r="B452">
        <v>1</v>
      </c>
      <c r="C452">
        <v>3</v>
      </c>
      <c r="D452">
        <v>58</v>
      </c>
      <c r="E452">
        <v>0</v>
      </c>
      <c r="F452">
        <v>2</v>
      </c>
      <c r="G452">
        <v>0</v>
      </c>
      <c r="H452">
        <v>113</v>
      </c>
      <c r="I452" s="4">
        <f t="shared" si="7"/>
        <v>0.51327433628318586</v>
      </c>
    </row>
    <row r="453" spans="1:9">
      <c r="A453" t="s">
        <v>497</v>
      </c>
      <c r="B453">
        <v>1</v>
      </c>
      <c r="C453">
        <v>4</v>
      </c>
      <c r="D453">
        <v>113</v>
      </c>
      <c r="E453">
        <v>0</v>
      </c>
      <c r="F453">
        <v>0</v>
      </c>
      <c r="G453">
        <v>0</v>
      </c>
      <c r="H453">
        <v>113</v>
      </c>
      <c r="I453" s="4">
        <f t="shared" si="7"/>
        <v>1</v>
      </c>
    </row>
    <row r="454" spans="1:9">
      <c r="A454" t="s">
        <v>498</v>
      </c>
      <c r="B454">
        <v>1</v>
      </c>
      <c r="C454">
        <v>1</v>
      </c>
      <c r="D454">
        <v>10</v>
      </c>
      <c r="E454">
        <v>0</v>
      </c>
      <c r="F454">
        <v>6</v>
      </c>
      <c r="G454">
        <v>0</v>
      </c>
      <c r="H454">
        <v>94</v>
      </c>
      <c r="I454" s="4">
        <f t="shared" si="7"/>
        <v>0.10638297872340426</v>
      </c>
    </row>
    <row r="455" spans="1:9">
      <c r="A455" t="s">
        <v>498</v>
      </c>
      <c r="B455">
        <v>1</v>
      </c>
      <c r="C455">
        <v>2</v>
      </c>
      <c r="D455">
        <v>17</v>
      </c>
      <c r="E455">
        <v>0</v>
      </c>
      <c r="F455">
        <v>8</v>
      </c>
      <c r="G455">
        <v>0</v>
      </c>
      <c r="H455">
        <v>94</v>
      </c>
      <c r="I455" s="4">
        <f t="shared" si="7"/>
        <v>0.18085106382978725</v>
      </c>
    </row>
    <row r="456" spans="1:9">
      <c r="A456" t="s">
        <v>498</v>
      </c>
      <c r="B456">
        <v>1</v>
      </c>
      <c r="C456">
        <v>3</v>
      </c>
      <c r="D456">
        <v>28</v>
      </c>
      <c r="E456">
        <v>0</v>
      </c>
      <c r="F456">
        <v>6</v>
      </c>
      <c r="G456">
        <v>0</v>
      </c>
      <c r="H456">
        <v>94</v>
      </c>
      <c r="I456" s="4">
        <f t="shared" si="7"/>
        <v>0.2978723404255319</v>
      </c>
    </row>
    <row r="457" spans="1:9">
      <c r="A457" t="s">
        <v>498</v>
      </c>
      <c r="B457">
        <v>1</v>
      </c>
      <c r="C457">
        <v>4</v>
      </c>
      <c r="D457">
        <v>41</v>
      </c>
      <c r="E457">
        <v>0</v>
      </c>
      <c r="F457">
        <v>6</v>
      </c>
      <c r="G457">
        <v>0</v>
      </c>
      <c r="H457">
        <v>94</v>
      </c>
      <c r="I457" s="4">
        <f t="shared" si="7"/>
        <v>0.43617021276595747</v>
      </c>
    </row>
    <row r="458" spans="1:9">
      <c r="A458" t="s">
        <v>498</v>
      </c>
      <c r="B458">
        <v>1</v>
      </c>
      <c r="C458">
        <v>5</v>
      </c>
      <c r="D458">
        <v>53</v>
      </c>
      <c r="E458">
        <v>0</v>
      </c>
      <c r="F458">
        <v>4</v>
      </c>
      <c r="G458">
        <v>0</v>
      </c>
      <c r="H458">
        <v>94</v>
      </c>
      <c r="I458" s="4">
        <f t="shared" si="7"/>
        <v>0.56382978723404253</v>
      </c>
    </row>
    <row r="459" spans="1:9">
      <c r="A459" t="s">
        <v>498</v>
      </c>
      <c r="B459">
        <v>1</v>
      </c>
      <c r="C459">
        <v>6</v>
      </c>
      <c r="D459">
        <v>65</v>
      </c>
      <c r="E459">
        <v>0</v>
      </c>
      <c r="F459">
        <v>2</v>
      </c>
      <c r="G459">
        <v>0</v>
      </c>
      <c r="H459">
        <v>94</v>
      </c>
      <c r="I459" s="4">
        <f t="shared" si="7"/>
        <v>0.69148936170212771</v>
      </c>
    </row>
    <row r="460" spans="1:9">
      <c r="A460" t="s">
        <v>498</v>
      </c>
      <c r="B460">
        <v>1</v>
      </c>
      <c r="C460">
        <v>7</v>
      </c>
      <c r="D460">
        <v>80</v>
      </c>
      <c r="E460">
        <v>0</v>
      </c>
      <c r="F460">
        <v>2</v>
      </c>
      <c r="G460">
        <v>0</v>
      </c>
      <c r="H460">
        <v>94</v>
      </c>
      <c r="I460" s="4">
        <f t="shared" si="7"/>
        <v>0.85106382978723405</v>
      </c>
    </row>
    <row r="461" spans="1:9">
      <c r="A461" t="s">
        <v>498</v>
      </c>
      <c r="B461">
        <v>1</v>
      </c>
      <c r="C461">
        <v>8</v>
      </c>
      <c r="D461">
        <v>94</v>
      </c>
      <c r="E461">
        <v>0</v>
      </c>
      <c r="F461">
        <v>0</v>
      </c>
      <c r="G461">
        <v>0</v>
      </c>
      <c r="H461">
        <v>94</v>
      </c>
      <c r="I461" s="4">
        <f t="shared" si="7"/>
        <v>1</v>
      </c>
    </row>
    <row r="462" spans="1:9">
      <c r="A462" t="s">
        <v>499</v>
      </c>
      <c r="B462">
        <v>3</v>
      </c>
      <c r="C462">
        <v>1</v>
      </c>
      <c r="D462">
        <v>626</v>
      </c>
      <c r="E462">
        <v>0</v>
      </c>
      <c r="F462">
        <v>2</v>
      </c>
      <c r="G462">
        <v>0</v>
      </c>
      <c r="H462">
        <v>654</v>
      </c>
      <c r="I462" s="4">
        <f t="shared" si="7"/>
        <v>0.95718654434250761</v>
      </c>
    </row>
    <row r="463" spans="1:9">
      <c r="A463" t="s">
        <v>499</v>
      </c>
      <c r="B463">
        <v>3</v>
      </c>
      <c r="C463">
        <v>2</v>
      </c>
      <c r="D463">
        <v>654</v>
      </c>
      <c r="E463">
        <v>0</v>
      </c>
      <c r="F463">
        <v>0</v>
      </c>
      <c r="G463">
        <v>0</v>
      </c>
      <c r="H463">
        <v>654</v>
      </c>
      <c r="I463" s="4">
        <f t="shared" si="7"/>
        <v>1</v>
      </c>
    </row>
    <row r="464" spans="1:9">
      <c r="A464" t="s">
        <v>500</v>
      </c>
      <c r="B464">
        <v>1</v>
      </c>
      <c r="C464">
        <v>1</v>
      </c>
      <c r="D464">
        <v>36</v>
      </c>
      <c r="E464">
        <v>0</v>
      </c>
      <c r="F464">
        <v>2</v>
      </c>
      <c r="G464">
        <v>0</v>
      </c>
      <c r="H464">
        <v>169</v>
      </c>
      <c r="I464" s="4">
        <f t="shared" si="7"/>
        <v>0.21301775147928995</v>
      </c>
    </row>
    <row r="465" spans="1:9">
      <c r="A465" t="s">
        <v>500</v>
      </c>
      <c r="B465">
        <v>1</v>
      </c>
      <c r="C465">
        <v>2</v>
      </c>
      <c r="D465">
        <v>69</v>
      </c>
      <c r="E465">
        <v>0</v>
      </c>
      <c r="F465">
        <v>2</v>
      </c>
      <c r="G465">
        <v>0</v>
      </c>
      <c r="H465">
        <v>169</v>
      </c>
      <c r="I465" s="4">
        <f t="shared" si="7"/>
        <v>0.40828402366863903</v>
      </c>
    </row>
    <row r="466" spans="1:9">
      <c r="A466" t="s">
        <v>500</v>
      </c>
      <c r="B466">
        <v>1</v>
      </c>
      <c r="C466">
        <v>3</v>
      </c>
      <c r="D466">
        <v>102</v>
      </c>
      <c r="E466">
        <v>0</v>
      </c>
      <c r="F466">
        <v>2</v>
      </c>
      <c r="G466">
        <v>0</v>
      </c>
      <c r="H466">
        <v>169</v>
      </c>
      <c r="I466" s="4">
        <f t="shared" si="7"/>
        <v>0.60355029585798814</v>
      </c>
    </row>
    <row r="467" spans="1:9">
      <c r="A467" t="s">
        <v>500</v>
      </c>
      <c r="B467">
        <v>1</v>
      </c>
      <c r="C467">
        <v>4</v>
      </c>
      <c r="D467">
        <v>135</v>
      </c>
      <c r="E467">
        <v>0</v>
      </c>
      <c r="F467">
        <v>2</v>
      </c>
      <c r="G467">
        <v>0</v>
      </c>
      <c r="H467">
        <v>169</v>
      </c>
      <c r="I467" s="4">
        <f t="shared" si="7"/>
        <v>0.79881656804733725</v>
      </c>
    </row>
    <row r="468" spans="1:9">
      <c r="A468" t="s">
        <v>500</v>
      </c>
      <c r="B468">
        <v>1</v>
      </c>
      <c r="C468">
        <v>5</v>
      </c>
      <c r="D468">
        <v>169</v>
      </c>
      <c r="E468">
        <v>0</v>
      </c>
      <c r="F468">
        <v>0</v>
      </c>
      <c r="G468">
        <v>0</v>
      </c>
      <c r="H468">
        <v>169</v>
      </c>
      <c r="I468" s="4">
        <f t="shared" si="7"/>
        <v>1</v>
      </c>
    </row>
    <row r="469" spans="1:9">
      <c r="A469" t="s">
        <v>501</v>
      </c>
      <c r="B469">
        <v>4</v>
      </c>
      <c r="C469">
        <v>1</v>
      </c>
      <c r="D469">
        <v>8</v>
      </c>
      <c r="E469">
        <v>0</v>
      </c>
      <c r="F469">
        <v>1</v>
      </c>
      <c r="G469">
        <v>0</v>
      </c>
      <c r="H469">
        <v>73</v>
      </c>
      <c r="I469" s="4">
        <f t="shared" si="7"/>
        <v>0.1095890410958904</v>
      </c>
    </row>
    <row r="470" spans="1:9">
      <c r="A470" t="s">
        <v>501</v>
      </c>
      <c r="B470">
        <v>4</v>
      </c>
      <c r="C470">
        <v>2</v>
      </c>
      <c r="D470">
        <v>20</v>
      </c>
      <c r="E470">
        <v>0</v>
      </c>
      <c r="F470">
        <v>2</v>
      </c>
      <c r="G470">
        <v>0</v>
      </c>
      <c r="H470">
        <v>73</v>
      </c>
      <c r="I470" s="4">
        <f t="shared" si="7"/>
        <v>0.27397260273972601</v>
      </c>
    </row>
    <row r="471" spans="1:9">
      <c r="A471" t="s">
        <v>501</v>
      </c>
      <c r="B471">
        <v>4</v>
      </c>
      <c r="C471">
        <v>3</v>
      </c>
      <c r="D471">
        <v>41</v>
      </c>
      <c r="E471">
        <v>0</v>
      </c>
      <c r="F471">
        <v>7</v>
      </c>
      <c r="G471">
        <v>0</v>
      </c>
      <c r="H471">
        <v>73</v>
      </c>
      <c r="I471" s="4">
        <f t="shared" si="7"/>
        <v>0.56164383561643838</v>
      </c>
    </row>
    <row r="472" spans="1:9">
      <c r="A472" t="s">
        <v>501</v>
      </c>
      <c r="B472">
        <v>4</v>
      </c>
      <c r="C472">
        <v>4</v>
      </c>
      <c r="D472">
        <v>43</v>
      </c>
      <c r="E472">
        <v>0</v>
      </c>
      <c r="F472">
        <v>8</v>
      </c>
      <c r="G472">
        <v>0</v>
      </c>
      <c r="H472">
        <v>73</v>
      </c>
      <c r="I472" s="4">
        <f t="shared" si="7"/>
        <v>0.58904109589041098</v>
      </c>
    </row>
    <row r="473" spans="1:9">
      <c r="A473" t="s">
        <v>501</v>
      </c>
      <c r="B473">
        <v>4</v>
      </c>
      <c r="C473">
        <v>5</v>
      </c>
      <c r="D473">
        <v>48</v>
      </c>
      <c r="E473">
        <v>0</v>
      </c>
      <c r="F473">
        <v>8</v>
      </c>
      <c r="G473">
        <v>0</v>
      </c>
      <c r="H473">
        <v>73</v>
      </c>
      <c r="I473" s="4">
        <f t="shared" si="7"/>
        <v>0.65753424657534243</v>
      </c>
    </row>
    <row r="474" spans="1:9">
      <c r="A474" t="s">
        <v>501</v>
      </c>
      <c r="B474">
        <v>4</v>
      </c>
      <c r="C474">
        <v>6</v>
      </c>
      <c r="D474">
        <v>57</v>
      </c>
      <c r="E474">
        <v>0</v>
      </c>
      <c r="F474">
        <v>6</v>
      </c>
      <c r="G474">
        <v>0</v>
      </c>
      <c r="H474">
        <v>73</v>
      </c>
      <c r="I474" s="4">
        <f t="shared" si="7"/>
        <v>0.78082191780821919</v>
      </c>
    </row>
    <row r="475" spans="1:9">
      <c r="A475" t="s">
        <v>501</v>
      </c>
      <c r="B475">
        <v>4</v>
      </c>
      <c r="C475">
        <v>7</v>
      </c>
      <c r="D475">
        <v>73</v>
      </c>
      <c r="E475">
        <v>0</v>
      </c>
      <c r="F475">
        <v>4</v>
      </c>
      <c r="G475">
        <v>0</v>
      </c>
      <c r="H475">
        <v>73</v>
      </c>
      <c r="I475" s="4">
        <f t="shared" si="7"/>
        <v>1</v>
      </c>
    </row>
    <row r="476" spans="1:9">
      <c r="A476" t="s">
        <v>501</v>
      </c>
      <c r="B476">
        <v>5</v>
      </c>
      <c r="C476">
        <v>1</v>
      </c>
      <c r="D476">
        <v>39</v>
      </c>
      <c r="E476">
        <v>0</v>
      </c>
      <c r="F476">
        <v>9</v>
      </c>
      <c r="G476">
        <v>0</v>
      </c>
      <c r="H476">
        <v>123</v>
      </c>
      <c r="I476" s="4">
        <f t="shared" si="7"/>
        <v>0.31707317073170732</v>
      </c>
    </row>
    <row r="477" spans="1:9">
      <c r="A477" t="s">
        <v>501</v>
      </c>
      <c r="B477">
        <v>5</v>
      </c>
      <c r="C477">
        <v>2</v>
      </c>
      <c r="D477">
        <v>44</v>
      </c>
      <c r="E477">
        <v>0</v>
      </c>
      <c r="F477">
        <v>9</v>
      </c>
      <c r="G477">
        <v>0</v>
      </c>
      <c r="H477">
        <v>123</v>
      </c>
      <c r="I477" s="4">
        <f t="shared" si="7"/>
        <v>0.35772357723577236</v>
      </c>
    </row>
    <row r="478" spans="1:9">
      <c r="A478" t="s">
        <v>501</v>
      </c>
      <c r="B478">
        <v>5</v>
      </c>
      <c r="C478">
        <v>3</v>
      </c>
      <c r="D478">
        <v>55</v>
      </c>
      <c r="E478">
        <v>0</v>
      </c>
      <c r="F478">
        <v>8</v>
      </c>
      <c r="G478">
        <v>0</v>
      </c>
      <c r="H478">
        <v>123</v>
      </c>
      <c r="I478" s="4">
        <f t="shared" si="7"/>
        <v>0.44715447154471544</v>
      </c>
    </row>
    <row r="479" spans="1:9">
      <c r="A479" t="s">
        <v>501</v>
      </c>
      <c r="B479">
        <v>5</v>
      </c>
      <c r="C479">
        <v>4</v>
      </c>
      <c r="D479">
        <v>71</v>
      </c>
      <c r="E479">
        <v>0</v>
      </c>
      <c r="F479">
        <v>6</v>
      </c>
      <c r="G479">
        <v>0</v>
      </c>
      <c r="H479">
        <v>123</v>
      </c>
      <c r="I479" s="4">
        <f t="shared" si="7"/>
        <v>0.57723577235772361</v>
      </c>
    </row>
    <row r="480" spans="1:9">
      <c r="A480" t="s">
        <v>501</v>
      </c>
      <c r="B480">
        <v>5</v>
      </c>
      <c r="C480">
        <v>5</v>
      </c>
      <c r="D480">
        <v>123</v>
      </c>
      <c r="E480">
        <v>0</v>
      </c>
      <c r="F480">
        <v>4</v>
      </c>
      <c r="G480">
        <v>0</v>
      </c>
      <c r="H480">
        <v>123</v>
      </c>
      <c r="I480" s="4">
        <f t="shared" si="7"/>
        <v>1</v>
      </c>
    </row>
    <row r="481" spans="1:9">
      <c r="A481" t="s">
        <v>501</v>
      </c>
      <c r="B481">
        <v>7</v>
      </c>
      <c r="C481">
        <v>1</v>
      </c>
      <c r="D481">
        <v>10</v>
      </c>
      <c r="E481">
        <v>0</v>
      </c>
      <c r="F481">
        <v>5</v>
      </c>
      <c r="G481">
        <v>0</v>
      </c>
      <c r="H481">
        <v>33</v>
      </c>
      <c r="I481" s="4">
        <f t="shared" si="7"/>
        <v>0.30303030303030304</v>
      </c>
    </row>
    <row r="482" spans="1:9">
      <c r="A482" t="s">
        <v>501</v>
      </c>
      <c r="B482">
        <v>7</v>
      </c>
      <c r="C482">
        <v>2</v>
      </c>
      <c r="D482">
        <v>22</v>
      </c>
      <c r="E482">
        <v>0</v>
      </c>
      <c r="F482">
        <v>3</v>
      </c>
      <c r="G482">
        <v>0</v>
      </c>
      <c r="H482">
        <v>33</v>
      </c>
      <c r="I482" s="4">
        <f t="shared" si="7"/>
        <v>0.66666666666666663</v>
      </c>
    </row>
    <row r="483" spans="1:9">
      <c r="A483" t="s">
        <v>501</v>
      </c>
      <c r="B483">
        <v>7</v>
      </c>
      <c r="C483">
        <v>3</v>
      </c>
      <c r="D483">
        <v>33</v>
      </c>
      <c r="E483">
        <v>0</v>
      </c>
      <c r="F483">
        <v>0</v>
      </c>
      <c r="G483">
        <v>0</v>
      </c>
      <c r="H483">
        <v>33</v>
      </c>
      <c r="I483" s="4">
        <f t="shared" si="7"/>
        <v>1</v>
      </c>
    </row>
    <row r="484" spans="1:9">
      <c r="A484" t="s">
        <v>501</v>
      </c>
      <c r="B484">
        <v>8</v>
      </c>
      <c r="C484">
        <v>1</v>
      </c>
      <c r="D484">
        <v>19</v>
      </c>
      <c r="E484">
        <v>0</v>
      </c>
      <c r="F484">
        <v>6</v>
      </c>
      <c r="G484">
        <v>0</v>
      </c>
      <c r="H484">
        <v>50</v>
      </c>
      <c r="I484" s="4">
        <f t="shared" si="7"/>
        <v>0.38</v>
      </c>
    </row>
    <row r="485" spans="1:9">
      <c r="A485" t="s">
        <v>501</v>
      </c>
      <c r="B485">
        <v>8</v>
      </c>
      <c r="C485">
        <v>2</v>
      </c>
      <c r="D485">
        <v>28</v>
      </c>
      <c r="E485">
        <v>0</v>
      </c>
      <c r="F485">
        <v>4</v>
      </c>
      <c r="G485">
        <v>0</v>
      </c>
      <c r="H485">
        <v>50</v>
      </c>
      <c r="I485" s="4">
        <f t="shared" si="7"/>
        <v>0.56000000000000005</v>
      </c>
    </row>
    <row r="486" spans="1:9">
      <c r="A486" t="s">
        <v>501</v>
      </c>
      <c r="B486">
        <v>8</v>
      </c>
      <c r="C486">
        <v>3</v>
      </c>
      <c r="D486">
        <v>34</v>
      </c>
      <c r="E486">
        <v>0</v>
      </c>
      <c r="F486">
        <v>4</v>
      </c>
      <c r="G486">
        <v>0</v>
      </c>
      <c r="H486">
        <v>50</v>
      </c>
      <c r="I486" s="4">
        <f t="shared" si="7"/>
        <v>0.68</v>
      </c>
    </row>
    <row r="487" spans="1:9">
      <c r="A487" t="s">
        <v>501</v>
      </c>
      <c r="B487">
        <v>8</v>
      </c>
      <c r="C487">
        <v>4</v>
      </c>
      <c r="D487">
        <v>44</v>
      </c>
      <c r="E487">
        <v>0</v>
      </c>
      <c r="F487">
        <v>2</v>
      </c>
      <c r="G487">
        <v>0</v>
      </c>
      <c r="H487">
        <v>50</v>
      </c>
      <c r="I487" s="4">
        <f t="shared" si="7"/>
        <v>0.88</v>
      </c>
    </row>
    <row r="488" spans="1:9">
      <c r="A488" t="s">
        <v>501</v>
      </c>
      <c r="B488">
        <v>8</v>
      </c>
      <c r="C488">
        <v>5</v>
      </c>
      <c r="D488">
        <v>50</v>
      </c>
      <c r="E488">
        <v>0</v>
      </c>
      <c r="F488">
        <v>0</v>
      </c>
      <c r="G488">
        <v>0</v>
      </c>
      <c r="H488">
        <v>50</v>
      </c>
      <c r="I488" s="4">
        <f t="shared" si="7"/>
        <v>1</v>
      </c>
    </row>
    <row r="489" spans="1:9">
      <c r="A489" t="s">
        <v>501</v>
      </c>
      <c r="B489">
        <v>9</v>
      </c>
      <c r="C489">
        <v>1</v>
      </c>
      <c r="D489">
        <v>7</v>
      </c>
      <c r="E489">
        <v>0</v>
      </c>
      <c r="F489">
        <v>5</v>
      </c>
      <c r="G489">
        <v>0</v>
      </c>
      <c r="H489">
        <v>36</v>
      </c>
      <c r="I489" s="4">
        <f t="shared" si="7"/>
        <v>0.19444444444444445</v>
      </c>
    </row>
    <row r="490" spans="1:9">
      <c r="A490" t="s">
        <v>501</v>
      </c>
      <c r="B490">
        <v>9</v>
      </c>
      <c r="C490">
        <v>2</v>
      </c>
      <c r="D490">
        <v>8</v>
      </c>
      <c r="E490">
        <v>0</v>
      </c>
      <c r="F490">
        <v>4</v>
      </c>
      <c r="G490">
        <v>0</v>
      </c>
      <c r="H490">
        <v>36</v>
      </c>
      <c r="I490" s="4">
        <f t="shared" si="7"/>
        <v>0.22222222222222221</v>
      </c>
    </row>
    <row r="491" spans="1:9">
      <c r="A491" t="s">
        <v>501</v>
      </c>
      <c r="B491">
        <v>9</v>
      </c>
      <c r="C491">
        <v>3</v>
      </c>
      <c r="D491">
        <v>12</v>
      </c>
      <c r="E491">
        <v>0</v>
      </c>
      <c r="F491">
        <v>5</v>
      </c>
      <c r="G491">
        <v>0</v>
      </c>
      <c r="H491">
        <v>36</v>
      </c>
      <c r="I491" s="4">
        <f t="shared" si="7"/>
        <v>0.33333333333333331</v>
      </c>
    </row>
    <row r="492" spans="1:9">
      <c r="A492" t="s">
        <v>501</v>
      </c>
      <c r="B492">
        <v>9</v>
      </c>
      <c r="C492">
        <v>4</v>
      </c>
      <c r="D492">
        <v>17</v>
      </c>
      <c r="E492">
        <v>0</v>
      </c>
      <c r="F492">
        <v>5</v>
      </c>
      <c r="G492">
        <v>0</v>
      </c>
      <c r="H492">
        <v>36</v>
      </c>
      <c r="I492" s="4">
        <f t="shared" si="7"/>
        <v>0.47222222222222221</v>
      </c>
    </row>
    <row r="493" spans="1:9">
      <c r="A493" t="s">
        <v>501</v>
      </c>
      <c r="B493">
        <v>9</v>
      </c>
      <c r="C493">
        <v>5</v>
      </c>
      <c r="D493">
        <v>19</v>
      </c>
      <c r="E493">
        <v>0</v>
      </c>
      <c r="F493">
        <v>5</v>
      </c>
      <c r="G493">
        <v>0</v>
      </c>
      <c r="H493">
        <v>36</v>
      </c>
      <c r="I493" s="4">
        <f t="shared" si="7"/>
        <v>0.52777777777777779</v>
      </c>
    </row>
    <row r="494" spans="1:9">
      <c r="A494" t="s">
        <v>501</v>
      </c>
      <c r="B494">
        <v>9</v>
      </c>
      <c r="C494">
        <v>6</v>
      </c>
      <c r="D494">
        <v>20</v>
      </c>
      <c r="E494">
        <v>0</v>
      </c>
      <c r="F494">
        <v>4</v>
      </c>
      <c r="G494">
        <v>0</v>
      </c>
      <c r="H494">
        <v>36</v>
      </c>
      <c r="I494" s="4">
        <f t="shared" si="7"/>
        <v>0.55555555555555558</v>
      </c>
    </row>
    <row r="495" spans="1:9">
      <c r="A495" t="s">
        <v>501</v>
      </c>
      <c r="B495">
        <v>9</v>
      </c>
      <c r="C495">
        <v>7</v>
      </c>
      <c r="D495">
        <v>23</v>
      </c>
      <c r="E495">
        <v>0</v>
      </c>
      <c r="F495">
        <v>3</v>
      </c>
      <c r="G495">
        <v>0</v>
      </c>
      <c r="H495">
        <v>36</v>
      </c>
      <c r="I495" s="4">
        <f t="shared" si="7"/>
        <v>0.63888888888888884</v>
      </c>
    </row>
    <row r="496" spans="1:9">
      <c r="A496" t="s">
        <v>501</v>
      </c>
      <c r="B496">
        <v>9</v>
      </c>
      <c r="C496">
        <v>8</v>
      </c>
      <c r="D496">
        <v>24</v>
      </c>
      <c r="E496">
        <v>0</v>
      </c>
      <c r="F496">
        <v>2</v>
      </c>
      <c r="G496">
        <v>0</v>
      </c>
      <c r="H496">
        <v>36</v>
      </c>
      <c r="I496" s="4">
        <f t="shared" si="7"/>
        <v>0.66666666666666663</v>
      </c>
    </row>
    <row r="497" spans="1:9">
      <c r="A497" t="s">
        <v>501</v>
      </c>
      <c r="B497">
        <v>9</v>
      </c>
      <c r="C497">
        <v>9</v>
      </c>
      <c r="D497">
        <v>24</v>
      </c>
      <c r="E497">
        <v>0</v>
      </c>
      <c r="F497">
        <v>2</v>
      </c>
      <c r="G497">
        <v>0</v>
      </c>
      <c r="H497">
        <v>36</v>
      </c>
      <c r="I497" s="4">
        <f t="shared" si="7"/>
        <v>0.66666666666666663</v>
      </c>
    </row>
    <row r="498" spans="1:9">
      <c r="A498" t="s">
        <v>501</v>
      </c>
      <c r="B498">
        <v>9</v>
      </c>
      <c r="C498">
        <v>10</v>
      </c>
      <c r="D498">
        <v>24</v>
      </c>
      <c r="E498">
        <v>0</v>
      </c>
      <c r="F498">
        <v>2</v>
      </c>
      <c r="G498">
        <v>0</v>
      </c>
      <c r="H498">
        <v>36</v>
      </c>
      <c r="I498" s="4">
        <f t="shared" si="7"/>
        <v>0.66666666666666663</v>
      </c>
    </row>
    <row r="499" spans="1:9">
      <c r="A499" t="s">
        <v>501</v>
      </c>
      <c r="B499">
        <v>9</v>
      </c>
      <c r="C499">
        <v>11</v>
      </c>
      <c r="D499">
        <v>24</v>
      </c>
      <c r="E499">
        <v>0</v>
      </c>
      <c r="F499">
        <v>2</v>
      </c>
      <c r="G499">
        <v>0</v>
      </c>
      <c r="H499">
        <v>36</v>
      </c>
      <c r="I499" s="4">
        <f t="shared" si="7"/>
        <v>0.66666666666666663</v>
      </c>
    </row>
    <row r="500" spans="1:9">
      <c r="A500" t="s">
        <v>501</v>
      </c>
      <c r="B500">
        <v>9</v>
      </c>
      <c r="C500">
        <v>12</v>
      </c>
      <c r="D500">
        <v>24</v>
      </c>
      <c r="E500">
        <v>0</v>
      </c>
      <c r="F500">
        <v>2</v>
      </c>
      <c r="G500">
        <v>0</v>
      </c>
      <c r="H500">
        <v>36</v>
      </c>
      <c r="I500" s="4">
        <f t="shared" si="7"/>
        <v>0.66666666666666663</v>
      </c>
    </row>
    <row r="501" spans="1:9">
      <c r="A501" t="s">
        <v>501</v>
      </c>
      <c r="B501">
        <v>9</v>
      </c>
      <c r="C501">
        <v>13</v>
      </c>
      <c r="D501">
        <v>24</v>
      </c>
      <c r="E501">
        <v>0</v>
      </c>
      <c r="F501">
        <v>2</v>
      </c>
      <c r="G501">
        <v>0</v>
      </c>
      <c r="H501">
        <v>36</v>
      </c>
      <c r="I501" s="4">
        <f t="shared" si="7"/>
        <v>0.66666666666666663</v>
      </c>
    </row>
    <row r="502" spans="1:9">
      <c r="A502" t="s">
        <v>501</v>
      </c>
      <c r="B502">
        <v>9</v>
      </c>
      <c r="C502">
        <v>14</v>
      </c>
      <c r="D502">
        <v>28</v>
      </c>
      <c r="E502">
        <v>0</v>
      </c>
      <c r="F502">
        <v>3</v>
      </c>
      <c r="G502">
        <v>0</v>
      </c>
      <c r="H502">
        <v>36</v>
      </c>
      <c r="I502" s="4">
        <f t="shared" si="7"/>
        <v>0.77777777777777779</v>
      </c>
    </row>
    <row r="503" spans="1:9">
      <c r="A503" t="s">
        <v>501</v>
      </c>
      <c r="B503">
        <v>9</v>
      </c>
      <c r="C503">
        <v>15</v>
      </c>
      <c r="D503">
        <v>35</v>
      </c>
      <c r="E503">
        <v>0</v>
      </c>
      <c r="F503">
        <v>1</v>
      </c>
      <c r="G503">
        <v>0</v>
      </c>
      <c r="H503">
        <v>36</v>
      </c>
      <c r="I503" s="4">
        <f t="shared" si="7"/>
        <v>0.97222222222222221</v>
      </c>
    </row>
    <row r="504" spans="1:9">
      <c r="A504" t="s">
        <v>501</v>
      </c>
      <c r="B504">
        <v>9</v>
      </c>
      <c r="C504">
        <v>16</v>
      </c>
      <c r="D504">
        <v>35</v>
      </c>
      <c r="E504">
        <v>0</v>
      </c>
      <c r="F504">
        <v>1</v>
      </c>
      <c r="G504">
        <v>0</v>
      </c>
      <c r="H504">
        <v>36</v>
      </c>
      <c r="I504" s="4">
        <f t="shared" si="7"/>
        <v>0.97222222222222221</v>
      </c>
    </row>
    <row r="505" spans="1:9">
      <c r="A505" t="s">
        <v>501</v>
      </c>
      <c r="B505">
        <v>9</v>
      </c>
      <c r="C505">
        <v>17</v>
      </c>
      <c r="D505">
        <v>36</v>
      </c>
      <c r="E505">
        <v>0</v>
      </c>
      <c r="F505">
        <v>0</v>
      </c>
      <c r="G505">
        <v>0</v>
      </c>
      <c r="H505">
        <v>36</v>
      </c>
      <c r="I505" s="4">
        <f t="shared" si="7"/>
        <v>1</v>
      </c>
    </row>
    <row r="506" spans="1:9">
      <c r="A506" t="s">
        <v>501</v>
      </c>
      <c r="B506">
        <v>9</v>
      </c>
      <c r="C506">
        <v>18</v>
      </c>
      <c r="D506">
        <v>36</v>
      </c>
      <c r="E506">
        <v>0</v>
      </c>
      <c r="F506">
        <v>0</v>
      </c>
      <c r="G506">
        <v>0</v>
      </c>
      <c r="H506">
        <v>36</v>
      </c>
      <c r="I506" s="4">
        <f t="shared" si="7"/>
        <v>1</v>
      </c>
    </row>
    <row r="507" spans="1:9">
      <c r="A507" t="s">
        <v>501</v>
      </c>
      <c r="B507">
        <v>10</v>
      </c>
      <c r="C507">
        <v>1</v>
      </c>
      <c r="D507">
        <v>27</v>
      </c>
      <c r="E507">
        <v>0</v>
      </c>
      <c r="F507">
        <v>3</v>
      </c>
      <c r="G507">
        <v>0</v>
      </c>
      <c r="H507">
        <v>30</v>
      </c>
      <c r="I507" s="4">
        <f t="shared" si="7"/>
        <v>0.9</v>
      </c>
    </row>
    <row r="508" spans="1:9">
      <c r="A508" t="s">
        <v>501</v>
      </c>
      <c r="B508">
        <v>10</v>
      </c>
      <c r="C508">
        <v>2</v>
      </c>
      <c r="D508">
        <v>30</v>
      </c>
      <c r="E508">
        <v>0</v>
      </c>
      <c r="F508">
        <v>0</v>
      </c>
      <c r="G508">
        <v>0</v>
      </c>
      <c r="H508">
        <v>30</v>
      </c>
      <c r="I508" s="4">
        <f t="shared" si="7"/>
        <v>1</v>
      </c>
    </row>
    <row r="509" spans="1:9">
      <c r="A509" t="s">
        <v>501</v>
      </c>
      <c r="B509">
        <v>10</v>
      </c>
      <c r="C509">
        <v>3</v>
      </c>
      <c r="D509">
        <v>30</v>
      </c>
      <c r="E509">
        <v>0</v>
      </c>
      <c r="F509">
        <v>0</v>
      </c>
      <c r="G509">
        <v>0</v>
      </c>
      <c r="H509">
        <v>30</v>
      </c>
      <c r="I509" s="4">
        <f t="shared" si="7"/>
        <v>1</v>
      </c>
    </row>
    <row r="510" spans="1:9">
      <c r="A510" t="s">
        <v>501</v>
      </c>
      <c r="B510">
        <v>10</v>
      </c>
      <c r="C510">
        <v>4</v>
      </c>
      <c r="D510">
        <v>30</v>
      </c>
      <c r="E510">
        <v>0</v>
      </c>
      <c r="F510">
        <v>0</v>
      </c>
      <c r="G510">
        <v>0</v>
      </c>
      <c r="H510">
        <v>30</v>
      </c>
      <c r="I510" s="4">
        <f t="shared" si="7"/>
        <v>1</v>
      </c>
    </row>
    <row r="511" spans="1:9">
      <c r="A511" t="s">
        <v>501</v>
      </c>
      <c r="B511">
        <v>11</v>
      </c>
      <c r="C511">
        <v>1</v>
      </c>
      <c r="D511">
        <v>7</v>
      </c>
      <c r="E511">
        <v>0</v>
      </c>
      <c r="F511">
        <v>3</v>
      </c>
      <c r="G511">
        <v>0</v>
      </c>
      <c r="H511">
        <v>88</v>
      </c>
      <c r="I511" s="4">
        <f t="shared" si="7"/>
        <v>7.9545454545454544E-2</v>
      </c>
    </row>
    <row r="512" spans="1:9">
      <c r="A512" t="s">
        <v>501</v>
      </c>
      <c r="B512">
        <v>11</v>
      </c>
      <c r="C512">
        <v>2</v>
      </c>
      <c r="D512">
        <v>34</v>
      </c>
      <c r="E512">
        <v>0</v>
      </c>
      <c r="F512">
        <v>9</v>
      </c>
      <c r="G512">
        <v>0</v>
      </c>
      <c r="H512">
        <v>88</v>
      </c>
      <c r="I512" s="4">
        <f t="shared" si="7"/>
        <v>0.38636363636363635</v>
      </c>
    </row>
    <row r="513" spans="1:9">
      <c r="A513" t="s">
        <v>501</v>
      </c>
      <c r="B513">
        <v>11</v>
      </c>
      <c r="C513">
        <v>3</v>
      </c>
      <c r="D513">
        <v>43</v>
      </c>
      <c r="E513">
        <v>0</v>
      </c>
      <c r="F513">
        <v>7</v>
      </c>
      <c r="G513">
        <v>0</v>
      </c>
      <c r="H513">
        <v>88</v>
      </c>
      <c r="I513" s="4">
        <f t="shared" si="7"/>
        <v>0.48863636363636365</v>
      </c>
    </row>
    <row r="514" spans="1:9">
      <c r="A514" t="s">
        <v>501</v>
      </c>
      <c r="B514">
        <v>11</v>
      </c>
      <c r="C514">
        <v>4</v>
      </c>
      <c r="D514">
        <v>46</v>
      </c>
      <c r="E514">
        <v>0</v>
      </c>
      <c r="F514">
        <v>5</v>
      </c>
      <c r="G514">
        <v>0</v>
      </c>
      <c r="H514">
        <v>88</v>
      </c>
      <c r="I514" s="4">
        <f t="shared" si="7"/>
        <v>0.52272727272727271</v>
      </c>
    </row>
    <row r="515" spans="1:9">
      <c r="A515" t="s">
        <v>501</v>
      </c>
      <c r="B515">
        <v>11</v>
      </c>
      <c r="C515">
        <v>5</v>
      </c>
      <c r="D515">
        <v>54</v>
      </c>
      <c r="E515">
        <v>0</v>
      </c>
      <c r="F515">
        <v>6</v>
      </c>
      <c r="G515">
        <v>0</v>
      </c>
      <c r="H515">
        <v>88</v>
      </c>
      <c r="I515" s="4">
        <f t="shared" ref="I515:I555" si="8">D515/H515</f>
        <v>0.61363636363636365</v>
      </c>
    </row>
    <row r="516" spans="1:9">
      <c r="A516" t="s">
        <v>501</v>
      </c>
      <c r="B516">
        <v>11</v>
      </c>
      <c r="C516">
        <v>6</v>
      </c>
      <c r="D516">
        <v>54</v>
      </c>
      <c r="E516">
        <v>0</v>
      </c>
      <c r="F516">
        <v>6</v>
      </c>
      <c r="G516">
        <v>0</v>
      </c>
      <c r="H516">
        <v>88</v>
      </c>
      <c r="I516" s="4">
        <f t="shared" si="8"/>
        <v>0.61363636363636365</v>
      </c>
    </row>
    <row r="517" spans="1:9">
      <c r="A517" t="s">
        <v>501</v>
      </c>
      <c r="B517">
        <v>11</v>
      </c>
      <c r="C517">
        <v>7</v>
      </c>
      <c r="D517">
        <v>54</v>
      </c>
      <c r="E517">
        <v>0</v>
      </c>
      <c r="F517">
        <v>6</v>
      </c>
      <c r="G517">
        <v>0</v>
      </c>
      <c r="H517">
        <v>88</v>
      </c>
      <c r="I517" s="4">
        <f t="shared" si="8"/>
        <v>0.61363636363636365</v>
      </c>
    </row>
    <row r="518" spans="1:9">
      <c r="A518" t="s">
        <v>501</v>
      </c>
      <c r="B518">
        <v>11</v>
      </c>
      <c r="C518">
        <v>8</v>
      </c>
      <c r="D518">
        <v>62</v>
      </c>
      <c r="E518">
        <v>0</v>
      </c>
      <c r="F518">
        <v>6</v>
      </c>
      <c r="G518">
        <v>0</v>
      </c>
      <c r="H518">
        <v>88</v>
      </c>
      <c r="I518" s="4">
        <f t="shared" si="8"/>
        <v>0.70454545454545459</v>
      </c>
    </row>
    <row r="519" spans="1:9">
      <c r="A519" t="s">
        <v>501</v>
      </c>
      <c r="B519">
        <v>11</v>
      </c>
      <c r="C519">
        <v>9</v>
      </c>
      <c r="D519">
        <v>68</v>
      </c>
      <c r="E519">
        <v>0</v>
      </c>
      <c r="F519">
        <v>3</v>
      </c>
      <c r="G519">
        <v>0</v>
      </c>
      <c r="H519">
        <v>88</v>
      </c>
      <c r="I519" s="4">
        <f t="shared" si="8"/>
        <v>0.77272727272727271</v>
      </c>
    </row>
    <row r="520" spans="1:9">
      <c r="A520" t="s">
        <v>501</v>
      </c>
      <c r="B520">
        <v>11</v>
      </c>
      <c r="C520">
        <v>10</v>
      </c>
      <c r="D520">
        <v>68</v>
      </c>
      <c r="E520">
        <v>0</v>
      </c>
      <c r="F520">
        <v>3</v>
      </c>
      <c r="G520">
        <v>0</v>
      </c>
      <c r="H520">
        <v>88</v>
      </c>
      <c r="I520" s="4">
        <f t="shared" si="8"/>
        <v>0.77272727272727271</v>
      </c>
    </row>
    <row r="521" spans="1:9">
      <c r="A521" t="s">
        <v>501</v>
      </c>
      <c r="B521">
        <v>11</v>
      </c>
      <c r="C521">
        <v>11</v>
      </c>
      <c r="D521">
        <v>68</v>
      </c>
      <c r="E521">
        <v>0</v>
      </c>
      <c r="F521">
        <v>3</v>
      </c>
      <c r="G521">
        <v>0</v>
      </c>
      <c r="H521">
        <v>88</v>
      </c>
      <c r="I521" s="4">
        <f t="shared" si="8"/>
        <v>0.77272727272727271</v>
      </c>
    </row>
    <row r="522" spans="1:9">
      <c r="A522" t="s">
        <v>501</v>
      </c>
      <c r="B522">
        <v>11</v>
      </c>
      <c r="C522">
        <v>12</v>
      </c>
      <c r="D522">
        <v>68</v>
      </c>
      <c r="E522">
        <v>0</v>
      </c>
      <c r="F522">
        <v>3</v>
      </c>
      <c r="G522">
        <v>0</v>
      </c>
      <c r="H522">
        <v>88</v>
      </c>
      <c r="I522" s="4">
        <f t="shared" si="8"/>
        <v>0.77272727272727271</v>
      </c>
    </row>
    <row r="523" spans="1:9">
      <c r="A523" t="s">
        <v>501</v>
      </c>
      <c r="B523">
        <v>11</v>
      </c>
      <c r="C523">
        <v>13</v>
      </c>
      <c r="D523">
        <v>78</v>
      </c>
      <c r="E523">
        <v>0</v>
      </c>
      <c r="F523">
        <v>3</v>
      </c>
      <c r="G523">
        <v>0</v>
      </c>
      <c r="H523">
        <v>88</v>
      </c>
      <c r="I523" s="4">
        <f t="shared" si="8"/>
        <v>0.88636363636363635</v>
      </c>
    </row>
    <row r="524" spans="1:9">
      <c r="A524" t="s">
        <v>501</v>
      </c>
      <c r="B524">
        <v>11</v>
      </c>
      <c r="C524">
        <v>14</v>
      </c>
      <c r="D524">
        <v>78</v>
      </c>
      <c r="E524">
        <v>0</v>
      </c>
      <c r="F524">
        <v>3</v>
      </c>
      <c r="G524">
        <v>0</v>
      </c>
      <c r="H524">
        <v>88</v>
      </c>
      <c r="I524" s="4">
        <f t="shared" si="8"/>
        <v>0.88636363636363635</v>
      </c>
    </row>
    <row r="525" spans="1:9">
      <c r="A525" t="s">
        <v>501</v>
      </c>
      <c r="B525">
        <v>11</v>
      </c>
      <c r="C525">
        <v>15</v>
      </c>
      <c r="D525">
        <v>88</v>
      </c>
      <c r="E525">
        <v>0</v>
      </c>
      <c r="F525">
        <v>0</v>
      </c>
      <c r="G525">
        <v>0</v>
      </c>
      <c r="H525">
        <v>88</v>
      </c>
      <c r="I525" s="4">
        <f t="shared" si="8"/>
        <v>1</v>
      </c>
    </row>
    <row r="526" spans="1:9">
      <c r="A526" t="s">
        <v>501</v>
      </c>
      <c r="B526">
        <v>11</v>
      </c>
      <c r="C526">
        <v>16</v>
      </c>
      <c r="D526">
        <v>88</v>
      </c>
      <c r="E526">
        <v>0</v>
      </c>
      <c r="F526">
        <v>0</v>
      </c>
      <c r="G526">
        <v>0</v>
      </c>
      <c r="H526">
        <v>88</v>
      </c>
      <c r="I526" s="4">
        <f t="shared" si="8"/>
        <v>1</v>
      </c>
    </row>
    <row r="527" spans="1:9">
      <c r="A527" t="s">
        <v>501</v>
      </c>
      <c r="B527">
        <v>11</v>
      </c>
      <c r="C527">
        <v>17</v>
      </c>
      <c r="D527">
        <v>88</v>
      </c>
      <c r="E527">
        <v>0</v>
      </c>
      <c r="F527">
        <v>0</v>
      </c>
      <c r="G527">
        <v>0</v>
      </c>
      <c r="H527">
        <v>88</v>
      </c>
      <c r="I527" s="4">
        <f t="shared" si="8"/>
        <v>1</v>
      </c>
    </row>
    <row r="528" spans="1:9">
      <c r="A528" t="s">
        <v>501</v>
      </c>
      <c r="B528">
        <v>11</v>
      </c>
      <c r="C528">
        <v>18</v>
      </c>
      <c r="D528">
        <v>88</v>
      </c>
      <c r="E528">
        <v>0</v>
      </c>
      <c r="F528">
        <v>0</v>
      </c>
      <c r="G528">
        <v>0</v>
      </c>
      <c r="H528">
        <v>88</v>
      </c>
      <c r="I528" s="4">
        <f t="shared" si="8"/>
        <v>1</v>
      </c>
    </row>
    <row r="529" spans="1:9">
      <c r="A529" t="s">
        <v>501</v>
      </c>
      <c r="B529">
        <v>11</v>
      </c>
      <c r="C529">
        <v>19</v>
      </c>
      <c r="D529">
        <v>88</v>
      </c>
      <c r="E529">
        <v>0</v>
      </c>
      <c r="F529">
        <v>0</v>
      </c>
      <c r="G529">
        <v>0</v>
      </c>
      <c r="H529">
        <v>88</v>
      </c>
      <c r="I529" s="4">
        <f t="shared" si="8"/>
        <v>1</v>
      </c>
    </row>
    <row r="530" spans="1:9">
      <c r="A530" t="s">
        <v>501</v>
      </c>
      <c r="B530">
        <v>12</v>
      </c>
      <c r="C530">
        <v>1</v>
      </c>
      <c r="D530">
        <v>7</v>
      </c>
      <c r="E530">
        <v>0</v>
      </c>
      <c r="F530">
        <v>3</v>
      </c>
      <c r="G530">
        <v>0</v>
      </c>
      <c r="H530">
        <v>56</v>
      </c>
      <c r="I530" s="4">
        <f t="shared" si="8"/>
        <v>0.125</v>
      </c>
    </row>
    <row r="531" spans="1:9">
      <c r="A531" t="s">
        <v>501</v>
      </c>
      <c r="B531">
        <v>12</v>
      </c>
      <c r="C531">
        <v>2</v>
      </c>
      <c r="D531">
        <v>29</v>
      </c>
      <c r="E531">
        <v>0</v>
      </c>
      <c r="F531">
        <v>7</v>
      </c>
      <c r="G531">
        <v>0</v>
      </c>
      <c r="H531">
        <v>56</v>
      </c>
      <c r="I531" s="4">
        <f t="shared" si="8"/>
        <v>0.5178571428571429</v>
      </c>
    </row>
    <row r="532" spans="1:9">
      <c r="A532" t="s">
        <v>501</v>
      </c>
      <c r="B532">
        <v>12</v>
      </c>
      <c r="C532">
        <v>3</v>
      </c>
      <c r="D532">
        <v>32</v>
      </c>
      <c r="E532">
        <v>0</v>
      </c>
      <c r="F532">
        <v>4</v>
      </c>
      <c r="G532">
        <v>0</v>
      </c>
      <c r="H532">
        <v>56</v>
      </c>
      <c r="I532" s="4">
        <f t="shared" si="8"/>
        <v>0.5714285714285714</v>
      </c>
    </row>
    <row r="533" spans="1:9">
      <c r="A533" t="s">
        <v>501</v>
      </c>
      <c r="B533">
        <v>12</v>
      </c>
      <c r="C533">
        <v>4</v>
      </c>
      <c r="D533">
        <v>43</v>
      </c>
      <c r="E533">
        <v>0</v>
      </c>
      <c r="F533">
        <v>2</v>
      </c>
      <c r="G533">
        <v>0</v>
      </c>
      <c r="H533">
        <v>56</v>
      </c>
      <c r="I533" s="4">
        <f t="shared" si="8"/>
        <v>0.7678571428571429</v>
      </c>
    </row>
    <row r="534" spans="1:9">
      <c r="A534" t="s">
        <v>501</v>
      </c>
      <c r="B534">
        <v>12</v>
      </c>
      <c r="C534">
        <v>5</v>
      </c>
      <c r="D534">
        <v>43</v>
      </c>
      <c r="E534">
        <v>0</v>
      </c>
      <c r="F534">
        <v>2</v>
      </c>
      <c r="G534">
        <v>0</v>
      </c>
      <c r="H534">
        <v>56</v>
      </c>
      <c r="I534" s="4">
        <f t="shared" si="8"/>
        <v>0.7678571428571429</v>
      </c>
    </row>
    <row r="535" spans="1:9">
      <c r="A535" t="s">
        <v>501</v>
      </c>
      <c r="B535">
        <v>12</v>
      </c>
      <c r="C535">
        <v>6</v>
      </c>
      <c r="D535">
        <v>53</v>
      </c>
      <c r="E535">
        <v>0</v>
      </c>
      <c r="F535">
        <v>3</v>
      </c>
      <c r="G535">
        <v>0</v>
      </c>
      <c r="H535">
        <v>56</v>
      </c>
      <c r="I535" s="4">
        <f t="shared" si="8"/>
        <v>0.9464285714285714</v>
      </c>
    </row>
    <row r="536" spans="1:9">
      <c r="A536" t="s">
        <v>501</v>
      </c>
      <c r="B536">
        <v>12</v>
      </c>
      <c r="C536">
        <v>7</v>
      </c>
      <c r="D536">
        <v>56</v>
      </c>
      <c r="E536">
        <v>0</v>
      </c>
      <c r="F536">
        <v>0</v>
      </c>
      <c r="G536">
        <v>0</v>
      </c>
      <c r="H536">
        <v>56</v>
      </c>
      <c r="I536" s="4">
        <f t="shared" si="8"/>
        <v>1</v>
      </c>
    </row>
    <row r="537" spans="1:9">
      <c r="A537" t="s">
        <v>501</v>
      </c>
      <c r="B537">
        <v>12</v>
      </c>
      <c r="C537">
        <v>8</v>
      </c>
      <c r="D537">
        <v>56</v>
      </c>
      <c r="E537">
        <v>0</v>
      </c>
      <c r="F537">
        <v>0</v>
      </c>
      <c r="G537">
        <v>0</v>
      </c>
      <c r="H537">
        <v>56</v>
      </c>
      <c r="I537" s="4">
        <f t="shared" si="8"/>
        <v>1</v>
      </c>
    </row>
    <row r="538" spans="1:9">
      <c r="A538" t="s">
        <v>501</v>
      </c>
      <c r="B538">
        <v>12</v>
      </c>
      <c r="C538">
        <v>9</v>
      </c>
      <c r="D538">
        <v>56</v>
      </c>
      <c r="E538">
        <v>0</v>
      </c>
      <c r="F538">
        <v>0</v>
      </c>
      <c r="G538">
        <v>0</v>
      </c>
      <c r="H538">
        <v>56</v>
      </c>
      <c r="I538" s="4">
        <f t="shared" si="8"/>
        <v>1</v>
      </c>
    </row>
    <row r="539" spans="1:9">
      <c r="A539" t="s">
        <v>501</v>
      </c>
      <c r="B539">
        <v>13</v>
      </c>
      <c r="C539">
        <v>1</v>
      </c>
      <c r="D539">
        <v>3</v>
      </c>
      <c r="E539">
        <v>0</v>
      </c>
      <c r="F539">
        <v>1</v>
      </c>
      <c r="G539">
        <v>0</v>
      </c>
      <c r="H539">
        <v>7</v>
      </c>
      <c r="I539" s="4">
        <f t="shared" si="8"/>
        <v>0.42857142857142855</v>
      </c>
    </row>
    <row r="540" spans="1:9">
      <c r="A540" t="s">
        <v>501</v>
      </c>
      <c r="B540">
        <v>13</v>
      </c>
      <c r="C540">
        <v>2</v>
      </c>
      <c r="D540">
        <v>7</v>
      </c>
      <c r="E540">
        <v>0</v>
      </c>
      <c r="F540">
        <v>0</v>
      </c>
      <c r="G540">
        <v>0</v>
      </c>
      <c r="H540">
        <v>7</v>
      </c>
      <c r="I540" s="4">
        <f t="shared" si="8"/>
        <v>1</v>
      </c>
    </row>
    <row r="541" spans="1:9">
      <c r="A541" t="s">
        <v>880</v>
      </c>
      <c r="B541">
        <v>2</v>
      </c>
      <c r="C541">
        <v>1</v>
      </c>
      <c r="D541">
        <v>25</v>
      </c>
      <c r="E541">
        <v>0</v>
      </c>
      <c r="F541">
        <v>3</v>
      </c>
      <c r="G541">
        <v>0</v>
      </c>
      <c r="H541">
        <v>71</v>
      </c>
      <c r="I541" s="4">
        <f t="shared" si="8"/>
        <v>0.352112676056338</v>
      </c>
    </row>
    <row r="542" spans="1:9">
      <c r="A542" t="s">
        <v>880</v>
      </c>
      <c r="B542">
        <v>2</v>
      </c>
      <c r="C542">
        <v>2</v>
      </c>
      <c r="D542">
        <v>50</v>
      </c>
      <c r="E542">
        <v>0</v>
      </c>
      <c r="F542">
        <v>2</v>
      </c>
      <c r="G542">
        <v>0</v>
      </c>
      <c r="H542">
        <v>71</v>
      </c>
      <c r="I542" s="4">
        <f t="shared" si="8"/>
        <v>0.70422535211267601</v>
      </c>
    </row>
    <row r="543" spans="1:9">
      <c r="A543" t="s">
        <v>880</v>
      </c>
      <c r="B543">
        <v>2</v>
      </c>
      <c r="C543">
        <v>3</v>
      </c>
      <c r="D543">
        <v>71</v>
      </c>
      <c r="E543">
        <v>0</v>
      </c>
      <c r="F543">
        <v>0</v>
      </c>
      <c r="G543">
        <v>0</v>
      </c>
      <c r="H543">
        <v>71</v>
      </c>
      <c r="I543" s="4">
        <f t="shared" si="8"/>
        <v>1</v>
      </c>
    </row>
    <row r="544" spans="1:9">
      <c r="A544" t="s">
        <v>880</v>
      </c>
      <c r="B544">
        <v>6</v>
      </c>
      <c r="C544">
        <v>1</v>
      </c>
      <c r="D544">
        <v>21</v>
      </c>
      <c r="E544">
        <v>0</v>
      </c>
      <c r="F544">
        <v>4</v>
      </c>
      <c r="G544">
        <v>0</v>
      </c>
      <c r="H544">
        <v>31</v>
      </c>
      <c r="I544" s="4">
        <f t="shared" si="8"/>
        <v>0.67741935483870963</v>
      </c>
    </row>
    <row r="545" spans="1:9">
      <c r="A545" t="s">
        <v>880</v>
      </c>
      <c r="B545">
        <v>6</v>
      </c>
      <c r="C545">
        <v>2</v>
      </c>
      <c r="D545">
        <v>23</v>
      </c>
      <c r="E545">
        <v>0</v>
      </c>
      <c r="F545">
        <v>2</v>
      </c>
      <c r="G545">
        <v>0</v>
      </c>
      <c r="H545">
        <v>31</v>
      </c>
      <c r="I545" s="4">
        <f t="shared" si="8"/>
        <v>0.74193548387096775</v>
      </c>
    </row>
    <row r="546" spans="1:9">
      <c r="A546" t="s">
        <v>880</v>
      </c>
      <c r="B546">
        <v>6</v>
      </c>
      <c r="C546">
        <v>3</v>
      </c>
      <c r="D546">
        <v>30</v>
      </c>
      <c r="E546">
        <v>0</v>
      </c>
      <c r="F546">
        <v>1</v>
      </c>
      <c r="G546">
        <v>0</v>
      </c>
      <c r="H546">
        <v>31</v>
      </c>
      <c r="I546" s="4">
        <f t="shared" si="8"/>
        <v>0.967741935483871</v>
      </c>
    </row>
    <row r="547" spans="1:9">
      <c r="A547" t="s">
        <v>880</v>
      </c>
      <c r="B547">
        <v>6</v>
      </c>
      <c r="C547">
        <v>4</v>
      </c>
      <c r="D547">
        <v>31</v>
      </c>
      <c r="E547">
        <v>0</v>
      </c>
      <c r="F547">
        <v>0</v>
      </c>
      <c r="G547">
        <v>0</v>
      </c>
      <c r="H547">
        <v>31</v>
      </c>
      <c r="I547" s="4">
        <f t="shared" si="8"/>
        <v>1</v>
      </c>
    </row>
    <row r="548" spans="1:9">
      <c r="A548" t="s">
        <v>880</v>
      </c>
      <c r="B548">
        <v>6</v>
      </c>
      <c r="C548">
        <v>5</v>
      </c>
      <c r="D548">
        <v>31</v>
      </c>
      <c r="E548">
        <v>0</v>
      </c>
      <c r="F548">
        <v>0</v>
      </c>
      <c r="G548">
        <v>0</v>
      </c>
      <c r="H548">
        <v>31</v>
      </c>
      <c r="I548" s="4">
        <f t="shared" si="8"/>
        <v>1</v>
      </c>
    </row>
    <row r="549" spans="1:9">
      <c r="A549" t="s">
        <v>880</v>
      </c>
      <c r="B549">
        <v>6</v>
      </c>
      <c r="C549">
        <v>6</v>
      </c>
      <c r="D549">
        <v>31</v>
      </c>
      <c r="E549">
        <v>0</v>
      </c>
      <c r="F549">
        <v>0</v>
      </c>
      <c r="G549">
        <v>0</v>
      </c>
      <c r="H549">
        <v>31</v>
      </c>
      <c r="I549" s="4">
        <f t="shared" si="8"/>
        <v>1</v>
      </c>
    </row>
    <row r="550" spans="1:9">
      <c r="A550" t="s">
        <v>880</v>
      </c>
      <c r="B550">
        <v>8</v>
      </c>
      <c r="C550">
        <v>1</v>
      </c>
      <c r="D550">
        <v>26</v>
      </c>
      <c r="E550">
        <v>0</v>
      </c>
      <c r="F550">
        <v>2</v>
      </c>
      <c r="G550">
        <v>0</v>
      </c>
      <c r="H550">
        <v>29</v>
      </c>
      <c r="I550" s="4">
        <f t="shared" si="8"/>
        <v>0.89655172413793105</v>
      </c>
    </row>
    <row r="551" spans="1:9">
      <c r="A551" t="s">
        <v>880</v>
      </c>
      <c r="B551">
        <v>8</v>
      </c>
      <c r="C551">
        <v>2</v>
      </c>
      <c r="D551">
        <v>29</v>
      </c>
      <c r="E551">
        <v>0</v>
      </c>
      <c r="F551">
        <v>0</v>
      </c>
      <c r="G551">
        <v>0</v>
      </c>
      <c r="H551">
        <v>29</v>
      </c>
      <c r="I551" s="4">
        <f t="shared" si="8"/>
        <v>1</v>
      </c>
    </row>
    <row r="552" spans="1:9">
      <c r="A552" t="s">
        <v>880</v>
      </c>
      <c r="B552">
        <v>11</v>
      </c>
      <c r="C552">
        <v>1</v>
      </c>
      <c r="D552">
        <v>94</v>
      </c>
      <c r="E552">
        <v>0</v>
      </c>
      <c r="F552">
        <v>2</v>
      </c>
      <c r="G552">
        <v>0</v>
      </c>
      <c r="H552">
        <v>115</v>
      </c>
      <c r="I552" s="4">
        <f t="shared" si="8"/>
        <v>0.81739130434782614</v>
      </c>
    </row>
    <row r="553" spans="1:9">
      <c r="A553" t="s">
        <v>880</v>
      </c>
      <c r="B553">
        <v>11</v>
      </c>
      <c r="C553">
        <v>2</v>
      </c>
      <c r="D553">
        <v>103</v>
      </c>
      <c r="E553">
        <v>0</v>
      </c>
      <c r="F553">
        <v>2</v>
      </c>
      <c r="G553">
        <v>0</v>
      </c>
      <c r="H553">
        <v>115</v>
      </c>
      <c r="I553" s="4">
        <f t="shared" si="8"/>
        <v>0.89565217391304353</v>
      </c>
    </row>
    <row r="554" spans="1:9">
      <c r="A554" t="s">
        <v>880</v>
      </c>
      <c r="B554">
        <v>11</v>
      </c>
      <c r="C554">
        <v>3</v>
      </c>
      <c r="D554">
        <v>114</v>
      </c>
      <c r="E554">
        <v>0</v>
      </c>
      <c r="F554">
        <v>1</v>
      </c>
      <c r="G554">
        <v>0</v>
      </c>
      <c r="H554">
        <v>115</v>
      </c>
      <c r="I554" s="4">
        <f t="shared" si="8"/>
        <v>0.99130434782608701</v>
      </c>
    </row>
    <row r="555" spans="1:9">
      <c r="A555" t="s">
        <v>880</v>
      </c>
      <c r="B555">
        <v>11</v>
      </c>
      <c r="C555">
        <v>4</v>
      </c>
      <c r="D555">
        <v>115</v>
      </c>
      <c r="E555">
        <v>0</v>
      </c>
      <c r="F555">
        <v>0</v>
      </c>
      <c r="G555">
        <v>0</v>
      </c>
      <c r="H555">
        <v>115</v>
      </c>
      <c r="I555" s="4">
        <f t="shared" si="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I540"/>
  <sheetViews>
    <sheetView topLeftCell="N1" workbookViewId="0">
      <selection activeCell="X2" sqref="X2:CI2"/>
    </sheetView>
  </sheetViews>
  <sheetFormatPr baseColWidth="10" defaultRowHeight="15" x14ac:dyDescent="0"/>
  <cols>
    <col min="3" max="3" width="28.5" bestFit="1" customWidth="1"/>
    <col min="6" max="7" width="10.83203125" style="4"/>
    <col min="24" max="24" width="14" customWidth="1"/>
    <col min="35" max="35" width="13" bestFit="1" customWidth="1"/>
  </cols>
  <sheetData>
    <row r="1" spans="1:87">
      <c r="A1" t="s">
        <v>486</v>
      </c>
      <c r="B1" t="s">
        <v>487</v>
      </c>
      <c r="C1" t="s">
        <v>894</v>
      </c>
      <c r="D1" t="s">
        <v>488</v>
      </c>
      <c r="E1" t="s">
        <v>502</v>
      </c>
      <c r="F1" s="4" t="s">
        <v>889</v>
      </c>
      <c r="G1" s="4" t="s">
        <v>890</v>
      </c>
      <c r="H1" t="s">
        <v>891</v>
      </c>
      <c r="I1" t="s">
        <v>892</v>
      </c>
      <c r="J1" t="s">
        <v>967</v>
      </c>
      <c r="K1" s="7" t="s">
        <v>893</v>
      </c>
      <c r="L1" s="7" t="s">
        <v>968</v>
      </c>
      <c r="M1" s="7"/>
      <c r="N1" s="7"/>
      <c r="O1" s="7"/>
      <c r="P1" s="7"/>
      <c r="Q1" s="7" t="s">
        <v>966</v>
      </c>
      <c r="R1" s="7"/>
      <c r="S1" s="7"/>
      <c r="T1" s="7"/>
      <c r="U1" s="7"/>
      <c r="W1" t="s">
        <v>451</v>
      </c>
      <c r="X1" t="s">
        <v>894</v>
      </c>
      <c r="Y1" t="s">
        <v>894</v>
      </c>
      <c r="Z1" t="s">
        <v>894</v>
      </c>
      <c r="AA1" t="s">
        <v>894</v>
      </c>
      <c r="AB1" t="s">
        <v>894</v>
      </c>
      <c r="AC1" t="s">
        <v>894</v>
      </c>
      <c r="AD1" t="s">
        <v>894</v>
      </c>
      <c r="AE1" t="s">
        <v>894</v>
      </c>
      <c r="AF1" t="s">
        <v>894</v>
      </c>
      <c r="AG1" t="s">
        <v>894</v>
      </c>
      <c r="AH1" t="s">
        <v>894</v>
      </c>
      <c r="AI1" t="s">
        <v>894</v>
      </c>
      <c r="AJ1" t="s">
        <v>894</v>
      </c>
      <c r="AK1" t="s">
        <v>894</v>
      </c>
      <c r="AL1" t="s">
        <v>894</v>
      </c>
      <c r="AM1" t="s">
        <v>894</v>
      </c>
      <c r="AN1" t="s">
        <v>894</v>
      </c>
      <c r="AO1" t="s">
        <v>894</v>
      </c>
      <c r="AP1" t="s">
        <v>894</v>
      </c>
      <c r="AQ1" t="s">
        <v>894</v>
      </c>
      <c r="AR1" t="s">
        <v>894</v>
      </c>
      <c r="AS1" t="s">
        <v>894</v>
      </c>
      <c r="AT1" t="s">
        <v>894</v>
      </c>
      <c r="AU1" t="s">
        <v>894</v>
      </c>
      <c r="AV1" t="s">
        <v>894</v>
      </c>
      <c r="AW1" t="s">
        <v>894</v>
      </c>
      <c r="AX1" t="s">
        <v>894</v>
      </c>
      <c r="AY1" t="s">
        <v>894</v>
      </c>
      <c r="AZ1" t="s">
        <v>894</v>
      </c>
      <c r="BA1" t="s">
        <v>894</v>
      </c>
      <c r="BB1" t="s">
        <v>894</v>
      </c>
      <c r="BC1" t="s">
        <v>894</v>
      </c>
      <c r="BD1" t="s">
        <v>894</v>
      </c>
      <c r="BE1" t="s">
        <v>894</v>
      </c>
      <c r="BF1" t="s">
        <v>894</v>
      </c>
      <c r="BG1" t="s">
        <v>894</v>
      </c>
      <c r="BH1" t="s">
        <v>894</v>
      </c>
      <c r="BI1" t="s">
        <v>894</v>
      </c>
      <c r="BJ1" t="s">
        <v>894</v>
      </c>
      <c r="BK1" t="s">
        <v>894</v>
      </c>
      <c r="BL1" t="s">
        <v>894</v>
      </c>
      <c r="BM1" t="s">
        <v>894</v>
      </c>
      <c r="BN1" t="s">
        <v>894</v>
      </c>
      <c r="BO1" t="s">
        <v>894</v>
      </c>
      <c r="BP1" t="s">
        <v>894</v>
      </c>
      <c r="BQ1" t="s">
        <v>894</v>
      </c>
      <c r="BR1" t="s">
        <v>894</v>
      </c>
      <c r="BS1" t="s">
        <v>894</v>
      </c>
      <c r="BT1" t="s">
        <v>894</v>
      </c>
      <c r="BU1" t="s">
        <v>894</v>
      </c>
      <c r="BV1" t="s">
        <v>894</v>
      </c>
      <c r="BW1" t="s">
        <v>894</v>
      </c>
      <c r="BX1" t="s">
        <v>894</v>
      </c>
      <c r="BY1" t="s">
        <v>894</v>
      </c>
      <c r="BZ1" t="s">
        <v>894</v>
      </c>
      <c r="CA1" t="s">
        <v>894</v>
      </c>
      <c r="CB1" t="s">
        <v>894</v>
      </c>
      <c r="CC1" t="s">
        <v>894</v>
      </c>
      <c r="CD1" t="s">
        <v>894</v>
      </c>
      <c r="CE1" t="s">
        <v>894</v>
      </c>
      <c r="CF1" t="s">
        <v>894</v>
      </c>
      <c r="CG1" t="s">
        <v>894</v>
      </c>
      <c r="CH1" t="s">
        <v>894</v>
      </c>
      <c r="CI1" t="s">
        <v>894</v>
      </c>
    </row>
    <row r="2" spans="1:87">
      <c r="A2" t="s">
        <v>458</v>
      </c>
      <c r="B2">
        <v>1</v>
      </c>
      <c r="C2" t="str">
        <f>CONCATENATE(A2, "_",B2,"_")</f>
        <v>test.BallonFactory_1_</v>
      </c>
      <c r="D2">
        <v>1</v>
      </c>
      <c r="E2" s="4">
        <v>0.90196078431372551</v>
      </c>
      <c r="F2" s="4">
        <v>0.98298162014976176</v>
      </c>
      <c r="G2" s="4" t="str">
        <f>IF($F2 &lt;= 0.2,$E2,"")</f>
        <v/>
      </c>
      <c r="H2" s="4" t="str">
        <f>IF(AND($F2 &gt; 0.2,$F2 &lt;= 0.4),$E2,"")</f>
        <v/>
      </c>
      <c r="I2" s="4" t="str">
        <f>IF(AND($F2 &gt; 0.4,$F2 &lt;= 0.6),$E2,"")</f>
        <v/>
      </c>
      <c r="J2" s="4" t="str">
        <f>IF(AND($F2 &gt; 0.6,$F2 &lt;= 0.8),$E2,"")</f>
        <v/>
      </c>
      <c r="K2" s="4">
        <f>IF(AND($F2 &gt; 0.8, $F2 &lt;=1.1),$E2,"")</f>
        <v>0.90196078431372551</v>
      </c>
      <c r="L2" s="4" t="str">
        <f>IF(AND($F2 &gt; 1.1),$E2,"")</f>
        <v/>
      </c>
      <c r="M2" s="4"/>
      <c r="N2" s="4" t="s">
        <v>969</v>
      </c>
      <c r="O2" s="4" t="s">
        <v>900</v>
      </c>
      <c r="P2" s="4" t="s">
        <v>965</v>
      </c>
      <c r="Q2" s="4">
        <v>0</v>
      </c>
      <c r="R2" s="4" t="s">
        <v>899</v>
      </c>
      <c r="S2" s="4" t="s">
        <v>898</v>
      </c>
      <c r="T2" s="4" t="s">
        <v>897</v>
      </c>
      <c r="U2" s="4" t="s">
        <v>896</v>
      </c>
      <c r="V2" t="s">
        <v>895</v>
      </c>
      <c r="W2">
        <f>COUNTA(X2:CI2)</f>
        <v>64</v>
      </c>
      <c r="X2" t="s">
        <v>905</v>
      </c>
      <c r="Y2" t="s">
        <v>906</v>
      </c>
      <c r="Z2" t="s">
        <v>907</v>
      </c>
      <c r="AA2" t="s">
        <v>908</v>
      </c>
      <c r="AB2" t="s">
        <v>909</v>
      </c>
      <c r="AC2" t="s">
        <v>910</v>
      </c>
      <c r="AD2" t="s">
        <v>911</v>
      </c>
      <c r="AE2" t="s">
        <v>912</v>
      </c>
      <c r="AF2" t="s">
        <v>913</v>
      </c>
      <c r="AG2" t="s">
        <v>914</v>
      </c>
      <c r="AH2" t="s">
        <v>915</v>
      </c>
      <c r="AI2" t="s">
        <v>901</v>
      </c>
      <c r="AJ2" t="s">
        <v>903</v>
      </c>
      <c r="AK2" t="s">
        <v>902</v>
      </c>
      <c r="AL2" t="s">
        <v>904</v>
      </c>
      <c r="AM2" t="s">
        <v>916</v>
      </c>
      <c r="AN2" t="s">
        <v>917</v>
      </c>
      <c r="AO2" t="s">
        <v>918</v>
      </c>
      <c r="AP2" t="s">
        <v>919</v>
      </c>
      <c r="AQ2" t="s">
        <v>920</v>
      </c>
      <c r="AR2" t="s">
        <v>921</v>
      </c>
      <c r="AS2" t="s">
        <v>922</v>
      </c>
      <c r="AT2" t="s">
        <v>923</v>
      </c>
      <c r="AU2" t="s">
        <v>924</v>
      </c>
      <c r="AV2" t="s">
        <v>925</v>
      </c>
      <c r="AW2" t="s">
        <v>926</v>
      </c>
      <c r="AX2" t="s">
        <v>927</v>
      </c>
      <c r="AY2" t="s">
        <v>928</v>
      </c>
      <c r="AZ2" t="s">
        <v>929</v>
      </c>
      <c r="BA2" t="s">
        <v>930</v>
      </c>
      <c r="BB2" t="s">
        <v>931</v>
      </c>
      <c r="BC2" t="s">
        <v>932</v>
      </c>
      <c r="BD2" t="s">
        <v>933</v>
      </c>
      <c r="BE2" t="s">
        <v>934</v>
      </c>
      <c r="BF2" t="s">
        <v>935</v>
      </c>
      <c r="BG2" t="s">
        <v>936</v>
      </c>
      <c r="BH2" t="s">
        <v>937</v>
      </c>
      <c r="BI2" t="s">
        <v>938</v>
      </c>
      <c r="BJ2" t="s">
        <v>939</v>
      </c>
      <c r="BK2" t="s">
        <v>940</v>
      </c>
      <c r="BL2" t="s">
        <v>941</v>
      </c>
      <c r="BM2" t="s">
        <v>942</v>
      </c>
      <c r="BN2" t="s">
        <v>943</v>
      </c>
      <c r="BO2" t="s">
        <v>944</v>
      </c>
      <c r="BP2" t="s">
        <v>945</v>
      </c>
      <c r="BQ2" t="s">
        <v>946</v>
      </c>
      <c r="BR2" t="s">
        <v>947</v>
      </c>
      <c r="BS2" t="s">
        <v>948</v>
      </c>
      <c r="BT2" t="s">
        <v>949</v>
      </c>
      <c r="BU2" t="s">
        <v>950</v>
      </c>
      <c r="BV2" t="s">
        <v>951</v>
      </c>
      <c r="BW2" t="s">
        <v>952</v>
      </c>
      <c r="BX2" t="s">
        <v>953</v>
      </c>
      <c r="BY2" t="s">
        <v>954</v>
      </c>
      <c r="BZ2" t="s">
        <v>955</v>
      </c>
      <c r="CA2" t="s">
        <v>956</v>
      </c>
      <c r="CB2" t="s">
        <v>957</v>
      </c>
      <c r="CC2" t="s">
        <v>958</v>
      </c>
      <c r="CD2" t="s">
        <v>959</v>
      </c>
      <c r="CE2" t="s">
        <v>960</v>
      </c>
      <c r="CF2" t="s">
        <v>961</v>
      </c>
      <c r="CG2" t="s">
        <v>962</v>
      </c>
      <c r="CH2" t="s">
        <v>963</v>
      </c>
      <c r="CI2" t="s">
        <v>964</v>
      </c>
    </row>
    <row r="3" spans="1:87">
      <c r="A3" t="s">
        <v>458</v>
      </c>
      <c r="B3">
        <v>1</v>
      </c>
      <c r="C3" t="str">
        <f t="shared" ref="C3:C66" si="0">CONCATENATE(A3, "_",B3,"_")</f>
        <v>test.BallonFactory_1_</v>
      </c>
      <c r="D3">
        <v>2</v>
      </c>
      <c r="E3" s="4">
        <v>0.96078431372549022</v>
      </c>
      <c r="F3" s="4">
        <v>0.98570456092579983</v>
      </c>
      <c r="G3" s="4" t="str">
        <f t="shared" ref="G3:G66" si="1">IF(F3 &lt;= 0.2,E3,"")</f>
        <v/>
      </c>
      <c r="H3" s="4" t="str">
        <f t="shared" ref="H3:H66" si="2">IF(AND($F3 &gt; 0.2,$F3 &lt;= 0.4),$E3,"")</f>
        <v/>
      </c>
      <c r="I3" s="4" t="str">
        <f t="shared" ref="I3:I66" si="3">IF(AND($F3 &gt; 0.4,$F3 &lt;= 0.6),$E3,"")</f>
        <v/>
      </c>
      <c r="J3" s="4" t="str">
        <f t="shared" ref="J3:J66" si="4">IF(AND($F3 &gt; 0.6,$F3 &lt;= 0.8),$E3,"")</f>
        <v/>
      </c>
      <c r="K3" s="4">
        <f t="shared" ref="K3:K66" si="5">IF(AND($F3 &gt; 0.8, $F3 &lt;=1.1),$E3,"")</f>
        <v>0.96078431372549022</v>
      </c>
      <c r="L3" s="4" t="str">
        <f t="shared" ref="L3:L66" si="6">IF(AND($F3 &gt; 1.1),$E3,"")</f>
        <v/>
      </c>
      <c r="M3" s="4"/>
      <c r="N3" s="4">
        <f>SUM(T3:V3)/64</f>
        <v>9.375E-2</v>
      </c>
      <c r="O3" s="4">
        <f>SUM(Q3:V3)</f>
        <v>64</v>
      </c>
      <c r="P3" t="s">
        <v>890</v>
      </c>
      <c r="Q3" s="8">
        <f>COUNTIF($X3:$CI3,"=0")</f>
        <v>30</v>
      </c>
      <c r="R3" s="8">
        <f>COUNTIFS($X3:$CI3,"&gt;0",$X3:$CI3,"&lt;0.25")</f>
        <v>21</v>
      </c>
      <c r="S3" s="8">
        <f>COUNTIFS($X3:$CI3,"&gt;=0.25",$X3:$CI3,"&lt;0.5")</f>
        <v>7</v>
      </c>
      <c r="T3" s="8">
        <f>COUNTIFS($X3:$CI3,"&gt;=0.5",$X3:$CI3,"&lt;0.75")</f>
        <v>5</v>
      </c>
      <c r="U3" s="8">
        <f>COUNTIFS($X3:$CI3,"&gt;=0.75",$X3:$CI3,"&lt;1")</f>
        <v>1</v>
      </c>
      <c r="V3" s="8">
        <f>COUNTIF($X3:$CI3,"=1")</f>
        <v>0</v>
      </c>
      <c r="W3" t="s">
        <v>890</v>
      </c>
      <c r="X3">
        <f>DMAX($A$1:$L$540,$W3,X$1:X$2)</f>
        <v>0</v>
      </c>
      <c r="Y3">
        <f>DMAX($A$1:$L$540,$W3,Y$1:Y$2)</f>
        <v>0</v>
      </c>
      <c r="Z3">
        <f>DMAX($A$1:$L$540,$W3,Z$1:Z$2)</f>
        <v>0.22222222222222221</v>
      </c>
      <c r="AA3">
        <f>DMAX($A$1:$L$540,$W3,AA$1:AA$2)</f>
        <v>0.2391304347826087</v>
      </c>
      <c r="AB3">
        <f>DMAX($A$1:$L$540,$W3,AB$1:AB$2)</f>
        <v>0</v>
      </c>
      <c r="AC3">
        <f>DMAX($A$1:$L$540,$W3,AC$1:AC$2)</f>
        <v>0</v>
      </c>
      <c r="AD3">
        <f>DMAX($A$1:$L$540,$W3,AD$1:AD$2)</f>
        <v>0</v>
      </c>
      <c r="AE3">
        <f>DMAX($A$1:$L$540,$W3,AE$1:AE$2)</f>
        <v>3.2786885245901641E-2</v>
      </c>
      <c r="AF3">
        <f>DMAX($A$1:$L$540,$W3,AF$1:AF$2)</f>
        <v>0.75886524822695034</v>
      </c>
      <c r="AG3">
        <f>DMAX($A$1:$L$540,$W3,AG$1:AG$2)</f>
        <v>4.7244094488188976E-2</v>
      </c>
      <c r="AH3">
        <f>DMAX($A$1:$L$540,$W3,AH$1:AH$2)</f>
        <v>0.70297029702970293</v>
      </c>
      <c r="AI3">
        <f>DMAX($A$1:$L$540,$W3,AI$1:AI$2)</f>
        <v>0</v>
      </c>
      <c r="AJ3">
        <f>DMAX($A$1:$L$540,$W3,AJ$1:AJ$2)</f>
        <v>4.4642857142857144E-2</v>
      </c>
      <c r="AK3">
        <f>DMAX($A$1:$L$540,$W3,AK$1:AK$2)</f>
        <v>0</v>
      </c>
      <c r="AL3">
        <f>DMAX($A$1:$L$540,$W3,AL$1:AL$2)</f>
        <v>0.58620689655172409</v>
      </c>
      <c r="AM3">
        <f>DMAX($A$1:$L$540,$W3,AM$1:AM$2)</f>
        <v>0.11979166666666667</v>
      </c>
      <c r="AN3">
        <f>DMAX($A$1:$L$540,$W3,AN$1:AN$2)</f>
        <v>8.4745762711864406E-3</v>
      </c>
      <c r="AO3">
        <f>DMAX($A$1:$L$540,$W3,AO$1:AO$2)</f>
        <v>0</v>
      </c>
      <c r="AP3">
        <f>DMAX($A$1:$L$540,$W3,AP$1:AP$2)</f>
        <v>0.24848484848484848</v>
      </c>
      <c r="AQ3">
        <f>DMAX($A$1:$L$540,$W3,AQ$1:AQ$2)</f>
        <v>0</v>
      </c>
      <c r="AR3">
        <f>DMAX($A$1:$L$540,$W3,AR$1:AR$2)</f>
        <v>0</v>
      </c>
      <c r="AS3">
        <f>DMAX($A$1:$L$540,$W3,AS$1:AS$2)</f>
        <v>0</v>
      </c>
      <c r="AT3">
        <f>DMAX($A$1:$L$540,$W3,AT$1:AT$2)</f>
        <v>7.3170731707317069E-2</v>
      </c>
      <c r="AU3">
        <f>DMAX($A$1:$L$540,$W3,AU$1:AU$2)</f>
        <v>9.6774193548387094E-2</v>
      </c>
      <c r="AV3">
        <f>DMAX($A$1:$L$540,$W3,AV$1:AV$2)</f>
        <v>0.5178571428571429</v>
      </c>
      <c r="AW3">
        <f>DMAX($A$1:$L$540,$W3,AW$1:AW$2)</f>
        <v>0.36046511627906974</v>
      </c>
      <c r="AX3">
        <f>DMAX($A$1:$L$540,$W3,AX$1:AX$2)</f>
        <v>0.19565217391304349</v>
      </c>
      <c r="AY3">
        <f>DMAX($A$1:$L$540,$W3,AY$1:AY$2)</f>
        <v>3.3333333333333333E-2</v>
      </c>
      <c r="AZ3">
        <f>DMAX($A$1:$L$540,$W3,AZ$1:AZ$2)</f>
        <v>0</v>
      </c>
      <c r="BA3">
        <f>DMAX($A$1:$L$540,$W3,BA$1:BA$2)</f>
        <v>0.23214285714285715</v>
      </c>
      <c r="BB3">
        <f>DMAX($A$1:$L$540,$W3,BB$1:BB$2)</f>
        <v>0.2</v>
      </c>
      <c r="BC3">
        <f>DMAX($A$1:$L$540,$W3,BC$1:BC$2)</f>
        <v>0.56617647058823528</v>
      </c>
      <c r="BD3">
        <f>DMAX($A$1:$L$540,$W3,BD$1:BD$2)</f>
        <v>0</v>
      </c>
      <c r="BE3">
        <f>DMAX($A$1:$L$540,$W3,BE$1:BE$2)</f>
        <v>0.2857142857142857</v>
      </c>
      <c r="BF3">
        <f>DMAX($A$1:$L$540,$W3,BF$1:BF$2)</f>
        <v>0</v>
      </c>
      <c r="BG3">
        <f>DMAX($A$1:$L$540,$W3,BG$1:BG$2)</f>
        <v>0.3888888888888889</v>
      </c>
      <c r="BH3">
        <f>DMAX($A$1:$L$540,$W3,BH$1:BH$2)</f>
        <v>0.63953488372093026</v>
      </c>
      <c r="BI3">
        <f>DMAX($A$1:$L$540,$W3,BI$1:BI$2)</f>
        <v>0</v>
      </c>
      <c r="BJ3">
        <f>DMAX($A$1:$L$540,$W3,BJ$1:BJ$2)</f>
        <v>0.33962264150943394</v>
      </c>
      <c r="BK3">
        <f>DMAX($A$1:$L$540,$W3,BK$1:BK$2)</f>
        <v>6.7842605156037995E-3</v>
      </c>
      <c r="BL3">
        <f>DMAX($A$1:$L$540,$W3,BL$1:BL$2)</f>
        <v>8.4210526315789472E-3</v>
      </c>
      <c r="BM3">
        <f>DMAX($A$1:$L$540,$W3,BM$1:BM$2)</f>
        <v>8.2372322899505763E-3</v>
      </c>
      <c r="BN3">
        <f>DMAX($A$1:$L$540,$W3,BN$1:BN$2)</f>
        <v>0</v>
      </c>
      <c r="BO3">
        <f>DMAX($A$1:$L$540,$W3,BO$1:BO$2)</f>
        <v>0</v>
      </c>
      <c r="BP3">
        <f>DMAX($A$1:$L$540,$W3,BP$1:BP$2)</f>
        <v>0</v>
      </c>
      <c r="BQ3">
        <f>DMAX($A$1:$L$540,$W3,BQ$1:BQ$2)</f>
        <v>0.20408163265306123</v>
      </c>
      <c r="BR3">
        <f>DMAX($A$1:$L$540,$W3,BR$1:BR$2)</f>
        <v>0</v>
      </c>
      <c r="BS3">
        <f>DMAX($A$1:$L$540,$W3,BS$1:BS$2)</f>
        <v>0.26548672566371684</v>
      </c>
      <c r="BT3">
        <f>DMAX($A$1:$L$540,$W3,BT$1:BT$2)</f>
        <v>0.18085106382978725</v>
      </c>
      <c r="BU3">
        <f>DMAX($A$1:$L$540,$W3,BU$1:BU$2)</f>
        <v>0</v>
      </c>
      <c r="BV3">
        <f>DMAX($A$1:$L$540,$W3,BV$1:BV$2)</f>
        <v>0</v>
      </c>
      <c r="BW3">
        <f>DMAX($A$1:$L$540,$W3,BW$1:BW$2)</f>
        <v>0.27397260273972601</v>
      </c>
      <c r="BX3">
        <f>DMAX($A$1:$L$540,$W3,BX$1:BX$2)</f>
        <v>0.31707317073170732</v>
      </c>
      <c r="BY3">
        <f>DMAX($A$1:$L$540,$W3,BY$1:BY$2)</f>
        <v>0</v>
      </c>
      <c r="BZ3">
        <f>DMAX($A$1:$L$540,$W3,BZ$1:BZ$2)</f>
        <v>0</v>
      </c>
      <c r="CA3">
        <f>DMAX($A$1:$L$540,$W3,CA$1:CA$2)</f>
        <v>0</v>
      </c>
      <c r="CB3">
        <f>DMAX($A$1:$L$540,$W3,CB$1:CB$2)</f>
        <v>0</v>
      </c>
      <c r="CC3">
        <f>DMAX($A$1:$L$540,$W3,CC$1:CC$2)</f>
        <v>7.9545454545454544E-2</v>
      </c>
      <c r="CD3">
        <f>DMAX($A$1:$L$540,$W3,CD$1:CD$2)</f>
        <v>0.125</v>
      </c>
      <c r="CE3">
        <f>DMAX($A$1:$L$540,$W3,CE$1:CE$2)</f>
        <v>0</v>
      </c>
      <c r="CF3">
        <f>DMAX($A$1:$L$540,$W3,CF$1:CF$2)</f>
        <v>0</v>
      </c>
      <c r="CG3">
        <f>DMAX($A$1:$L$540,$W3,CG$1:CG$2)</f>
        <v>0</v>
      </c>
      <c r="CH3">
        <f>DMAX($A$1:$L$540,$W3,CH$1:CH$2)</f>
        <v>0</v>
      </c>
      <c r="CI3">
        <f>DMAX($A$1:$L$540,$W3,CI$1:CI$2)</f>
        <v>0</v>
      </c>
    </row>
    <row r="4" spans="1:87">
      <c r="A4" t="s">
        <v>458</v>
      </c>
      <c r="B4">
        <v>1</v>
      </c>
      <c r="C4" t="str">
        <f t="shared" si="0"/>
        <v>test.BallonFactory_1_</v>
      </c>
      <c r="D4">
        <v>3</v>
      </c>
      <c r="E4" s="4">
        <v>1</v>
      </c>
      <c r="F4" s="4">
        <v>0.98584070796460177</v>
      </c>
      <c r="G4" s="4" t="str">
        <f t="shared" si="1"/>
        <v/>
      </c>
      <c r="H4" s="4" t="str">
        <f t="shared" si="2"/>
        <v/>
      </c>
      <c r="I4" s="4" t="str">
        <f t="shared" si="3"/>
        <v/>
      </c>
      <c r="J4" s="4" t="str">
        <f t="shared" si="4"/>
        <v/>
      </c>
      <c r="K4" s="4">
        <f t="shared" si="5"/>
        <v>1</v>
      </c>
      <c r="L4" s="4" t="str">
        <f t="shared" si="6"/>
        <v/>
      </c>
      <c r="M4" s="4"/>
      <c r="N4" s="4">
        <f t="shared" ref="N4:N7" si="7">SUM(T4:V4)/64</f>
        <v>0.296875</v>
      </c>
      <c r="O4" s="4">
        <f t="shared" ref="O4:O7" si="8">SUM(Q4:V4)</f>
        <v>64</v>
      </c>
      <c r="P4" t="s">
        <v>891</v>
      </c>
      <c r="Q4" s="8">
        <f t="shared" ref="Q4:Q8" si="9">COUNTIF($X4:$CI4,"=0")</f>
        <v>19</v>
      </c>
      <c r="R4" s="8">
        <f t="shared" ref="R4:R8" si="10">COUNTIFS($X4:$CI4,"&gt;0",$X4:$CI4,"&lt;0.25")</f>
        <v>17</v>
      </c>
      <c r="S4" s="8">
        <f t="shared" ref="S4:S8" si="11">COUNTIFS($X4:$CI4,"&gt;=0.25",$X4:$CI4,"&lt;0.5")</f>
        <v>9</v>
      </c>
      <c r="T4" s="8">
        <f t="shared" ref="T4:T8" si="12">COUNTIFS($X4:$CI4,"&gt;=0.5",$X4:$CI4,"&lt;0.75")</f>
        <v>10</v>
      </c>
      <c r="U4" s="8">
        <f t="shared" ref="U4:U8" si="13">COUNTIFS($X4:$CI4,"&gt;=0.75",$X4:$CI4,"&lt;1")</f>
        <v>3</v>
      </c>
      <c r="V4" s="8">
        <f t="shared" ref="V4:V8" si="14">COUNTIF($X4:$CI4,"=1")</f>
        <v>6</v>
      </c>
      <c r="W4" t="s">
        <v>891</v>
      </c>
      <c r="X4">
        <f>IF(X3&lt;DMAX($A$1:$L$540,$W4,X$1:X$2),DMAX($A$1:$L$540,$W4,X$1:X$2),X3)</f>
        <v>0</v>
      </c>
      <c r="Y4">
        <f>IF(Y3&lt;DMAX($A$1:$L$540,$W4,Y$1:Y$2),DMAX($A$1:$L$540,$W4,Y$1:Y$2),Y3)</f>
        <v>0</v>
      </c>
      <c r="Z4">
        <f>IF(Z3&lt;DMAX($A$1:$L$540,$W4,Z$1:Z$2),DMAX($A$1:$L$540,$W4,Z$1:Z$2),Z3)</f>
        <v>0.22222222222222221</v>
      </c>
      <c r="AA4">
        <f>IF(AA3&lt;DMAX($A$1:$L$540,$W4,AA$1:AA$2),DMAX($A$1:$L$540,$W4,AA$1:AA$2),AA3)</f>
        <v>0.91304347826086951</v>
      </c>
      <c r="AB4">
        <f>IF(AB3&lt;DMAX($A$1:$L$540,$W4,AB$1:AB$2),DMAX($A$1:$L$540,$W4,AB$1:AB$2),AB3)</f>
        <v>0.19354838709677419</v>
      </c>
      <c r="AC4">
        <f>IF(AC3&lt;DMAX($A$1:$L$540,$W4,AC$1:AC$2),DMAX($A$1:$L$540,$W4,AC$1:AC$2),AC3)</f>
        <v>0.19354838709677419</v>
      </c>
      <c r="AD4">
        <f>IF(AD3&lt;DMAX($A$1:$L$540,$W4,AD$1:AD$2),DMAX($A$1:$L$540,$W4,AD$1:AD$2),AD3)</f>
        <v>0.125</v>
      </c>
      <c r="AE4">
        <f>IF(AE3&lt;DMAX($A$1:$L$540,$W4,AE$1:AE$2),DMAX($A$1:$L$540,$W4,AE$1:AE$2),AE3)</f>
        <v>3.2786885245901641E-2</v>
      </c>
      <c r="AF4">
        <f>IF(AF3&lt;DMAX($A$1:$L$540,$W4,AF$1:AF$2),DMAX($A$1:$L$540,$W4,AF$1:AF$2),AF3)</f>
        <v>0.75886524822695034</v>
      </c>
      <c r="AG4">
        <f>IF(AG3&lt;DMAX($A$1:$L$540,$W4,AG$1:AG$2),DMAX($A$1:$L$540,$W4,AG$1:AG$2),AG3)</f>
        <v>0.69291338582677164</v>
      </c>
      <c r="AH4">
        <f>IF(AH3&lt;DMAX($A$1:$L$540,$W4,AH$1:AH$2),DMAX($A$1:$L$540,$W4,AH$1:AH$2),AH3)</f>
        <v>0.70297029702970293</v>
      </c>
      <c r="AI4">
        <f>IF(AI3&lt;DMAX($A$1:$L$540,$W4,AI$1:AI$2),DMAX($A$1:$L$540,$W4,AI$1:AI$2),AI3)</f>
        <v>0.6470588235294118</v>
      </c>
      <c r="AJ4">
        <f>IF(AJ3&lt;DMAX($A$1:$L$540,$W4,AJ$1:AJ$2),DMAX($A$1:$L$540,$W4,AJ$1:AJ$2),AJ3)</f>
        <v>4.4642857142857144E-2</v>
      </c>
      <c r="AK4">
        <f>IF(AK3&lt;DMAX($A$1:$L$540,$W4,AK$1:AK$2),DMAX($A$1:$L$540,$W4,AK$1:AK$2),AK3)</f>
        <v>0</v>
      </c>
      <c r="AL4">
        <f>IF(AL3&lt;DMAX($A$1:$L$540,$W4,AL$1:AL$2),DMAX($A$1:$L$540,$W4,AL$1:AL$2),AL3)</f>
        <v>1</v>
      </c>
      <c r="AM4">
        <f>IF(AM3&lt;DMAX($A$1:$L$540,$W4,AM$1:AM$2),DMAX($A$1:$L$540,$W4,AM$1:AM$2),AM3)</f>
        <v>0.68229166666666663</v>
      </c>
      <c r="AN4">
        <f>IF(AN3&lt;DMAX($A$1:$L$540,$W4,AN$1:AN$2),DMAX($A$1:$L$540,$W4,AN$1:AN$2),AN3)</f>
        <v>8.4745762711864406E-3</v>
      </c>
      <c r="AO4">
        <f>IF(AO3&lt;DMAX($A$1:$L$540,$W4,AO$1:AO$2),DMAX($A$1:$L$540,$W4,AO$1:AO$2),AO3)</f>
        <v>0.20454545454545456</v>
      </c>
      <c r="AP4">
        <f>IF(AP3&lt;DMAX($A$1:$L$540,$W4,AP$1:AP$2),DMAX($A$1:$L$540,$W4,AP$1:AP$2),AP3)</f>
        <v>0.24848484848484848</v>
      </c>
      <c r="AQ4">
        <f>IF(AQ3&lt;DMAX($A$1:$L$540,$W4,AQ$1:AQ$2),DMAX($A$1:$L$540,$W4,AQ$1:AQ$2),AQ3)</f>
        <v>0</v>
      </c>
      <c r="AR4">
        <f>IF(AR3&lt;DMAX($A$1:$L$540,$W4,AR$1:AR$2),DMAX($A$1:$L$540,$W4,AR$1:AR$2),AR3)</f>
        <v>0</v>
      </c>
      <c r="AS4">
        <f>IF(AS3&lt;DMAX($A$1:$L$540,$W4,AS$1:AS$2),DMAX($A$1:$L$540,$W4,AS$1:AS$2),AS3)</f>
        <v>0</v>
      </c>
      <c r="AT4">
        <f>IF(AT3&lt;DMAX($A$1:$L$540,$W4,AT$1:AT$2),DMAX($A$1:$L$540,$W4,AT$1:AT$2),AT3)</f>
        <v>0.14634146341463414</v>
      </c>
      <c r="AU4">
        <f>IF(AU3&lt;DMAX($A$1:$L$540,$W4,AU$1:AU$2),DMAX($A$1:$L$540,$W4,AU$1:AU$2),AU3)</f>
        <v>9.6774193548387094E-2</v>
      </c>
      <c r="AV4">
        <f>IF(AV3&lt;DMAX($A$1:$L$540,$W4,AV$1:AV$2),DMAX($A$1:$L$540,$W4,AV$1:AV$2),AV3)</f>
        <v>0.5178571428571429</v>
      </c>
      <c r="AW4">
        <f>IF(AW3&lt;DMAX($A$1:$L$540,$W4,AW$1:AW$2),DMAX($A$1:$L$540,$W4,AW$1:AW$2),AW3)</f>
        <v>0.36046511627906974</v>
      </c>
      <c r="AX4">
        <f>IF(AX3&lt;DMAX($A$1:$L$540,$W4,AX$1:AX$2),DMAX($A$1:$L$540,$W4,AX$1:AX$2),AX3)</f>
        <v>0.45652173913043476</v>
      </c>
      <c r="AY4">
        <f>IF(AY3&lt;DMAX($A$1:$L$540,$W4,AY$1:AY$2),DMAX($A$1:$L$540,$W4,AY$1:AY$2),AY3)</f>
        <v>0.2</v>
      </c>
      <c r="AZ4">
        <f>IF(AZ3&lt;DMAX($A$1:$L$540,$W4,AZ$1:AZ$2),DMAX($A$1:$L$540,$W4,AZ$1:AZ$2),AZ3)</f>
        <v>0</v>
      </c>
      <c r="BA4">
        <f>IF(BA3&lt;DMAX($A$1:$L$540,$W4,BA$1:BA$2),DMAX($A$1:$L$540,$W4,BA$1:BA$2),BA3)</f>
        <v>1</v>
      </c>
      <c r="BB4">
        <f>IF(BB3&lt;DMAX($A$1:$L$540,$W4,BB$1:BB$2),DMAX($A$1:$L$540,$W4,BB$1:BB$2),BB3)</f>
        <v>0.8571428571428571</v>
      </c>
      <c r="BC4">
        <f>IF(BC3&lt;DMAX($A$1:$L$540,$W4,BC$1:BC$2),DMAX($A$1:$L$540,$W4,BC$1:BC$2),BC3)</f>
        <v>1</v>
      </c>
      <c r="BD4">
        <f>IF(BD3&lt;DMAX($A$1:$L$540,$W4,BD$1:BD$2),DMAX($A$1:$L$540,$W4,BD$1:BD$2),BD3)</f>
        <v>0</v>
      </c>
      <c r="BE4">
        <f>IF(BE3&lt;DMAX($A$1:$L$540,$W4,BE$1:BE$2),DMAX($A$1:$L$540,$W4,BE$1:BE$2),BE3)</f>
        <v>0.47619047619047616</v>
      </c>
      <c r="BF4">
        <f>IF(BF3&lt;DMAX($A$1:$L$540,$W4,BF$1:BF$2),DMAX($A$1:$L$540,$W4,BF$1:BF$2),BF3)</f>
        <v>0.73333333333333328</v>
      </c>
      <c r="BG4">
        <f>IF(BG3&lt;DMAX($A$1:$L$540,$W4,BG$1:BG$2),DMAX($A$1:$L$540,$W4,BG$1:BG$2),BG3)</f>
        <v>0.66049382716049387</v>
      </c>
      <c r="BH4">
        <f>IF(BH3&lt;DMAX($A$1:$L$540,$W4,BH$1:BH$2),DMAX($A$1:$L$540,$W4,BH$1:BH$2),BH3)</f>
        <v>1</v>
      </c>
      <c r="BI4">
        <f>IF(BI3&lt;DMAX($A$1:$L$540,$W4,BI$1:BI$2),DMAX($A$1:$L$540,$W4,BI$1:BI$2),BI3)</f>
        <v>0</v>
      </c>
      <c r="BJ4">
        <f>IF(BJ3&lt;DMAX($A$1:$L$540,$W4,BJ$1:BJ$2),DMAX($A$1:$L$540,$W4,BJ$1:BJ$2),BJ3)</f>
        <v>0.33962264150943394</v>
      </c>
      <c r="BK4">
        <f>IF(BK3&lt;DMAX($A$1:$L$540,$W4,BK$1:BK$2),DMAX($A$1:$L$540,$W4,BK$1:BK$2),BK3)</f>
        <v>6.7842605156037995E-3</v>
      </c>
      <c r="BL4">
        <f>IF(BL3&lt;DMAX($A$1:$L$540,$W4,BL$1:BL$2),DMAX($A$1:$L$540,$W4,BL$1:BL$2),BL3)</f>
        <v>8.4210526315789472E-3</v>
      </c>
      <c r="BM4">
        <f>IF(BM3&lt;DMAX($A$1:$L$540,$W4,BM$1:BM$2),DMAX($A$1:$L$540,$W4,BM$1:BM$2),BM3)</f>
        <v>8.2372322899505763E-3</v>
      </c>
      <c r="BN4">
        <f>IF(BN3&lt;DMAX($A$1:$L$540,$W4,BN$1:BN$2),DMAX($A$1:$L$540,$W4,BN$1:BN$2),BN3)</f>
        <v>0</v>
      </c>
      <c r="BO4">
        <f>IF(BO3&lt;DMAX($A$1:$L$540,$W4,BO$1:BO$2),DMAX($A$1:$L$540,$W4,BO$1:BO$2),BO3)</f>
        <v>0</v>
      </c>
      <c r="BP4">
        <f>IF(BP3&lt;DMAX($A$1:$L$540,$W4,BP$1:BP$2),DMAX($A$1:$L$540,$W4,BP$1:BP$2),BP3)</f>
        <v>0</v>
      </c>
      <c r="BQ4">
        <f>IF(BQ3&lt;DMAX($A$1:$L$540,$W4,BQ$1:BQ$2),DMAX($A$1:$L$540,$W4,BQ$1:BQ$2),BQ3)</f>
        <v>0.34693877551020408</v>
      </c>
      <c r="BR4">
        <f>IF(BR3&lt;DMAX($A$1:$L$540,$W4,BR$1:BR$2),DMAX($A$1:$L$540,$W4,BR$1:BR$2),BR3)</f>
        <v>0</v>
      </c>
      <c r="BS4">
        <f>IF(BS3&lt;DMAX($A$1:$L$540,$W4,BS$1:BS$2),DMAX($A$1:$L$540,$W4,BS$1:BS$2),BS3)</f>
        <v>0.51327433628318586</v>
      </c>
      <c r="BT4">
        <f>IF(BT3&lt;DMAX($A$1:$L$540,$W4,BT$1:BT$2),DMAX($A$1:$L$540,$W4,BT$1:BT$2),BT3)</f>
        <v>1</v>
      </c>
      <c r="BU4">
        <f>IF(BU3&lt;DMAX($A$1:$L$540,$W4,BU$1:BU$2),DMAX($A$1:$L$540,$W4,BU$1:BU$2),BU3)</f>
        <v>0</v>
      </c>
      <c r="BV4">
        <f>IF(BV3&lt;DMAX($A$1:$L$540,$W4,BV$1:BV$2),DMAX($A$1:$L$540,$W4,BV$1:BV$2),BV3)</f>
        <v>1</v>
      </c>
      <c r="BW4">
        <f>IF(BW3&lt;DMAX($A$1:$L$540,$W4,BW$1:BW$2),DMAX($A$1:$L$540,$W4,BW$1:BW$2),BW3)</f>
        <v>0.65753424657534243</v>
      </c>
      <c r="BX4">
        <f>IF(BX3&lt;DMAX($A$1:$L$540,$W4,BX$1:BX$2),DMAX($A$1:$L$540,$W4,BX$1:BX$2),BX3)</f>
        <v>0.44715447154471544</v>
      </c>
      <c r="BY4">
        <f>IF(BY3&lt;DMAX($A$1:$L$540,$W4,BY$1:BY$2),DMAX($A$1:$L$540,$W4,BY$1:BY$2),BY3)</f>
        <v>0.30303030303030304</v>
      </c>
      <c r="BZ4">
        <f>IF(BZ3&lt;DMAX($A$1:$L$540,$W4,BZ$1:BZ$2),DMAX($A$1:$L$540,$W4,BZ$1:BZ$2),BZ3)</f>
        <v>0.38</v>
      </c>
      <c r="CA4">
        <f>IF(CA3&lt;DMAX($A$1:$L$540,$W4,CA$1:CA$2),DMAX($A$1:$L$540,$W4,CA$1:CA$2),CA3)</f>
        <v>0.66666666666666663</v>
      </c>
      <c r="CB4">
        <f>IF(CB3&lt;DMAX($A$1:$L$540,$W4,CB$1:CB$2),DMAX($A$1:$L$540,$W4,CB$1:CB$2),CB3)</f>
        <v>0</v>
      </c>
      <c r="CC4">
        <f>IF(CC3&lt;DMAX($A$1:$L$540,$W4,CC$1:CC$2),DMAX($A$1:$L$540,$W4,CC$1:CC$2),CC3)</f>
        <v>7.9545454545454544E-2</v>
      </c>
      <c r="CD4">
        <f>IF(CD3&lt;DMAX($A$1:$L$540,$W4,CD$1:CD$2),DMAX($A$1:$L$540,$W4,CD$1:CD$2),CD3)</f>
        <v>0.125</v>
      </c>
      <c r="CE4">
        <f>IF(CE3&lt;DMAX($A$1:$L$540,$W4,CE$1:CE$2),DMAX($A$1:$L$540,$W4,CE$1:CE$2),CE3)</f>
        <v>0</v>
      </c>
      <c r="CF4">
        <f>IF(CF3&lt;DMAX($A$1:$L$540,$W4,CF$1:CF$2),DMAX($A$1:$L$540,$W4,CF$1:CF$2),CF3)</f>
        <v>0.352112676056338</v>
      </c>
      <c r="CG4">
        <f>IF(CG3&lt;DMAX($A$1:$L$540,$W4,CG$1:CG$2),DMAX($A$1:$L$540,$W4,CG$1:CG$2),CG3)</f>
        <v>0</v>
      </c>
      <c r="CH4">
        <f>IF(CH3&lt;DMAX($A$1:$L$540,$W4,CH$1:CH$2),DMAX($A$1:$L$540,$W4,CH$1:CH$2),CH3)</f>
        <v>0</v>
      </c>
      <c r="CI4">
        <f>IF(CI3&lt;DMAX($A$1:$L$540,$W4,CI$1:CI$2),DMAX($A$1:$L$540,$W4,CI$1:CI$2),CI3)</f>
        <v>0</v>
      </c>
    </row>
    <row r="5" spans="1:87">
      <c r="A5" t="s">
        <v>458</v>
      </c>
      <c r="B5">
        <v>1</v>
      </c>
      <c r="C5" t="str">
        <f t="shared" si="0"/>
        <v>test.BallonFactory_1_</v>
      </c>
      <c r="D5">
        <v>4</v>
      </c>
      <c r="E5" s="4">
        <v>1</v>
      </c>
      <c r="F5" s="4">
        <v>0.99496255956432944</v>
      </c>
      <c r="G5" s="4" t="str">
        <f t="shared" si="1"/>
        <v/>
      </c>
      <c r="H5" s="4" t="str">
        <f t="shared" si="2"/>
        <v/>
      </c>
      <c r="I5" s="4" t="str">
        <f t="shared" si="3"/>
        <v/>
      </c>
      <c r="J5" s="4" t="str">
        <f t="shared" si="4"/>
        <v/>
      </c>
      <c r="K5" s="4">
        <f t="shared" si="5"/>
        <v>1</v>
      </c>
      <c r="L5" s="4" t="str">
        <f t="shared" si="6"/>
        <v/>
      </c>
      <c r="M5" s="4">
        <f>SUM(R5:V5)/64</f>
        <v>0.796875</v>
      </c>
      <c r="N5" s="4">
        <f t="shared" si="7"/>
        <v>0.5</v>
      </c>
      <c r="O5" s="4">
        <f t="shared" si="8"/>
        <v>64</v>
      </c>
      <c r="P5" t="s">
        <v>892</v>
      </c>
      <c r="Q5" s="8">
        <f t="shared" si="9"/>
        <v>13</v>
      </c>
      <c r="R5" s="8">
        <f t="shared" si="10"/>
        <v>10</v>
      </c>
      <c r="S5" s="8">
        <f t="shared" si="11"/>
        <v>9</v>
      </c>
      <c r="T5" s="8">
        <f t="shared" si="12"/>
        <v>12</v>
      </c>
      <c r="U5" s="8">
        <f t="shared" si="13"/>
        <v>5</v>
      </c>
      <c r="V5" s="8">
        <f>COUNTIF($X5:$CI5,"=1")</f>
        <v>15</v>
      </c>
      <c r="W5" t="s">
        <v>892</v>
      </c>
      <c r="X5">
        <f>IF(X4&lt;DMAX($A$1:$L$540,$W5,X$1:X$2),DMAX($A$1:$L$540,$W5,X$1:X$2),X4)</f>
        <v>0</v>
      </c>
      <c r="Y5">
        <f>IF(Y4&lt;DMAX($A$1:$L$540,$W5,Y$1:Y$2),DMAX($A$1:$L$540,$W5,Y$1:Y$2),Y4)</f>
        <v>0.5757575757575758</v>
      </c>
      <c r="Z5">
        <f>IF(Z4&lt;DMAX($A$1:$L$540,$W5,Z$1:Z$2),DMAX($A$1:$L$540,$W5,Z$1:Z$2),Z4)</f>
        <v>0.22222222222222221</v>
      </c>
      <c r="AA5">
        <f>IF(AA4&lt;DMAX($A$1:$L$540,$W5,AA$1:AA$2),DMAX($A$1:$L$540,$W5,AA$1:AA$2),AA4)</f>
        <v>1</v>
      </c>
      <c r="AB5">
        <f>IF(AB4&lt;DMAX($A$1:$L$540,$W5,AB$1:AB$2),DMAX($A$1:$L$540,$W5,AB$1:AB$2),AB4)</f>
        <v>0.19354838709677419</v>
      </c>
      <c r="AC5">
        <f>IF(AC4&lt;DMAX($A$1:$L$540,$W5,AC$1:AC$2),DMAX($A$1:$L$540,$W5,AC$1:AC$2),AC4)</f>
        <v>0.19354838709677419</v>
      </c>
      <c r="AD5">
        <f>IF(AD4&lt;DMAX($A$1:$L$540,$W5,AD$1:AD$2),DMAX($A$1:$L$540,$W5,AD$1:AD$2),AD4)</f>
        <v>0.375</v>
      </c>
      <c r="AE5">
        <f>IF(AE4&lt;DMAX($A$1:$L$540,$W5,AE$1:AE$2),DMAX($A$1:$L$540,$W5,AE$1:AE$2),AE4)</f>
        <v>3.2786885245901641E-2</v>
      </c>
      <c r="AF5">
        <f>IF(AF4&lt;DMAX($A$1:$L$540,$W5,AF$1:AF$2),DMAX($A$1:$L$540,$W5,AF$1:AF$2),AF4)</f>
        <v>0.75886524822695034</v>
      </c>
      <c r="AG5">
        <f>IF(AG4&lt;DMAX($A$1:$L$540,$W5,AG$1:AG$2),DMAX($A$1:$L$540,$W5,AG$1:AG$2),AG4)</f>
        <v>0.69291338582677164</v>
      </c>
      <c r="AH5">
        <f>IF(AH4&lt;DMAX($A$1:$L$540,$W5,AH$1:AH$2),DMAX($A$1:$L$540,$W5,AH$1:AH$2),AH4)</f>
        <v>0.70297029702970293</v>
      </c>
      <c r="AI5">
        <f>IF(AI4&lt;DMAX($A$1:$L$540,$W5,AI$1:AI$2),DMAX($A$1:$L$540,$W5,AI$1:AI$2),AI4)</f>
        <v>0.70588235294117652</v>
      </c>
      <c r="AJ5">
        <f>IF(AJ4&lt;DMAX($A$1:$L$540,$W5,AJ$1:AJ$2),DMAX($A$1:$L$540,$W5,AJ$1:AJ$2),AJ4)</f>
        <v>0.5</v>
      </c>
      <c r="AK5">
        <f>IF(AK4&lt;DMAX($A$1:$L$540,$W5,AK$1:AK$2),DMAX($A$1:$L$540,$W5,AK$1:AK$2),AK4)</f>
        <v>0</v>
      </c>
      <c r="AL5">
        <f>IF(AL4&lt;DMAX($A$1:$L$540,$W5,AL$1:AL$2),DMAX($A$1:$L$540,$W5,AL$1:AL$2),AL4)</f>
        <v>1</v>
      </c>
      <c r="AM5">
        <f>IF(AM4&lt;DMAX($A$1:$L$540,$W5,AM$1:AM$2),DMAX($A$1:$L$540,$W5,AM$1:AM$2),AM4)</f>
        <v>0.68229166666666663</v>
      </c>
      <c r="AN5">
        <f>IF(AN4&lt;DMAX($A$1:$L$540,$W5,AN$1:AN$2),DMAX($A$1:$L$540,$W5,AN$1:AN$2),AN4)</f>
        <v>0.52542372881355937</v>
      </c>
      <c r="AO5">
        <f>IF(AO4&lt;DMAX($A$1:$L$540,$W5,AO$1:AO$2),DMAX($A$1:$L$540,$W5,AO$1:AO$2),AO4)</f>
        <v>0.38636363636363635</v>
      </c>
      <c r="AP5">
        <f>IF(AP4&lt;DMAX($A$1:$L$540,$W5,AP$1:AP$2),DMAX($A$1:$L$540,$W5,AP$1:AP$2),AP4)</f>
        <v>0.24848484848484848</v>
      </c>
      <c r="AQ5">
        <f>IF(AQ4&lt;DMAX($A$1:$L$540,$W5,AQ$1:AQ$2),DMAX($A$1:$L$540,$W5,AQ$1:AQ$2),AQ4)</f>
        <v>0</v>
      </c>
      <c r="AR5">
        <f>IF(AR4&lt;DMAX($A$1:$L$540,$W5,AR$1:AR$2),DMAX($A$1:$L$540,$W5,AR$1:AR$2),AR4)</f>
        <v>0</v>
      </c>
      <c r="AS5">
        <f>IF(AS4&lt;DMAX($A$1:$L$540,$W5,AS$1:AS$2),DMAX($A$1:$L$540,$W5,AS$1:AS$2),AS4)</f>
        <v>0</v>
      </c>
      <c r="AT5">
        <f>IF(AT4&lt;DMAX($A$1:$L$540,$W5,AT$1:AT$2),DMAX($A$1:$L$540,$W5,AT$1:AT$2),AT4)</f>
        <v>0.14634146341463414</v>
      </c>
      <c r="AU5">
        <f>IF(AU4&lt;DMAX($A$1:$L$540,$W5,AU$1:AU$2),DMAX($A$1:$L$540,$W5,AU$1:AU$2),AU4)</f>
        <v>1</v>
      </c>
      <c r="AV5">
        <f>IF(AV4&lt;DMAX($A$1:$L$540,$W5,AV$1:AV$2),DMAX($A$1:$L$540,$W5,AV$1:AV$2),AV4)</f>
        <v>0.5178571428571429</v>
      </c>
      <c r="AW5">
        <f>IF(AW4&lt;DMAX($A$1:$L$540,$W5,AW$1:AW$2),DMAX($A$1:$L$540,$W5,AW$1:AW$2),AW4)</f>
        <v>0.36046511627906974</v>
      </c>
      <c r="AX5">
        <f>IF(AX4&lt;DMAX($A$1:$L$540,$W5,AX$1:AX$2),DMAX($A$1:$L$540,$W5,AX$1:AX$2),AX4)</f>
        <v>0.45652173913043476</v>
      </c>
      <c r="AY5">
        <f>IF(AY4&lt;DMAX($A$1:$L$540,$W5,AY$1:AY$2),DMAX($A$1:$L$540,$W5,AY$1:AY$2),AY4)</f>
        <v>0.43333333333333335</v>
      </c>
      <c r="AZ5">
        <f>IF(AZ4&lt;DMAX($A$1:$L$540,$W5,AZ$1:AZ$2),DMAX($A$1:$L$540,$W5,AZ$1:AZ$2),AZ4)</f>
        <v>0</v>
      </c>
      <c r="BA5">
        <f>IF(BA4&lt;DMAX($A$1:$L$540,$W5,BA$1:BA$2),DMAX($A$1:$L$540,$W5,BA$1:BA$2),BA4)</f>
        <v>1</v>
      </c>
      <c r="BB5">
        <f>IF(BB4&lt;DMAX($A$1:$L$540,$W5,BB$1:BB$2),DMAX($A$1:$L$540,$W5,BB$1:BB$2),BB4)</f>
        <v>1</v>
      </c>
      <c r="BC5">
        <f>IF(BC4&lt;DMAX($A$1:$L$540,$W5,BC$1:BC$2),DMAX($A$1:$L$540,$W5,BC$1:BC$2),BC4)</f>
        <v>1</v>
      </c>
      <c r="BD5">
        <f>IF(BD4&lt;DMAX($A$1:$L$540,$W5,BD$1:BD$2),DMAX($A$1:$L$540,$W5,BD$1:BD$2),BD4)</f>
        <v>0.36363636363636365</v>
      </c>
      <c r="BE5">
        <f>IF(BE4&lt;DMAX($A$1:$L$540,$W5,BE$1:BE$2),DMAX($A$1:$L$540,$W5,BE$1:BE$2),BE4)</f>
        <v>0.47619047619047616</v>
      </c>
      <c r="BF5">
        <f>IF(BF4&lt;DMAX($A$1:$L$540,$W5,BF$1:BF$2),DMAX($A$1:$L$540,$W5,BF$1:BF$2),BF4)</f>
        <v>1</v>
      </c>
      <c r="BG5">
        <f>IF(BG4&lt;DMAX($A$1:$L$540,$W5,BG$1:BG$2),DMAX($A$1:$L$540,$W5,BG$1:BG$2),BG4)</f>
        <v>1</v>
      </c>
      <c r="BH5">
        <f>IF(BH4&lt;DMAX($A$1:$L$540,$W5,BH$1:BH$2),DMAX($A$1:$L$540,$W5,BH$1:BH$2),BH4)</f>
        <v>1</v>
      </c>
      <c r="BI5">
        <f>IF(BI4&lt;DMAX($A$1:$L$540,$W5,BI$1:BI$2),DMAX($A$1:$L$540,$W5,BI$1:BI$2),BI4)</f>
        <v>0</v>
      </c>
      <c r="BJ5">
        <f>IF(BJ4&lt;DMAX($A$1:$L$540,$W5,BJ$1:BJ$2),DMAX($A$1:$L$540,$W5,BJ$1:BJ$2),BJ4)</f>
        <v>0.33962264150943394</v>
      </c>
      <c r="BK5">
        <f>IF(BK4&lt;DMAX($A$1:$L$540,$W5,BK$1:BK$2),DMAX($A$1:$L$540,$W5,BK$1:BK$2),BK4)</f>
        <v>6.7842605156037995E-3</v>
      </c>
      <c r="BL5">
        <f>IF(BL4&lt;DMAX($A$1:$L$540,$W5,BL$1:BL$2),DMAX($A$1:$L$540,$W5,BL$1:BL$2),BL4)</f>
        <v>8.4210526315789472E-3</v>
      </c>
      <c r="BM5">
        <f>IF(BM4&lt;DMAX($A$1:$L$540,$W5,BM$1:BM$2),DMAX($A$1:$L$540,$W5,BM$1:BM$2),BM4)</f>
        <v>8.2372322899505763E-3</v>
      </c>
      <c r="BN5">
        <f>IF(BN4&lt;DMAX($A$1:$L$540,$W5,BN$1:BN$2),DMAX($A$1:$L$540,$W5,BN$1:BN$2),BN4)</f>
        <v>1</v>
      </c>
      <c r="BO5">
        <f>IF(BO4&lt;DMAX($A$1:$L$540,$W5,BO$1:BO$2),DMAX($A$1:$L$540,$W5,BO$1:BO$2),BO4)</f>
        <v>1</v>
      </c>
      <c r="BP5">
        <f>IF(BP4&lt;DMAX($A$1:$L$540,$W5,BP$1:BP$2),DMAX($A$1:$L$540,$W5,BP$1:BP$2),BP4)</f>
        <v>0.74603174603174605</v>
      </c>
      <c r="BQ5">
        <f>IF(BQ4&lt;DMAX($A$1:$L$540,$W5,BQ$1:BQ$2),DMAX($A$1:$L$540,$W5,BQ$1:BQ$2),BQ4)</f>
        <v>0.34693877551020408</v>
      </c>
      <c r="BR5">
        <f>IF(BR4&lt;DMAX($A$1:$L$540,$W5,BR$1:BR$2),DMAX($A$1:$L$540,$W5,BR$1:BR$2),BR4)</f>
        <v>0.1</v>
      </c>
      <c r="BS5">
        <f>IF(BS4&lt;DMAX($A$1:$L$540,$W5,BS$1:BS$2),DMAX($A$1:$L$540,$W5,BS$1:BS$2),BS4)</f>
        <v>1</v>
      </c>
      <c r="BT5">
        <f>IF(BT4&lt;DMAX($A$1:$L$540,$W5,BT$1:BT$2),DMAX($A$1:$L$540,$W5,BT$1:BT$2),BT4)</f>
        <v>1</v>
      </c>
      <c r="BU5">
        <f>IF(BU4&lt;DMAX($A$1:$L$540,$W5,BU$1:BU$2),DMAX($A$1:$L$540,$W5,BU$1:BU$2),BU4)</f>
        <v>0</v>
      </c>
      <c r="BV5">
        <f>IF(BV4&lt;DMAX($A$1:$L$540,$W5,BV$1:BV$2),DMAX($A$1:$L$540,$W5,BV$1:BV$2),BV4)</f>
        <v>1</v>
      </c>
      <c r="BW5">
        <f>IF(BW4&lt;DMAX($A$1:$L$540,$W5,BW$1:BW$2),DMAX($A$1:$L$540,$W5,BW$1:BW$2),BW4)</f>
        <v>0.78082191780821919</v>
      </c>
      <c r="BX5">
        <f>IF(BX4&lt;DMAX($A$1:$L$540,$W5,BX$1:BX$2),DMAX($A$1:$L$540,$W5,BX$1:BX$2),BX4)</f>
        <v>0.57723577235772361</v>
      </c>
      <c r="BY5">
        <f>IF(BY4&lt;DMAX($A$1:$L$540,$W5,BY$1:BY$2),DMAX($A$1:$L$540,$W5,BY$1:BY$2),BY4)</f>
        <v>0.66666666666666663</v>
      </c>
      <c r="BZ5">
        <f>IF(BZ4&lt;DMAX($A$1:$L$540,$W5,BZ$1:BZ$2),DMAX($A$1:$L$540,$W5,BZ$1:BZ$2),BZ4)</f>
        <v>0.88</v>
      </c>
      <c r="CA5">
        <f>IF(CA4&lt;DMAX($A$1:$L$540,$W5,CA$1:CA$2),DMAX($A$1:$L$540,$W5,CA$1:CA$2),CA4)</f>
        <v>0.77777777777777779</v>
      </c>
      <c r="CB5">
        <f>IF(CB4&lt;DMAX($A$1:$L$540,$W5,CB$1:CB$2),DMAX($A$1:$L$540,$W5,CB$1:CB$2),CB4)</f>
        <v>0</v>
      </c>
      <c r="CC5">
        <f>IF(CC4&lt;DMAX($A$1:$L$540,$W5,CC$1:CC$2),DMAX($A$1:$L$540,$W5,CC$1:CC$2),CC4)</f>
        <v>1</v>
      </c>
      <c r="CD5">
        <f>IF(CD4&lt;DMAX($A$1:$L$540,$W5,CD$1:CD$2),DMAX($A$1:$L$540,$W5,CD$1:CD$2),CD4)</f>
        <v>0.7678571428571429</v>
      </c>
      <c r="CE5">
        <f>IF(CE4&lt;DMAX($A$1:$L$540,$W5,CE$1:CE$2),DMAX($A$1:$L$540,$W5,CE$1:CE$2),CE4)</f>
        <v>0</v>
      </c>
      <c r="CF5">
        <f>IF(CF4&lt;DMAX($A$1:$L$540,$W5,CF$1:CF$2),DMAX($A$1:$L$540,$W5,CF$1:CF$2),CF4)</f>
        <v>0.70422535211267601</v>
      </c>
      <c r="CG5">
        <f>IF(CG4&lt;DMAX($A$1:$L$540,$W5,CG$1:CG$2),DMAX($A$1:$L$540,$W5,CG$1:CG$2),CG4)</f>
        <v>0</v>
      </c>
      <c r="CH5">
        <f>IF(CH4&lt;DMAX($A$1:$L$540,$W5,CH$1:CH$2),DMAX($A$1:$L$540,$W5,CH$1:CH$2),CH4)</f>
        <v>0</v>
      </c>
      <c r="CI5">
        <f>IF(CI4&lt;DMAX($A$1:$L$540,$W5,CI$1:CI$2),DMAX($A$1:$L$540,$W5,CI$1:CI$2),CI4)</f>
        <v>0</v>
      </c>
    </row>
    <row r="6" spans="1:87">
      <c r="A6" t="s">
        <v>458</v>
      </c>
      <c r="B6">
        <v>2</v>
      </c>
      <c r="C6" t="str">
        <f t="shared" si="0"/>
        <v>test.BallonFactory_2_</v>
      </c>
      <c r="D6">
        <v>1</v>
      </c>
      <c r="E6" s="4">
        <v>0.33333333333333331</v>
      </c>
      <c r="F6" s="4">
        <v>0.4226618705035971</v>
      </c>
      <c r="G6" s="4" t="str">
        <f t="shared" si="1"/>
        <v/>
      </c>
      <c r="H6" s="4" t="str">
        <f t="shared" si="2"/>
        <v/>
      </c>
      <c r="I6" s="4">
        <f t="shared" si="3"/>
        <v>0.33333333333333331</v>
      </c>
      <c r="J6" s="4" t="str">
        <f t="shared" si="4"/>
        <v/>
      </c>
      <c r="K6" s="4" t="str">
        <f t="shared" si="5"/>
        <v/>
      </c>
      <c r="L6" s="4" t="str">
        <f t="shared" si="6"/>
        <v/>
      </c>
      <c r="M6" s="4">
        <f>25/64</f>
        <v>0.390625</v>
      </c>
      <c r="N6" s="4">
        <f>SUM(T6:V6)/64</f>
        <v>0.6875</v>
      </c>
      <c r="O6" s="4">
        <f t="shared" si="8"/>
        <v>64</v>
      </c>
      <c r="P6" t="s">
        <v>967</v>
      </c>
      <c r="Q6" s="8">
        <f t="shared" si="9"/>
        <v>9</v>
      </c>
      <c r="R6" s="8">
        <f t="shared" si="10"/>
        <v>6</v>
      </c>
      <c r="S6" s="8">
        <f t="shared" si="11"/>
        <v>5</v>
      </c>
      <c r="T6" s="8">
        <f t="shared" si="12"/>
        <v>12</v>
      </c>
      <c r="U6" s="8">
        <f t="shared" si="13"/>
        <v>7</v>
      </c>
      <c r="V6" s="8">
        <f t="shared" si="14"/>
        <v>25</v>
      </c>
      <c r="W6" t="s">
        <v>967</v>
      </c>
      <c r="X6">
        <f>IF(X5&lt;DMAX($A$1:$L$540,$W6,X$1:X$2),DMAX($A$1:$L$540,$W6,X$1:X$2),X5)</f>
        <v>0</v>
      </c>
      <c r="Y6">
        <f>IF(Y5&lt;DMAX($A$1:$L$540,$W6,Y$1:Y$2),DMAX($A$1:$L$540,$W6,Y$1:Y$2),Y5)</f>
        <v>0.93939393939393945</v>
      </c>
      <c r="Z6">
        <f>IF(Z5&lt;DMAX($A$1:$L$540,$W6,Z$1:Z$2),DMAX($A$1:$L$540,$W6,Z$1:Z$2),Z5)</f>
        <v>0.55555555555555558</v>
      </c>
      <c r="AA6">
        <f>IF(AA5&lt;DMAX($A$1:$L$540,$W6,AA$1:AA$2),DMAX($A$1:$L$540,$W6,AA$1:AA$2),AA5)</f>
        <v>1</v>
      </c>
      <c r="AB6">
        <f>IF(AB5&lt;DMAX($A$1:$L$540,$W6,AB$1:AB$2),DMAX($A$1:$L$540,$W6,AB$1:AB$2),AB5)</f>
        <v>0.93548387096774188</v>
      </c>
      <c r="AC6">
        <f>IF(AC5&lt;DMAX($A$1:$L$540,$W6,AC$1:AC$2),DMAX($A$1:$L$540,$W6,AC$1:AC$2),AC5)</f>
        <v>0.93548387096774188</v>
      </c>
      <c r="AD6">
        <f>IF(AD5&lt;DMAX($A$1:$L$540,$W6,AD$1:AD$2),DMAX($A$1:$L$540,$W6,AD$1:AD$2),AD5)</f>
        <v>0.625</v>
      </c>
      <c r="AE6">
        <f>IF(AE5&lt;DMAX($A$1:$L$540,$W6,AE$1:AE$2),DMAX($A$1:$L$540,$W6,AE$1:AE$2),AE5)</f>
        <v>3.2786885245901641E-2</v>
      </c>
      <c r="AF6">
        <f>IF(AF5&lt;DMAX($A$1:$L$540,$W6,AF$1:AF$2),DMAX($A$1:$L$540,$W6,AF$1:AF$2),AF5)</f>
        <v>0.75886524822695034</v>
      </c>
      <c r="AG6">
        <f>IF(AG5&lt;DMAX($A$1:$L$540,$W6,AG$1:AG$2),DMAX($A$1:$L$540,$W6,AG$1:AG$2),AG5)</f>
        <v>0.73228346456692917</v>
      </c>
      <c r="AH6">
        <f>IF(AH5&lt;DMAX($A$1:$L$540,$W6,AH$1:AH$2),DMAX($A$1:$L$540,$W6,AH$1:AH$2),AH5)</f>
        <v>0.70297029702970293</v>
      </c>
      <c r="AI6">
        <f>IF(AI5&lt;DMAX($A$1:$L$540,$W6,AI$1:AI$2),DMAX($A$1:$L$540,$W6,AI$1:AI$2),AI5)</f>
        <v>1</v>
      </c>
      <c r="AJ6">
        <f>IF(AJ5&lt;DMAX($A$1:$L$540,$W6,AJ$1:AJ$2),DMAX($A$1:$L$540,$W6,AJ$1:AJ$2),AJ5)</f>
        <v>0.5</v>
      </c>
      <c r="AK6">
        <f>IF(AK5&lt;DMAX($A$1:$L$540,$W6,AK$1:AK$2),DMAX($A$1:$L$540,$W6,AK$1:AK$2),AK5)</f>
        <v>0</v>
      </c>
      <c r="AL6">
        <f>IF(AL5&lt;DMAX($A$1:$L$540,$W6,AL$1:AL$2),DMAX($A$1:$L$540,$W6,AL$1:AL$2),AL5)</f>
        <v>1</v>
      </c>
      <c r="AM6">
        <f>IF(AM5&lt;DMAX($A$1:$L$540,$W6,AM$1:AM$2),DMAX($A$1:$L$540,$W6,AM$1:AM$2),AM5)</f>
        <v>0.68229166666666663</v>
      </c>
      <c r="AN6">
        <f>IF(AN5&lt;DMAX($A$1:$L$540,$W6,AN$1:AN$2),DMAX($A$1:$L$540,$W6,AN$1:AN$2),AN5)</f>
        <v>1</v>
      </c>
      <c r="AO6">
        <f>IF(AO5&lt;DMAX($A$1:$L$540,$W6,AO$1:AO$2),DMAX($A$1:$L$540,$W6,AO$1:AO$2),AO5)</f>
        <v>0.38636363636363635</v>
      </c>
      <c r="AP6">
        <f>IF(AP5&lt;DMAX($A$1:$L$540,$W6,AP$1:AP$2),DMAX($A$1:$L$540,$W6,AP$1:AP$2),AP5)</f>
        <v>0.24848484848484848</v>
      </c>
      <c r="AQ6">
        <f>IF(AQ5&lt;DMAX($A$1:$L$540,$W6,AQ$1:AQ$2),DMAX($A$1:$L$540,$W6,AQ$1:AQ$2),AQ5)</f>
        <v>0.84036144578313254</v>
      </c>
      <c r="AR6">
        <f>IF(AR5&lt;DMAX($A$1:$L$540,$W6,AR$1:AR$2),DMAX($A$1:$L$540,$W6,AR$1:AR$2),AR5)</f>
        <v>0</v>
      </c>
      <c r="AS6">
        <f>IF(AS5&lt;DMAX($A$1:$L$540,$W6,AS$1:AS$2),DMAX($A$1:$L$540,$W6,AS$1:AS$2),AS5)</f>
        <v>1</v>
      </c>
      <c r="AT6">
        <f>IF(AT5&lt;DMAX($A$1:$L$540,$W6,AT$1:AT$2),DMAX($A$1:$L$540,$W6,AT$1:AT$2),AT5)</f>
        <v>0.17073170731707318</v>
      </c>
      <c r="AU6">
        <f>IF(AU5&lt;DMAX($A$1:$L$540,$W6,AU$1:AU$2),DMAX($A$1:$L$540,$W6,AU$1:AU$2),AU5)</f>
        <v>1</v>
      </c>
      <c r="AV6">
        <f>IF(AV5&lt;DMAX($A$1:$L$540,$W6,AV$1:AV$2),DMAX($A$1:$L$540,$W6,AV$1:AV$2),AV5)</f>
        <v>0.5178571428571429</v>
      </c>
      <c r="AW6">
        <f>IF(AW5&lt;DMAX($A$1:$L$540,$W6,AW$1:AW$2),DMAX($A$1:$L$540,$W6,AW$1:AW$2),AW5)</f>
        <v>0.81395348837209303</v>
      </c>
      <c r="AX6">
        <f>IF(AX5&lt;DMAX($A$1:$L$540,$W6,AX$1:AX$2),DMAX($A$1:$L$540,$W6,AX$1:AX$2),AX5)</f>
        <v>0.45652173913043476</v>
      </c>
      <c r="AY6">
        <f>IF(AY5&lt;DMAX($A$1:$L$540,$W6,AY$1:AY$2),DMAX($A$1:$L$540,$W6,AY$1:AY$2),AY5)</f>
        <v>0.93333333333333335</v>
      </c>
      <c r="AZ6">
        <f>IF(AZ5&lt;DMAX($A$1:$L$540,$W6,AZ$1:AZ$2),DMAX($A$1:$L$540,$W6,AZ$1:AZ$2),AZ5)</f>
        <v>0</v>
      </c>
      <c r="BA6">
        <f>IF(BA5&lt;DMAX($A$1:$L$540,$W6,BA$1:BA$2),DMAX($A$1:$L$540,$W6,BA$1:BA$2),BA5)</f>
        <v>1</v>
      </c>
      <c r="BB6">
        <f>IF(BB5&lt;DMAX($A$1:$L$540,$W6,BB$1:BB$2),DMAX($A$1:$L$540,$W6,BB$1:BB$2),BB5)</f>
        <v>1</v>
      </c>
      <c r="BC6">
        <f>IF(BC5&lt;DMAX($A$1:$L$540,$W6,BC$1:BC$2),DMAX($A$1:$L$540,$W6,BC$1:BC$2),BC5)</f>
        <v>1</v>
      </c>
      <c r="BD6">
        <f>IF(BD5&lt;DMAX($A$1:$L$540,$W6,BD$1:BD$2),DMAX($A$1:$L$540,$W6,BD$1:BD$2),BD5)</f>
        <v>0.54545454545454541</v>
      </c>
      <c r="BE6">
        <f>IF(BE5&lt;DMAX($A$1:$L$540,$W6,BE$1:BE$2),DMAX($A$1:$L$540,$W6,BE$1:BE$2),BE5)</f>
        <v>1</v>
      </c>
      <c r="BF6">
        <f>IF(BF5&lt;DMAX($A$1:$L$540,$W6,BF$1:BF$2),DMAX($A$1:$L$540,$W6,BF$1:BF$2),BF5)</f>
        <v>1</v>
      </c>
      <c r="BG6">
        <f>IF(BG5&lt;DMAX($A$1:$L$540,$W6,BG$1:BG$2),DMAX($A$1:$L$540,$W6,BG$1:BG$2),BG5)</f>
        <v>1</v>
      </c>
      <c r="BH6">
        <f>IF(BH5&lt;DMAX($A$1:$L$540,$W6,BH$1:BH$2),DMAX($A$1:$L$540,$W6,BH$1:BH$2),BH5)</f>
        <v>1</v>
      </c>
      <c r="BI6">
        <f>IF(BI5&lt;DMAX($A$1:$L$540,$W6,BI$1:BI$2),DMAX($A$1:$L$540,$W6,BI$1:BI$2),BI5)</f>
        <v>0</v>
      </c>
      <c r="BJ6">
        <f>IF(BJ5&lt;DMAX($A$1:$L$540,$W6,BJ$1:BJ$2),DMAX($A$1:$L$540,$W6,BJ$1:BJ$2),BJ5)</f>
        <v>0.33962264150943394</v>
      </c>
      <c r="BK6">
        <f>IF(BK5&lt;DMAX($A$1:$L$540,$W6,BK$1:BK$2),DMAX($A$1:$L$540,$W6,BK$1:BK$2),BK5)</f>
        <v>6.7842605156037995E-3</v>
      </c>
      <c r="BL6">
        <f>IF(BL5&lt;DMAX($A$1:$L$540,$W6,BL$1:BL$2),DMAX($A$1:$L$540,$W6,BL$1:BL$2),BL5)</f>
        <v>8.4210526315789472E-3</v>
      </c>
      <c r="BM6">
        <f>IF(BM5&lt;DMAX($A$1:$L$540,$W6,BM$1:BM$2),DMAX($A$1:$L$540,$W6,BM$1:BM$2),BM5)</f>
        <v>8.2372322899505763E-3</v>
      </c>
      <c r="BN6">
        <f>IF(BN5&lt;DMAX($A$1:$L$540,$W6,BN$1:BN$2),DMAX($A$1:$L$540,$W6,BN$1:BN$2),BN5)</f>
        <v>1</v>
      </c>
      <c r="BO6">
        <f>IF(BO5&lt;DMAX($A$1:$L$540,$W6,BO$1:BO$2),DMAX($A$1:$L$540,$W6,BO$1:BO$2),BO5)</f>
        <v>1</v>
      </c>
      <c r="BP6">
        <f>IF(BP5&lt;DMAX($A$1:$L$540,$W6,BP$1:BP$2),DMAX($A$1:$L$540,$W6,BP$1:BP$2),BP5)</f>
        <v>0.74603174603174605</v>
      </c>
      <c r="BQ6">
        <f>IF(BQ5&lt;DMAX($A$1:$L$540,$W6,BQ$1:BQ$2),DMAX($A$1:$L$540,$W6,BQ$1:BQ$2),BQ5)</f>
        <v>0.34693877551020408</v>
      </c>
      <c r="BR6">
        <f>IF(BR5&lt;DMAX($A$1:$L$540,$W6,BR$1:BR$2),DMAX($A$1:$L$540,$W6,BR$1:BR$2),BR5)</f>
        <v>0.6</v>
      </c>
      <c r="BS6">
        <f>IF(BS5&lt;DMAX($A$1:$L$540,$W6,BS$1:BS$2),DMAX($A$1:$L$540,$W6,BS$1:BS$2),BS5)</f>
        <v>1</v>
      </c>
      <c r="BT6">
        <f>IF(BT5&lt;DMAX($A$1:$L$540,$W6,BT$1:BT$2),DMAX($A$1:$L$540,$W6,BT$1:BT$2),BT5)</f>
        <v>1</v>
      </c>
      <c r="BU6">
        <f>IF(BU5&lt;DMAX($A$1:$L$540,$W6,BU$1:BU$2),DMAX($A$1:$L$540,$W6,BU$1:BU$2),BU5)</f>
        <v>0</v>
      </c>
      <c r="BV6">
        <f>IF(BV5&lt;DMAX($A$1:$L$540,$W6,BV$1:BV$2),DMAX($A$1:$L$540,$W6,BV$1:BV$2),BV5)</f>
        <v>1</v>
      </c>
      <c r="BW6">
        <f>IF(BW5&lt;DMAX($A$1:$L$540,$W6,BW$1:BW$2),DMAX($A$1:$L$540,$W6,BW$1:BW$2),BW5)</f>
        <v>1</v>
      </c>
      <c r="BX6">
        <f>IF(BX5&lt;DMAX($A$1:$L$540,$W6,BX$1:BX$2),DMAX($A$1:$L$540,$W6,BX$1:BX$2),BX5)</f>
        <v>1</v>
      </c>
      <c r="BY6">
        <f>IF(BY5&lt;DMAX($A$1:$L$540,$W6,BY$1:BY$2),DMAX($A$1:$L$540,$W6,BY$1:BY$2),BY5)</f>
        <v>0.66666666666666663</v>
      </c>
      <c r="BZ6">
        <f>IF(BZ5&lt;DMAX($A$1:$L$540,$W6,BZ$1:BZ$2),DMAX($A$1:$L$540,$W6,BZ$1:BZ$2),BZ5)</f>
        <v>1</v>
      </c>
      <c r="CA6">
        <f>IF(CA5&lt;DMAX($A$1:$L$540,$W6,CA$1:CA$2),DMAX($A$1:$L$540,$W6,CA$1:CA$2),CA5)</f>
        <v>1</v>
      </c>
      <c r="CB6">
        <f>IF(CB5&lt;DMAX($A$1:$L$540,$W6,CB$1:CB$2),DMAX($A$1:$L$540,$W6,CB$1:CB$2),CB5)</f>
        <v>0</v>
      </c>
      <c r="CC6">
        <f>IF(CC5&lt;DMAX($A$1:$L$540,$W6,CC$1:CC$2),DMAX($A$1:$L$540,$W6,CC$1:CC$2),CC5)</f>
        <v>1</v>
      </c>
      <c r="CD6">
        <f>IF(CD5&lt;DMAX($A$1:$L$540,$W6,CD$1:CD$2),DMAX($A$1:$L$540,$W6,CD$1:CD$2),CD5)</f>
        <v>1</v>
      </c>
      <c r="CE6">
        <f>IF(CE5&lt;DMAX($A$1:$L$540,$W6,CE$1:CE$2),DMAX($A$1:$L$540,$W6,CE$1:CE$2),CE5)</f>
        <v>0.42857142857142855</v>
      </c>
      <c r="CF6">
        <f>IF(CF5&lt;DMAX($A$1:$L$540,$W6,CF$1:CF$2),DMAX($A$1:$L$540,$W6,CF$1:CF$2),CF5)</f>
        <v>1</v>
      </c>
      <c r="CG6">
        <f>IF(CG5&lt;DMAX($A$1:$L$540,$W6,CG$1:CG$2),DMAX($A$1:$L$540,$W6,CG$1:CG$2),CG5)</f>
        <v>0.74193548387096775</v>
      </c>
      <c r="CH6">
        <f>IF(CH5&lt;DMAX($A$1:$L$540,$W6,CH$1:CH$2),DMAX($A$1:$L$540,$W6,CH$1:CH$2),CH5)</f>
        <v>0</v>
      </c>
      <c r="CI6">
        <f>IF(CI5&lt;DMAX($A$1:$L$540,$W6,CI$1:CI$2),DMAX($A$1:$L$540,$W6,CI$1:CI$2),CI5)</f>
        <v>0</v>
      </c>
    </row>
    <row r="7" spans="1:87">
      <c r="A7" t="s">
        <v>458</v>
      </c>
      <c r="B7">
        <v>2</v>
      </c>
      <c r="C7" t="str">
        <f t="shared" si="0"/>
        <v>test.BallonFactory_2_</v>
      </c>
      <c r="D7">
        <v>2</v>
      </c>
      <c r="E7" s="4">
        <v>0.5757575757575758</v>
      </c>
      <c r="F7" s="4">
        <v>0.58992805755395683</v>
      </c>
      <c r="G7" s="4" t="str">
        <f t="shared" si="1"/>
        <v/>
      </c>
      <c r="H7" s="4" t="str">
        <f t="shared" si="2"/>
        <v/>
      </c>
      <c r="I7" s="4">
        <f t="shared" si="3"/>
        <v>0.5757575757575758</v>
      </c>
      <c r="J7" s="4" t="str">
        <f t="shared" si="4"/>
        <v/>
      </c>
      <c r="K7" s="4" t="str">
        <f t="shared" si="5"/>
        <v/>
      </c>
      <c r="L7" s="4" t="str">
        <f t="shared" si="6"/>
        <v/>
      </c>
      <c r="M7" s="4"/>
      <c r="N7" s="4">
        <f t="shared" si="7"/>
        <v>0.96875</v>
      </c>
      <c r="O7" s="4">
        <f t="shared" si="8"/>
        <v>64</v>
      </c>
      <c r="P7" s="7" t="s">
        <v>893</v>
      </c>
      <c r="Q7" s="8">
        <f t="shared" si="9"/>
        <v>1</v>
      </c>
      <c r="R7" s="8">
        <f t="shared" si="10"/>
        <v>0</v>
      </c>
      <c r="S7" s="8">
        <f t="shared" si="11"/>
        <v>1</v>
      </c>
      <c r="T7" s="8">
        <f t="shared" si="12"/>
        <v>1</v>
      </c>
      <c r="U7" s="8">
        <f t="shared" si="13"/>
        <v>1</v>
      </c>
      <c r="V7" s="8">
        <f t="shared" si="14"/>
        <v>60</v>
      </c>
      <c r="W7" s="7" t="s">
        <v>893</v>
      </c>
      <c r="X7">
        <f>IF(X6&lt;DMAX($A$1:$L$540,$W7,X$1:X$2),DMAX($A$1:$L$540,$W7,X$1:X$2),X6)</f>
        <v>1</v>
      </c>
      <c r="Y7">
        <f>IF(Y6&lt;DMAX($A$1:$L$540,$W7,Y$1:Y$2),DMAX($A$1:$L$540,$W7,Y$1:Y$2),Y6)</f>
        <v>1</v>
      </c>
      <c r="Z7">
        <f>IF(Z6&lt;DMAX($A$1:$L$540,$W7,Z$1:Z$2),DMAX($A$1:$L$540,$W7,Z$1:Z$2),Z6)</f>
        <v>1</v>
      </c>
      <c r="AA7">
        <f>IF(AA6&lt;DMAX($A$1:$L$540,$W7,AA$1:AA$2),DMAX($A$1:$L$540,$W7,AA$1:AA$2),AA6)</f>
        <v>1</v>
      </c>
      <c r="AB7">
        <f>IF(AB6&lt;DMAX($A$1:$L$540,$W7,AB$1:AB$2),DMAX($A$1:$L$540,$W7,AB$1:AB$2),AB6)</f>
        <v>1</v>
      </c>
      <c r="AC7">
        <f>IF(AC6&lt;DMAX($A$1:$L$540,$W7,AC$1:AC$2),DMAX($A$1:$L$540,$W7,AC$1:AC$2),AC6)</f>
        <v>1</v>
      </c>
      <c r="AD7">
        <f>IF(AD6&lt;DMAX($A$1:$L$540,$W7,AD$1:AD$2),DMAX($A$1:$L$540,$W7,AD$1:AD$2),AD6)</f>
        <v>1</v>
      </c>
      <c r="AE7">
        <f>IF(AE6&lt;DMAX($A$1:$L$540,$W7,AE$1:AE$2),DMAX($A$1:$L$540,$W7,AE$1:AE$2),AE6)</f>
        <v>1</v>
      </c>
      <c r="AF7">
        <f>IF(AF6&lt;DMAX($A$1:$L$540,$W7,AF$1:AF$2),DMAX($A$1:$L$540,$W7,AF$1:AF$2),AF6)</f>
        <v>1</v>
      </c>
      <c r="AG7">
        <f>IF(AG6&lt;DMAX($A$1:$L$540,$W7,AG$1:AG$2),DMAX($A$1:$L$540,$W7,AG$1:AG$2),AG6)</f>
        <v>1</v>
      </c>
      <c r="AH7">
        <f>IF(AH6&lt;DMAX($A$1:$L$540,$W7,AH$1:AH$2),DMAX($A$1:$L$540,$W7,AH$1:AH$2),AH6)</f>
        <v>1</v>
      </c>
      <c r="AI7">
        <f>IF(AI6&lt;DMAX($A$1:$L$540,$W7,AI$1:AI$2),DMAX($A$1:$L$540,$W7,AI$1:AI$2),AI6)</f>
        <v>1</v>
      </c>
      <c r="AJ7">
        <f>IF(AJ6&lt;DMAX($A$1:$L$540,$W7,AJ$1:AJ$2),DMAX($A$1:$L$540,$W7,AJ$1:AJ$2),AJ6)</f>
        <v>1</v>
      </c>
      <c r="AK7">
        <f>IF(AK6&lt;DMAX($A$1:$L$540,$W7,AK$1:AK$2),DMAX($A$1:$L$540,$W7,AK$1:AK$2),AK6)</f>
        <v>1</v>
      </c>
      <c r="AL7">
        <f>IF(AL6&lt;DMAX($A$1:$L$540,$W7,AL$1:AL$2),DMAX($A$1:$L$540,$W7,AL$1:AL$2),AL6)</f>
        <v>1</v>
      </c>
      <c r="AM7">
        <f>IF(AM6&lt;DMAX($A$1:$L$540,$W7,AM$1:AM$2),DMAX($A$1:$L$540,$W7,AM$1:AM$2),AM6)</f>
        <v>1</v>
      </c>
      <c r="AN7">
        <f>IF(AN6&lt;DMAX($A$1:$L$540,$W7,AN$1:AN$2),DMAX($A$1:$L$540,$W7,AN$1:AN$2),AN6)</f>
        <v>1</v>
      </c>
      <c r="AO7">
        <f>IF(AO6&lt;DMAX($A$1:$L$540,$W7,AO$1:AO$2),DMAX($A$1:$L$540,$W7,AO$1:AO$2),AO6)</f>
        <v>1</v>
      </c>
      <c r="AP7">
        <f>IF(AP6&lt;DMAX($A$1:$L$540,$W7,AP$1:AP$2),DMAX($A$1:$L$540,$W7,AP$1:AP$2),AP6)</f>
        <v>1</v>
      </c>
      <c r="AQ7">
        <f>IF(AQ6&lt;DMAX($A$1:$L$540,$W7,AQ$1:AQ$2),DMAX($A$1:$L$540,$W7,AQ$1:AQ$2),AQ6)</f>
        <v>1</v>
      </c>
      <c r="AR7">
        <f>IF(AR6&lt;DMAX($A$1:$L$540,$W7,AR$1:AR$2),DMAX($A$1:$L$540,$W7,AR$1:AR$2),AR6)</f>
        <v>0.99224806201550386</v>
      </c>
      <c r="AS7">
        <f>IF(AS6&lt;DMAX($A$1:$L$540,$W7,AS$1:AS$2),DMAX($A$1:$L$540,$W7,AS$1:AS$2),AS6)</f>
        <v>1</v>
      </c>
      <c r="AT7">
        <f>IF(AT6&lt;DMAX($A$1:$L$540,$W7,AT$1:AT$2),DMAX($A$1:$L$540,$W7,AT$1:AT$2),AT6)</f>
        <v>0.26829268292682928</v>
      </c>
      <c r="AU7">
        <f>IF(AU6&lt;DMAX($A$1:$L$540,$W7,AU$1:AU$2),DMAX($A$1:$L$540,$W7,AU$1:AU$2),AU6)</f>
        <v>1</v>
      </c>
      <c r="AV7">
        <f>IF(AV6&lt;DMAX($A$1:$L$540,$W7,AV$1:AV$2),DMAX($A$1:$L$540,$W7,AV$1:AV$2),AV6)</f>
        <v>1</v>
      </c>
      <c r="AW7">
        <f>IF(AW6&lt;DMAX($A$1:$L$540,$W7,AW$1:AW$2),DMAX($A$1:$L$540,$W7,AW$1:AW$2),AW6)</f>
        <v>1</v>
      </c>
      <c r="AX7">
        <f>IF(AX6&lt;DMAX($A$1:$L$540,$W7,AX$1:AX$2),DMAX($A$1:$L$540,$W7,AX$1:AX$2),AX6)</f>
        <v>1</v>
      </c>
      <c r="AY7">
        <f>IF(AY6&lt;DMAX($A$1:$L$540,$W7,AY$1:AY$2),DMAX($A$1:$L$540,$W7,AY$1:AY$2),AY6)</f>
        <v>1</v>
      </c>
      <c r="AZ7">
        <f>IF(AZ6&lt;DMAX($A$1:$L$540,$W7,AZ$1:AZ$2),DMAX($A$1:$L$540,$W7,AZ$1:AZ$2),AZ6)</f>
        <v>1</v>
      </c>
      <c r="BA7">
        <f>IF(BA6&lt;DMAX($A$1:$L$540,$W7,BA$1:BA$2),DMAX($A$1:$L$540,$W7,BA$1:BA$2),BA6)</f>
        <v>1</v>
      </c>
      <c r="BB7">
        <f>IF(BB6&lt;DMAX($A$1:$L$540,$W7,BB$1:BB$2),DMAX($A$1:$L$540,$W7,BB$1:BB$2),BB6)</f>
        <v>1</v>
      </c>
      <c r="BC7">
        <f>IF(BC6&lt;DMAX($A$1:$L$540,$W7,BC$1:BC$2),DMAX($A$1:$L$540,$W7,BC$1:BC$2),BC6)</f>
        <v>1</v>
      </c>
      <c r="BD7">
        <f>IF(BD6&lt;DMAX($A$1:$L$540,$W7,BD$1:BD$2),DMAX($A$1:$L$540,$W7,BD$1:BD$2),BD6)</f>
        <v>1</v>
      </c>
      <c r="BE7">
        <f>IF(BE6&lt;DMAX($A$1:$L$540,$W7,BE$1:BE$2),DMAX($A$1:$L$540,$W7,BE$1:BE$2),BE6)</f>
        <v>1</v>
      </c>
      <c r="BF7">
        <f>IF(BF6&lt;DMAX($A$1:$L$540,$W7,BF$1:BF$2),DMAX($A$1:$L$540,$W7,BF$1:BF$2),BF6)</f>
        <v>1</v>
      </c>
      <c r="BG7">
        <f>IF(BG6&lt;DMAX($A$1:$L$540,$W7,BG$1:BG$2),DMAX($A$1:$L$540,$W7,BG$1:BG$2),BG6)</f>
        <v>1</v>
      </c>
      <c r="BH7">
        <f>IF(BH6&lt;DMAX($A$1:$L$540,$W7,BH$1:BH$2),DMAX($A$1:$L$540,$W7,BH$1:BH$2),BH6)</f>
        <v>1</v>
      </c>
      <c r="BI7">
        <f>IF(BI6&lt;DMAX($A$1:$L$540,$W7,BI$1:BI$2),DMAX($A$1:$L$540,$W7,BI$1:BI$2),BI6)</f>
        <v>0</v>
      </c>
      <c r="BJ7">
        <f>IF(BJ6&lt;DMAX($A$1:$L$540,$W7,BJ$1:BJ$2),DMAX($A$1:$L$540,$W7,BJ$1:BJ$2),BJ6)</f>
        <v>1</v>
      </c>
      <c r="BK7">
        <f>IF(BK6&lt;DMAX($A$1:$L$540,$W7,BK$1:BK$2),DMAX($A$1:$L$540,$W7,BK$1:BK$2),BK6)</f>
        <v>1</v>
      </c>
      <c r="BL7">
        <f>IF(BL6&lt;DMAX($A$1:$L$540,$W7,BL$1:BL$2),DMAX($A$1:$L$540,$W7,BL$1:BL$2),BL6)</f>
        <v>1</v>
      </c>
      <c r="BM7">
        <f>IF(BM6&lt;DMAX($A$1:$L$540,$W7,BM$1:BM$2),DMAX($A$1:$L$540,$W7,BM$1:BM$2),BM6)</f>
        <v>1</v>
      </c>
      <c r="BN7">
        <f>IF(BN6&lt;DMAX($A$1:$L$540,$W7,BN$1:BN$2),DMAX($A$1:$L$540,$W7,BN$1:BN$2),BN6)</f>
        <v>1</v>
      </c>
      <c r="BO7">
        <f>IF(BO6&lt;DMAX($A$1:$L$540,$W7,BO$1:BO$2),DMAX($A$1:$L$540,$W7,BO$1:BO$2),BO6)</f>
        <v>1</v>
      </c>
      <c r="BP7">
        <f>IF(BP6&lt;DMAX($A$1:$L$540,$W7,BP$1:BP$2),DMAX($A$1:$L$540,$W7,BP$1:BP$2),BP6)</f>
        <v>0.74603174603174605</v>
      </c>
      <c r="BQ7">
        <f>IF(BQ6&lt;DMAX($A$1:$L$540,$W7,BQ$1:BQ$2),DMAX($A$1:$L$540,$W7,BQ$1:BQ$2),BQ6)</f>
        <v>1</v>
      </c>
      <c r="BR7">
        <f>IF(BR6&lt;DMAX($A$1:$L$540,$W7,BR$1:BR$2),DMAX($A$1:$L$540,$W7,BR$1:BR$2),BR6)</f>
        <v>1</v>
      </c>
      <c r="BS7">
        <f>IF(BS6&lt;DMAX($A$1:$L$540,$W7,BS$1:BS$2),DMAX($A$1:$L$540,$W7,BS$1:BS$2),BS6)</f>
        <v>1</v>
      </c>
      <c r="BT7">
        <f>IF(BT6&lt;DMAX($A$1:$L$540,$W7,BT$1:BT$2),DMAX($A$1:$L$540,$W7,BT$1:BT$2),BT6)</f>
        <v>1</v>
      </c>
      <c r="BU7">
        <f>IF(BU6&lt;DMAX($A$1:$L$540,$W7,BU$1:BU$2),DMAX($A$1:$L$540,$W7,BU$1:BU$2),BU6)</f>
        <v>1</v>
      </c>
      <c r="BV7">
        <f>IF(BV6&lt;DMAX($A$1:$L$540,$W7,BV$1:BV$2),DMAX($A$1:$L$540,$W7,BV$1:BV$2),BV6)</f>
        <v>1</v>
      </c>
      <c r="BW7">
        <f>IF(BW6&lt;DMAX($A$1:$L$540,$W7,BW$1:BW$2),DMAX($A$1:$L$540,$W7,BW$1:BW$2),BW6)</f>
        <v>1</v>
      </c>
      <c r="BX7">
        <f>IF(BX6&lt;DMAX($A$1:$L$540,$W7,BX$1:BX$2),DMAX($A$1:$L$540,$W7,BX$1:BX$2),BX6)</f>
        <v>1</v>
      </c>
      <c r="BY7">
        <f>IF(BY6&lt;DMAX($A$1:$L$540,$W7,BY$1:BY$2),DMAX($A$1:$L$540,$W7,BY$1:BY$2),BY6)</f>
        <v>1</v>
      </c>
      <c r="BZ7">
        <f>IF(BZ6&lt;DMAX($A$1:$L$540,$W7,BZ$1:BZ$2),DMAX($A$1:$L$540,$W7,BZ$1:BZ$2),BZ6)</f>
        <v>1</v>
      </c>
      <c r="CA7">
        <f>IF(CA6&lt;DMAX($A$1:$L$540,$W7,CA$1:CA$2),DMAX($A$1:$L$540,$W7,CA$1:CA$2),CA6)</f>
        <v>1</v>
      </c>
      <c r="CB7">
        <f>IF(CB6&lt;DMAX($A$1:$L$540,$W7,CB$1:CB$2),DMAX($A$1:$L$540,$W7,CB$1:CB$2),CB6)</f>
        <v>1</v>
      </c>
      <c r="CC7">
        <f>IF(CC6&lt;DMAX($A$1:$L$540,$W7,CC$1:CC$2),DMAX($A$1:$L$540,$W7,CC$1:CC$2),CC6)</f>
        <v>1</v>
      </c>
      <c r="CD7">
        <f>IF(CD6&lt;DMAX($A$1:$L$540,$W7,CD$1:CD$2),DMAX($A$1:$L$540,$W7,CD$1:CD$2),CD6)</f>
        <v>1</v>
      </c>
      <c r="CE7">
        <f>IF(CE6&lt;DMAX($A$1:$L$540,$W7,CE$1:CE$2),DMAX($A$1:$L$540,$W7,CE$1:CE$2),CE6)</f>
        <v>1</v>
      </c>
      <c r="CF7">
        <f>IF(CF6&lt;DMAX($A$1:$L$540,$W7,CF$1:CF$2),DMAX($A$1:$L$540,$W7,CF$1:CF$2),CF6)</f>
        <v>1</v>
      </c>
      <c r="CG7">
        <f>IF(CG6&lt;DMAX($A$1:$L$540,$W7,CG$1:CG$2),DMAX($A$1:$L$540,$W7,CG$1:CG$2),CG6)</f>
        <v>1</v>
      </c>
      <c r="CH7">
        <f>IF(CH6&lt;DMAX($A$1:$L$540,$W7,CH$1:CH$2),DMAX($A$1:$L$540,$W7,CH$1:CH$2),CH6)</f>
        <v>1</v>
      </c>
      <c r="CI7">
        <f>IF(CI6&lt;DMAX($A$1:$L$540,$W7,CI$1:CI$2),DMAX($A$1:$L$540,$W7,CI$1:CI$2),CI6)</f>
        <v>1</v>
      </c>
    </row>
    <row r="8" spans="1:87">
      <c r="A8" t="s">
        <v>458</v>
      </c>
      <c r="B8">
        <v>2</v>
      </c>
      <c r="C8" t="str">
        <f t="shared" si="0"/>
        <v>test.BallonFactory_2_</v>
      </c>
      <c r="D8">
        <v>3</v>
      </c>
      <c r="E8" s="4">
        <v>0.60606060606060608</v>
      </c>
      <c r="F8" s="4">
        <v>0.66007194244604317</v>
      </c>
      <c r="G8" s="4" t="str">
        <f t="shared" si="1"/>
        <v/>
      </c>
      <c r="H8" s="4" t="str">
        <f t="shared" si="2"/>
        <v/>
      </c>
      <c r="I8" s="4" t="str">
        <f t="shared" si="3"/>
        <v/>
      </c>
      <c r="J8" s="4">
        <f t="shared" si="4"/>
        <v>0.60606060606060608</v>
      </c>
      <c r="K8" s="4" t="str">
        <f t="shared" si="5"/>
        <v/>
      </c>
      <c r="L8" s="4" t="str">
        <f t="shared" si="6"/>
        <v/>
      </c>
      <c r="M8" s="4"/>
      <c r="N8" s="4">
        <f>SUM(T8:V8)/64</f>
        <v>0.984375</v>
      </c>
      <c r="O8" s="4"/>
      <c r="P8" s="4" t="s">
        <v>968</v>
      </c>
      <c r="Q8" s="8">
        <f t="shared" si="9"/>
        <v>1</v>
      </c>
      <c r="R8" s="8">
        <f t="shared" si="10"/>
        <v>0</v>
      </c>
      <c r="S8" s="8">
        <f t="shared" si="11"/>
        <v>0</v>
      </c>
      <c r="T8" s="8">
        <f t="shared" si="12"/>
        <v>1</v>
      </c>
      <c r="U8" s="8">
        <f t="shared" si="13"/>
        <v>0</v>
      </c>
      <c r="V8" s="8">
        <f t="shared" si="14"/>
        <v>62</v>
      </c>
      <c r="W8" s="7" t="s">
        <v>968</v>
      </c>
      <c r="X8">
        <f>IF(X7&lt;DMAX($A$1:$L$540,$W8,X$1:X$2),DMAX($A$1:$L$540,$W8,X$1:X$2),X7)</f>
        <v>1</v>
      </c>
      <c r="Y8">
        <f>IF(Y7&lt;DMAX($A$1:$L$540,$W8,Y$1:Y$2),DMAX($A$1:$L$540,$W8,Y$1:Y$2),Y7)</f>
        <v>1</v>
      </c>
      <c r="Z8">
        <f>IF(Z7&lt;DMAX($A$1:$L$540,$W8,Z$1:Z$2),DMAX($A$1:$L$540,$W8,Z$1:Z$2),Z7)</f>
        <v>1</v>
      </c>
      <c r="AA8">
        <f>IF(AA7&lt;DMAX($A$1:$L$540,$W8,AA$1:AA$2),DMAX($A$1:$L$540,$W8,AA$1:AA$2),AA7)</f>
        <v>1</v>
      </c>
      <c r="AB8">
        <f>IF(AB7&lt;DMAX($A$1:$L$540,$W8,AB$1:AB$2),DMAX($A$1:$L$540,$W8,AB$1:AB$2),AB7)</f>
        <v>1</v>
      </c>
      <c r="AC8">
        <f>IF(AC7&lt;DMAX($A$1:$L$540,$W8,AC$1:AC$2),DMAX($A$1:$L$540,$W8,AC$1:AC$2),AC7)</f>
        <v>1</v>
      </c>
      <c r="AD8">
        <f>IF(AD7&lt;DMAX($A$1:$L$540,$W8,AD$1:AD$2),DMAX($A$1:$L$540,$W8,AD$1:AD$2),AD7)</f>
        <v>1</v>
      </c>
      <c r="AE8">
        <f>IF(AE7&lt;DMAX($A$1:$L$540,$W8,AE$1:AE$2),DMAX($A$1:$L$540,$W8,AE$1:AE$2),AE7)</f>
        <v>1</v>
      </c>
      <c r="AF8">
        <f>IF(AF7&lt;DMAX($A$1:$L$540,$W8,AF$1:AF$2),DMAX($A$1:$L$540,$W8,AF$1:AF$2),AF7)</f>
        <v>1</v>
      </c>
      <c r="AG8">
        <f>IF(AG7&lt;DMAX($A$1:$L$540,$W8,AG$1:AG$2),DMAX($A$1:$L$540,$W8,AG$1:AG$2),AG7)</f>
        <v>1</v>
      </c>
      <c r="AH8">
        <f>IF(AH7&lt;DMAX($A$1:$L$540,$W8,AH$1:AH$2),DMAX($A$1:$L$540,$W8,AH$1:AH$2),AH7)</f>
        <v>1</v>
      </c>
      <c r="AI8">
        <f>IF(AI7&lt;DMAX($A$1:$L$540,$W8,AI$1:AI$2),DMAX($A$1:$L$540,$W8,AI$1:AI$2),AI7)</f>
        <v>1</v>
      </c>
      <c r="AJ8">
        <f>IF(AJ7&lt;DMAX($A$1:$L$540,$W8,AJ$1:AJ$2),DMAX($A$1:$L$540,$W8,AJ$1:AJ$2),AJ7)</f>
        <v>1</v>
      </c>
      <c r="AK8">
        <f>IF(AK7&lt;DMAX($A$1:$L$540,$W8,AK$1:AK$2),DMAX($A$1:$L$540,$W8,AK$1:AK$2),AK7)</f>
        <v>1</v>
      </c>
      <c r="AL8">
        <f>IF(AL7&lt;DMAX($A$1:$L$540,$W8,AL$1:AL$2),DMAX($A$1:$L$540,$W8,AL$1:AL$2),AL7)</f>
        <v>1</v>
      </c>
      <c r="AM8">
        <f>IF(AM7&lt;DMAX($A$1:$L$540,$W8,AM$1:AM$2),DMAX($A$1:$L$540,$W8,AM$1:AM$2),AM7)</f>
        <v>1</v>
      </c>
      <c r="AN8">
        <f>IF(AN7&lt;DMAX($A$1:$L$540,$W8,AN$1:AN$2),DMAX($A$1:$L$540,$W8,AN$1:AN$2),AN7)</f>
        <v>1</v>
      </c>
      <c r="AO8">
        <f>IF(AO7&lt;DMAX($A$1:$L$540,$W8,AO$1:AO$2),DMAX($A$1:$L$540,$W8,AO$1:AO$2),AO7)</f>
        <v>1</v>
      </c>
      <c r="AP8">
        <f>IF(AP7&lt;DMAX($A$1:$L$540,$W8,AP$1:AP$2),DMAX($A$1:$L$540,$W8,AP$1:AP$2),AP7)</f>
        <v>1</v>
      </c>
      <c r="AQ8">
        <f>IF(AQ7&lt;DMAX($A$1:$L$540,$W8,AQ$1:AQ$2),DMAX($A$1:$L$540,$W8,AQ$1:AQ$2),AQ7)</f>
        <v>1</v>
      </c>
      <c r="AR8">
        <f>IF(AR7&lt;DMAX($A$1:$L$540,$W8,AR$1:AR$2),DMAX($A$1:$L$540,$W8,AR$1:AR$2),AR7)</f>
        <v>1</v>
      </c>
      <c r="AS8">
        <f>IF(AS7&lt;DMAX($A$1:$L$540,$W8,AS$1:AS$2),DMAX($A$1:$L$540,$W8,AS$1:AS$2),AS7)</f>
        <v>1</v>
      </c>
      <c r="AT8">
        <f>IF(AT7&lt;DMAX($A$1:$L$540,$W8,AT$1:AT$2),DMAX($A$1:$L$540,$W8,AT$1:AT$2),AT7)</f>
        <v>1</v>
      </c>
      <c r="AU8">
        <f>IF(AU7&lt;DMAX($A$1:$L$540,$W8,AU$1:AU$2),DMAX($A$1:$L$540,$W8,AU$1:AU$2),AU7)</f>
        <v>1</v>
      </c>
      <c r="AV8">
        <f>IF(AV7&lt;DMAX($A$1:$L$540,$W8,AV$1:AV$2),DMAX($A$1:$L$540,$W8,AV$1:AV$2),AV7)</f>
        <v>1</v>
      </c>
      <c r="AW8">
        <f>IF(AW7&lt;DMAX($A$1:$L$540,$W8,AW$1:AW$2),DMAX($A$1:$L$540,$W8,AW$1:AW$2),AW7)</f>
        <v>1</v>
      </c>
      <c r="AX8">
        <f>IF(AX7&lt;DMAX($A$1:$L$540,$W8,AX$1:AX$2),DMAX($A$1:$L$540,$W8,AX$1:AX$2),AX7)</f>
        <v>1</v>
      </c>
      <c r="AY8">
        <f>IF(AY7&lt;DMAX($A$1:$L$540,$W8,AY$1:AY$2),DMAX($A$1:$L$540,$W8,AY$1:AY$2),AY7)</f>
        <v>1</v>
      </c>
      <c r="AZ8">
        <f>IF(AZ7&lt;DMAX($A$1:$L$540,$W8,AZ$1:AZ$2),DMAX($A$1:$L$540,$W8,AZ$1:AZ$2),AZ7)</f>
        <v>1</v>
      </c>
      <c r="BA8">
        <f>IF(BA7&lt;DMAX($A$1:$L$540,$W8,BA$1:BA$2),DMAX($A$1:$L$540,$W8,BA$1:BA$2),BA7)</f>
        <v>1</v>
      </c>
      <c r="BB8">
        <f>IF(BB7&lt;DMAX($A$1:$L$540,$W8,BB$1:BB$2),DMAX($A$1:$L$540,$W8,BB$1:BB$2),BB7)</f>
        <v>1</v>
      </c>
      <c r="BC8">
        <f>IF(BC7&lt;DMAX($A$1:$L$540,$W8,BC$1:BC$2),DMAX($A$1:$L$540,$W8,BC$1:BC$2),BC7)</f>
        <v>1</v>
      </c>
      <c r="BD8">
        <f>IF(BD7&lt;DMAX($A$1:$L$540,$W8,BD$1:BD$2),DMAX($A$1:$L$540,$W8,BD$1:BD$2),BD7)</f>
        <v>1</v>
      </c>
      <c r="BE8">
        <f>IF(BE7&lt;DMAX($A$1:$L$540,$W8,BE$1:BE$2),DMAX($A$1:$L$540,$W8,BE$1:BE$2),BE7)</f>
        <v>1</v>
      </c>
      <c r="BF8">
        <f>IF(BF7&lt;DMAX($A$1:$L$540,$W8,BF$1:BF$2),DMAX($A$1:$L$540,$W8,BF$1:BF$2),BF7)</f>
        <v>1</v>
      </c>
      <c r="BG8">
        <f>IF(BG7&lt;DMAX($A$1:$L$540,$W8,BG$1:BG$2),DMAX($A$1:$L$540,$W8,BG$1:BG$2),BG7)</f>
        <v>1</v>
      </c>
      <c r="BH8">
        <f>IF(BH7&lt;DMAX($A$1:$L$540,$W8,BH$1:BH$2),DMAX($A$1:$L$540,$W8,BH$1:BH$2),BH7)</f>
        <v>1</v>
      </c>
      <c r="BI8">
        <f>IF(BI7&lt;DMAX($A$1:$L$540,$W8,BI$1:BI$2),DMAX($A$1:$L$540,$W8,BI$1:BI$2),BI7)</f>
        <v>0</v>
      </c>
      <c r="BJ8">
        <f>IF(BJ7&lt;DMAX($A$1:$L$540,$W8,BJ$1:BJ$2),DMAX($A$1:$L$540,$W8,BJ$1:BJ$2),BJ7)</f>
        <v>1</v>
      </c>
      <c r="BK8">
        <f>IF(BK7&lt;DMAX($A$1:$L$540,$W8,BK$1:BK$2),DMAX($A$1:$L$540,$W8,BK$1:BK$2),BK7)</f>
        <v>1</v>
      </c>
      <c r="BL8">
        <f>IF(BL7&lt;DMAX($A$1:$L$540,$W8,BL$1:BL$2),DMAX($A$1:$L$540,$W8,BL$1:BL$2),BL7)</f>
        <v>1</v>
      </c>
      <c r="BM8">
        <f>IF(BM7&lt;DMAX($A$1:$L$540,$W8,BM$1:BM$2),DMAX($A$1:$L$540,$W8,BM$1:BM$2),BM7)</f>
        <v>1</v>
      </c>
      <c r="BN8">
        <f>IF(BN7&lt;DMAX($A$1:$L$540,$W8,BN$1:BN$2),DMAX($A$1:$L$540,$W8,BN$1:BN$2),BN7)</f>
        <v>1</v>
      </c>
      <c r="BO8">
        <f>IF(BO7&lt;DMAX($A$1:$L$540,$W8,BO$1:BO$2),DMAX($A$1:$L$540,$W8,BO$1:BO$2),BO7)</f>
        <v>1</v>
      </c>
      <c r="BP8">
        <f>IF(BP7&lt;DMAX($A$1:$L$540,$W8,BP$1:BP$2),DMAX($A$1:$L$540,$W8,BP$1:BP$2),BP7)</f>
        <v>0.74603174603174605</v>
      </c>
      <c r="BQ8">
        <f>IF(BQ7&lt;DMAX($A$1:$L$540,$W8,BQ$1:BQ$2),DMAX($A$1:$L$540,$W8,BQ$1:BQ$2),BQ7)</f>
        <v>1</v>
      </c>
      <c r="BR8">
        <f>IF(BR7&lt;DMAX($A$1:$L$540,$W8,BR$1:BR$2),DMAX($A$1:$L$540,$W8,BR$1:BR$2),BR7)</f>
        <v>1</v>
      </c>
      <c r="BS8">
        <f>IF(BS7&lt;DMAX($A$1:$L$540,$W8,BS$1:BS$2),DMAX($A$1:$L$540,$W8,BS$1:BS$2),BS7)</f>
        <v>1</v>
      </c>
      <c r="BT8">
        <f>IF(BT7&lt;DMAX($A$1:$L$540,$W8,BT$1:BT$2),DMAX($A$1:$L$540,$W8,BT$1:BT$2),BT7)</f>
        <v>1</v>
      </c>
      <c r="BU8">
        <f>IF(BU7&lt;DMAX($A$1:$L$540,$W8,BU$1:BU$2),DMAX($A$1:$L$540,$W8,BU$1:BU$2),BU7)</f>
        <v>1</v>
      </c>
      <c r="BV8">
        <f>IF(BV7&lt;DMAX($A$1:$L$540,$W8,BV$1:BV$2),DMAX($A$1:$L$540,$W8,BV$1:BV$2),BV7)</f>
        <v>1</v>
      </c>
      <c r="BW8">
        <f>IF(BW7&lt;DMAX($A$1:$L$540,$W8,BW$1:BW$2),DMAX($A$1:$L$540,$W8,BW$1:BW$2),BW7)</f>
        <v>1</v>
      </c>
      <c r="BX8">
        <f>IF(BX7&lt;DMAX($A$1:$L$540,$W8,BX$1:BX$2),DMAX($A$1:$L$540,$W8,BX$1:BX$2),BX7)</f>
        <v>1</v>
      </c>
      <c r="BY8">
        <f>IF(BY7&lt;DMAX($A$1:$L$540,$W8,BY$1:BY$2),DMAX($A$1:$L$540,$W8,BY$1:BY$2),BY7)</f>
        <v>1</v>
      </c>
      <c r="BZ8">
        <f>IF(BZ7&lt;DMAX($A$1:$L$540,$W8,BZ$1:BZ$2),DMAX($A$1:$L$540,$W8,BZ$1:BZ$2),BZ7)</f>
        <v>1</v>
      </c>
      <c r="CA8">
        <f>IF(CA7&lt;DMAX($A$1:$L$540,$W8,CA$1:CA$2),DMAX($A$1:$L$540,$W8,CA$1:CA$2),CA7)</f>
        <v>1</v>
      </c>
      <c r="CB8">
        <f>IF(CB7&lt;DMAX($A$1:$L$540,$W8,CB$1:CB$2),DMAX($A$1:$L$540,$W8,CB$1:CB$2),CB7)</f>
        <v>1</v>
      </c>
      <c r="CC8">
        <f>IF(CC7&lt;DMAX($A$1:$L$540,$W8,CC$1:CC$2),DMAX($A$1:$L$540,$W8,CC$1:CC$2),CC7)</f>
        <v>1</v>
      </c>
      <c r="CD8">
        <f>IF(CD7&lt;DMAX($A$1:$L$540,$W8,CD$1:CD$2),DMAX($A$1:$L$540,$W8,CD$1:CD$2),CD7)</f>
        <v>1</v>
      </c>
      <c r="CE8">
        <f>IF(CE7&lt;DMAX($A$1:$L$540,$W8,CE$1:CE$2),DMAX($A$1:$L$540,$W8,CE$1:CE$2),CE7)</f>
        <v>1</v>
      </c>
      <c r="CF8">
        <f>IF(CF7&lt;DMAX($A$1:$L$540,$W8,CF$1:CF$2),DMAX($A$1:$L$540,$W8,CF$1:CF$2),CF7)</f>
        <v>1</v>
      </c>
      <c r="CG8">
        <f>IF(CG7&lt;DMAX($A$1:$L$540,$W8,CG$1:CG$2),DMAX($A$1:$L$540,$W8,CG$1:CG$2),CG7)</f>
        <v>1</v>
      </c>
      <c r="CH8">
        <f>IF(CH7&lt;DMAX($A$1:$L$540,$W8,CH$1:CH$2),DMAX($A$1:$L$540,$W8,CH$1:CH$2),CH7)</f>
        <v>1</v>
      </c>
      <c r="CI8">
        <f>IF(CI7&lt;DMAX($A$1:$L$540,$W8,CI$1:CI$2),DMAX($A$1:$L$540,$W8,CI$1:CI$2),CI7)</f>
        <v>1</v>
      </c>
    </row>
    <row r="9" spans="1:87">
      <c r="A9" t="s">
        <v>458</v>
      </c>
      <c r="B9">
        <v>2</v>
      </c>
      <c r="C9" t="str">
        <f t="shared" si="0"/>
        <v>test.BallonFactory_2_</v>
      </c>
      <c r="D9">
        <v>4</v>
      </c>
      <c r="E9" s="4">
        <v>0.78787878787878785</v>
      </c>
      <c r="F9" s="4">
        <v>0.69964028776978415</v>
      </c>
      <c r="G9" s="4" t="str">
        <f t="shared" si="1"/>
        <v/>
      </c>
      <c r="H9" s="4" t="str">
        <f t="shared" si="2"/>
        <v/>
      </c>
      <c r="I9" s="4" t="str">
        <f t="shared" si="3"/>
        <v/>
      </c>
      <c r="J9" s="4">
        <f t="shared" si="4"/>
        <v>0.78787878787878785</v>
      </c>
      <c r="K9" s="4" t="str">
        <f t="shared" si="5"/>
        <v/>
      </c>
      <c r="L9" s="4" t="str">
        <f t="shared" si="6"/>
        <v/>
      </c>
      <c r="M9" s="4"/>
      <c r="N9" s="4"/>
      <c r="O9" s="4"/>
      <c r="P9" s="4"/>
      <c r="Q9" s="4"/>
      <c r="R9" s="4"/>
      <c r="S9" s="4"/>
      <c r="T9" s="4"/>
      <c r="U9" s="4"/>
    </row>
    <row r="10" spans="1:87">
      <c r="A10" t="s">
        <v>458</v>
      </c>
      <c r="B10">
        <v>2</v>
      </c>
      <c r="C10" t="str">
        <f t="shared" si="0"/>
        <v>test.BallonFactory_2_</v>
      </c>
      <c r="D10">
        <v>5</v>
      </c>
      <c r="E10" s="4">
        <v>0.78787878787878785</v>
      </c>
      <c r="F10" s="4">
        <v>0.77517985611510787</v>
      </c>
      <c r="G10" s="4" t="str">
        <f t="shared" si="1"/>
        <v/>
      </c>
      <c r="H10" s="4" t="str">
        <f t="shared" si="2"/>
        <v/>
      </c>
      <c r="I10" s="4" t="str">
        <f t="shared" si="3"/>
        <v/>
      </c>
      <c r="J10" s="4">
        <f t="shared" si="4"/>
        <v>0.78787878787878785</v>
      </c>
      <c r="K10" s="4" t="str">
        <f t="shared" si="5"/>
        <v/>
      </c>
      <c r="L10" s="4" t="str">
        <f t="shared" si="6"/>
        <v/>
      </c>
      <c r="M10" s="4"/>
      <c r="N10" s="4"/>
      <c r="O10" s="4"/>
      <c r="P10" s="4"/>
      <c r="Q10" s="4"/>
      <c r="R10" s="4"/>
      <c r="S10" s="4"/>
      <c r="T10" s="4"/>
      <c r="U10" s="4"/>
    </row>
    <row r="11" spans="1:87">
      <c r="A11" t="s">
        <v>458</v>
      </c>
      <c r="B11">
        <v>2</v>
      </c>
      <c r="C11" t="str">
        <f t="shared" si="0"/>
        <v>test.BallonFactory_2_</v>
      </c>
      <c r="D11">
        <v>6</v>
      </c>
      <c r="E11" s="4">
        <v>0.93939393939393945</v>
      </c>
      <c r="F11" s="4">
        <v>0.79046762589928055</v>
      </c>
      <c r="G11" s="4" t="str">
        <f t="shared" si="1"/>
        <v/>
      </c>
      <c r="H11" s="4" t="str">
        <f t="shared" si="2"/>
        <v/>
      </c>
      <c r="I11" s="4" t="str">
        <f t="shared" si="3"/>
        <v/>
      </c>
      <c r="J11" s="4">
        <f t="shared" si="4"/>
        <v>0.93939393939393945</v>
      </c>
      <c r="K11" s="4" t="str">
        <f t="shared" si="5"/>
        <v/>
      </c>
      <c r="L11" s="4" t="str">
        <f t="shared" si="6"/>
        <v/>
      </c>
      <c r="M11" s="4"/>
      <c r="N11" s="4"/>
      <c r="O11" s="4"/>
      <c r="P11" s="4"/>
      <c r="Q11" s="4"/>
      <c r="R11" s="4"/>
      <c r="S11" s="4"/>
      <c r="T11" s="4"/>
      <c r="U11" s="4"/>
    </row>
    <row r="12" spans="1:87">
      <c r="A12" t="s">
        <v>458</v>
      </c>
      <c r="B12">
        <v>2</v>
      </c>
      <c r="C12" t="str">
        <f t="shared" si="0"/>
        <v>test.BallonFactory_2_</v>
      </c>
      <c r="D12">
        <v>7</v>
      </c>
      <c r="E12" s="4">
        <v>0.96969696969696972</v>
      </c>
      <c r="F12" s="4">
        <v>0.80215827338129497</v>
      </c>
      <c r="G12" s="4" t="str">
        <f t="shared" si="1"/>
        <v/>
      </c>
      <c r="H12" s="4" t="str">
        <f t="shared" si="2"/>
        <v/>
      </c>
      <c r="I12" s="4" t="str">
        <f t="shared" si="3"/>
        <v/>
      </c>
      <c r="J12" s="4" t="str">
        <f t="shared" si="4"/>
        <v/>
      </c>
      <c r="K12" s="4">
        <f t="shared" si="5"/>
        <v>0.96969696969696972</v>
      </c>
      <c r="L12" s="4" t="str">
        <f t="shared" si="6"/>
        <v/>
      </c>
      <c r="M12" s="4"/>
      <c r="N12" s="4"/>
      <c r="O12" s="4"/>
      <c r="P12" s="4"/>
      <c r="Q12" s="4"/>
      <c r="R12" s="4"/>
      <c r="S12" s="4"/>
      <c r="T12" s="4"/>
      <c r="U12" s="4"/>
    </row>
    <row r="13" spans="1:87">
      <c r="A13" t="s">
        <v>458</v>
      </c>
      <c r="B13">
        <v>2</v>
      </c>
      <c r="C13" t="str">
        <f t="shared" si="0"/>
        <v>test.BallonFactory_2_</v>
      </c>
      <c r="D13">
        <v>8</v>
      </c>
      <c r="E13" s="4">
        <v>0.96969696969696972</v>
      </c>
      <c r="F13" s="4">
        <v>0.84892086330935257</v>
      </c>
      <c r="G13" s="4" t="str">
        <f t="shared" si="1"/>
        <v/>
      </c>
      <c r="H13" s="4" t="str">
        <f t="shared" si="2"/>
        <v/>
      </c>
      <c r="I13" s="4" t="str">
        <f t="shared" si="3"/>
        <v/>
      </c>
      <c r="J13" s="4" t="str">
        <f t="shared" si="4"/>
        <v/>
      </c>
      <c r="K13" s="4">
        <f t="shared" si="5"/>
        <v>0.96969696969696972</v>
      </c>
      <c r="L13" s="4" t="str">
        <f t="shared" si="6"/>
        <v/>
      </c>
      <c r="M13" s="4"/>
      <c r="N13" s="4"/>
      <c r="O13" s="4"/>
      <c r="P13" s="4"/>
      <c r="Q13" s="4"/>
      <c r="R13" s="4"/>
      <c r="S13" s="4"/>
      <c r="T13" s="4"/>
      <c r="U13" s="4"/>
    </row>
    <row r="14" spans="1:87">
      <c r="A14" t="s">
        <v>458</v>
      </c>
      <c r="B14">
        <v>2</v>
      </c>
      <c r="C14" t="str">
        <f t="shared" si="0"/>
        <v>test.BallonFactory_2_</v>
      </c>
      <c r="D14">
        <v>9</v>
      </c>
      <c r="E14" s="4">
        <v>1</v>
      </c>
      <c r="F14" s="4">
        <v>0.86330935251798557</v>
      </c>
      <c r="G14" s="4" t="str">
        <f t="shared" si="1"/>
        <v/>
      </c>
      <c r="H14" s="4" t="str">
        <f t="shared" si="2"/>
        <v/>
      </c>
      <c r="I14" s="4" t="str">
        <f t="shared" si="3"/>
        <v/>
      </c>
      <c r="J14" s="4" t="str">
        <f t="shared" si="4"/>
        <v/>
      </c>
      <c r="K14" s="4">
        <f t="shared" si="5"/>
        <v>1</v>
      </c>
      <c r="L14" s="4" t="str">
        <f t="shared" si="6"/>
        <v/>
      </c>
      <c r="M14" s="4"/>
      <c r="N14" s="4"/>
      <c r="O14" s="4"/>
      <c r="P14" s="4"/>
      <c r="Q14" s="4"/>
      <c r="R14" s="4"/>
      <c r="S14" s="4"/>
      <c r="T14" s="4"/>
      <c r="U14" s="4"/>
    </row>
    <row r="15" spans="1:87">
      <c r="A15" t="s">
        <v>458</v>
      </c>
      <c r="B15">
        <v>2</v>
      </c>
      <c r="C15" t="str">
        <f t="shared" si="0"/>
        <v>test.BallonFactory_2_</v>
      </c>
      <c r="D15">
        <v>10</v>
      </c>
      <c r="E15" s="4">
        <v>1</v>
      </c>
      <c r="F15" s="4">
        <v>0.87589928057553956</v>
      </c>
      <c r="G15" s="4" t="str">
        <f t="shared" si="1"/>
        <v/>
      </c>
      <c r="H15" s="4" t="str">
        <f t="shared" si="2"/>
        <v/>
      </c>
      <c r="I15" s="4" t="str">
        <f t="shared" si="3"/>
        <v/>
      </c>
      <c r="J15" s="4" t="str">
        <f t="shared" si="4"/>
        <v/>
      </c>
      <c r="K15" s="4">
        <f t="shared" si="5"/>
        <v>1</v>
      </c>
      <c r="L15" s="4" t="str">
        <f t="shared" si="6"/>
        <v/>
      </c>
      <c r="M15" s="4"/>
      <c r="N15" s="4"/>
      <c r="O15" s="4"/>
      <c r="P15" s="4"/>
      <c r="Q15" s="4"/>
      <c r="R15" s="4"/>
      <c r="S15" s="4"/>
      <c r="T15" s="4"/>
      <c r="U15" s="4"/>
    </row>
    <row r="16" spans="1:87">
      <c r="A16" t="s">
        <v>458</v>
      </c>
      <c r="B16">
        <v>2</v>
      </c>
      <c r="C16" t="str">
        <f t="shared" si="0"/>
        <v>test.BallonFactory_2_</v>
      </c>
      <c r="D16">
        <v>11</v>
      </c>
      <c r="E16" s="4">
        <v>1</v>
      </c>
      <c r="F16" s="4">
        <v>0.88039568345323738</v>
      </c>
      <c r="G16" s="4" t="str">
        <f t="shared" si="1"/>
        <v/>
      </c>
      <c r="H16" s="4" t="str">
        <f t="shared" si="2"/>
        <v/>
      </c>
      <c r="I16" s="4" t="str">
        <f t="shared" si="3"/>
        <v/>
      </c>
      <c r="J16" s="4" t="str">
        <f t="shared" si="4"/>
        <v/>
      </c>
      <c r="K16" s="4">
        <f t="shared" si="5"/>
        <v>1</v>
      </c>
      <c r="L16" s="4" t="str">
        <f t="shared" si="6"/>
        <v/>
      </c>
      <c r="M16" s="4"/>
      <c r="N16" s="4"/>
      <c r="O16" s="4"/>
      <c r="P16" s="4"/>
      <c r="Q16" s="4"/>
      <c r="R16" s="4"/>
      <c r="S16" s="4"/>
      <c r="T16" s="4"/>
      <c r="U16" s="4"/>
    </row>
    <row r="17" spans="1:21">
      <c r="A17" t="s">
        <v>458</v>
      </c>
      <c r="B17">
        <v>2</v>
      </c>
      <c r="C17" t="str">
        <f t="shared" si="0"/>
        <v>test.BallonFactory_2_</v>
      </c>
      <c r="D17">
        <v>12</v>
      </c>
      <c r="E17" s="4">
        <v>1</v>
      </c>
      <c r="F17" s="4">
        <v>0.93345323741007191</v>
      </c>
      <c r="G17" s="4" t="str">
        <f t="shared" si="1"/>
        <v/>
      </c>
      <c r="H17" s="4" t="str">
        <f t="shared" si="2"/>
        <v/>
      </c>
      <c r="I17" s="4" t="str">
        <f t="shared" si="3"/>
        <v/>
      </c>
      <c r="J17" s="4" t="str">
        <f t="shared" si="4"/>
        <v/>
      </c>
      <c r="K17" s="4">
        <f t="shared" si="5"/>
        <v>1</v>
      </c>
      <c r="L17" s="4" t="str">
        <f t="shared" si="6"/>
        <v/>
      </c>
      <c r="M17" s="4"/>
      <c r="N17" s="4"/>
      <c r="O17" s="4"/>
      <c r="P17" s="4"/>
      <c r="Q17" s="4"/>
      <c r="R17" s="4"/>
      <c r="S17" s="4"/>
      <c r="T17" s="4"/>
      <c r="U17" s="4"/>
    </row>
    <row r="18" spans="1:21">
      <c r="A18" t="s">
        <v>458</v>
      </c>
      <c r="B18">
        <v>2</v>
      </c>
      <c r="C18" t="str">
        <f t="shared" si="0"/>
        <v>test.BallonFactory_2_</v>
      </c>
      <c r="D18">
        <v>13</v>
      </c>
      <c r="E18" s="4">
        <v>1</v>
      </c>
      <c r="F18" s="4">
        <v>0.9361510791366906</v>
      </c>
      <c r="G18" s="4" t="str">
        <f t="shared" si="1"/>
        <v/>
      </c>
      <c r="H18" s="4" t="str">
        <f t="shared" si="2"/>
        <v/>
      </c>
      <c r="I18" s="4" t="str">
        <f t="shared" si="3"/>
        <v/>
      </c>
      <c r="J18" s="4" t="str">
        <f t="shared" si="4"/>
        <v/>
      </c>
      <c r="K18" s="4">
        <f t="shared" si="5"/>
        <v>1</v>
      </c>
      <c r="L18" s="4" t="str">
        <f t="shared" si="6"/>
        <v/>
      </c>
      <c r="M18" s="4"/>
      <c r="N18" s="4"/>
      <c r="O18" s="4"/>
      <c r="P18" s="4"/>
      <c r="Q18" s="4"/>
      <c r="R18" s="4"/>
      <c r="S18" s="4"/>
      <c r="T18" s="4"/>
      <c r="U18" s="4"/>
    </row>
    <row r="19" spans="1:21">
      <c r="A19" t="s">
        <v>458</v>
      </c>
      <c r="B19">
        <v>2</v>
      </c>
      <c r="C19" t="str">
        <f t="shared" si="0"/>
        <v>test.BallonFactory_2_</v>
      </c>
      <c r="D19">
        <v>14</v>
      </c>
      <c r="E19" s="4">
        <v>1</v>
      </c>
      <c r="F19" s="4">
        <v>0.94784172661870503</v>
      </c>
      <c r="G19" s="4" t="str">
        <f t="shared" si="1"/>
        <v/>
      </c>
      <c r="H19" s="4" t="str">
        <f t="shared" si="2"/>
        <v/>
      </c>
      <c r="I19" s="4" t="str">
        <f t="shared" si="3"/>
        <v/>
      </c>
      <c r="J19" s="4" t="str">
        <f t="shared" si="4"/>
        <v/>
      </c>
      <c r="K19" s="4">
        <f t="shared" si="5"/>
        <v>1</v>
      </c>
      <c r="L19" s="4" t="str">
        <f t="shared" si="6"/>
        <v/>
      </c>
      <c r="M19" s="4"/>
      <c r="N19" s="4"/>
      <c r="O19" s="4"/>
      <c r="P19" s="4"/>
      <c r="Q19" s="4"/>
      <c r="R19" s="4"/>
      <c r="S19" s="4"/>
      <c r="T19" s="4"/>
      <c r="U19" s="4"/>
    </row>
    <row r="20" spans="1:21">
      <c r="A20" t="s">
        <v>458</v>
      </c>
      <c r="B20">
        <v>2</v>
      </c>
      <c r="C20" t="str">
        <f t="shared" si="0"/>
        <v>test.BallonFactory_2_</v>
      </c>
      <c r="D20">
        <v>15</v>
      </c>
      <c r="E20" s="4">
        <v>1</v>
      </c>
      <c r="F20" s="4">
        <v>1.0152877697841727</v>
      </c>
      <c r="G20" s="4" t="str">
        <f t="shared" si="1"/>
        <v/>
      </c>
      <c r="H20" s="4" t="str">
        <f t="shared" si="2"/>
        <v/>
      </c>
      <c r="I20" s="4" t="str">
        <f t="shared" si="3"/>
        <v/>
      </c>
      <c r="J20" s="4" t="str">
        <f t="shared" si="4"/>
        <v/>
      </c>
      <c r="K20" s="4">
        <f t="shared" si="5"/>
        <v>1</v>
      </c>
      <c r="L20" s="4" t="str">
        <f t="shared" si="6"/>
        <v/>
      </c>
      <c r="M20" s="4"/>
      <c r="N20" s="4"/>
      <c r="O20" s="4"/>
      <c r="P20" s="4"/>
      <c r="Q20" s="4"/>
      <c r="R20" s="4"/>
      <c r="S20" s="4"/>
      <c r="T20" s="4"/>
      <c r="U20" s="4"/>
    </row>
    <row r="21" spans="1:21">
      <c r="A21" t="s">
        <v>458</v>
      </c>
      <c r="B21">
        <v>6</v>
      </c>
      <c r="C21" t="str">
        <f t="shared" si="0"/>
        <v>test.BallonFactory_6_</v>
      </c>
      <c r="D21">
        <v>1</v>
      </c>
      <c r="E21" s="4">
        <v>0.22222222222222221</v>
      </c>
      <c r="F21" s="4">
        <v>9.8411071245515125E-2</v>
      </c>
      <c r="G21" s="4">
        <f t="shared" si="1"/>
        <v>0.22222222222222221</v>
      </c>
      <c r="H21" s="4" t="str">
        <f t="shared" si="2"/>
        <v/>
      </c>
      <c r="I21" s="4" t="str">
        <f t="shared" si="3"/>
        <v/>
      </c>
      <c r="J21" s="4" t="str">
        <f t="shared" si="4"/>
        <v/>
      </c>
      <c r="K21" s="4" t="str">
        <f t="shared" si="5"/>
        <v/>
      </c>
      <c r="L21" s="4" t="str">
        <f t="shared" si="6"/>
        <v/>
      </c>
      <c r="M21" s="4"/>
      <c r="N21" s="4"/>
      <c r="O21" s="4"/>
      <c r="P21" s="4"/>
      <c r="Q21" s="4"/>
      <c r="R21" s="4"/>
      <c r="S21" s="4"/>
      <c r="T21" s="4"/>
      <c r="U21" s="4"/>
    </row>
    <row r="22" spans="1:21">
      <c r="A22" t="s">
        <v>458</v>
      </c>
      <c r="B22">
        <v>6</v>
      </c>
      <c r="C22" t="str">
        <f t="shared" si="0"/>
        <v>test.BallonFactory_6_</v>
      </c>
      <c r="D22">
        <v>2</v>
      </c>
      <c r="E22" s="4">
        <v>0.55555555555555558</v>
      </c>
      <c r="F22" s="4">
        <v>0.73295745771399279</v>
      </c>
      <c r="G22" s="4" t="str">
        <f t="shared" si="1"/>
        <v/>
      </c>
      <c r="H22" s="4" t="str">
        <f t="shared" si="2"/>
        <v/>
      </c>
      <c r="I22" s="4" t="str">
        <f t="shared" si="3"/>
        <v/>
      </c>
      <c r="J22" s="4">
        <f t="shared" si="4"/>
        <v>0.55555555555555558</v>
      </c>
      <c r="K22" s="4" t="str">
        <f t="shared" si="5"/>
        <v/>
      </c>
      <c r="L22" s="4" t="str">
        <f t="shared" si="6"/>
        <v/>
      </c>
      <c r="M22" s="4"/>
      <c r="N22" s="4"/>
      <c r="O22" s="4"/>
      <c r="P22" s="4"/>
      <c r="Q22" s="4"/>
      <c r="R22" s="4"/>
      <c r="S22" s="4"/>
      <c r="T22" s="4"/>
      <c r="U22" s="4"/>
    </row>
    <row r="23" spans="1:21">
      <c r="A23" t="s">
        <v>458</v>
      </c>
      <c r="B23">
        <v>6</v>
      </c>
      <c r="C23" t="str">
        <f t="shared" si="0"/>
        <v>test.BallonFactory_6_</v>
      </c>
      <c r="D23">
        <v>3</v>
      </c>
      <c r="E23" s="4">
        <v>0.61111111111111116</v>
      </c>
      <c r="F23" s="4">
        <v>0.83546899026140442</v>
      </c>
      <c r="G23" s="4" t="str">
        <f t="shared" si="1"/>
        <v/>
      </c>
      <c r="H23" s="4" t="str">
        <f t="shared" si="2"/>
        <v/>
      </c>
      <c r="I23" s="4" t="str">
        <f t="shared" si="3"/>
        <v/>
      </c>
      <c r="J23" s="4" t="str">
        <f t="shared" si="4"/>
        <v/>
      </c>
      <c r="K23" s="4">
        <f t="shared" si="5"/>
        <v>0.61111111111111116</v>
      </c>
      <c r="L23" s="4" t="str">
        <f t="shared" si="6"/>
        <v/>
      </c>
      <c r="M23" s="4"/>
      <c r="N23" s="4"/>
      <c r="O23" s="4"/>
      <c r="P23" s="4"/>
      <c r="Q23" s="4"/>
      <c r="R23" s="4"/>
      <c r="S23" s="4"/>
      <c r="T23" s="4"/>
      <c r="U23" s="4"/>
    </row>
    <row r="24" spans="1:21">
      <c r="A24" t="s">
        <v>458</v>
      </c>
      <c r="B24">
        <v>6</v>
      </c>
      <c r="C24" t="str">
        <f t="shared" si="0"/>
        <v>test.BallonFactory_6_</v>
      </c>
      <c r="D24">
        <v>4</v>
      </c>
      <c r="E24" s="4">
        <v>0.88888888888888884</v>
      </c>
      <c r="F24" s="4">
        <v>0.90773962070732961</v>
      </c>
      <c r="G24" s="4" t="str">
        <f t="shared" si="1"/>
        <v/>
      </c>
      <c r="H24" s="4" t="str">
        <f t="shared" si="2"/>
        <v/>
      </c>
      <c r="I24" s="4" t="str">
        <f t="shared" si="3"/>
        <v/>
      </c>
      <c r="J24" s="4" t="str">
        <f t="shared" si="4"/>
        <v/>
      </c>
      <c r="K24" s="4">
        <f t="shared" si="5"/>
        <v>0.88888888888888884</v>
      </c>
      <c r="L24" s="4" t="str">
        <f t="shared" si="6"/>
        <v/>
      </c>
      <c r="M24" s="4"/>
      <c r="N24" s="4"/>
      <c r="O24" s="4"/>
      <c r="P24" s="4"/>
      <c r="Q24" s="4"/>
      <c r="R24" s="4"/>
      <c r="S24" s="4"/>
      <c r="T24" s="4"/>
      <c r="U24" s="4"/>
    </row>
    <row r="25" spans="1:21">
      <c r="A25" t="s">
        <v>458</v>
      </c>
      <c r="B25">
        <v>6</v>
      </c>
      <c r="C25" t="str">
        <f t="shared" si="0"/>
        <v>test.BallonFactory_6_</v>
      </c>
      <c r="D25">
        <v>5</v>
      </c>
      <c r="E25" s="4">
        <v>1</v>
      </c>
      <c r="F25" s="4">
        <v>1.0015376729882113</v>
      </c>
      <c r="G25" s="4" t="str">
        <f t="shared" si="1"/>
        <v/>
      </c>
      <c r="H25" s="4" t="str">
        <f t="shared" si="2"/>
        <v/>
      </c>
      <c r="I25" s="4" t="str">
        <f t="shared" si="3"/>
        <v/>
      </c>
      <c r="J25" s="4" t="str">
        <f t="shared" si="4"/>
        <v/>
      </c>
      <c r="K25" s="4">
        <f t="shared" si="5"/>
        <v>1</v>
      </c>
      <c r="L25" s="4" t="str">
        <f t="shared" si="6"/>
        <v/>
      </c>
      <c r="M25" s="4"/>
      <c r="N25" s="4"/>
      <c r="O25" s="4"/>
      <c r="P25" s="4"/>
      <c r="Q25" s="4"/>
      <c r="R25" s="4"/>
      <c r="S25" s="4"/>
      <c r="T25" s="4"/>
      <c r="U25" s="4"/>
    </row>
    <row r="26" spans="1:21">
      <c r="A26" t="s">
        <v>458</v>
      </c>
      <c r="B26">
        <v>9</v>
      </c>
      <c r="C26" t="str">
        <f t="shared" si="0"/>
        <v>test.BallonFactory_9_</v>
      </c>
      <c r="D26">
        <v>1</v>
      </c>
      <c r="E26" s="4">
        <v>6.5217391304347824E-2</v>
      </c>
      <c r="F26" s="4">
        <v>7.6476282671829626E-2</v>
      </c>
      <c r="G26" s="4">
        <f t="shared" si="1"/>
        <v>6.5217391304347824E-2</v>
      </c>
      <c r="H26" s="4" t="str">
        <f t="shared" si="2"/>
        <v/>
      </c>
      <c r="I26" s="4" t="str">
        <f t="shared" si="3"/>
        <v/>
      </c>
      <c r="J26" s="4" t="str">
        <f t="shared" si="4"/>
        <v/>
      </c>
      <c r="K26" s="4" t="str">
        <f t="shared" si="5"/>
        <v/>
      </c>
      <c r="L26" s="4" t="str">
        <f t="shared" si="6"/>
        <v/>
      </c>
      <c r="M26" s="4"/>
      <c r="N26" s="4"/>
      <c r="O26" s="4"/>
      <c r="P26" s="4"/>
      <c r="Q26" s="4"/>
      <c r="R26" s="4"/>
      <c r="S26" s="4"/>
      <c r="T26" s="4"/>
      <c r="U26" s="4"/>
    </row>
    <row r="27" spans="1:21">
      <c r="A27" t="s">
        <v>458</v>
      </c>
      <c r="B27">
        <v>9</v>
      </c>
      <c r="C27" t="str">
        <f t="shared" si="0"/>
        <v>test.BallonFactory_9_</v>
      </c>
      <c r="D27">
        <v>2</v>
      </c>
      <c r="E27" s="4">
        <v>6.5217391304347824E-2</v>
      </c>
      <c r="F27" s="4">
        <v>7.6960309777347538E-2</v>
      </c>
      <c r="G27" s="4">
        <f t="shared" si="1"/>
        <v>6.5217391304347824E-2</v>
      </c>
      <c r="H27" s="4" t="str">
        <f t="shared" si="2"/>
        <v/>
      </c>
      <c r="I27" s="4" t="str">
        <f t="shared" si="3"/>
        <v/>
      </c>
      <c r="J27" s="4" t="str">
        <f t="shared" si="4"/>
        <v/>
      </c>
      <c r="K27" s="4" t="str">
        <f t="shared" si="5"/>
        <v/>
      </c>
      <c r="L27" s="4" t="str">
        <f t="shared" si="6"/>
        <v/>
      </c>
      <c r="M27" s="4"/>
      <c r="N27" s="4"/>
      <c r="O27" s="4"/>
      <c r="P27" s="4"/>
      <c r="Q27" s="4"/>
      <c r="R27" s="4"/>
      <c r="S27" s="4"/>
      <c r="T27" s="4"/>
      <c r="U27" s="4"/>
    </row>
    <row r="28" spans="1:21">
      <c r="A28" t="s">
        <v>458</v>
      </c>
      <c r="B28">
        <v>9</v>
      </c>
      <c r="C28" t="str">
        <f t="shared" si="0"/>
        <v>test.BallonFactory_9_</v>
      </c>
      <c r="D28">
        <v>3</v>
      </c>
      <c r="E28" s="4">
        <v>6.5217391304347824E-2</v>
      </c>
      <c r="F28" s="4">
        <v>7.9380445304937083E-2</v>
      </c>
      <c r="G28" s="4">
        <f t="shared" si="1"/>
        <v>6.5217391304347824E-2</v>
      </c>
      <c r="H28" s="4" t="str">
        <f t="shared" si="2"/>
        <v/>
      </c>
      <c r="I28" s="4" t="str">
        <f t="shared" si="3"/>
        <v/>
      </c>
      <c r="J28" s="4" t="str">
        <f t="shared" si="4"/>
        <v/>
      </c>
      <c r="K28" s="4" t="str">
        <f t="shared" si="5"/>
        <v/>
      </c>
      <c r="L28" s="4" t="str">
        <f t="shared" si="6"/>
        <v/>
      </c>
      <c r="M28" s="4"/>
      <c r="N28" s="4"/>
      <c r="O28" s="4"/>
      <c r="P28" s="4"/>
      <c r="Q28" s="4"/>
      <c r="R28" s="4"/>
      <c r="S28" s="4"/>
      <c r="T28" s="4"/>
      <c r="U28" s="4"/>
    </row>
    <row r="29" spans="1:21">
      <c r="A29" t="s">
        <v>458</v>
      </c>
      <c r="B29">
        <v>9</v>
      </c>
      <c r="C29" t="str">
        <f t="shared" si="0"/>
        <v>test.BallonFactory_9_</v>
      </c>
      <c r="D29">
        <v>4</v>
      </c>
      <c r="E29" s="4">
        <v>0.15217391304347827</v>
      </c>
      <c r="F29" s="4">
        <v>0.16069699903194579</v>
      </c>
      <c r="G29" s="4">
        <f t="shared" si="1"/>
        <v>0.15217391304347827</v>
      </c>
      <c r="H29" s="4" t="str">
        <f t="shared" si="2"/>
        <v/>
      </c>
      <c r="I29" s="4" t="str">
        <f t="shared" si="3"/>
        <v/>
      </c>
      <c r="J29" s="4" t="str">
        <f t="shared" si="4"/>
        <v/>
      </c>
      <c r="K29" s="4" t="str">
        <f t="shared" si="5"/>
        <v/>
      </c>
      <c r="L29" s="4" t="str">
        <f t="shared" si="6"/>
        <v/>
      </c>
      <c r="M29" s="4"/>
      <c r="N29" s="4"/>
      <c r="O29" s="4"/>
      <c r="P29" s="4"/>
      <c r="Q29" s="4"/>
      <c r="R29" s="4"/>
      <c r="S29" s="4"/>
      <c r="T29" s="4"/>
      <c r="U29" s="4"/>
    </row>
    <row r="30" spans="1:21">
      <c r="A30" t="s">
        <v>458</v>
      </c>
      <c r="B30">
        <v>9</v>
      </c>
      <c r="C30" t="str">
        <f t="shared" si="0"/>
        <v>test.BallonFactory_9_</v>
      </c>
      <c r="D30">
        <v>5</v>
      </c>
      <c r="E30" s="4">
        <v>0.2391304347826087</v>
      </c>
      <c r="F30" s="4">
        <v>0.16263310745401743</v>
      </c>
      <c r="G30" s="4">
        <f t="shared" si="1"/>
        <v>0.2391304347826087</v>
      </c>
      <c r="H30" s="4" t="str">
        <f t="shared" si="2"/>
        <v/>
      </c>
      <c r="I30" s="4" t="str">
        <f t="shared" si="3"/>
        <v/>
      </c>
      <c r="J30" s="4" t="str">
        <f t="shared" si="4"/>
        <v/>
      </c>
      <c r="K30" s="4" t="str">
        <f t="shared" si="5"/>
        <v/>
      </c>
      <c r="L30" s="4" t="str">
        <f t="shared" si="6"/>
        <v/>
      </c>
      <c r="M30" s="4"/>
      <c r="N30" s="4"/>
      <c r="O30" s="4"/>
      <c r="P30" s="4"/>
      <c r="Q30" s="4"/>
      <c r="R30" s="4"/>
      <c r="S30" s="4"/>
      <c r="T30" s="4"/>
      <c r="U30" s="4"/>
    </row>
    <row r="31" spans="1:21">
      <c r="A31" t="s">
        <v>458</v>
      </c>
      <c r="B31">
        <v>9</v>
      </c>
      <c r="C31" t="str">
        <f t="shared" si="0"/>
        <v>test.BallonFactory_9_</v>
      </c>
      <c r="D31">
        <v>6</v>
      </c>
      <c r="E31" s="4">
        <v>0.5</v>
      </c>
      <c r="F31" s="4">
        <v>0.33591481122942884</v>
      </c>
      <c r="G31" s="4" t="str">
        <f t="shared" si="1"/>
        <v/>
      </c>
      <c r="H31" s="4">
        <f t="shared" si="2"/>
        <v>0.5</v>
      </c>
      <c r="I31" s="4" t="str">
        <f t="shared" si="3"/>
        <v/>
      </c>
      <c r="J31" s="4" t="str">
        <f t="shared" si="4"/>
        <v/>
      </c>
      <c r="K31" s="4" t="str">
        <f t="shared" si="5"/>
        <v/>
      </c>
      <c r="L31" s="4" t="str">
        <f t="shared" si="6"/>
        <v/>
      </c>
      <c r="M31" s="4"/>
      <c r="N31" s="4"/>
      <c r="O31" s="4"/>
      <c r="P31" s="4"/>
      <c r="Q31" s="4"/>
      <c r="R31" s="4"/>
      <c r="S31" s="4"/>
      <c r="T31" s="4"/>
      <c r="U31" s="4"/>
    </row>
    <row r="32" spans="1:21">
      <c r="A32" t="s">
        <v>458</v>
      </c>
      <c r="B32">
        <v>9</v>
      </c>
      <c r="C32" t="str">
        <f t="shared" si="0"/>
        <v>test.BallonFactory_9_</v>
      </c>
      <c r="D32">
        <v>7</v>
      </c>
      <c r="E32" s="4">
        <v>0.65217391304347827</v>
      </c>
      <c r="F32" s="4">
        <v>0.34075508228460794</v>
      </c>
      <c r="G32" s="4" t="str">
        <f t="shared" si="1"/>
        <v/>
      </c>
      <c r="H32" s="4">
        <f t="shared" si="2"/>
        <v>0.65217391304347827</v>
      </c>
      <c r="I32" s="4" t="str">
        <f t="shared" si="3"/>
        <v/>
      </c>
      <c r="J32" s="4" t="str">
        <f t="shared" si="4"/>
        <v/>
      </c>
      <c r="K32" s="4" t="str">
        <f t="shared" si="5"/>
        <v/>
      </c>
      <c r="L32" s="4" t="str">
        <f t="shared" si="6"/>
        <v/>
      </c>
      <c r="M32" s="4"/>
      <c r="N32" s="4"/>
      <c r="O32" s="4"/>
      <c r="P32" s="4"/>
      <c r="Q32" s="4"/>
      <c r="R32" s="4"/>
      <c r="S32" s="4"/>
      <c r="T32" s="4"/>
      <c r="U32" s="4"/>
    </row>
    <row r="33" spans="1:21">
      <c r="A33" t="s">
        <v>458</v>
      </c>
      <c r="B33">
        <v>9</v>
      </c>
      <c r="C33" t="str">
        <f t="shared" si="0"/>
        <v>test.BallonFactory_9_</v>
      </c>
      <c r="D33">
        <v>8</v>
      </c>
      <c r="E33" s="4">
        <v>0.91304347826086951</v>
      </c>
      <c r="F33" s="4">
        <v>0.3480154888673766</v>
      </c>
      <c r="G33" s="4" t="str">
        <f t="shared" si="1"/>
        <v/>
      </c>
      <c r="H33" s="4">
        <f t="shared" si="2"/>
        <v>0.91304347826086951</v>
      </c>
      <c r="I33" s="4" t="str">
        <f t="shared" si="3"/>
        <v/>
      </c>
      <c r="J33" s="4" t="str">
        <f t="shared" si="4"/>
        <v/>
      </c>
      <c r="K33" s="4" t="str">
        <f t="shared" si="5"/>
        <v/>
      </c>
      <c r="L33" s="4" t="str">
        <f t="shared" si="6"/>
        <v/>
      </c>
      <c r="M33" s="4"/>
      <c r="N33" s="4"/>
      <c r="O33" s="4"/>
      <c r="P33" s="4"/>
      <c r="Q33" s="4"/>
      <c r="R33" s="4"/>
      <c r="S33" s="4"/>
      <c r="T33" s="4"/>
      <c r="U33" s="4"/>
    </row>
    <row r="34" spans="1:21">
      <c r="A34" t="s">
        <v>458</v>
      </c>
      <c r="B34">
        <v>9</v>
      </c>
      <c r="C34" t="str">
        <f t="shared" si="0"/>
        <v>test.BallonFactory_9_</v>
      </c>
      <c r="D34">
        <v>9</v>
      </c>
      <c r="E34" s="4">
        <v>1</v>
      </c>
      <c r="F34" s="4">
        <v>0.40174249757986447</v>
      </c>
      <c r="G34" s="4" t="str">
        <f t="shared" si="1"/>
        <v/>
      </c>
      <c r="H34" s="4" t="str">
        <f t="shared" si="2"/>
        <v/>
      </c>
      <c r="I34" s="4">
        <f t="shared" si="3"/>
        <v>1</v>
      </c>
      <c r="J34" s="4" t="str">
        <f t="shared" si="4"/>
        <v/>
      </c>
      <c r="K34" s="4" t="str">
        <f t="shared" si="5"/>
        <v/>
      </c>
      <c r="L34" s="4" t="str">
        <f t="shared" si="6"/>
        <v/>
      </c>
      <c r="M34" s="4"/>
      <c r="N34" s="4"/>
      <c r="O34" s="4"/>
      <c r="P34" s="4"/>
      <c r="Q34" s="4"/>
      <c r="R34" s="4"/>
      <c r="S34" s="4"/>
      <c r="T34" s="4"/>
      <c r="U34" s="4"/>
    </row>
    <row r="35" spans="1:21">
      <c r="A35" t="s">
        <v>458</v>
      </c>
      <c r="B35">
        <v>9</v>
      </c>
      <c r="C35" t="str">
        <f t="shared" si="0"/>
        <v>test.BallonFactory_9_</v>
      </c>
      <c r="D35">
        <v>10</v>
      </c>
      <c r="E35" s="4">
        <v>1</v>
      </c>
      <c r="F35" s="4">
        <v>0.41190706679574057</v>
      </c>
      <c r="G35" s="4" t="str">
        <f t="shared" si="1"/>
        <v/>
      </c>
      <c r="H35" s="4" t="str">
        <f t="shared" si="2"/>
        <v/>
      </c>
      <c r="I35" s="4">
        <f t="shared" si="3"/>
        <v>1</v>
      </c>
      <c r="J35" s="4" t="str">
        <f t="shared" si="4"/>
        <v/>
      </c>
      <c r="K35" s="4" t="str">
        <f t="shared" si="5"/>
        <v/>
      </c>
      <c r="L35" s="4" t="str">
        <f t="shared" si="6"/>
        <v/>
      </c>
      <c r="M35" s="4"/>
      <c r="N35" s="4"/>
      <c r="O35" s="4"/>
      <c r="P35" s="4"/>
      <c r="Q35" s="4"/>
      <c r="R35" s="4"/>
      <c r="S35" s="4"/>
      <c r="T35" s="4"/>
      <c r="U35" s="4"/>
    </row>
    <row r="36" spans="1:21">
      <c r="A36" t="s">
        <v>489</v>
      </c>
      <c r="B36">
        <v>2</v>
      </c>
      <c r="C36" t="str">
        <f t="shared" si="0"/>
        <v>test.Base64_2_</v>
      </c>
      <c r="D36">
        <v>1</v>
      </c>
      <c r="E36" s="4">
        <v>0.19354838709677419</v>
      </c>
      <c r="F36" s="4">
        <v>0.31512981199641898</v>
      </c>
      <c r="G36" s="4" t="str">
        <f t="shared" si="1"/>
        <v/>
      </c>
      <c r="H36" s="4">
        <f t="shared" si="2"/>
        <v>0.19354838709677419</v>
      </c>
      <c r="I36" s="4" t="str">
        <f t="shared" si="3"/>
        <v/>
      </c>
      <c r="J36" s="4" t="str">
        <f t="shared" si="4"/>
        <v/>
      </c>
      <c r="K36" s="4" t="str">
        <f t="shared" si="5"/>
        <v/>
      </c>
      <c r="L36" s="4" t="str">
        <f t="shared" si="6"/>
        <v/>
      </c>
      <c r="M36" s="4"/>
      <c r="N36" s="4"/>
      <c r="O36" s="4"/>
      <c r="P36" s="4"/>
      <c r="Q36" s="4"/>
      <c r="R36" s="4"/>
      <c r="S36" s="4"/>
      <c r="T36" s="4"/>
      <c r="U36" s="4"/>
    </row>
    <row r="37" spans="1:21">
      <c r="A37" t="s">
        <v>489</v>
      </c>
      <c r="B37">
        <v>2</v>
      </c>
      <c r="C37" t="str">
        <f t="shared" si="0"/>
        <v>test.Base64_2_</v>
      </c>
      <c r="D37">
        <v>2</v>
      </c>
      <c r="E37" s="4">
        <v>0.70967741935483875</v>
      </c>
      <c r="F37" s="4">
        <v>0.68666069829901522</v>
      </c>
      <c r="G37" s="4" t="str">
        <f t="shared" si="1"/>
        <v/>
      </c>
      <c r="H37" s="4" t="str">
        <f t="shared" si="2"/>
        <v/>
      </c>
      <c r="I37" s="4" t="str">
        <f t="shared" si="3"/>
        <v/>
      </c>
      <c r="J37" s="4">
        <f t="shared" si="4"/>
        <v>0.70967741935483875</v>
      </c>
      <c r="K37" s="4" t="str">
        <f t="shared" si="5"/>
        <v/>
      </c>
      <c r="L37" s="4" t="str">
        <f t="shared" si="6"/>
        <v/>
      </c>
      <c r="M37" s="4"/>
      <c r="N37" s="4"/>
      <c r="O37" s="4"/>
      <c r="P37" s="4"/>
      <c r="Q37" s="4"/>
      <c r="R37" s="4"/>
      <c r="S37" s="4"/>
      <c r="T37" s="4"/>
      <c r="U37" s="4"/>
    </row>
    <row r="38" spans="1:21">
      <c r="A38" t="s">
        <v>489</v>
      </c>
      <c r="B38">
        <v>2</v>
      </c>
      <c r="C38" t="str">
        <f t="shared" si="0"/>
        <v>test.Base64_2_</v>
      </c>
      <c r="D38">
        <v>3</v>
      </c>
      <c r="E38" s="4">
        <v>0.93548387096774188</v>
      </c>
      <c r="F38" s="4">
        <v>0.69471799462846906</v>
      </c>
      <c r="G38" s="4" t="str">
        <f t="shared" si="1"/>
        <v/>
      </c>
      <c r="H38" s="4" t="str">
        <f t="shared" si="2"/>
        <v/>
      </c>
      <c r="I38" s="4" t="str">
        <f t="shared" si="3"/>
        <v/>
      </c>
      <c r="J38" s="4">
        <f t="shared" si="4"/>
        <v>0.93548387096774188</v>
      </c>
      <c r="K38" s="4" t="str">
        <f t="shared" si="5"/>
        <v/>
      </c>
      <c r="L38" s="4" t="str">
        <f t="shared" si="6"/>
        <v/>
      </c>
      <c r="M38" s="4"/>
      <c r="N38" s="4"/>
      <c r="O38" s="4"/>
      <c r="P38" s="4"/>
      <c r="Q38" s="4"/>
      <c r="R38" s="4"/>
      <c r="S38" s="4"/>
      <c r="T38" s="4"/>
      <c r="U38" s="4"/>
    </row>
    <row r="39" spans="1:21">
      <c r="A39" t="s">
        <v>489</v>
      </c>
      <c r="B39">
        <v>2</v>
      </c>
      <c r="C39" t="str">
        <f t="shared" si="0"/>
        <v>test.Base64_2_</v>
      </c>
      <c r="D39">
        <v>4</v>
      </c>
      <c r="E39" s="4">
        <v>1</v>
      </c>
      <c r="F39" s="4">
        <v>0.9946284691136974</v>
      </c>
      <c r="G39" s="4" t="str">
        <f t="shared" si="1"/>
        <v/>
      </c>
      <c r="H39" s="4" t="str">
        <f t="shared" si="2"/>
        <v/>
      </c>
      <c r="I39" s="4" t="str">
        <f t="shared" si="3"/>
        <v/>
      </c>
      <c r="J39" s="4" t="str">
        <f t="shared" si="4"/>
        <v/>
      </c>
      <c r="K39" s="4">
        <f t="shared" si="5"/>
        <v>1</v>
      </c>
      <c r="L39" s="4" t="str">
        <f t="shared" si="6"/>
        <v/>
      </c>
      <c r="M39" s="4"/>
      <c r="N39" s="4"/>
      <c r="O39" s="4"/>
      <c r="P39" s="4"/>
      <c r="Q39" s="4"/>
      <c r="R39" s="4"/>
      <c r="S39" s="4"/>
      <c r="T39" s="4"/>
      <c r="U39" s="4"/>
    </row>
    <row r="40" spans="1:21">
      <c r="A40" t="s">
        <v>489</v>
      </c>
      <c r="B40">
        <v>4</v>
      </c>
      <c r="C40" t="str">
        <f t="shared" si="0"/>
        <v>test.Base64_4_</v>
      </c>
      <c r="D40">
        <v>1</v>
      </c>
      <c r="E40" s="4">
        <v>0.19354838709677419</v>
      </c>
      <c r="F40" s="4">
        <v>0.3224932249322493</v>
      </c>
      <c r="G40" s="4" t="str">
        <f t="shared" si="1"/>
        <v/>
      </c>
      <c r="H40" s="4">
        <f t="shared" si="2"/>
        <v>0.19354838709677419</v>
      </c>
      <c r="I40" s="4" t="str">
        <f t="shared" si="3"/>
        <v/>
      </c>
      <c r="J40" s="4" t="str">
        <f t="shared" si="4"/>
        <v/>
      </c>
      <c r="K40" s="4" t="str">
        <f t="shared" si="5"/>
        <v/>
      </c>
      <c r="L40" s="4" t="str">
        <f t="shared" si="6"/>
        <v/>
      </c>
      <c r="M40" s="4"/>
      <c r="N40" s="4"/>
      <c r="O40" s="4"/>
      <c r="P40" s="4"/>
      <c r="Q40" s="4"/>
      <c r="R40" s="4"/>
      <c r="S40" s="4"/>
      <c r="T40" s="4"/>
      <c r="U40" s="4"/>
    </row>
    <row r="41" spans="1:21">
      <c r="A41" t="s">
        <v>489</v>
      </c>
      <c r="B41">
        <v>4</v>
      </c>
      <c r="C41" t="str">
        <f t="shared" si="0"/>
        <v>test.Base64_4_</v>
      </c>
      <c r="D41">
        <v>2</v>
      </c>
      <c r="E41" s="4">
        <v>0.54838709677419351</v>
      </c>
      <c r="F41" s="4">
        <v>0.69105691056910568</v>
      </c>
      <c r="G41" s="4" t="str">
        <f t="shared" si="1"/>
        <v/>
      </c>
      <c r="H41" s="4" t="str">
        <f t="shared" si="2"/>
        <v/>
      </c>
      <c r="I41" s="4" t="str">
        <f t="shared" si="3"/>
        <v/>
      </c>
      <c r="J41" s="4">
        <f t="shared" si="4"/>
        <v>0.54838709677419351</v>
      </c>
      <c r="K41" s="4" t="str">
        <f t="shared" si="5"/>
        <v/>
      </c>
      <c r="L41" s="4" t="str">
        <f t="shared" si="6"/>
        <v/>
      </c>
      <c r="M41" s="4"/>
      <c r="N41" s="4"/>
      <c r="O41" s="4"/>
      <c r="P41" s="4"/>
      <c r="Q41" s="4"/>
      <c r="R41" s="4"/>
      <c r="S41" s="4"/>
      <c r="T41" s="4"/>
      <c r="U41" s="4"/>
    </row>
    <row r="42" spans="1:21">
      <c r="A42" t="s">
        <v>489</v>
      </c>
      <c r="B42">
        <v>4</v>
      </c>
      <c r="C42" t="str">
        <f t="shared" si="0"/>
        <v>test.Base64_4_</v>
      </c>
      <c r="D42">
        <v>3</v>
      </c>
      <c r="E42" s="4">
        <v>0.93548387096774188</v>
      </c>
      <c r="F42" s="4">
        <v>0.69557362240289067</v>
      </c>
      <c r="G42" s="4" t="str">
        <f t="shared" si="1"/>
        <v/>
      </c>
      <c r="H42" s="4" t="str">
        <f t="shared" si="2"/>
        <v/>
      </c>
      <c r="I42" s="4" t="str">
        <f t="shared" si="3"/>
        <v/>
      </c>
      <c r="J42" s="4">
        <f t="shared" si="4"/>
        <v>0.93548387096774188</v>
      </c>
      <c r="K42" s="4" t="str">
        <f t="shared" si="5"/>
        <v/>
      </c>
      <c r="L42" s="4" t="str">
        <f t="shared" si="6"/>
        <v/>
      </c>
      <c r="M42" s="4"/>
      <c r="N42" s="4"/>
      <c r="O42" s="4"/>
      <c r="P42" s="4"/>
      <c r="Q42" s="4"/>
      <c r="R42" s="4"/>
      <c r="S42" s="4"/>
      <c r="T42" s="4"/>
      <c r="U42" s="4"/>
    </row>
    <row r="43" spans="1:21">
      <c r="A43" t="s">
        <v>489</v>
      </c>
      <c r="B43">
        <v>4</v>
      </c>
      <c r="C43" t="str">
        <f t="shared" si="0"/>
        <v>test.Base64_4_</v>
      </c>
      <c r="D43">
        <v>4</v>
      </c>
      <c r="E43" s="4">
        <v>1</v>
      </c>
      <c r="F43" s="4">
        <v>1.0063233965672991</v>
      </c>
      <c r="G43" s="4" t="str">
        <f t="shared" si="1"/>
        <v/>
      </c>
      <c r="H43" s="4" t="str">
        <f t="shared" si="2"/>
        <v/>
      </c>
      <c r="I43" s="4" t="str">
        <f t="shared" si="3"/>
        <v/>
      </c>
      <c r="J43" s="4" t="str">
        <f t="shared" si="4"/>
        <v/>
      </c>
      <c r="K43" s="4">
        <f t="shared" si="5"/>
        <v>1</v>
      </c>
      <c r="L43" s="4" t="str">
        <f t="shared" si="6"/>
        <v/>
      </c>
      <c r="M43" s="4"/>
      <c r="N43" s="4"/>
      <c r="O43" s="4"/>
      <c r="P43" s="4"/>
      <c r="Q43" s="4"/>
      <c r="R43" s="4"/>
      <c r="S43" s="4"/>
      <c r="T43" s="4"/>
      <c r="U43" s="4"/>
    </row>
    <row r="44" spans="1:21">
      <c r="A44" t="s">
        <v>489</v>
      </c>
      <c r="B44">
        <v>13</v>
      </c>
      <c r="C44" t="str">
        <f t="shared" si="0"/>
        <v>test.Base64_13_</v>
      </c>
      <c r="D44">
        <v>1</v>
      </c>
      <c r="E44" s="4">
        <v>0.125</v>
      </c>
      <c r="F44" s="4">
        <v>0.28530259365994237</v>
      </c>
      <c r="G44" s="4" t="str">
        <f t="shared" si="1"/>
        <v/>
      </c>
      <c r="H44" s="4">
        <f t="shared" si="2"/>
        <v>0.125</v>
      </c>
      <c r="I44" s="4" t="str">
        <f t="shared" si="3"/>
        <v/>
      </c>
      <c r="J44" s="4" t="str">
        <f t="shared" si="4"/>
        <v/>
      </c>
      <c r="K44" s="4" t="str">
        <f t="shared" si="5"/>
        <v/>
      </c>
      <c r="L44" s="4" t="str">
        <f t="shared" si="6"/>
        <v/>
      </c>
      <c r="M44" s="4"/>
      <c r="N44" s="4"/>
      <c r="O44" s="4"/>
      <c r="P44" s="4"/>
      <c r="Q44" s="4"/>
      <c r="R44" s="4"/>
      <c r="S44" s="4"/>
      <c r="T44" s="4"/>
      <c r="U44" s="4"/>
    </row>
    <row r="45" spans="1:21">
      <c r="A45" t="s">
        <v>489</v>
      </c>
      <c r="B45">
        <v>13</v>
      </c>
      <c r="C45" t="str">
        <f t="shared" si="0"/>
        <v>test.Base64_13_</v>
      </c>
      <c r="D45">
        <v>2</v>
      </c>
      <c r="E45" s="4">
        <v>0.375</v>
      </c>
      <c r="F45" s="4">
        <v>0.53025936599423629</v>
      </c>
      <c r="G45" s="4" t="str">
        <f t="shared" si="1"/>
        <v/>
      </c>
      <c r="H45" s="4" t="str">
        <f t="shared" si="2"/>
        <v/>
      </c>
      <c r="I45" s="4">
        <f t="shared" si="3"/>
        <v>0.375</v>
      </c>
      <c r="J45" s="4" t="str">
        <f t="shared" si="4"/>
        <v/>
      </c>
      <c r="K45" s="4" t="str">
        <f t="shared" si="5"/>
        <v/>
      </c>
      <c r="L45" s="4" t="str">
        <f t="shared" si="6"/>
        <v/>
      </c>
      <c r="M45" s="4"/>
      <c r="N45" s="4"/>
      <c r="O45" s="4"/>
      <c r="P45" s="4"/>
      <c r="Q45" s="4"/>
      <c r="R45" s="4"/>
      <c r="S45" s="4"/>
      <c r="T45" s="4"/>
      <c r="U45" s="4"/>
    </row>
    <row r="46" spans="1:21">
      <c r="A46" t="s">
        <v>489</v>
      </c>
      <c r="B46">
        <v>13</v>
      </c>
      <c r="C46" t="str">
        <f t="shared" si="0"/>
        <v>test.Base64_13_</v>
      </c>
      <c r="D46">
        <v>3</v>
      </c>
      <c r="E46" s="4">
        <v>0.625</v>
      </c>
      <c r="F46" s="4">
        <v>0.7694524495677233</v>
      </c>
      <c r="G46" s="4" t="str">
        <f t="shared" si="1"/>
        <v/>
      </c>
      <c r="H46" s="4" t="str">
        <f t="shared" si="2"/>
        <v/>
      </c>
      <c r="I46" s="4" t="str">
        <f t="shared" si="3"/>
        <v/>
      </c>
      <c r="J46" s="4">
        <f t="shared" si="4"/>
        <v>0.625</v>
      </c>
      <c r="K46" s="4" t="str">
        <f t="shared" si="5"/>
        <v/>
      </c>
      <c r="L46" s="4" t="str">
        <f t="shared" si="6"/>
        <v/>
      </c>
      <c r="M46" s="4"/>
      <c r="N46" s="4"/>
      <c r="O46" s="4"/>
      <c r="P46" s="4"/>
      <c r="Q46" s="4"/>
      <c r="R46" s="4"/>
      <c r="S46" s="4"/>
      <c r="T46" s="4"/>
      <c r="U46" s="4"/>
    </row>
    <row r="47" spans="1:21">
      <c r="A47" t="s">
        <v>489</v>
      </c>
      <c r="B47">
        <v>13</v>
      </c>
      <c r="C47" t="str">
        <f t="shared" si="0"/>
        <v>test.Base64_13_</v>
      </c>
      <c r="D47">
        <v>4</v>
      </c>
      <c r="E47" s="4">
        <v>0.875</v>
      </c>
      <c r="F47" s="4">
        <v>1.0028818443804035</v>
      </c>
      <c r="G47" s="4" t="str">
        <f t="shared" si="1"/>
        <v/>
      </c>
      <c r="H47" s="4" t="str">
        <f t="shared" si="2"/>
        <v/>
      </c>
      <c r="I47" s="4" t="str">
        <f t="shared" si="3"/>
        <v/>
      </c>
      <c r="J47" s="4" t="str">
        <f t="shared" si="4"/>
        <v/>
      </c>
      <c r="K47" s="4">
        <f t="shared" si="5"/>
        <v>0.875</v>
      </c>
      <c r="L47" s="4" t="str">
        <f t="shared" si="6"/>
        <v/>
      </c>
      <c r="M47" s="4"/>
      <c r="N47" s="4"/>
      <c r="O47" s="4"/>
      <c r="P47" s="4"/>
      <c r="Q47" s="4"/>
      <c r="R47" s="4"/>
      <c r="S47" s="4"/>
      <c r="T47" s="4"/>
      <c r="U47" s="4"/>
    </row>
    <row r="48" spans="1:21">
      <c r="A48" t="s">
        <v>489</v>
      </c>
      <c r="B48">
        <v>13</v>
      </c>
      <c r="C48" t="str">
        <f t="shared" si="0"/>
        <v>test.Base64_13_</v>
      </c>
      <c r="D48">
        <v>5</v>
      </c>
      <c r="E48" s="4">
        <v>1</v>
      </c>
      <c r="F48" s="4">
        <v>1.0115273775216138</v>
      </c>
      <c r="G48" s="4" t="str">
        <f t="shared" si="1"/>
        <v/>
      </c>
      <c r="H48" s="4" t="str">
        <f t="shared" si="2"/>
        <v/>
      </c>
      <c r="I48" s="4" t="str">
        <f t="shared" si="3"/>
        <v/>
      </c>
      <c r="J48" s="4" t="str">
        <f t="shared" si="4"/>
        <v/>
      </c>
      <c r="K48" s="4">
        <f t="shared" si="5"/>
        <v>1</v>
      </c>
      <c r="L48" s="4" t="str">
        <f t="shared" si="6"/>
        <v/>
      </c>
      <c r="M48" s="4"/>
      <c r="N48" s="4"/>
      <c r="O48" s="4"/>
      <c r="P48" s="4"/>
      <c r="Q48" s="4"/>
      <c r="R48" s="4"/>
      <c r="S48" s="4"/>
      <c r="T48" s="4"/>
      <c r="U48" s="4"/>
    </row>
    <row r="49" spans="1:21">
      <c r="A49" t="s">
        <v>489</v>
      </c>
      <c r="B49">
        <v>16</v>
      </c>
      <c r="C49" t="str">
        <f t="shared" si="0"/>
        <v>test.Base64_16_</v>
      </c>
      <c r="D49">
        <v>1</v>
      </c>
      <c r="E49" s="4">
        <v>1.6393442622950821E-2</v>
      </c>
      <c r="F49" s="4">
        <v>1.0341726618705036E-2</v>
      </c>
      <c r="G49" s="4">
        <f t="shared" si="1"/>
        <v>1.6393442622950821E-2</v>
      </c>
      <c r="H49" s="4" t="str">
        <f t="shared" si="2"/>
        <v/>
      </c>
      <c r="I49" s="4" t="str">
        <f t="shared" si="3"/>
        <v/>
      </c>
      <c r="J49" s="4" t="str">
        <f t="shared" si="4"/>
        <v/>
      </c>
      <c r="K49" s="4" t="str">
        <f t="shared" si="5"/>
        <v/>
      </c>
      <c r="L49" s="4" t="str">
        <f t="shared" si="6"/>
        <v/>
      </c>
      <c r="M49" s="4"/>
      <c r="N49" s="4"/>
      <c r="O49" s="4"/>
      <c r="P49" s="4"/>
      <c r="Q49" s="4"/>
      <c r="R49" s="4"/>
      <c r="S49" s="4"/>
      <c r="T49" s="4"/>
      <c r="U49" s="4"/>
    </row>
    <row r="50" spans="1:21">
      <c r="A50" t="s">
        <v>489</v>
      </c>
      <c r="B50">
        <v>16</v>
      </c>
      <c r="C50" t="str">
        <f t="shared" si="0"/>
        <v>test.Base64_16_</v>
      </c>
      <c r="D50">
        <v>2</v>
      </c>
      <c r="E50" s="4">
        <v>3.2786885245901641E-2</v>
      </c>
      <c r="F50" s="4">
        <v>1.5107913669064749E-2</v>
      </c>
      <c r="G50" s="4">
        <f t="shared" si="1"/>
        <v>3.2786885245901641E-2</v>
      </c>
      <c r="H50" s="4" t="str">
        <f t="shared" si="2"/>
        <v/>
      </c>
      <c r="I50" s="4" t="str">
        <f t="shared" si="3"/>
        <v/>
      </c>
      <c r="J50" s="4" t="str">
        <f t="shared" si="4"/>
        <v/>
      </c>
      <c r="K50" s="4" t="str">
        <f t="shared" si="5"/>
        <v/>
      </c>
      <c r="L50" s="4" t="str">
        <f t="shared" si="6"/>
        <v/>
      </c>
      <c r="M50" s="4"/>
      <c r="N50" s="4"/>
      <c r="O50" s="4"/>
      <c r="P50" s="4"/>
      <c r="Q50" s="4"/>
      <c r="R50" s="4"/>
      <c r="S50" s="4"/>
      <c r="T50" s="4"/>
      <c r="U50" s="4"/>
    </row>
    <row r="51" spans="1:21">
      <c r="A51" t="s">
        <v>489</v>
      </c>
      <c r="B51">
        <v>16</v>
      </c>
      <c r="C51" t="str">
        <f t="shared" si="0"/>
        <v>test.Base64_16_</v>
      </c>
      <c r="D51">
        <v>3</v>
      </c>
      <c r="E51" s="4">
        <v>0.90710382513661203</v>
      </c>
      <c r="F51" s="4">
        <v>0.91677158273381298</v>
      </c>
      <c r="G51" s="4" t="str">
        <f t="shared" si="1"/>
        <v/>
      </c>
      <c r="H51" s="4" t="str">
        <f t="shared" si="2"/>
        <v/>
      </c>
      <c r="I51" s="4" t="str">
        <f t="shared" si="3"/>
        <v/>
      </c>
      <c r="J51" s="4" t="str">
        <f t="shared" si="4"/>
        <v/>
      </c>
      <c r="K51" s="4">
        <f t="shared" si="5"/>
        <v>0.90710382513661203</v>
      </c>
      <c r="L51" s="4" t="str">
        <f t="shared" si="6"/>
        <v/>
      </c>
      <c r="M51" s="4"/>
      <c r="N51" s="4"/>
      <c r="O51" s="4"/>
      <c r="P51" s="4"/>
      <c r="Q51" s="4"/>
      <c r="R51" s="4"/>
      <c r="S51" s="4"/>
      <c r="T51" s="4"/>
      <c r="U51" s="4"/>
    </row>
    <row r="52" spans="1:21">
      <c r="A52" t="s">
        <v>489</v>
      </c>
      <c r="B52">
        <v>16</v>
      </c>
      <c r="C52" t="str">
        <f t="shared" si="0"/>
        <v>test.Base64_16_</v>
      </c>
      <c r="D52">
        <v>4</v>
      </c>
      <c r="E52" s="4">
        <v>1</v>
      </c>
      <c r="F52" s="4">
        <v>1.0012140287769784</v>
      </c>
      <c r="G52" s="4" t="str">
        <f t="shared" si="1"/>
        <v/>
      </c>
      <c r="H52" s="4" t="str">
        <f t="shared" si="2"/>
        <v/>
      </c>
      <c r="I52" s="4" t="str">
        <f t="shared" si="3"/>
        <v/>
      </c>
      <c r="J52" s="4" t="str">
        <f t="shared" si="4"/>
        <v/>
      </c>
      <c r="K52" s="4">
        <f t="shared" si="5"/>
        <v>1</v>
      </c>
      <c r="L52" s="4" t="str">
        <f t="shared" si="6"/>
        <v/>
      </c>
      <c r="M52" s="4"/>
      <c r="N52" s="4"/>
      <c r="O52" s="4"/>
      <c r="P52" s="4"/>
      <c r="Q52" s="4"/>
      <c r="R52" s="4"/>
      <c r="S52" s="4"/>
      <c r="T52" s="4"/>
      <c r="U52" s="4"/>
    </row>
    <row r="53" spans="1:21">
      <c r="A53" t="s">
        <v>489</v>
      </c>
      <c r="B53">
        <v>18</v>
      </c>
      <c r="C53" t="str">
        <f t="shared" si="0"/>
        <v>test.Base64_18_</v>
      </c>
      <c r="D53">
        <v>1</v>
      </c>
      <c r="E53" s="4">
        <v>2.1276595744680851E-2</v>
      </c>
      <c r="F53" s="4">
        <v>1.5058305022495638E-2</v>
      </c>
      <c r="G53" s="4">
        <f t="shared" si="1"/>
        <v>2.1276595744680851E-2</v>
      </c>
      <c r="H53" s="4" t="str">
        <f t="shared" si="2"/>
        <v/>
      </c>
      <c r="I53" s="4" t="str">
        <f t="shared" si="3"/>
        <v/>
      </c>
      <c r="J53" s="4" t="str">
        <f t="shared" si="4"/>
        <v/>
      </c>
      <c r="K53" s="4" t="str">
        <f t="shared" si="5"/>
        <v/>
      </c>
      <c r="L53" s="4" t="str">
        <f t="shared" si="6"/>
        <v/>
      </c>
      <c r="M53" s="4"/>
      <c r="N53" s="4"/>
      <c r="O53" s="4"/>
      <c r="P53" s="4"/>
      <c r="Q53" s="4"/>
      <c r="R53" s="4"/>
      <c r="S53" s="4"/>
      <c r="T53" s="4"/>
      <c r="U53" s="4"/>
    </row>
    <row r="54" spans="1:21">
      <c r="A54" t="s">
        <v>489</v>
      </c>
      <c r="B54">
        <v>18</v>
      </c>
      <c r="C54" t="str">
        <f t="shared" si="0"/>
        <v>test.Base64_18_</v>
      </c>
      <c r="D54">
        <v>2</v>
      </c>
      <c r="E54" s="4">
        <v>4.2553191489361701E-2</v>
      </c>
      <c r="F54" s="4">
        <v>2.589293912404738E-2</v>
      </c>
      <c r="G54" s="4">
        <f t="shared" si="1"/>
        <v>4.2553191489361701E-2</v>
      </c>
      <c r="H54" s="4" t="str">
        <f t="shared" si="2"/>
        <v/>
      </c>
      <c r="I54" s="4" t="str">
        <f t="shared" si="3"/>
        <v/>
      </c>
      <c r="J54" s="4" t="str">
        <f t="shared" si="4"/>
        <v/>
      </c>
      <c r="K54" s="4" t="str">
        <f t="shared" si="5"/>
        <v/>
      </c>
      <c r="L54" s="4" t="str">
        <f t="shared" si="6"/>
        <v/>
      </c>
      <c r="M54" s="4"/>
      <c r="N54" s="4"/>
      <c r="O54" s="4"/>
      <c r="P54" s="4"/>
      <c r="Q54" s="4"/>
      <c r="R54" s="4"/>
      <c r="S54" s="4"/>
      <c r="T54" s="4"/>
      <c r="U54" s="4"/>
    </row>
    <row r="55" spans="1:21">
      <c r="A55" t="s">
        <v>489</v>
      </c>
      <c r="B55">
        <v>18</v>
      </c>
      <c r="C55" t="str">
        <f t="shared" si="0"/>
        <v>test.Base64_18_</v>
      </c>
      <c r="D55">
        <v>3</v>
      </c>
      <c r="E55" s="4">
        <v>0.12056737588652482</v>
      </c>
      <c r="F55" s="4">
        <v>6.2528693416582501E-2</v>
      </c>
      <c r="G55" s="4">
        <f t="shared" si="1"/>
        <v>0.12056737588652482</v>
      </c>
      <c r="H55" s="4" t="str">
        <f t="shared" si="2"/>
        <v/>
      </c>
      <c r="I55" s="4" t="str">
        <f t="shared" si="3"/>
        <v/>
      </c>
      <c r="J55" s="4" t="str">
        <f t="shared" si="4"/>
        <v/>
      </c>
      <c r="K55" s="4" t="str">
        <f t="shared" si="5"/>
        <v/>
      </c>
      <c r="L55" s="4" t="str">
        <f t="shared" si="6"/>
        <v/>
      </c>
      <c r="M55" s="4"/>
      <c r="N55" s="4"/>
      <c r="O55" s="4"/>
      <c r="P55" s="4"/>
      <c r="Q55" s="4"/>
      <c r="R55" s="4"/>
      <c r="S55" s="4"/>
      <c r="T55" s="4"/>
      <c r="U55" s="4"/>
    </row>
    <row r="56" spans="1:21">
      <c r="A56" t="s">
        <v>489</v>
      </c>
      <c r="B56">
        <v>18</v>
      </c>
      <c r="C56" t="str">
        <f t="shared" si="0"/>
        <v>test.Base64_18_</v>
      </c>
      <c r="D56">
        <v>4</v>
      </c>
      <c r="E56" s="4">
        <v>0.16312056737588654</v>
      </c>
      <c r="F56" s="4">
        <v>7.7678817372142134E-2</v>
      </c>
      <c r="G56" s="4">
        <f t="shared" si="1"/>
        <v>0.16312056737588654</v>
      </c>
      <c r="H56" s="4" t="str">
        <f t="shared" si="2"/>
        <v/>
      </c>
      <c r="I56" s="4" t="str">
        <f t="shared" si="3"/>
        <v/>
      </c>
      <c r="J56" s="4" t="str">
        <f t="shared" si="4"/>
        <v/>
      </c>
      <c r="K56" s="4" t="str">
        <f t="shared" si="5"/>
        <v/>
      </c>
      <c r="L56" s="4" t="str">
        <f t="shared" si="6"/>
        <v/>
      </c>
      <c r="M56" s="4"/>
      <c r="N56" s="4"/>
      <c r="O56" s="4"/>
      <c r="P56" s="4"/>
      <c r="Q56" s="4"/>
      <c r="R56" s="4"/>
      <c r="S56" s="4"/>
      <c r="T56" s="4"/>
      <c r="U56" s="4"/>
    </row>
    <row r="57" spans="1:21">
      <c r="A57" t="s">
        <v>489</v>
      </c>
      <c r="B57">
        <v>18</v>
      </c>
      <c r="C57" t="str">
        <f t="shared" si="0"/>
        <v>test.Base64_18_</v>
      </c>
      <c r="D57">
        <v>5</v>
      </c>
      <c r="E57" s="4">
        <v>0.24822695035460993</v>
      </c>
      <c r="F57" s="4">
        <v>0.10283720503167754</v>
      </c>
      <c r="G57" s="4">
        <f t="shared" si="1"/>
        <v>0.24822695035460993</v>
      </c>
      <c r="H57" s="4" t="str">
        <f t="shared" si="2"/>
        <v/>
      </c>
      <c r="I57" s="4" t="str">
        <f t="shared" si="3"/>
        <v/>
      </c>
      <c r="J57" s="4" t="str">
        <f t="shared" si="4"/>
        <v/>
      </c>
      <c r="K57" s="4" t="str">
        <f t="shared" si="5"/>
        <v/>
      </c>
      <c r="L57" s="4" t="str">
        <f t="shared" si="6"/>
        <v/>
      </c>
      <c r="M57" s="4"/>
      <c r="N57" s="4"/>
      <c r="O57" s="4"/>
      <c r="P57" s="4"/>
      <c r="Q57" s="4"/>
      <c r="R57" s="4"/>
      <c r="S57" s="4"/>
      <c r="T57" s="4"/>
      <c r="U57" s="4"/>
    </row>
    <row r="58" spans="1:21">
      <c r="A58" t="s">
        <v>489</v>
      </c>
      <c r="B58">
        <v>18</v>
      </c>
      <c r="C58" t="str">
        <f t="shared" si="0"/>
        <v>test.Base64_18_</v>
      </c>
      <c r="D58">
        <v>6</v>
      </c>
      <c r="E58" s="4">
        <v>0.26950354609929078</v>
      </c>
      <c r="F58" s="4">
        <v>0.11009090074373336</v>
      </c>
      <c r="G58" s="4">
        <f t="shared" si="1"/>
        <v>0.26950354609929078</v>
      </c>
      <c r="H58" s="4" t="str">
        <f t="shared" si="2"/>
        <v/>
      </c>
      <c r="I58" s="4" t="str">
        <f t="shared" si="3"/>
        <v/>
      </c>
      <c r="J58" s="4" t="str">
        <f t="shared" si="4"/>
        <v/>
      </c>
      <c r="K58" s="4" t="str">
        <f t="shared" si="5"/>
        <v/>
      </c>
      <c r="L58" s="4" t="str">
        <f t="shared" si="6"/>
        <v/>
      </c>
      <c r="M58" s="4"/>
      <c r="N58" s="4"/>
      <c r="O58" s="4"/>
      <c r="P58" s="4"/>
      <c r="Q58" s="4"/>
      <c r="R58" s="4"/>
      <c r="S58" s="4"/>
      <c r="T58" s="4"/>
      <c r="U58" s="4"/>
    </row>
    <row r="59" spans="1:21">
      <c r="A59" t="s">
        <v>489</v>
      </c>
      <c r="B59">
        <v>18</v>
      </c>
      <c r="C59" t="str">
        <f t="shared" si="0"/>
        <v>test.Base64_18_</v>
      </c>
      <c r="D59">
        <v>7</v>
      </c>
      <c r="E59" s="4">
        <v>0.29078014184397161</v>
      </c>
      <c r="F59" s="4">
        <v>0.11110090900743734</v>
      </c>
      <c r="G59" s="4">
        <f t="shared" si="1"/>
        <v>0.29078014184397161</v>
      </c>
      <c r="H59" s="4" t="str">
        <f t="shared" si="2"/>
        <v/>
      </c>
      <c r="I59" s="4" t="str">
        <f t="shared" si="3"/>
        <v/>
      </c>
      <c r="J59" s="4" t="str">
        <f t="shared" si="4"/>
        <v/>
      </c>
      <c r="K59" s="4" t="str">
        <f t="shared" si="5"/>
        <v/>
      </c>
      <c r="L59" s="4" t="str">
        <f t="shared" si="6"/>
        <v/>
      </c>
      <c r="M59" s="4"/>
      <c r="N59" s="4"/>
      <c r="O59" s="4"/>
      <c r="P59" s="4"/>
      <c r="Q59" s="4"/>
      <c r="R59" s="4"/>
      <c r="S59" s="4"/>
      <c r="T59" s="4"/>
      <c r="U59" s="4"/>
    </row>
    <row r="60" spans="1:21">
      <c r="A60" t="s">
        <v>489</v>
      </c>
      <c r="B60">
        <v>18</v>
      </c>
      <c r="C60" t="str">
        <f t="shared" si="0"/>
        <v>test.Base64_18_</v>
      </c>
      <c r="D60">
        <v>8</v>
      </c>
      <c r="E60" s="4">
        <v>0.31205673758865249</v>
      </c>
      <c r="F60" s="4">
        <v>0.11183546047194931</v>
      </c>
      <c r="G60" s="4">
        <f t="shared" si="1"/>
        <v>0.31205673758865249</v>
      </c>
      <c r="H60" s="4" t="str">
        <f t="shared" si="2"/>
        <v/>
      </c>
      <c r="I60" s="4" t="str">
        <f t="shared" si="3"/>
        <v/>
      </c>
      <c r="J60" s="4" t="str">
        <f t="shared" si="4"/>
        <v/>
      </c>
      <c r="K60" s="4" t="str">
        <f t="shared" si="5"/>
        <v/>
      </c>
      <c r="L60" s="4" t="str">
        <f t="shared" si="6"/>
        <v/>
      </c>
      <c r="M60" s="4"/>
      <c r="N60" s="4"/>
      <c r="O60" s="4"/>
      <c r="P60" s="4"/>
      <c r="Q60" s="4"/>
      <c r="R60" s="4"/>
      <c r="S60" s="4"/>
      <c r="T60" s="4"/>
      <c r="U60" s="4"/>
    </row>
    <row r="61" spans="1:21">
      <c r="A61" t="s">
        <v>489</v>
      </c>
      <c r="B61">
        <v>18</v>
      </c>
      <c r="C61" t="str">
        <f t="shared" si="0"/>
        <v>test.Base64_18_</v>
      </c>
      <c r="D61">
        <v>9</v>
      </c>
      <c r="E61" s="4">
        <v>0.33333333333333331</v>
      </c>
      <c r="F61" s="4">
        <v>0.11633458819208521</v>
      </c>
      <c r="G61" s="4">
        <f t="shared" si="1"/>
        <v>0.33333333333333331</v>
      </c>
      <c r="H61" s="4" t="str">
        <f t="shared" si="2"/>
        <v/>
      </c>
      <c r="I61" s="4" t="str">
        <f t="shared" si="3"/>
        <v/>
      </c>
      <c r="J61" s="4" t="str">
        <f t="shared" si="4"/>
        <v/>
      </c>
      <c r="K61" s="4" t="str">
        <f t="shared" si="5"/>
        <v/>
      </c>
      <c r="L61" s="4" t="str">
        <f t="shared" si="6"/>
        <v/>
      </c>
      <c r="M61" s="4"/>
      <c r="N61" s="4"/>
      <c r="O61" s="4"/>
      <c r="P61" s="4"/>
      <c r="Q61" s="4"/>
      <c r="R61" s="4"/>
      <c r="S61" s="4"/>
      <c r="T61" s="4"/>
      <c r="U61" s="4"/>
    </row>
    <row r="62" spans="1:21">
      <c r="A62" t="s">
        <v>489</v>
      </c>
      <c r="B62">
        <v>18</v>
      </c>
      <c r="C62" t="str">
        <f t="shared" si="0"/>
        <v>test.Base64_18_</v>
      </c>
      <c r="D62">
        <v>10</v>
      </c>
      <c r="E62" s="4">
        <v>0.33333333333333331</v>
      </c>
      <c r="F62" s="4">
        <v>0.1167936828574052</v>
      </c>
      <c r="G62" s="4">
        <f t="shared" si="1"/>
        <v>0.33333333333333331</v>
      </c>
      <c r="H62" s="4" t="str">
        <f t="shared" si="2"/>
        <v/>
      </c>
      <c r="I62" s="4" t="str">
        <f t="shared" si="3"/>
        <v/>
      </c>
      <c r="J62" s="4" t="str">
        <f t="shared" si="4"/>
        <v/>
      </c>
      <c r="K62" s="4" t="str">
        <f t="shared" si="5"/>
        <v/>
      </c>
      <c r="L62" s="4" t="str">
        <f t="shared" si="6"/>
        <v/>
      </c>
      <c r="M62" s="4"/>
      <c r="N62" s="4"/>
      <c r="O62" s="4"/>
      <c r="P62" s="4"/>
      <c r="Q62" s="4"/>
      <c r="R62" s="4"/>
      <c r="S62" s="4"/>
      <c r="T62" s="4"/>
      <c r="U62" s="4"/>
    </row>
    <row r="63" spans="1:21">
      <c r="A63" t="s">
        <v>489</v>
      </c>
      <c r="B63">
        <v>18</v>
      </c>
      <c r="C63" t="str">
        <f t="shared" si="0"/>
        <v>test.Base64_18_</v>
      </c>
      <c r="D63">
        <v>11</v>
      </c>
      <c r="E63" s="4">
        <v>0.33333333333333331</v>
      </c>
      <c r="F63" s="4">
        <v>0.11743641538885319</v>
      </c>
      <c r="G63" s="4">
        <f t="shared" si="1"/>
        <v>0.33333333333333331</v>
      </c>
      <c r="H63" s="4" t="str">
        <f t="shared" si="2"/>
        <v/>
      </c>
      <c r="I63" s="4" t="str">
        <f t="shared" si="3"/>
        <v/>
      </c>
      <c r="J63" s="4" t="str">
        <f t="shared" si="4"/>
        <v/>
      </c>
      <c r="K63" s="4" t="str">
        <f t="shared" si="5"/>
        <v/>
      </c>
      <c r="L63" s="4" t="str">
        <f t="shared" si="6"/>
        <v/>
      </c>
      <c r="M63" s="4"/>
      <c r="N63" s="4"/>
      <c r="O63" s="4"/>
      <c r="P63" s="4"/>
      <c r="Q63" s="4"/>
      <c r="R63" s="4"/>
      <c r="S63" s="4"/>
      <c r="T63" s="4"/>
      <c r="U63" s="4"/>
    </row>
    <row r="64" spans="1:21">
      <c r="A64" t="s">
        <v>489</v>
      </c>
      <c r="B64">
        <v>18</v>
      </c>
      <c r="C64" t="str">
        <f t="shared" si="0"/>
        <v>test.Base64_18_</v>
      </c>
      <c r="D64">
        <v>12</v>
      </c>
      <c r="E64" s="4">
        <v>0.36170212765957449</v>
      </c>
      <c r="F64" s="4">
        <v>0.11890551831787714</v>
      </c>
      <c r="G64" s="4">
        <f t="shared" si="1"/>
        <v>0.36170212765957449</v>
      </c>
      <c r="H64" s="4" t="str">
        <f t="shared" si="2"/>
        <v/>
      </c>
      <c r="I64" s="4" t="str">
        <f t="shared" si="3"/>
        <v/>
      </c>
      <c r="J64" s="4" t="str">
        <f t="shared" si="4"/>
        <v/>
      </c>
      <c r="K64" s="4" t="str">
        <f t="shared" si="5"/>
        <v/>
      </c>
      <c r="L64" s="4" t="str">
        <f t="shared" si="6"/>
        <v/>
      </c>
      <c r="M64" s="4"/>
      <c r="N64" s="4"/>
      <c r="O64" s="4"/>
      <c r="P64" s="4"/>
      <c r="Q64" s="4"/>
      <c r="R64" s="4"/>
      <c r="S64" s="4"/>
      <c r="T64" s="4"/>
      <c r="U64" s="4"/>
    </row>
    <row r="65" spans="1:21">
      <c r="A65" t="s">
        <v>489</v>
      </c>
      <c r="B65">
        <v>18</v>
      </c>
      <c r="C65" t="str">
        <f t="shared" si="0"/>
        <v>test.Base64_18_</v>
      </c>
      <c r="D65">
        <v>13</v>
      </c>
      <c r="E65" s="4">
        <v>0.36170212765957449</v>
      </c>
      <c r="F65" s="4">
        <v>0.12046644017996511</v>
      </c>
      <c r="G65" s="4">
        <f t="shared" si="1"/>
        <v>0.36170212765957449</v>
      </c>
      <c r="H65" s="4" t="str">
        <f t="shared" si="2"/>
        <v/>
      </c>
      <c r="I65" s="4" t="str">
        <f t="shared" si="3"/>
        <v/>
      </c>
      <c r="J65" s="4" t="str">
        <f t="shared" si="4"/>
        <v/>
      </c>
      <c r="K65" s="4" t="str">
        <f t="shared" si="5"/>
        <v/>
      </c>
      <c r="L65" s="4" t="str">
        <f t="shared" si="6"/>
        <v/>
      </c>
      <c r="M65" s="4"/>
      <c r="N65" s="4"/>
      <c r="O65" s="4"/>
      <c r="P65" s="4"/>
      <c r="Q65" s="4"/>
      <c r="R65" s="4"/>
      <c r="S65" s="4"/>
      <c r="T65" s="4"/>
      <c r="U65" s="4"/>
    </row>
    <row r="66" spans="1:21">
      <c r="A66" t="s">
        <v>489</v>
      </c>
      <c r="B66">
        <v>18</v>
      </c>
      <c r="C66" t="str">
        <f t="shared" si="0"/>
        <v>test.Base64_18_</v>
      </c>
      <c r="D66">
        <v>14</v>
      </c>
      <c r="E66" s="4">
        <v>0.36170212765957449</v>
      </c>
      <c r="F66" s="4">
        <v>0.1207418969791571</v>
      </c>
      <c r="G66" s="4">
        <f t="shared" si="1"/>
        <v>0.36170212765957449</v>
      </c>
      <c r="H66" s="4" t="str">
        <f t="shared" si="2"/>
        <v/>
      </c>
      <c r="I66" s="4" t="str">
        <f t="shared" si="3"/>
        <v/>
      </c>
      <c r="J66" s="4" t="str">
        <f t="shared" si="4"/>
        <v/>
      </c>
      <c r="K66" s="4" t="str">
        <f t="shared" si="5"/>
        <v/>
      </c>
      <c r="L66" s="4" t="str">
        <f t="shared" si="6"/>
        <v/>
      </c>
      <c r="M66" s="4"/>
      <c r="N66" s="4"/>
      <c r="O66" s="4"/>
      <c r="P66" s="4"/>
      <c r="Q66" s="4"/>
      <c r="R66" s="4"/>
      <c r="S66" s="4"/>
      <c r="T66" s="4"/>
      <c r="U66" s="4"/>
    </row>
    <row r="67" spans="1:21">
      <c r="A67" t="s">
        <v>489</v>
      </c>
      <c r="B67">
        <v>18</v>
      </c>
      <c r="C67" t="str">
        <f t="shared" ref="C67:C130" si="15">CONCATENATE(A67, "_",B67,"_")</f>
        <v>test.Base64_18_</v>
      </c>
      <c r="D67">
        <v>15</v>
      </c>
      <c r="E67" s="4">
        <v>0.36170212765957449</v>
      </c>
      <c r="F67" s="4">
        <v>0.12423101643558902</v>
      </c>
      <c r="G67" s="4">
        <f t="shared" ref="G67:G130" si="16">IF(F67 &lt;= 0.2,E67,"")</f>
        <v>0.36170212765957449</v>
      </c>
      <c r="H67" s="4" t="str">
        <f t="shared" ref="H67:H130" si="17">IF(AND($F67 &gt; 0.2,$F67 &lt;= 0.4),$E67,"")</f>
        <v/>
      </c>
      <c r="I67" s="4" t="str">
        <f t="shared" ref="I67:I130" si="18">IF(AND($F67 &gt; 0.4,$F67 &lt;= 0.6),$E67,"")</f>
        <v/>
      </c>
      <c r="J67" s="4" t="str">
        <f t="shared" ref="J67:J130" si="19">IF(AND($F67 &gt; 0.6,$F67 &lt;= 0.8),$E67,"")</f>
        <v/>
      </c>
      <c r="K67" s="4" t="str">
        <f t="shared" ref="K67:K130" si="20">IF(AND($F67 &gt; 0.8, $F67 &lt;=1.1),$E67,"")</f>
        <v/>
      </c>
      <c r="L67" s="4" t="str">
        <f t="shared" ref="L67:L130" si="21">IF(AND($F67 &gt; 1.1),$E67,"")</f>
        <v/>
      </c>
      <c r="M67" s="4"/>
      <c r="N67" s="4"/>
      <c r="O67" s="4"/>
      <c r="P67" s="4"/>
      <c r="Q67" s="4"/>
      <c r="R67" s="4"/>
      <c r="S67" s="4"/>
      <c r="T67" s="4"/>
      <c r="U67" s="4"/>
    </row>
    <row r="68" spans="1:21">
      <c r="A68" t="s">
        <v>489</v>
      </c>
      <c r="B68">
        <v>18</v>
      </c>
      <c r="C68" t="str">
        <f t="shared" si="15"/>
        <v>test.Base64_18_</v>
      </c>
      <c r="D68">
        <v>16</v>
      </c>
      <c r="E68" s="4">
        <v>0.36170212765957449</v>
      </c>
      <c r="F68" s="4">
        <v>0.12570011936461298</v>
      </c>
      <c r="G68" s="4">
        <f t="shared" si="16"/>
        <v>0.36170212765957449</v>
      </c>
      <c r="H68" s="4" t="str">
        <f t="shared" si="17"/>
        <v/>
      </c>
      <c r="I68" s="4" t="str">
        <f t="shared" si="18"/>
        <v/>
      </c>
      <c r="J68" s="4" t="str">
        <f t="shared" si="19"/>
        <v/>
      </c>
      <c r="K68" s="4" t="str">
        <f t="shared" si="20"/>
        <v/>
      </c>
      <c r="L68" s="4" t="str">
        <f t="shared" si="21"/>
        <v/>
      </c>
      <c r="M68" s="4"/>
      <c r="N68" s="4"/>
      <c r="O68" s="4"/>
      <c r="P68" s="4"/>
      <c r="Q68" s="4"/>
      <c r="R68" s="4"/>
      <c r="S68" s="4"/>
      <c r="T68" s="4"/>
      <c r="U68" s="4"/>
    </row>
    <row r="69" spans="1:21">
      <c r="A69" t="s">
        <v>489</v>
      </c>
      <c r="B69">
        <v>18</v>
      </c>
      <c r="C69" t="str">
        <f t="shared" si="15"/>
        <v>test.Base64_18_</v>
      </c>
      <c r="D69">
        <v>17</v>
      </c>
      <c r="E69" s="4">
        <v>0.36170212765957449</v>
      </c>
      <c r="F69" s="4">
        <v>0.12597557616380498</v>
      </c>
      <c r="G69" s="4">
        <f t="shared" si="16"/>
        <v>0.36170212765957449</v>
      </c>
      <c r="H69" s="4" t="str">
        <f t="shared" si="17"/>
        <v/>
      </c>
      <c r="I69" s="4" t="str">
        <f t="shared" si="18"/>
        <v/>
      </c>
      <c r="J69" s="4" t="str">
        <f t="shared" si="19"/>
        <v/>
      </c>
      <c r="K69" s="4" t="str">
        <f t="shared" si="20"/>
        <v/>
      </c>
      <c r="L69" s="4" t="str">
        <f t="shared" si="21"/>
        <v/>
      </c>
      <c r="M69" s="4"/>
      <c r="N69" s="4"/>
      <c r="O69" s="4"/>
      <c r="P69" s="4"/>
      <c r="Q69" s="4"/>
      <c r="R69" s="4"/>
      <c r="S69" s="4"/>
      <c r="T69" s="4"/>
      <c r="U69" s="4"/>
    </row>
    <row r="70" spans="1:21">
      <c r="A70" t="s">
        <v>489</v>
      </c>
      <c r="B70">
        <v>18</v>
      </c>
      <c r="C70" t="str">
        <f t="shared" si="15"/>
        <v>test.Base64_18_</v>
      </c>
      <c r="D70">
        <v>18</v>
      </c>
      <c r="E70" s="4">
        <v>0.36170212765957449</v>
      </c>
      <c r="F70" s="4">
        <v>0.13249472041134883</v>
      </c>
      <c r="G70" s="4">
        <f t="shared" si="16"/>
        <v>0.36170212765957449</v>
      </c>
      <c r="H70" s="4" t="str">
        <f t="shared" si="17"/>
        <v/>
      </c>
      <c r="I70" s="4" t="str">
        <f t="shared" si="18"/>
        <v/>
      </c>
      <c r="J70" s="4" t="str">
        <f t="shared" si="19"/>
        <v/>
      </c>
      <c r="K70" s="4" t="str">
        <f t="shared" si="20"/>
        <v/>
      </c>
      <c r="L70" s="4" t="str">
        <f t="shared" si="21"/>
        <v/>
      </c>
      <c r="M70" s="4"/>
      <c r="N70" s="4"/>
      <c r="O70" s="4"/>
      <c r="P70" s="4"/>
      <c r="Q70" s="4"/>
      <c r="R70" s="4"/>
      <c r="S70" s="4"/>
      <c r="T70" s="4"/>
      <c r="U70" s="4"/>
    </row>
    <row r="71" spans="1:21">
      <c r="A71" t="s">
        <v>489</v>
      </c>
      <c r="B71">
        <v>18</v>
      </c>
      <c r="C71" t="str">
        <f t="shared" si="15"/>
        <v>test.Base64_18_</v>
      </c>
      <c r="D71">
        <v>19</v>
      </c>
      <c r="E71" s="4">
        <v>0.46099290780141844</v>
      </c>
      <c r="F71" s="4">
        <v>0.16095858966118815</v>
      </c>
      <c r="G71" s="4">
        <f t="shared" si="16"/>
        <v>0.46099290780141844</v>
      </c>
      <c r="H71" s="4" t="str">
        <f t="shared" si="17"/>
        <v/>
      </c>
      <c r="I71" s="4" t="str">
        <f t="shared" si="18"/>
        <v/>
      </c>
      <c r="J71" s="4" t="str">
        <f t="shared" si="19"/>
        <v/>
      </c>
      <c r="K71" s="4" t="str">
        <f t="shared" si="20"/>
        <v/>
      </c>
      <c r="L71" s="4" t="str">
        <f t="shared" si="21"/>
        <v/>
      </c>
      <c r="M71" s="4"/>
      <c r="N71" s="4"/>
      <c r="O71" s="4"/>
      <c r="P71" s="4"/>
      <c r="Q71" s="4"/>
      <c r="R71" s="4"/>
      <c r="S71" s="4"/>
      <c r="T71" s="4"/>
      <c r="U71" s="4"/>
    </row>
    <row r="72" spans="1:21">
      <c r="A72" t="s">
        <v>489</v>
      </c>
      <c r="B72">
        <v>18</v>
      </c>
      <c r="C72" t="str">
        <f t="shared" si="15"/>
        <v>test.Base64_18_</v>
      </c>
      <c r="D72">
        <v>20</v>
      </c>
      <c r="E72" s="4">
        <v>0.5957446808510638</v>
      </c>
      <c r="F72" s="4">
        <v>0.1709668533651639</v>
      </c>
      <c r="G72" s="4">
        <f t="shared" si="16"/>
        <v>0.5957446808510638</v>
      </c>
      <c r="H72" s="4" t="str">
        <f t="shared" si="17"/>
        <v/>
      </c>
      <c r="I72" s="4" t="str">
        <f t="shared" si="18"/>
        <v/>
      </c>
      <c r="J72" s="4" t="str">
        <f t="shared" si="19"/>
        <v/>
      </c>
      <c r="K72" s="4" t="str">
        <f t="shared" si="20"/>
        <v/>
      </c>
      <c r="L72" s="4" t="str">
        <f t="shared" si="21"/>
        <v/>
      </c>
      <c r="M72" s="4"/>
      <c r="N72" s="4"/>
      <c r="O72" s="4"/>
      <c r="P72" s="4"/>
      <c r="Q72" s="4"/>
      <c r="R72" s="4"/>
      <c r="S72" s="4"/>
      <c r="T72" s="4"/>
      <c r="U72" s="4"/>
    </row>
    <row r="73" spans="1:21">
      <c r="A73" t="s">
        <v>489</v>
      </c>
      <c r="B73">
        <v>18</v>
      </c>
      <c r="C73" t="str">
        <f t="shared" si="15"/>
        <v>test.Base64_18_</v>
      </c>
      <c r="D73">
        <v>21</v>
      </c>
      <c r="E73" s="4">
        <v>0.5957446808510638</v>
      </c>
      <c r="F73" s="4">
        <v>0.17243595629418787</v>
      </c>
      <c r="G73" s="4">
        <f t="shared" si="16"/>
        <v>0.5957446808510638</v>
      </c>
      <c r="H73" s="4" t="str">
        <f t="shared" si="17"/>
        <v/>
      </c>
      <c r="I73" s="4" t="str">
        <f t="shared" si="18"/>
        <v/>
      </c>
      <c r="J73" s="4" t="str">
        <f t="shared" si="19"/>
        <v/>
      </c>
      <c r="K73" s="4" t="str">
        <f t="shared" si="20"/>
        <v/>
      </c>
      <c r="L73" s="4" t="str">
        <f t="shared" si="21"/>
        <v/>
      </c>
      <c r="M73" s="4"/>
      <c r="N73" s="4"/>
      <c r="O73" s="4"/>
      <c r="P73" s="4"/>
      <c r="Q73" s="4"/>
      <c r="R73" s="4"/>
      <c r="S73" s="4"/>
      <c r="T73" s="4"/>
      <c r="U73" s="4"/>
    </row>
    <row r="74" spans="1:21">
      <c r="A74" t="s">
        <v>489</v>
      </c>
      <c r="B74">
        <v>18</v>
      </c>
      <c r="C74" t="str">
        <f t="shared" si="15"/>
        <v>test.Base64_18_</v>
      </c>
      <c r="D74">
        <v>22</v>
      </c>
      <c r="E74" s="4">
        <v>0.63120567375886527</v>
      </c>
      <c r="F74" s="4">
        <v>0.18051602240381967</v>
      </c>
      <c r="G74" s="4">
        <f t="shared" si="16"/>
        <v>0.63120567375886527</v>
      </c>
      <c r="H74" s="4" t="str">
        <f t="shared" si="17"/>
        <v/>
      </c>
      <c r="I74" s="4" t="str">
        <f t="shared" si="18"/>
        <v/>
      </c>
      <c r="J74" s="4" t="str">
        <f t="shared" si="19"/>
        <v/>
      </c>
      <c r="K74" s="4" t="str">
        <f t="shared" si="20"/>
        <v/>
      </c>
      <c r="L74" s="4" t="str">
        <f t="shared" si="21"/>
        <v/>
      </c>
      <c r="M74" s="4"/>
      <c r="N74" s="4"/>
      <c r="O74" s="4"/>
      <c r="P74" s="4"/>
      <c r="Q74" s="4"/>
      <c r="R74" s="4"/>
      <c r="S74" s="4"/>
      <c r="T74" s="4"/>
      <c r="U74" s="4"/>
    </row>
    <row r="75" spans="1:21">
      <c r="A75" t="s">
        <v>489</v>
      </c>
      <c r="B75">
        <v>18</v>
      </c>
      <c r="C75" t="str">
        <f t="shared" si="15"/>
        <v>test.Base64_18_</v>
      </c>
      <c r="D75">
        <v>23</v>
      </c>
      <c r="E75" s="4">
        <v>0.72340425531914898</v>
      </c>
      <c r="F75" s="4">
        <v>0.18106693600220367</v>
      </c>
      <c r="G75" s="4">
        <f t="shared" si="16"/>
        <v>0.72340425531914898</v>
      </c>
      <c r="H75" s="4" t="str">
        <f t="shared" si="17"/>
        <v/>
      </c>
      <c r="I75" s="4" t="str">
        <f t="shared" si="18"/>
        <v/>
      </c>
      <c r="J75" s="4" t="str">
        <f t="shared" si="19"/>
        <v/>
      </c>
      <c r="K75" s="4" t="str">
        <f t="shared" si="20"/>
        <v/>
      </c>
      <c r="L75" s="4" t="str">
        <f t="shared" si="21"/>
        <v/>
      </c>
      <c r="M75" s="4"/>
      <c r="N75" s="4"/>
      <c r="O75" s="4"/>
      <c r="P75" s="4"/>
      <c r="Q75" s="4"/>
      <c r="R75" s="4"/>
      <c r="S75" s="4"/>
      <c r="T75" s="4"/>
      <c r="U75" s="4"/>
    </row>
    <row r="76" spans="1:21">
      <c r="A76" t="s">
        <v>489</v>
      </c>
      <c r="B76">
        <v>18</v>
      </c>
      <c r="C76" t="str">
        <f t="shared" si="15"/>
        <v>test.Base64_18_</v>
      </c>
      <c r="D76">
        <v>24</v>
      </c>
      <c r="E76" s="4">
        <v>0.72340425531914898</v>
      </c>
      <c r="F76" s="4">
        <v>0.18271967679735562</v>
      </c>
      <c r="G76" s="4">
        <f t="shared" si="16"/>
        <v>0.72340425531914898</v>
      </c>
      <c r="H76" s="4" t="str">
        <f t="shared" si="17"/>
        <v/>
      </c>
      <c r="I76" s="4" t="str">
        <f t="shared" si="18"/>
        <v/>
      </c>
      <c r="J76" s="4" t="str">
        <f t="shared" si="19"/>
        <v/>
      </c>
      <c r="K76" s="4" t="str">
        <f t="shared" si="20"/>
        <v/>
      </c>
      <c r="L76" s="4" t="str">
        <f t="shared" si="21"/>
        <v/>
      </c>
      <c r="M76" s="4"/>
      <c r="N76" s="4"/>
      <c r="O76" s="4"/>
      <c r="P76" s="4"/>
      <c r="Q76" s="4"/>
      <c r="R76" s="4"/>
      <c r="S76" s="4"/>
      <c r="T76" s="4"/>
      <c r="U76" s="4"/>
    </row>
    <row r="77" spans="1:21">
      <c r="A77" t="s">
        <v>489</v>
      </c>
      <c r="B77">
        <v>18</v>
      </c>
      <c r="C77" t="str">
        <f t="shared" si="15"/>
        <v>test.Base64_18_</v>
      </c>
      <c r="D77">
        <v>25</v>
      </c>
      <c r="E77" s="4">
        <v>0.72340425531914898</v>
      </c>
      <c r="F77" s="4">
        <v>0.18584152052153155</v>
      </c>
      <c r="G77" s="4">
        <f t="shared" si="16"/>
        <v>0.72340425531914898</v>
      </c>
      <c r="H77" s="4" t="str">
        <f t="shared" si="17"/>
        <v/>
      </c>
      <c r="I77" s="4" t="str">
        <f t="shared" si="18"/>
        <v/>
      </c>
      <c r="J77" s="4" t="str">
        <f t="shared" si="19"/>
        <v/>
      </c>
      <c r="K77" s="4" t="str">
        <f t="shared" si="20"/>
        <v/>
      </c>
      <c r="L77" s="4" t="str">
        <f t="shared" si="21"/>
        <v/>
      </c>
      <c r="M77" s="4"/>
      <c r="N77" s="4"/>
      <c r="O77" s="4"/>
      <c r="P77" s="4"/>
      <c r="Q77" s="4"/>
      <c r="R77" s="4"/>
      <c r="S77" s="4"/>
      <c r="T77" s="4"/>
      <c r="U77" s="4"/>
    </row>
    <row r="78" spans="1:21">
      <c r="A78" t="s">
        <v>489</v>
      </c>
      <c r="B78">
        <v>18</v>
      </c>
      <c r="C78" t="str">
        <f t="shared" si="15"/>
        <v>test.Base64_18_</v>
      </c>
      <c r="D78">
        <v>26</v>
      </c>
      <c r="E78" s="4">
        <v>0.75886524822695034</v>
      </c>
      <c r="F78" s="4">
        <v>0.19061610504085943</v>
      </c>
      <c r="G78" s="4">
        <f t="shared" si="16"/>
        <v>0.75886524822695034</v>
      </c>
      <c r="H78" s="4" t="str">
        <f t="shared" si="17"/>
        <v/>
      </c>
      <c r="I78" s="4" t="str">
        <f t="shared" si="18"/>
        <v/>
      </c>
      <c r="J78" s="4" t="str">
        <f t="shared" si="19"/>
        <v/>
      </c>
      <c r="K78" s="4" t="str">
        <f t="shared" si="20"/>
        <v/>
      </c>
      <c r="L78" s="4" t="str">
        <f t="shared" si="21"/>
        <v/>
      </c>
      <c r="M78" s="4"/>
      <c r="N78" s="4"/>
      <c r="O78" s="4"/>
      <c r="P78" s="4"/>
      <c r="Q78" s="4"/>
      <c r="R78" s="4"/>
      <c r="S78" s="4"/>
      <c r="T78" s="4"/>
      <c r="U78" s="4"/>
    </row>
    <row r="79" spans="1:21">
      <c r="A79" t="s">
        <v>489</v>
      </c>
      <c r="B79">
        <v>18</v>
      </c>
      <c r="C79" t="str">
        <f t="shared" si="15"/>
        <v>test.Base64_18_</v>
      </c>
      <c r="D79">
        <v>27</v>
      </c>
      <c r="E79" s="4">
        <v>0.75886524822695034</v>
      </c>
      <c r="F79" s="4">
        <v>0.19704343035533928</v>
      </c>
      <c r="G79" s="4">
        <f t="shared" si="16"/>
        <v>0.75886524822695034</v>
      </c>
      <c r="H79" s="4" t="str">
        <f t="shared" si="17"/>
        <v/>
      </c>
      <c r="I79" s="4" t="str">
        <f t="shared" si="18"/>
        <v/>
      </c>
      <c r="J79" s="4" t="str">
        <f t="shared" si="19"/>
        <v/>
      </c>
      <c r="K79" s="4" t="str">
        <f t="shared" si="20"/>
        <v/>
      </c>
      <c r="L79" s="4" t="str">
        <f t="shared" si="21"/>
        <v/>
      </c>
      <c r="M79" s="4"/>
      <c r="N79" s="4"/>
      <c r="O79" s="4"/>
      <c r="P79" s="4"/>
      <c r="Q79" s="4"/>
      <c r="R79" s="4"/>
      <c r="S79" s="4"/>
      <c r="T79" s="4"/>
      <c r="U79" s="4"/>
    </row>
    <row r="80" spans="1:21">
      <c r="A80" t="s">
        <v>489</v>
      </c>
      <c r="B80">
        <v>18</v>
      </c>
      <c r="C80" t="str">
        <f t="shared" si="15"/>
        <v>test.Base64_18_</v>
      </c>
      <c r="D80">
        <v>28</v>
      </c>
      <c r="E80" s="4">
        <v>0.75886524822695034</v>
      </c>
      <c r="F80" s="4">
        <v>0.19988981728032321</v>
      </c>
      <c r="G80" s="4">
        <f t="shared" si="16"/>
        <v>0.75886524822695034</v>
      </c>
      <c r="H80" s="4" t="str">
        <f t="shared" si="17"/>
        <v/>
      </c>
      <c r="I80" s="4" t="str">
        <f t="shared" si="18"/>
        <v/>
      </c>
      <c r="J80" s="4" t="str">
        <f t="shared" si="19"/>
        <v/>
      </c>
      <c r="K80" s="4" t="str">
        <f t="shared" si="20"/>
        <v/>
      </c>
      <c r="L80" s="4" t="str">
        <f t="shared" si="21"/>
        <v/>
      </c>
      <c r="M80" s="4"/>
      <c r="N80" s="4"/>
      <c r="O80" s="4"/>
      <c r="P80" s="4"/>
      <c r="Q80" s="4"/>
      <c r="R80" s="4"/>
      <c r="S80" s="4"/>
      <c r="T80" s="4"/>
      <c r="U80" s="4"/>
    </row>
    <row r="81" spans="1:21">
      <c r="A81" t="s">
        <v>489</v>
      </c>
      <c r="B81">
        <v>18</v>
      </c>
      <c r="C81" t="str">
        <f t="shared" si="15"/>
        <v>test.Base64_18_</v>
      </c>
      <c r="D81">
        <v>29</v>
      </c>
      <c r="E81" s="4">
        <v>0.75886524822695034</v>
      </c>
      <c r="F81" s="4">
        <v>0.20227710953998715</v>
      </c>
      <c r="G81" s="4" t="str">
        <f t="shared" si="16"/>
        <v/>
      </c>
      <c r="H81" s="4">
        <f t="shared" si="17"/>
        <v>0.75886524822695034</v>
      </c>
      <c r="I81" s="4" t="str">
        <f t="shared" si="18"/>
        <v/>
      </c>
      <c r="J81" s="4" t="str">
        <f t="shared" si="19"/>
        <v/>
      </c>
      <c r="K81" s="4" t="str">
        <f t="shared" si="20"/>
        <v/>
      </c>
      <c r="L81" s="4" t="str">
        <f t="shared" si="21"/>
        <v/>
      </c>
      <c r="M81" s="4"/>
      <c r="N81" s="4"/>
      <c r="O81" s="4"/>
      <c r="P81" s="4"/>
      <c r="Q81" s="4"/>
      <c r="R81" s="4"/>
      <c r="S81" s="4"/>
      <c r="T81" s="4"/>
      <c r="U81" s="4"/>
    </row>
    <row r="82" spans="1:21">
      <c r="A82" t="s">
        <v>489</v>
      </c>
      <c r="B82">
        <v>18</v>
      </c>
      <c r="C82" t="str">
        <f t="shared" si="15"/>
        <v>test.Base64_18_</v>
      </c>
      <c r="D82">
        <v>30</v>
      </c>
      <c r="E82" s="4">
        <v>0.75886524822695034</v>
      </c>
      <c r="F82" s="4">
        <v>0.21834542282618677</v>
      </c>
      <c r="G82" s="4" t="str">
        <f t="shared" si="16"/>
        <v/>
      </c>
      <c r="H82" s="4">
        <f t="shared" si="17"/>
        <v>0.75886524822695034</v>
      </c>
      <c r="I82" s="4" t="str">
        <f t="shared" si="18"/>
        <v/>
      </c>
      <c r="J82" s="4" t="str">
        <f t="shared" si="19"/>
        <v/>
      </c>
      <c r="K82" s="4" t="str">
        <f t="shared" si="20"/>
        <v/>
      </c>
      <c r="L82" s="4" t="str">
        <f t="shared" si="21"/>
        <v/>
      </c>
      <c r="M82" s="4"/>
      <c r="N82" s="4"/>
      <c r="O82" s="4"/>
      <c r="P82" s="4"/>
      <c r="Q82" s="4"/>
      <c r="R82" s="4"/>
      <c r="S82" s="4"/>
      <c r="T82" s="4"/>
      <c r="U82" s="4"/>
    </row>
    <row r="83" spans="1:21">
      <c r="A83" t="s">
        <v>489</v>
      </c>
      <c r="B83">
        <v>18</v>
      </c>
      <c r="C83" t="str">
        <f t="shared" si="15"/>
        <v>test.Base64_18_</v>
      </c>
      <c r="D83">
        <v>31</v>
      </c>
      <c r="E83" s="4">
        <v>0.75886524822695034</v>
      </c>
      <c r="F83" s="4">
        <v>0.34340280965935177</v>
      </c>
      <c r="G83" s="4" t="str">
        <f t="shared" si="16"/>
        <v/>
      </c>
      <c r="H83" s="4">
        <f t="shared" si="17"/>
        <v>0.75886524822695034</v>
      </c>
      <c r="I83" s="4" t="str">
        <f t="shared" si="18"/>
        <v/>
      </c>
      <c r="J83" s="4" t="str">
        <f t="shared" si="19"/>
        <v/>
      </c>
      <c r="K83" s="4" t="str">
        <f t="shared" si="20"/>
        <v/>
      </c>
      <c r="L83" s="4" t="str">
        <f t="shared" si="21"/>
        <v/>
      </c>
      <c r="M83" s="4"/>
      <c r="N83" s="4"/>
      <c r="O83" s="4"/>
      <c r="P83" s="4"/>
      <c r="Q83" s="4"/>
      <c r="R83" s="4"/>
      <c r="S83" s="4"/>
      <c r="T83" s="4"/>
      <c r="U83" s="4"/>
    </row>
    <row r="84" spans="1:21">
      <c r="A84" t="s">
        <v>489</v>
      </c>
      <c r="B84">
        <v>18</v>
      </c>
      <c r="C84" t="str">
        <f t="shared" si="15"/>
        <v>test.Base64_18_</v>
      </c>
      <c r="D84">
        <v>32</v>
      </c>
      <c r="E84" s="4">
        <v>0.75886524822695034</v>
      </c>
      <c r="F84" s="4">
        <v>0.34927922137544759</v>
      </c>
      <c r="G84" s="4" t="str">
        <f t="shared" si="16"/>
        <v/>
      </c>
      <c r="H84" s="4">
        <f t="shared" si="17"/>
        <v>0.75886524822695034</v>
      </c>
      <c r="I84" s="4" t="str">
        <f t="shared" si="18"/>
        <v/>
      </c>
      <c r="J84" s="4" t="str">
        <f t="shared" si="19"/>
        <v/>
      </c>
      <c r="K84" s="4" t="str">
        <f t="shared" si="20"/>
        <v/>
      </c>
      <c r="L84" s="4" t="str">
        <f t="shared" si="21"/>
        <v/>
      </c>
      <c r="M84" s="4"/>
      <c r="N84" s="4"/>
      <c r="O84" s="4"/>
      <c r="P84" s="4"/>
      <c r="Q84" s="4"/>
      <c r="R84" s="4"/>
      <c r="S84" s="4"/>
      <c r="T84" s="4"/>
      <c r="U84" s="4"/>
    </row>
    <row r="85" spans="1:21">
      <c r="A85" t="s">
        <v>489</v>
      </c>
      <c r="B85">
        <v>18</v>
      </c>
      <c r="C85" t="str">
        <f t="shared" si="15"/>
        <v>test.Base64_18_</v>
      </c>
      <c r="D85">
        <v>33</v>
      </c>
      <c r="E85" s="4">
        <v>0.75886524822695034</v>
      </c>
      <c r="F85" s="4">
        <v>0.35065650537140758</v>
      </c>
      <c r="G85" s="4" t="str">
        <f t="shared" si="16"/>
        <v/>
      </c>
      <c r="H85" s="4">
        <f t="shared" si="17"/>
        <v>0.75886524822695034</v>
      </c>
      <c r="I85" s="4" t="str">
        <f t="shared" si="18"/>
        <v/>
      </c>
      <c r="J85" s="4" t="str">
        <f t="shared" si="19"/>
        <v/>
      </c>
      <c r="K85" s="4" t="str">
        <f t="shared" si="20"/>
        <v/>
      </c>
      <c r="L85" s="4" t="str">
        <f t="shared" si="21"/>
        <v/>
      </c>
      <c r="M85" s="4"/>
      <c r="N85" s="4"/>
      <c r="O85" s="4"/>
      <c r="P85" s="4"/>
      <c r="Q85" s="4"/>
      <c r="R85" s="4"/>
      <c r="S85" s="4"/>
      <c r="T85" s="4"/>
      <c r="U85" s="4"/>
    </row>
    <row r="86" spans="1:21">
      <c r="A86" t="s">
        <v>489</v>
      </c>
      <c r="B86">
        <v>18</v>
      </c>
      <c r="C86" t="str">
        <f t="shared" si="15"/>
        <v>test.Base64_18_</v>
      </c>
      <c r="D86">
        <v>34</v>
      </c>
      <c r="E86" s="4">
        <v>0.75886524822695034</v>
      </c>
      <c r="F86" s="4">
        <v>0.3589202093471674</v>
      </c>
      <c r="G86" s="4" t="str">
        <f t="shared" si="16"/>
        <v/>
      </c>
      <c r="H86" s="4">
        <f t="shared" si="17"/>
        <v>0.75886524822695034</v>
      </c>
      <c r="I86" s="4" t="str">
        <f t="shared" si="18"/>
        <v/>
      </c>
      <c r="J86" s="4" t="str">
        <f t="shared" si="19"/>
        <v/>
      </c>
      <c r="K86" s="4" t="str">
        <f t="shared" si="20"/>
        <v/>
      </c>
      <c r="L86" s="4" t="str">
        <f t="shared" si="21"/>
        <v/>
      </c>
      <c r="M86" s="4"/>
      <c r="N86" s="4"/>
      <c r="O86" s="4"/>
      <c r="P86" s="4"/>
      <c r="Q86" s="4"/>
      <c r="R86" s="4"/>
      <c r="S86" s="4"/>
      <c r="T86" s="4"/>
      <c r="U86" s="4"/>
    </row>
    <row r="87" spans="1:21">
      <c r="A87" t="s">
        <v>489</v>
      </c>
      <c r="B87">
        <v>18</v>
      </c>
      <c r="C87" t="str">
        <f t="shared" si="15"/>
        <v>test.Base64_18_</v>
      </c>
      <c r="D87">
        <v>35</v>
      </c>
      <c r="E87" s="4">
        <v>0.75886524822695034</v>
      </c>
      <c r="F87" s="4">
        <v>0.36709209438986318</v>
      </c>
      <c r="G87" s="4" t="str">
        <f t="shared" si="16"/>
        <v/>
      </c>
      <c r="H87" s="4">
        <f t="shared" si="17"/>
        <v>0.75886524822695034</v>
      </c>
      <c r="I87" s="4" t="str">
        <f t="shared" si="18"/>
        <v/>
      </c>
      <c r="J87" s="4" t="str">
        <f t="shared" si="19"/>
        <v/>
      </c>
      <c r="K87" s="4" t="str">
        <f t="shared" si="20"/>
        <v/>
      </c>
      <c r="L87" s="4" t="str">
        <f t="shared" si="21"/>
        <v/>
      </c>
      <c r="M87" s="4"/>
      <c r="N87" s="4"/>
      <c r="O87" s="4"/>
      <c r="P87" s="4"/>
      <c r="Q87" s="4"/>
      <c r="R87" s="4"/>
      <c r="S87" s="4"/>
      <c r="T87" s="4"/>
      <c r="U87" s="4"/>
    </row>
    <row r="88" spans="1:21">
      <c r="A88" t="s">
        <v>489</v>
      </c>
      <c r="B88">
        <v>18</v>
      </c>
      <c r="C88" t="str">
        <f t="shared" si="15"/>
        <v>test.Base64_18_</v>
      </c>
      <c r="D88">
        <v>36</v>
      </c>
      <c r="E88" s="4">
        <v>0.75886524822695034</v>
      </c>
      <c r="F88" s="4">
        <v>0.37379487650353505</v>
      </c>
      <c r="G88" s="4" t="str">
        <f t="shared" si="16"/>
        <v/>
      </c>
      <c r="H88" s="4">
        <f t="shared" si="17"/>
        <v>0.75886524822695034</v>
      </c>
      <c r="I88" s="4" t="str">
        <f t="shared" si="18"/>
        <v/>
      </c>
      <c r="J88" s="4" t="str">
        <f t="shared" si="19"/>
        <v/>
      </c>
      <c r="K88" s="4" t="str">
        <f t="shared" si="20"/>
        <v/>
      </c>
      <c r="L88" s="4" t="str">
        <f t="shared" si="21"/>
        <v/>
      </c>
      <c r="M88" s="4"/>
      <c r="N88" s="4"/>
      <c r="O88" s="4"/>
      <c r="P88" s="4"/>
      <c r="Q88" s="4"/>
      <c r="R88" s="4"/>
      <c r="S88" s="4"/>
      <c r="T88" s="4"/>
      <c r="U88" s="4"/>
    </row>
    <row r="89" spans="1:21">
      <c r="A89" t="s">
        <v>489</v>
      </c>
      <c r="B89">
        <v>18</v>
      </c>
      <c r="C89" t="str">
        <f t="shared" si="15"/>
        <v>test.Base64_18_</v>
      </c>
      <c r="D89">
        <v>37</v>
      </c>
      <c r="E89" s="4">
        <v>0.75886524822695034</v>
      </c>
      <c r="F89" s="4">
        <v>0.4960976953447801</v>
      </c>
      <c r="G89" s="4" t="str">
        <f t="shared" si="16"/>
        <v/>
      </c>
      <c r="H89" s="4" t="str">
        <f t="shared" si="17"/>
        <v/>
      </c>
      <c r="I89" s="4">
        <f t="shared" si="18"/>
        <v>0.75886524822695034</v>
      </c>
      <c r="J89" s="4" t="str">
        <f t="shared" si="19"/>
        <v/>
      </c>
      <c r="K89" s="4" t="str">
        <f t="shared" si="20"/>
        <v/>
      </c>
      <c r="L89" s="4" t="str">
        <f t="shared" si="21"/>
        <v/>
      </c>
      <c r="M89" s="4"/>
      <c r="N89" s="4"/>
      <c r="O89" s="4"/>
      <c r="P89" s="4"/>
      <c r="Q89" s="4"/>
      <c r="R89" s="4"/>
      <c r="S89" s="4"/>
      <c r="T89" s="4"/>
      <c r="U89" s="4"/>
    </row>
    <row r="90" spans="1:21">
      <c r="A90" t="s">
        <v>489</v>
      </c>
      <c r="B90">
        <v>18</v>
      </c>
      <c r="C90" t="str">
        <f t="shared" si="15"/>
        <v>test.Base64_18_</v>
      </c>
      <c r="D90">
        <v>38</v>
      </c>
      <c r="E90" s="4">
        <v>0.75886524822695034</v>
      </c>
      <c r="F90" s="4">
        <v>0.51620604168579565</v>
      </c>
      <c r="G90" s="4" t="str">
        <f t="shared" si="16"/>
        <v/>
      </c>
      <c r="H90" s="4" t="str">
        <f t="shared" si="17"/>
        <v/>
      </c>
      <c r="I90" s="4">
        <f t="shared" si="18"/>
        <v>0.75886524822695034</v>
      </c>
      <c r="J90" s="4" t="str">
        <f t="shared" si="19"/>
        <v/>
      </c>
      <c r="K90" s="4" t="str">
        <f t="shared" si="20"/>
        <v/>
      </c>
      <c r="L90" s="4" t="str">
        <f t="shared" si="21"/>
        <v/>
      </c>
      <c r="M90" s="4"/>
      <c r="N90" s="4"/>
      <c r="O90" s="4"/>
      <c r="P90" s="4"/>
      <c r="Q90" s="4"/>
      <c r="R90" s="4"/>
      <c r="S90" s="4"/>
      <c r="T90" s="4"/>
      <c r="U90" s="4"/>
    </row>
    <row r="91" spans="1:21">
      <c r="A91" t="s">
        <v>489</v>
      </c>
      <c r="B91">
        <v>18</v>
      </c>
      <c r="C91" t="str">
        <f t="shared" si="15"/>
        <v>test.Base64_18_</v>
      </c>
      <c r="D91">
        <v>39</v>
      </c>
      <c r="E91" s="4">
        <v>0.75886524822695034</v>
      </c>
      <c r="F91" s="4">
        <v>0.53144798457441922</v>
      </c>
      <c r="G91" s="4" t="str">
        <f t="shared" si="16"/>
        <v/>
      </c>
      <c r="H91" s="4" t="str">
        <f t="shared" si="17"/>
        <v/>
      </c>
      <c r="I91" s="4">
        <f t="shared" si="18"/>
        <v>0.75886524822695034</v>
      </c>
      <c r="J91" s="4" t="str">
        <f t="shared" si="19"/>
        <v/>
      </c>
      <c r="K91" s="4" t="str">
        <f t="shared" si="20"/>
        <v/>
      </c>
      <c r="L91" s="4" t="str">
        <f t="shared" si="21"/>
        <v/>
      </c>
      <c r="M91" s="4"/>
      <c r="N91" s="4"/>
      <c r="O91" s="4"/>
      <c r="P91" s="4"/>
      <c r="Q91" s="4"/>
      <c r="R91" s="4"/>
      <c r="S91" s="4"/>
      <c r="T91" s="4"/>
      <c r="U91" s="4"/>
    </row>
    <row r="92" spans="1:21">
      <c r="A92" t="s">
        <v>489</v>
      </c>
      <c r="B92">
        <v>18</v>
      </c>
      <c r="C92" t="str">
        <f t="shared" si="15"/>
        <v>test.Base64_18_</v>
      </c>
      <c r="D92">
        <v>40</v>
      </c>
      <c r="E92" s="4">
        <v>1</v>
      </c>
      <c r="F92" s="4">
        <v>0.90707923973923421</v>
      </c>
      <c r="G92" s="4" t="str">
        <f t="shared" si="16"/>
        <v/>
      </c>
      <c r="H92" s="4" t="str">
        <f t="shared" si="17"/>
        <v/>
      </c>
      <c r="I92" s="4" t="str">
        <f t="shared" si="18"/>
        <v/>
      </c>
      <c r="J92" s="4" t="str">
        <f t="shared" si="19"/>
        <v/>
      </c>
      <c r="K92" s="4">
        <f t="shared" si="20"/>
        <v>1</v>
      </c>
      <c r="L92" s="4" t="str">
        <f t="shared" si="21"/>
        <v/>
      </c>
      <c r="M92" s="4"/>
      <c r="N92" s="4"/>
      <c r="O92" s="4"/>
      <c r="P92" s="4"/>
      <c r="Q92" s="4"/>
      <c r="R92" s="4"/>
      <c r="S92" s="4"/>
      <c r="T92" s="4"/>
      <c r="U92" s="4"/>
    </row>
    <row r="93" spans="1:21">
      <c r="A93" t="s">
        <v>489</v>
      </c>
      <c r="B93">
        <v>18</v>
      </c>
      <c r="C93" t="str">
        <f t="shared" si="15"/>
        <v>test.Base64_18_</v>
      </c>
      <c r="D93">
        <v>41</v>
      </c>
      <c r="E93" s="4">
        <v>1</v>
      </c>
      <c r="F93" s="4">
        <v>0.90955835093196213</v>
      </c>
      <c r="G93" s="4" t="str">
        <f t="shared" si="16"/>
        <v/>
      </c>
      <c r="H93" s="4" t="str">
        <f t="shared" si="17"/>
        <v/>
      </c>
      <c r="I93" s="4" t="str">
        <f t="shared" si="18"/>
        <v/>
      </c>
      <c r="J93" s="4" t="str">
        <f t="shared" si="19"/>
        <v/>
      </c>
      <c r="K93" s="4">
        <f t="shared" si="20"/>
        <v>1</v>
      </c>
      <c r="L93" s="4" t="str">
        <f t="shared" si="21"/>
        <v/>
      </c>
      <c r="M93" s="4"/>
      <c r="N93" s="4"/>
      <c r="O93" s="4"/>
      <c r="P93" s="4"/>
      <c r="Q93" s="4"/>
      <c r="R93" s="4"/>
      <c r="S93" s="4"/>
      <c r="T93" s="4"/>
      <c r="U93" s="4"/>
    </row>
    <row r="94" spans="1:21">
      <c r="A94" t="s">
        <v>489</v>
      </c>
      <c r="B94">
        <v>18</v>
      </c>
      <c r="C94" t="str">
        <f t="shared" si="15"/>
        <v>test.Base64_18_</v>
      </c>
      <c r="D94">
        <v>42</v>
      </c>
      <c r="E94" s="4">
        <v>1</v>
      </c>
      <c r="F94" s="4">
        <v>0.91304747038839407</v>
      </c>
      <c r="G94" s="4" t="str">
        <f t="shared" si="16"/>
        <v/>
      </c>
      <c r="H94" s="4" t="str">
        <f t="shared" si="17"/>
        <v/>
      </c>
      <c r="I94" s="4" t="str">
        <f t="shared" si="18"/>
        <v/>
      </c>
      <c r="J94" s="4" t="str">
        <f t="shared" si="19"/>
        <v/>
      </c>
      <c r="K94" s="4">
        <f t="shared" si="20"/>
        <v>1</v>
      </c>
      <c r="L94" s="4" t="str">
        <f t="shared" si="21"/>
        <v/>
      </c>
      <c r="M94" s="4"/>
      <c r="N94" s="4"/>
      <c r="O94" s="4"/>
      <c r="P94" s="4"/>
      <c r="Q94" s="4"/>
      <c r="R94" s="4"/>
      <c r="S94" s="4"/>
      <c r="T94" s="4"/>
      <c r="U94" s="4"/>
    </row>
    <row r="95" spans="1:21">
      <c r="A95" t="s">
        <v>489</v>
      </c>
      <c r="B95">
        <v>18</v>
      </c>
      <c r="C95" t="str">
        <f t="shared" si="15"/>
        <v>test.Base64_18_</v>
      </c>
      <c r="D95">
        <v>43</v>
      </c>
      <c r="E95" s="4">
        <v>1</v>
      </c>
      <c r="F95" s="4">
        <v>0.93802222018180148</v>
      </c>
      <c r="G95" s="4" t="str">
        <f t="shared" si="16"/>
        <v/>
      </c>
      <c r="H95" s="4" t="str">
        <f t="shared" si="17"/>
        <v/>
      </c>
      <c r="I95" s="4" t="str">
        <f t="shared" si="18"/>
        <v/>
      </c>
      <c r="J95" s="4" t="str">
        <f t="shared" si="19"/>
        <v/>
      </c>
      <c r="K95" s="4">
        <f t="shared" si="20"/>
        <v>1</v>
      </c>
      <c r="L95" s="4" t="str">
        <f t="shared" si="21"/>
        <v/>
      </c>
      <c r="M95" s="4"/>
      <c r="N95" s="4"/>
      <c r="O95" s="4"/>
      <c r="P95" s="4"/>
      <c r="Q95" s="4"/>
      <c r="R95" s="4"/>
      <c r="S95" s="4"/>
      <c r="T95" s="4"/>
      <c r="U95" s="4"/>
    </row>
    <row r="96" spans="1:21">
      <c r="A96" t="s">
        <v>489</v>
      </c>
      <c r="B96">
        <v>18</v>
      </c>
      <c r="C96" t="str">
        <f t="shared" si="15"/>
        <v>test.Base64_18_</v>
      </c>
      <c r="D96">
        <v>44</v>
      </c>
      <c r="E96" s="4">
        <v>1</v>
      </c>
      <c r="F96" s="4">
        <v>1.0893398218712698</v>
      </c>
      <c r="G96" s="4" t="str">
        <f t="shared" si="16"/>
        <v/>
      </c>
      <c r="H96" s="4" t="str">
        <f t="shared" si="17"/>
        <v/>
      </c>
      <c r="I96" s="4" t="str">
        <f t="shared" si="18"/>
        <v/>
      </c>
      <c r="J96" s="4" t="str">
        <f t="shared" si="19"/>
        <v/>
      </c>
      <c r="K96" s="4">
        <f t="shared" si="20"/>
        <v>1</v>
      </c>
      <c r="L96" s="4" t="str">
        <f t="shared" si="21"/>
        <v/>
      </c>
      <c r="M96" s="4"/>
      <c r="N96" s="4"/>
      <c r="O96" s="4"/>
      <c r="P96" s="4"/>
      <c r="Q96" s="4"/>
      <c r="R96" s="4"/>
      <c r="S96" s="4"/>
      <c r="T96" s="4"/>
      <c r="U96" s="4"/>
    </row>
    <row r="97" spans="1:21">
      <c r="A97" t="s">
        <v>489</v>
      </c>
      <c r="B97">
        <v>18</v>
      </c>
      <c r="C97" t="str">
        <f t="shared" si="15"/>
        <v>test.Base64_18_</v>
      </c>
      <c r="D97">
        <v>45</v>
      </c>
      <c r="E97" s="4">
        <v>1</v>
      </c>
      <c r="F97" s="4">
        <v>1.0961344229180057</v>
      </c>
      <c r="G97" s="4" t="str">
        <f t="shared" si="16"/>
        <v/>
      </c>
      <c r="H97" s="4" t="str">
        <f t="shared" si="17"/>
        <v/>
      </c>
      <c r="I97" s="4" t="str">
        <f t="shared" si="18"/>
        <v/>
      </c>
      <c r="J97" s="4" t="str">
        <f t="shared" si="19"/>
        <v/>
      </c>
      <c r="K97" s="4">
        <f t="shared" si="20"/>
        <v>1</v>
      </c>
      <c r="L97" s="4" t="str">
        <f t="shared" si="21"/>
        <v/>
      </c>
      <c r="M97" s="4"/>
      <c r="N97" s="4"/>
      <c r="O97" s="4"/>
      <c r="P97" s="4"/>
      <c r="Q97" s="4"/>
      <c r="R97" s="4"/>
      <c r="S97" s="4"/>
      <c r="T97" s="4"/>
      <c r="U97" s="4"/>
    </row>
    <row r="98" spans="1:21">
      <c r="A98" t="s">
        <v>489</v>
      </c>
      <c r="B98">
        <v>18</v>
      </c>
      <c r="C98" t="str">
        <f t="shared" si="15"/>
        <v>test.Base64_18_</v>
      </c>
      <c r="D98">
        <v>46</v>
      </c>
      <c r="E98" s="4">
        <v>1</v>
      </c>
      <c r="F98" s="4">
        <v>1.2300982462583785</v>
      </c>
      <c r="G98" s="4" t="str">
        <f t="shared" si="16"/>
        <v/>
      </c>
      <c r="H98" s="4" t="str">
        <f t="shared" si="17"/>
        <v/>
      </c>
      <c r="I98" s="4" t="str">
        <f t="shared" si="18"/>
        <v/>
      </c>
      <c r="J98" s="4" t="str">
        <f t="shared" si="19"/>
        <v/>
      </c>
      <c r="K98" s="4" t="str">
        <f t="shared" si="20"/>
        <v/>
      </c>
      <c r="L98" s="4">
        <f t="shared" si="21"/>
        <v>1</v>
      </c>
      <c r="M98" s="4"/>
      <c r="N98" s="4"/>
      <c r="O98" s="4"/>
      <c r="P98" s="4"/>
      <c r="Q98" s="4"/>
      <c r="R98" s="4"/>
      <c r="S98" s="4"/>
      <c r="T98" s="4"/>
      <c r="U98" s="4"/>
    </row>
    <row r="99" spans="1:21">
      <c r="A99" t="s">
        <v>489</v>
      </c>
      <c r="B99">
        <v>19</v>
      </c>
      <c r="C99" t="str">
        <f t="shared" si="15"/>
        <v>test.Base64_19_</v>
      </c>
      <c r="D99">
        <v>1</v>
      </c>
      <c r="E99" s="4">
        <v>2.3622047244094488E-2</v>
      </c>
      <c r="F99" s="4">
        <v>1.5465544450289321E-2</v>
      </c>
      <c r="G99" s="4">
        <f t="shared" si="16"/>
        <v>2.3622047244094488E-2</v>
      </c>
      <c r="H99" s="4" t="str">
        <f t="shared" si="17"/>
        <v/>
      </c>
      <c r="I99" s="4" t="str">
        <f t="shared" si="18"/>
        <v/>
      </c>
      <c r="J99" s="4" t="str">
        <f t="shared" si="19"/>
        <v/>
      </c>
      <c r="K99" s="4" t="str">
        <f t="shared" si="20"/>
        <v/>
      </c>
      <c r="L99" s="4" t="str">
        <f t="shared" si="21"/>
        <v/>
      </c>
      <c r="M99" s="4"/>
      <c r="N99" s="4"/>
      <c r="O99" s="4"/>
      <c r="P99" s="4"/>
      <c r="Q99" s="4"/>
      <c r="R99" s="4"/>
      <c r="S99" s="4"/>
      <c r="T99" s="4"/>
      <c r="U99" s="4"/>
    </row>
    <row r="100" spans="1:21">
      <c r="A100" t="s">
        <v>489</v>
      </c>
      <c r="B100">
        <v>19</v>
      </c>
      <c r="C100" t="str">
        <f t="shared" si="15"/>
        <v>test.Base64_19_</v>
      </c>
      <c r="D100">
        <v>2</v>
      </c>
      <c r="E100" s="4">
        <v>4.7244094488188976E-2</v>
      </c>
      <c r="F100" s="4">
        <v>2.9352972119936874E-2</v>
      </c>
      <c r="G100" s="4">
        <f t="shared" si="16"/>
        <v>4.7244094488188976E-2</v>
      </c>
      <c r="H100" s="4" t="str">
        <f t="shared" si="17"/>
        <v/>
      </c>
      <c r="I100" s="4" t="str">
        <f t="shared" si="18"/>
        <v/>
      </c>
      <c r="J100" s="4" t="str">
        <f t="shared" si="19"/>
        <v/>
      </c>
      <c r="K100" s="4" t="str">
        <f t="shared" si="20"/>
        <v/>
      </c>
      <c r="L100" s="4" t="str">
        <f t="shared" si="21"/>
        <v/>
      </c>
      <c r="M100" s="4"/>
      <c r="N100" s="4"/>
      <c r="O100" s="4"/>
      <c r="P100" s="4"/>
      <c r="Q100" s="4"/>
      <c r="R100" s="4"/>
      <c r="S100" s="4"/>
      <c r="T100" s="4"/>
      <c r="U100" s="4"/>
    </row>
    <row r="101" spans="1:21">
      <c r="A101" t="s">
        <v>489</v>
      </c>
      <c r="B101">
        <v>19</v>
      </c>
      <c r="C101" t="str">
        <f t="shared" si="15"/>
        <v>test.Base64_19_</v>
      </c>
      <c r="D101">
        <v>3</v>
      </c>
      <c r="E101" s="4">
        <v>0.65354330708661412</v>
      </c>
      <c r="F101" s="4">
        <v>0.23166754339821147</v>
      </c>
      <c r="G101" s="4" t="str">
        <f t="shared" si="16"/>
        <v/>
      </c>
      <c r="H101" s="4">
        <f t="shared" si="17"/>
        <v>0.65354330708661412</v>
      </c>
      <c r="I101" s="4" t="str">
        <f t="shared" si="18"/>
        <v/>
      </c>
      <c r="J101" s="4" t="str">
        <f t="shared" si="19"/>
        <v/>
      </c>
      <c r="K101" s="4" t="str">
        <f t="shared" si="20"/>
        <v/>
      </c>
      <c r="L101" s="4" t="str">
        <f t="shared" si="21"/>
        <v/>
      </c>
      <c r="M101" s="4"/>
      <c r="N101" s="4"/>
      <c r="O101" s="4"/>
      <c r="P101" s="4"/>
      <c r="Q101" s="4"/>
      <c r="R101" s="4"/>
      <c r="S101" s="4"/>
      <c r="T101" s="4"/>
      <c r="U101" s="4"/>
    </row>
    <row r="102" spans="1:21">
      <c r="A102" t="s">
        <v>489</v>
      </c>
      <c r="B102">
        <v>19</v>
      </c>
      <c r="C102" t="str">
        <f t="shared" si="15"/>
        <v>test.Base64_19_</v>
      </c>
      <c r="D102">
        <v>4</v>
      </c>
      <c r="E102" s="4">
        <v>0.69291338582677164</v>
      </c>
      <c r="F102" s="4">
        <v>0.24934245134139926</v>
      </c>
      <c r="G102" s="4" t="str">
        <f t="shared" si="16"/>
        <v/>
      </c>
      <c r="H102" s="4">
        <f t="shared" si="17"/>
        <v>0.69291338582677164</v>
      </c>
      <c r="I102" s="4" t="str">
        <f t="shared" si="18"/>
        <v/>
      </c>
      <c r="J102" s="4" t="str">
        <f t="shared" si="19"/>
        <v/>
      </c>
      <c r="K102" s="4" t="str">
        <f t="shared" si="20"/>
        <v/>
      </c>
      <c r="L102" s="4" t="str">
        <f t="shared" si="21"/>
        <v/>
      </c>
      <c r="M102" s="4"/>
      <c r="N102" s="4"/>
      <c r="O102" s="4"/>
      <c r="P102" s="4"/>
      <c r="Q102" s="4"/>
      <c r="R102" s="4"/>
      <c r="S102" s="4"/>
      <c r="T102" s="4"/>
      <c r="U102" s="4"/>
    </row>
    <row r="103" spans="1:21">
      <c r="A103" t="s">
        <v>489</v>
      </c>
      <c r="B103">
        <v>19</v>
      </c>
      <c r="C103" t="str">
        <f t="shared" si="15"/>
        <v>test.Base64_19_</v>
      </c>
      <c r="D103">
        <v>5</v>
      </c>
      <c r="E103" s="4">
        <v>0.73228346456692917</v>
      </c>
      <c r="F103" s="4">
        <v>0.79368753287743288</v>
      </c>
      <c r="G103" s="4" t="str">
        <f t="shared" si="16"/>
        <v/>
      </c>
      <c r="H103" s="4" t="str">
        <f t="shared" si="17"/>
        <v/>
      </c>
      <c r="I103" s="4" t="str">
        <f t="shared" si="18"/>
        <v/>
      </c>
      <c r="J103" s="4">
        <f t="shared" si="19"/>
        <v>0.73228346456692917</v>
      </c>
      <c r="K103" s="4" t="str">
        <f t="shared" si="20"/>
        <v/>
      </c>
      <c r="L103" s="4" t="str">
        <f t="shared" si="21"/>
        <v/>
      </c>
      <c r="M103" s="4"/>
      <c r="N103" s="4"/>
      <c r="O103" s="4"/>
      <c r="P103" s="4"/>
      <c r="Q103" s="4"/>
      <c r="R103" s="4"/>
      <c r="S103" s="4"/>
      <c r="T103" s="4"/>
      <c r="U103" s="4"/>
    </row>
    <row r="104" spans="1:21">
      <c r="A104" t="s">
        <v>489</v>
      </c>
      <c r="B104">
        <v>19</v>
      </c>
      <c r="C104" t="str">
        <f t="shared" si="15"/>
        <v>test.Base64_19_</v>
      </c>
      <c r="D104">
        <v>6</v>
      </c>
      <c r="E104" s="4">
        <v>0.99212598425196852</v>
      </c>
      <c r="F104" s="4">
        <v>0.88511309836927932</v>
      </c>
      <c r="G104" s="4" t="str">
        <f t="shared" si="16"/>
        <v/>
      </c>
      <c r="H104" s="4" t="str">
        <f t="shared" si="17"/>
        <v/>
      </c>
      <c r="I104" s="4" t="str">
        <f t="shared" si="18"/>
        <v/>
      </c>
      <c r="J104" s="4" t="str">
        <f t="shared" si="19"/>
        <v/>
      </c>
      <c r="K104" s="4">
        <f t="shared" si="20"/>
        <v>0.99212598425196852</v>
      </c>
      <c r="L104" s="4" t="str">
        <f t="shared" si="21"/>
        <v/>
      </c>
      <c r="M104" s="4"/>
      <c r="N104" s="4"/>
      <c r="O104" s="4"/>
      <c r="P104" s="4"/>
      <c r="Q104" s="4"/>
      <c r="R104" s="4"/>
      <c r="S104" s="4"/>
      <c r="T104" s="4"/>
      <c r="U104" s="4"/>
    </row>
    <row r="105" spans="1:21">
      <c r="A105" t="s">
        <v>489</v>
      </c>
      <c r="B105">
        <v>19</v>
      </c>
      <c r="C105" t="str">
        <f t="shared" si="15"/>
        <v>test.Base64_19_</v>
      </c>
      <c r="D105">
        <v>7</v>
      </c>
      <c r="E105" s="4">
        <v>1</v>
      </c>
      <c r="F105" s="4">
        <v>0.90741714886901625</v>
      </c>
      <c r="G105" s="4" t="str">
        <f t="shared" si="16"/>
        <v/>
      </c>
      <c r="H105" s="4" t="str">
        <f t="shared" si="17"/>
        <v/>
      </c>
      <c r="I105" s="4" t="str">
        <f t="shared" si="18"/>
        <v/>
      </c>
      <c r="J105" s="4" t="str">
        <f t="shared" si="19"/>
        <v/>
      </c>
      <c r="K105" s="4">
        <f t="shared" si="20"/>
        <v>1</v>
      </c>
      <c r="L105" s="4" t="str">
        <f t="shared" si="21"/>
        <v/>
      </c>
      <c r="M105" s="4"/>
      <c r="N105" s="4"/>
      <c r="O105" s="4"/>
      <c r="P105" s="4"/>
      <c r="Q105" s="4"/>
      <c r="R105" s="4"/>
      <c r="S105" s="4"/>
      <c r="T105" s="4"/>
      <c r="U105" s="4"/>
    </row>
    <row r="106" spans="1:21">
      <c r="A106" t="s">
        <v>489</v>
      </c>
      <c r="B106">
        <v>19</v>
      </c>
      <c r="C106" t="str">
        <f t="shared" si="15"/>
        <v>test.Base64_19_</v>
      </c>
      <c r="D106">
        <v>8</v>
      </c>
      <c r="E106" s="4">
        <v>1</v>
      </c>
      <c r="F106" s="4">
        <v>0.91036296685954765</v>
      </c>
      <c r="G106" s="4" t="str">
        <f t="shared" si="16"/>
        <v/>
      </c>
      <c r="H106" s="4" t="str">
        <f t="shared" si="17"/>
        <v/>
      </c>
      <c r="I106" s="4" t="str">
        <f t="shared" si="18"/>
        <v/>
      </c>
      <c r="J106" s="4" t="str">
        <f t="shared" si="19"/>
        <v/>
      </c>
      <c r="K106" s="4">
        <f t="shared" si="20"/>
        <v>1</v>
      </c>
      <c r="L106" s="4" t="str">
        <f t="shared" si="21"/>
        <v/>
      </c>
      <c r="M106" s="4"/>
      <c r="N106" s="4"/>
      <c r="O106" s="4"/>
      <c r="P106" s="4"/>
      <c r="Q106" s="4"/>
      <c r="R106" s="4"/>
      <c r="S106" s="4"/>
      <c r="T106" s="4"/>
      <c r="U106" s="4"/>
    </row>
    <row r="107" spans="1:21">
      <c r="A107" t="s">
        <v>489</v>
      </c>
      <c r="B107">
        <v>19</v>
      </c>
      <c r="C107" t="str">
        <f t="shared" si="15"/>
        <v>test.Base64_19_</v>
      </c>
      <c r="D107">
        <v>9</v>
      </c>
      <c r="E107" s="4">
        <v>1</v>
      </c>
      <c r="F107" s="4">
        <v>0.91467648605996843</v>
      </c>
      <c r="G107" s="4" t="str">
        <f t="shared" si="16"/>
        <v/>
      </c>
      <c r="H107" s="4" t="str">
        <f t="shared" si="17"/>
        <v/>
      </c>
      <c r="I107" s="4" t="str">
        <f t="shared" si="18"/>
        <v/>
      </c>
      <c r="J107" s="4" t="str">
        <f t="shared" si="19"/>
        <v/>
      </c>
      <c r="K107" s="4">
        <f t="shared" si="20"/>
        <v>1</v>
      </c>
      <c r="L107" s="4" t="str">
        <f t="shared" si="21"/>
        <v/>
      </c>
      <c r="M107" s="4"/>
      <c r="N107" s="4"/>
      <c r="O107" s="4"/>
      <c r="P107" s="4"/>
      <c r="Q107" s="4"/>
      <c r="R107" s="4"/>
      <c r="S107" s="4"/>
      <c r="T107" s="4"/>
      <c r="U107" s="4"/>
    </row>
    <row r="108" spans="1:21">
      <c r="A108" t="s">
        <v>489</v>
      </c>
      <c r="B108">
        <v>19</v>
      </c>
      <c r="C108" t="str">
        <f t="shared" si="15"/>
        <v>test.Base64_19_</v>
      </c>
      <c r="D108">
        <v>10</v>
      </c>
      <c r="E108" s="4">
        <v>1</v>
      </c>
      <c r="F108" s="4">
        <v>0.92004208311415048</v>
      </c>
      <c r="G108" s="4" t="str">
        <f t="shared" si="16"/>
        <v/>
      </c>
      <c r="H108" s="4" t="str">
        <f t="shared" si="17"/>
        <v/>
      </c>
      <c r="I108" s="4" t="str">
        <f t="shared" si="18"/>
        <v/>
      </c>
      <c r="J108" s="4" t="str">
        <f t="shared" si="19"/>
        <v/>
      </c>
      <c r="K108" s="4">
        <f t="shared" si="20"/>
        <v>1</v>
      </c>
      <c r="L108" s="4" t="str">
        <f t="shared" si="21"/>
        <v/>
      </c>
      <c r="M108" s="4"/>
      <c r="N108" s="4"/>
      <c r="O108" s="4"/>
      <c r="P108" s="4"/>
      <c r="Q108" s="4"/>
      <c r="R108" s="4"/>
      <c r="S108" s="4"/>
      <c r="T108" s="4"/>
      <c r="U108" s="4"/>
    </row>
    <row r="109" spans="1:21">
      <c r="A109" t="s">
        <v>489</v>
      </c>
      <c r="B109">
        <v>19</v>
      </c>
      <c r="C109" t="str">
        <f t="shared" si="15"/>
        <v>test.Base64_19_</v>
      </c>
      <c r="D109">
        <v>11</v>
      </c>
      <c r="E109" s="4">
        <v>1</v>
      </c>
      <c r="F109" s="4">
        <v>0.92014729089952652</v>
      </c>
      <c r="G109" s="4" t="str">
        <f t="shared" si="16"/>
        <v/>
      </c>
      <c r="H109" s="4" t="str">
        <f t="shared" si="17"/>
        <v/>
      </c>
      <c r="I109" s="4" t="str">
        <f t="shared" si="18"/>
        <v/>
      </c>
      <c r="J109" s="4" t="str">
        <f t="shared" si="19"/>
        <v/>
      </c>
      <c r="K109" s="4">
        <f t="shared" si="20"/>
        <v>1</v>
      </c>
      <c r="L109" s="4" t="str">
        <f t="shared" si="21"/>
        <v/>
      </c>
      <c r="M109" s="4"/>
      <c r="N109" s="4"/>
      <c r="O109" s="4"/>
      <c r="P109" s="4"/>
      <c r="Q109" s="4"/>
      <c r="R109" s="4"/>
      <c r="S109" s="4"/>
      <c r="T109" s="4"/>
      <c r="U109" s="4"/>
    </row>
    <row r="110" spans="1:21">
      <c r="A110" t="s">
        <v>489</v>
      </c>
      <c r="B110">
        <v>19</v>
      </c>
      <c r="C110" t="str">
        <f t="shared" si="15"/>
        <v>test.Base64_19_</v>
      </c>
      <c r="D110">
        <v>12</v>
      </c>
      <c r="E110" s="4">
        <v>1</v>
      </c>
      <c r="F110" s="4">
        <v>0.92340873224618625</v>
      </c>
      <c r="G110" s="4" t="str">
        <f t="shared" si="16"/>
        <v/>
      </c>
      <c r="H110" s="4" t="str">
        <f t="shared" si="17"/>
        <v/>
      </c>
      <c r="I110" s="4" t="str">
        <f t="shared" si="18"/>
        <v/>
      </c>
      <c r="J110" s="4" t="str">
        <f t="shared" si="19"/>
        <v/>
      </c>
      <c r="K110" s="4">
        <f t="shared" si="20"/>
        <v>1</v>
      </c>
      <c r="L110" s="4" t="str">
        <f t="shared" si="21"/>
        <v/>
      </c>
      <c r="M110" s="4"/>
      <c r="N110" s="4"/>
      <c r="O110" s="4"/>
      <c r="P110" s="4"/>
      <c r="Q110" s="4"/>
      <c r="R110" s="4"/>
      <c r="S110" s="4"/>
      <c r="T110" s="4"/>
      <c r="U110" s="4"/>
    </row>
    <row r="111" spans="1:21">
      <c r="A111" t="s">
        <v>489</v>
      </c>
      <c r="B111">
        <v>19</v>
      </c>
      <c r="C111" t="str">
        <f t="shared" si="15"/>
        <v>test.Base64_19_</v>
      </c>
      <c r="D111">
        <v>13</v>
      </c>
      <c r="E111" s="4">
        <v>1</v>
      </c>
      <c r="F111" s="4">
        <v>0.92624934245134138</v>
      </c>
      <c r="G111" s="4" t="str">
        <f t="shared" si="16"/>
        <v/>
      </c>
      <c r="H111" s="4" t="str">
        <f t="shared" si="17"/>
        <v/>
      </c>
      <c r="I111" s="4" t="str">
        <f t="shared" si="18"/>
        <v/>
      </c>
      <c r="J111" s="4" t="str">
        <f t="shared" si="19"/>
        <v/>
      </c>
      <c r="K111" s="4">
        <f t="shared" si="20"/>
        <v>1</v>
      </c>
      <c r="L111" s="4" t="str">
        <f t="shared" si="21"/>
        <v/>
      </c>
      <c r="M111" s="4"/>
      <c r="N111" s="4"/>
      <c r="O111" s="4"/>
      <c r="P111" s="4"/>
      <c r="Q111" s="4"/>
      <c r="R111" s="4"/>
      <c r="S111" s="4"/>
      <c r="T111" s="4"/>
      <c r="U111" s="4"/>
    </row>
    <row r="112" spans="1:21">
      <c r="A112" t="s">
        <v>489</v>
      </c>
      <c r="B112">
        <v>19</v>
      </c>
      <c r="C112" t="str">
        <f t="shared" si="15"/>
        <v>test.Base64_19_</v>
      </c>
      <c r="D112">
        <v>14</v>
      </c>
      <c r="E112" s="4">
        <v>1</v>
      </c>
      <c r="F112" s="4">
        <v>0.92740662809047869</v>
      </c>
      <c r="G112" s="4" t="str">
        <f t="shared" si="16"/>
        <v/>
      </c>
      <c r="H112" s="4" t="str">
        <f t="shared" si="17"/>
        <v/>
      </c>
      <c r="I112" s="4" t="str">
        <f t="shared" si="18"/>
        <v/>
      </c>
      <c r="J112" s="4" t="str">
        <f t="shared" si="19"/>
        <v/>
      </c>
      <c r="K112" s="4">
        <f t="shared" si="20"/>
        <v>1</v>
      </c>
      <c r="L112" s="4" t="str">
        <f t="shared" si="21"/>
        <v/>
      </c>
      <c r="M112" s="4"/>
      <c r="N112" s="4"/>
      <c r="O112" s="4"/>
      <c r="P112" s="4"/>
      <c r="Q112" s="4"/>
      <c r="R112" s="4"/>
      <c r="S112" s="4"/>
      <c r="T112" s="4"/>
      <c r="U112" s="4"/>
    </row>
    <row r="113" spans="1:21">
      <c r="A113" t="s">
        <v>489</v>
      </c>
      <c r="B113">
        <v>19</v>
      </c>
      <c r="C113" t="str">
        <f t="shared" si="15"/>
        <v>test.Base64_19_</v>
      </c>
      <c r="D113">
        <v>15</v>
      </c>
      <c r="E113" s="4">
        <v>1</v>
      </c>
      <c r="F113" s="4">
        <v>0.92751183587585484</v>
      </c>
      <c r="G113" s="4" t="str">
        <f t="shared" si="16"/>
        <v/>
      </c>
      <c r="H113" s="4" t="str">
        <f t="shared" si="17"/>
        <v/>
      </c>
      <c r="I113" s="4" t="str">
        <f t="shared" si="18"/>
        <v/>
      </c>
      <c r="J113" s="4" t="str">
        <f t="shared" si="19"/>
        <v/>
      </c>
      <c r="K113" s="4">
        <f t="shared" si="20"/>
        <v>1</v>
      </c>
      <c r="L113" s="4" t="str">
        <f t="shared" si="21"/>
        <v/>
      </c>
      <c r="M113" s="4"/>
      <c r="N113" s="4"/>
      <c r="O113" s="4"/>
      <c r="P113" s="4"/>
      <c r="Q113" s="4"/>
      <c r="R113" s="4"/>
      <c r="S113" s="4"/>
      <c r="T113" s="4"/>
      <c r="U113" s="4"/>
    </row>
    <row r="114" spans="1:21">
      <c r="A114" t="s">
        <v>489</v>
      </c>
      <c r="B114">
        <v>19</v>
      </c>
      <c r="C114" t="str">
        <f t="shared" si="15"/>
        <v>test.Base64_19_</v>
      </c>
      <c r="D114">
        <v>16</v>
      </c>
      <c r="E114" s="4">
        <v>1</v>
      </c>
      <c r="F114" s="4">
        <v>0.93456075749605472</v>
      </c>
      <c r="G114" s="4" t="str">
        <f t="shared" si="16"/>
        <v/>
      </c>
      <c r="H114" s="4" t="str">
        <f t="shared" si="17"/>
        <v/>
      </c>
      <c r="I114" s="4" t="str">
        <f t="shared" si="18"/>
        <v/>
      </c>
      <c r="J114" s="4" t="str">
        <f t="shared" si="19"/>
        <v/>
      </c>
      <c r="K114" s="4">
        <f t="shared" si="20"/>
        <v>1</v>
      </c>
      <c r="L114" s="4" t="str">
        <f t="shared" si="21"/>
        <v/>
      </c>
      <c r="M114" s="4"/>
      <c r="N114" s="4"/>
      <c r="O114" s="4"/>
      <c r="P114" s="4"/>
      <c r="Q114" s="4"/>
      <c r="R114" s="4"/>
      <c r="S114" s="4"/>
      <c r="T114" s="4"/>
      <c r="U114" s="4"/>
    </row>
    <row r="115" spans="1:21">
      <c r="A115" t="s">
        <v>489</v>
      </c>
      <c r="B115">
        <v>19</v>
      </c>
      <c r="C115" t="str">
        <f t="shared" si="15"/>
        <v>test.Base64_19_</v>
      </c>
      <c r="D115">
        <v>17</v>
      </c>
      <c r="E115" s="4">
        <v>1</v>
      </c>
      <c r="F115" s="4">
        <v>0.94876380852183062</v>
      </c>
      <c r="G115" s="4" t="str">
        <f t="shared" si="16"/>
        <v/>
      </c>
      <c r="H115" s="4" t="str">
        <f t="shared" si="17"/>
        <v/>
      </c>
      <c r="I115" s="4" t="str">
        <f t="shared" si="18"/>
        <v/>
      </c>
      <c r="J115" s="4" t="str">
        <f t="shared" si="19"/>
        <v/>
      </c>
      <c r="K115" s="4">
        <f t="shared" si="20"/>
        <v>1</v>
      </c>
      <c r="L115" s="4" t="str">
        <f t="shared" si="21"/>
        <v/>
      </c>
      <c r="M115" s="4"/>
      <c r="N115" s="4"/>
      <c r="O115" s="4"/>
      <c r="P115" s="4"/>
      <c r="Q115" s="4"/>
      <c r="R115" s="4"/>
      <c r="S115" s="4"/>
      <c r="T115" s="4"/>
      <c r="U115" s="4"/>
    </row>
    <row r="116" spans="1:21">
      <c r="A116" t="s">
        <v>489</v>
      </c>
      <c r="B116">
        <v>19</v>
      </c>
      <c r="C116" t="str">
        <f t="shared" si="15"/>
        <v>test.Base64_19_</v>
      </c>
      <c r="D116">
        <v>18</v>
      </c>
      <c r="E116" s="4">
        <v>1</v>
      </c>
      <c r="F116" s="4">
        <v>0.94928984744871125</v>
      </c>
      <c r="G116" s="4" t="str">
        <f t="shared" si="16"/>
        <v/>
      </c>
      <c r="H116" s="4" t="str">
        <f t="shared" si="17"/>
        <v/>
      </c>
      <c r="I116" s="4" t="str">
        <f t="shared" si="18"/>
        <v/>
      </c>
      <c r="J116" s="4" t="str">
        <f t="shared" si="19"/>
        <v/>
      </c>
      <c r="K116" s="4">
        <f t="shared" si="20"/>
        <v>1</v>
      </c>
      <c r="L116" s="4" t="str">
        <f t="shared" si="21"/>
        <v/>
      </c>
      <c r="M116" s="4"/>
      <c r="N116" s="4"/>
      <c r="O116" s="4"/>
      <c r="P116" s="4"/>
      <c r="Q116" s="4"/>
      <c r="R116" s="4"/>
      <c r="S116" s="4"/>
      <c r="T116" s="4"/>
      <c r="U116" s="4"/>
    </row>
    <row r="117" spans="1:21">
      <c r="A117" t="s">
        <v>489</v>
      </c>
      <c r="B117">
        <v>19</v>
      </c>
      <c r="C117" t="str">
        <f t="shared" si="15"/>
        <v>test.Base64_19_</v>
      </c>
      <c r="D117">
        <v>19</v>
      </c>
      <c r="E117" s="4">
        <v>1</v>
      </c>
      <c r="F117" s="4">
        <v>1.0452393477117308</v>
      </c>
      <c r="G117" s="4" t="str">
        <f t="shared" si="16"/>
        <v/>
      </c>
      <c r="H117" s="4" t="str">
        <f t="shared" si="17"/>
        <v/>
      </c>
      <c r="I117" s="4" t="str">
        <f t="shared" si="18"/>
        <v/>
      </c>
      <c r="J117" s="4" t="str">
        <f t="shared" si="19"/>
        <v/>
      </c>
      <c r="K117" s="4">
        <f t="shared" si="20"/>
        <v>1</v>
      </c>
      <c r="L117" s="4" t="str">
        <f t="shared" si="21"/>
        <v/>
      </c>
      <c r="M117" s="4"/>
      <c r="N117" s="4"/>
      <c r="O117" s="4"/>
      <c r="P117" s="4"/>
      <c r="Q117" s="4"/>
      <c r="R117" s="4"/>
      <c r="S117" s="4"/>
      <c r="T117" s="4"/>
      <c r="U117" s="4"/>
    </row>
    <row r="118" spans="1:21">
      <c r="A118" t="s">
        <v>489</v>
      </c>
      <c r="B118">
        <v>19</v>
      </c>
      <c r="C118" t="str">
        <f t="shared" si="15"/>
        <v>test.Base64_19_</v>
      </c>
      <c r="D118">
        <v>20</v>
      </c>
      <c r="E118" s="4">
        <v>1</v>
      </c>
      <c r="F118" s="4">
        <v>1.1008942661756971</v>
      </c>
      <c r="G118" s="4" t="str">
        <f t="shared" si="16"/>
        <v/>
      </c>
      <c r="H118" s="4" t="str">
        <f t="shared" si="17"/>
        <v/>
      </c>
      <c r="I118" s="4" t="str">
        <f t="shared" si="18"/>
        <v/>
      </c>
      <c r="J118" s="4" t="str">
        <f t="shared" si="19"/>
        <v/>
      </c>
      <c r="K118" s="4" t="str">
        <f t="shared" si="20"/>
        <v/>
      </c>
      <c r="L118" s="4">
        <f t="shared" si="21"/>
        <v>1</v>
      </c>
      <c r="M118" s="4"/>
      <c r="N118" s="4"/>
      <c r="O118" s="4"/>
      <c r="P118" s="4"/>
      <c r="Q118" s="4"/>
      <c r="R118" s="4"/>
      <c r="S118" s="4"/>
      <c r="T118" s="4"/>
      <c r="U118" s="4"/>
    </row>
    <row r="119" spans="1:21">
      <c r="A119" t="s">
        <v>489</v>
      </c>
      <c r="B119">
        <v>19</v>
      </c>
      <c r="C119" t="str">
        <f t="shared" si="15"/>
        <v>test.Base64_19_</v>
      </c>
      <c r="D119">
        <v>21</v>
      </c>
      <c r="E119" s="4">
        <v>1</v>
      </c>
      <c r="F119" s="4">
        <v>1.1049973698053657</v>
      </c>
      <c r="G119" s="4" t="str">
        <f t="shared" si="16"/>
        <v/>
      </c>
      <c r="H119" s="4" t="str">
        <f t="shared" si="17"/>
        <v/>
      </c>
      <c r="I119" s="4" t="str">
        <f t="shared" si="18"/>
        <v/>
      </c>
      <c r="J119" s="4" t="str">
        <f t="shared" si="19"/>
        <v/>
      </c>
      <c r="K119" s="4" t="str">
        <f t="shared" si="20"/>
        <v/>
      </c>
      <c r="L119" s="4">
        <f t="shared" si="21"/>
        <v>1</v>
      </c>
      <c r="M119" s="4"/>
      <c r="N119" s="4"/>
      <c r="O119" s="4"/>
      <c r="P119" s="4"/>
      <c r="Q119" s="4"/>
      <c r="R119" s="4"/>
      <c r="S119" s="4"/>
      <c r="T119" s="4"/>
      <c r="U119" s="4"/>
    </row>
    <row r="120" spans="1:21">
      <c r="A120" t="s">
        <v>489</v>
      </c>
      <c r="B120">
        <v>19</v>
      </c>
      <c r="C120" t="str">
        <f t="shared" si="15"/>
        <v>test.Base64_19_</v>
      </c>
      <c r="D120">
        <v>22</v>
      </c>
      <c r="E120" s="4">
        <v>1</v>
      </c>
      <c r="F120" s="4">
        <v>1.10541820094687</v>
      </c>
      <c r="G120" s="4" t="str">
        <f t="shared" si="16"/>
        <v/>
      </c>
      <c r="H120" s="4" t="str">
        <f t="shared" si="17"/>
        <v/>
      </c>
      <c r="I120" s="4" t="str">
        <f t="shared" si="18"/>
        <v/>
      </c>
      <c r="J120" s="4" t="str">
        <f t="shared" si="19"/>
        <v/>
      </c>
      <c r="K120" s="4" t="str">
        <f t="shared" si="20"/>
        <v/>
      </c>
      <c r="L120" s="4">
        <f t="shared" si="21"/>
        <v>1</v>
      </c>
      <c r="M120" s="4"/>
      <c r="N120" s="4"/>
      <c r="O120" s="4"/>
      <c r="P120" s="4"/>
      <c r="Q120" s="4"/>
      <c r="R120" s="4"/>
      <c r="S120" s="4"/>
      <c r="T120" s="4"/>
      <c r="U120" s="4"/>
    </row>
    <row r="121" spans="1:21">
      <c r="A121" t="s">
        <v>489</v>
      </c>
      <c r="B121">
        <v>19</v>
      </c>
      <c r="C121" t="str">
        <f t="shared" si="15"/>
        <v>test.Base64_19_</v>
      </c>
      <c r="D121">
        <v>23</v>
      </c>
      <c r="E121" s="4">
        <v>1</v>
      </c>
      <c r="F121" s="4">
        <v>1.1068911099421357</v>
      </c>
      <c r="G121" s="4" t="str">
        <f t="shared" si="16"/>
        <v/>
      </c>
      <c r="H121" s="4" t="str">
        <f t="shared" si="17"/>
        <v/>
      </c>
      <c r="I121" s="4" t="str">
        <f t="shared" si="18"/>
        <v/>
      </c>
      <c r="J121" s="4" t="str">
        <f t="shared" si="19"/>
        <v/>
      </c>
      <c r="K121" s="4" t="str">
        <f t="shared" si="20"/>
        <v/>
      </c>
      <c r="L121" s="4">
        <f t="shared" si="21"/>
        <v>1</v>
      </c>
      <c r="M121" s="4"/>
      <c r="N121" s="4"/>
      <c r="O121" s="4"/>
      <c r="P121" s="4"/>
      <c r="Q121" s="4"/>
      <c r="R121" s="4"/>
      <c r="S121" s="4"/>
      <c r="T121" s="4"/>
      <c r="U121" s="4"/>
    </row>
    <row r="122" spans="1:21">
      <c r="A122" t="s">
        <v>489</v>
      </c>
      <c r="B122">
        <v>19</v>
      </c>
      <c r="C122" t="str">
        <f t="shared" si="15"/>
        <v>test.Base64_19_</v>
      </c>
      <c r="D122">
        <v>24</v>
      </c>
      <c r="E122" s="4">
        <v>1</v>
      </c>
      <c r="F122" s="4">
        <v>1.1129931614939506</v>
      </c>
      <c r="G122" s="4" t="str">
        <f t="shared" si="16"/>
        <v/>
      </c>
      <c r="H122" s="4" t="str">
        <f t="shared" si="17"/>
        <v/>
      </c>
      <c r="I122" s="4" t="str">
        <f t="shared" si="18"/>
        <v/>
      </c>
      <c r="J122" s="4" t="str">
        <f t="shared" si="19"/>
        <v/>
      </c>
      <c r="K122" s="4" t="str">
        <f t="shared" si="20"/>
        <v/>
      </c>
      <c r="L122" s="4">
        <f t="shared" si="21"/>
        <v>1</v>
      </c>
      <c r="M122" s="4"/>
      <c r="N122" s="4"/>
      <c r="O122" s="4"/>
      <c r="P122" s="4"/>
      <c r="Q122" s="4"/>
      <c r="R122" s="4"/>
      <c r="S122" s="4"/>
      <c r="T122" s="4"/>
      <c r="U122" s="4"/>
    </row>
    <row r="123" spans="1:21">
      <c r="A123" t="s">
        <v>489</v>
      </c>
      <c r="B123">
        <v>19</v>
      </c>
      <c r="C123" t="str">
        <f t="shared" si="15"/>
        <v>test.Base64_19_</v>
      </c>
      <c r="D123">
        <v>25</v>
      </c>
      <c r="E123" s="4">
        <v>1</v>
      </c>
      <c r="F123" s="4">
        <v>1.123198316675434</v>
      </c>
      <c r="G123" s="4" t="str">
        <f t="shared" si="16"/>
        <v/>
      </c>
      <c r="H123" s="4" t="str">
        <f t="shared" si="17"/>
        <v/>
      </c>
      <c r="I123" s="4" t="str">
        <f t="shared" si="18"/>
        <v/>
      </c>
      <c r="J123" s="4" t="str">
        <f t="shared" si="19"/>
        <v/>
      </c>
      <c r="K123" s="4" t="str">
        <f t="shared" si="20"/>
        <v/>
      </c>
      <c r="L123" s="4">
        <f t="shared" si="21"/>
        <v>1</v>
      </c>
      <c r="M123" s="4"/>
      <c r="N123" s="4"/>
      <c r="O123" s="4"/>
      <c r="P123" s="4"/>
      <c r="Q123" s="4"/>
      <c r="R123" s="4"/>
      <c r="S123" s="4"/>
      <c r="T123" s="4"/>
      <c r="U123" s="4"/>
    </row>
    <row r="124" spans="1:21">
      <c r="A124" t="s">
        <v>489</v>
      </c>
      <c r="B124">
        <v>19</v>
      </c>
      <c r="C124" t="str">
        <f t="shared" si="15"/>
        <v>test.Base64_19_</v>
      </c>
      <c r="D124">
        <v>26</v>
      </c>
      <c r="E124" s="4">
        <v>1</v>
      </c>
      <c r="F124" s="4">
        <v>1.1372961599158338</v>
      </c>
      <c r="G124" s="4" t="str">
        <f t="shared" si="16"/>
        <v/>
      </c>
      <c r="H124" s="4" t="str">
        <f t="shared" si="17"/>
        <v/>
      </c>
      <c r="I124" s="4" t="str">
        <f t="shared" si="18"/>
        <v/>
      </c>
      <c r="J124" s="4" t="str">
        <f t="shared" si="19"/>
        <v/>
      </c>
      <c r="K124" s="4" t="str">
        <f t="shared" si="20"/>
        <v/>
      </c>
      <c r="L124" s="4">
        <f t="shared" si="21"/>
        <v>1</v>
      </c>
      <c r="M124" s="4"/>
      <c r="N124" s="4"/>
      <c r="O124" s="4"/>
      <c r="P124" s="4"/>
      <c r="Q124" s="4"/>
      <c r="R124" s="4"/>
      <c r="S124" s="4"/>
      <c r="T124" s="4"/>
      <c r="U124" s="4"/>
    </row>
    <row r="125" spans="1:21">
      <c r="A125" t="s">
        <v>489</v>
      </c>
      <c r="B125">
        <v>19</v>
      </c>
      <c r="C125" t="str">
        <f t="shared" si="15"/>
        <v>test.Base64_19_</v>
      </c>
      <c r="D125">
        <v>27</v>
      </c>
      <c r="E125" s="4">
        <v>1</v>
      </c>
      <c r="F125" s="4">
        <v>1.1903208837453971</v>
      </c>
      <c r="G125" s="4" t="str">
        <f t="shared" si="16"/>
        <v/>
      </c>
      <c r="H125" s="4" t="str">
        <f t="shared" si="17"/>
        <v/>
      </c>
      <c r="I125" s="4" t="str">
        <f t="shared" si="18"/>
        <v/>
      </c>
      <c r="J125" s="4" t="str">
        <f t="shared" si="19"/>
        <v/>
      </c>
      <c r="K125" s="4" t="str">
        <f t="shared" si="20"/>
        <v/>
      </c>
      <c r="L125" s="4">
        <f t="shared" si="21"/>
        <v>1</v>
      </c>
      <c r="M125" s="4"/>
      <c r="N125" s="4"/>
      <c r="O125" s="4"/>
      <c r="P125" s="4"/>
      <c r="Q125" s="4"/>
      <c r="R125" s="4"/>
      <c r="S125" s="4"/>
      <c r="T125" s="4"/>
      <c r="U125" s="4"/>
    </row>
    <row r="126" spans="1:21">
      <c r="A126" t="s">
        <v>489</v>
      </c>
      <c r="B126">
        <v>19</v>
      </c>
      <c r="C126" t="str">
        <f t="shared" si="15"/>
        <v>test.Base64_19_</v>
      </c>
      <c r="D126">
        <v>28</v>
      </c>
      <c r="E126" s="4">
        <v>1</v>
      </c>
      <c r="F126" s="4">
        <v>1.2702788006312467</v>
      </c>
      <c r="G126" s="4" t="str">
        <f t="shared" si="16"/>
        <v/>
      </c>
      <c r="H126" s="4" t="str">
        <f t="shared" si="17"/>
        <v/>
      </c>
      <c r="I126" s="4" t="str">
        <f t="shared" si="18"/>
        <v/>
      </c>
      <c r="J126" s="4" t="str">
        <f t="shared" si="19"/>
        <v/>
      </c>
      <c r="K126" s="4" t="str">
        <f t="shared" si="20"/>
        <v/>
      </c>
      <c r="L126" s="4">
        <f t="shared" si="21"/>
        <v>1</v>
      </c>
      <c r="M126" s="4"/>
      <c r="N126" s="4"/>
      <c r="O126" s="4"/>
      <c r="P126" s="4"/>
      <c r="Q126" s="4"/>
      <c r="R126" s="4"/>
      <c r="S126" s="4"/>
      <c r="T126" s="4"/>
      <c r="U126" s="4"/>
    </row>
    <row r="127" spans="1:21">
      <c r="A127" t="s">
        <v>489</v>
      </c>
      <c r="B127">
        <v>20</v>
      </c>
      <c r="C127" t="str">
        <f t="shared" si="15"/>
        <v>test.Base64_20_</v>
      </c>
      <c r="D127">
        <v>1</v>
      </c>
      <c r="E127" s="4">
        <v>0.19801980198019803</v>
      </c>
      <c r="F127" s="4">
        <v>8.9820359281437126E-2</v>
      </c>
      <c r="G127" s="4">
        <f t="shared" si="16"/>
        <v>0.19801980198019803</v>
      </c>
      <c r="H127" s="4" t="str">
        <f t="shared" si="17"/>
        <v/>
      </c>
      <c r="I127" s="4" t="str">
        <f t="shared" si="18"/>
        <v/>
      </c>
      <c r="J127" s="4" t="str">
        <f t="shared" si="19"/>
        <v/>
      </c>
      <c r="K127" s="4" t="str">
        <f t="shared" si="20"/>
        <v/>
      </c>
      <c r="L127" s="4" t="str">
        <f t="shared" si="21"/>
        <v/>
      </c>
      <c r="M127" s="4"/>
      <c r="N127" s="4"/>
      <c r="O127" s="4"/>
      <c r="P127" s="4"/>
      <c r="Q127" s="4"/>
      <c r="R127" s="4"/>
      <c r="S127" s="4"/>
      <c r="T127" s="4"/>
      <c r="U127" s="4"/>
    </row>
    <row r="128" spans="1:21">
      <c r="A128" t="s">
        <v>489</v>
      </c>
      <c r="B128">
        <v>20</v>
      </c>
      <c r="C128" t="str">
        <f t="shared" si="15"/>
        <v>test.Base64_20_</v>
      </c>
      <c r="D128">
        <v>2</v>
      </c>
      <c r="E128" s="4">
        <v>0.22772277227722773</v>
      </c>
      <c r="F128" s="4">
        <v>0.10357663052273831</v>
      </c>
      <c r="G128" s="4">
        <f t="shared" si="16"/>
        <v>0.22772277227722773</v>
      </c>
      <c r="H128" s="4" t="str">
        <f t="shared" si="17"/>
        <v/>
      </c>
      <c r="I128" s="4" t="str">
        <f t="shared" si="18"/>
        <v/>
      </c>
      <c r="J128" s="4" t="str">
        <f t="shared" si="19"/>
        <v/>
      </c>
      <c r="K128" s="4" t="str">
        <f t="shared" si="20"/>
        <v/>
      </c>
      <c r="L128" s="4" t="str">
        <f t="shared" si="21"/>
        <v/>
      </c>
      <c r="M128" s="4"/>
      <c r="N128" s="4"/>
      <c r="O128" s="4"/>
      <c r="P128" s="4"/>
      <c r="Q128" s="4"/>
      <c r="R128" s="4"/>
      <c r="S128" s="4"/>
      <c r="T128" s="4"/>
      <c r="U128" s="4"/>
    </row>
    <row r="129" spans="1:21">
      <c r="A129" t="s">
        <v>489</v>
      </c>
      <c r="B129">
        <v>20</v>
      </c>
      <c r="C129" t="str">
        <f t="shared" si="15"/>
        <v>test.Base64_20_</v>
      </c>
      <c r="D129">
        <v>3</v>
      </c>
      <c r="E129" s="4">
        <v>0.25742574257425743</v>
      </c>
      <c r="F129" s="4">
        <v>0.10487133840427254</v>
      </c>
      <c r="G129" s="4">
        <f t="shared" si="16"/>
        <v>0.25742574257425743</v>
      </c>
      <c r="H129" s="4" t="str">
        <f t="shared" si="17"/>
        <v/>
      </c>
      <c r="I129" s="4" t="str">
        <f t="shared" si="18"/>
        <v/>
      </c>
      <c r="J129" s="4" t="str">
        <f t="shared" si="19"/>
        <v/>
      </c>
      <c r="K129" s="4" t="str">
        <f t="shared" si="20"/>
        <v/>
      </c>
      <c r="L129" s="4" t="str">
        <f t="shared" si="21"/>
        <v/>
      </c>
      <c r="M129" s="4"/>
      <c r="N129" s="4"/>
      <c r="O129" s="4"/>
      <c r="P129" s="4"/>
      <c r="Q129" s="4"/>
      <c r="R129" s="4"/>
      <c r="S129" s="4"/>
      <c r="T129" s="4"/>
      <c r="U129" s="4"/>
    </row>
    <row r="130" spans="1:21">
      <c r="A130" t="s">
        <v>489</v>
      </c>
      <c r="B130">
        <v>20</v>
      </c>
      <c r="C130" t="str">
        <f t="shared" si="15"/>
        <v>test.Base64_20_</v>
      </c>
      <c r="D130">
        <v>4</v>
      </c>
      <c r="E130" s="4">
        <v>0.28712871287128711</v>
      </c>
      <c r="F130" s="4">
        <v>0.10988833144521767</v>
      </c>
      <c r="G130" s="4">
        <f t="shared" si="16"/>
        <v>0.28712871287128711</v>
      </c>
      <c r="H130" s="4" t="str">
        <f t="shared" si="17"/>
        <v/>
      </c>
      <c r="I130" s="4" t="str">
        <f t="shared" si="18"/>
        <v/>
      </c>
      <c r="J130" s="4" t="str">
        <f t="shared" si="19"/>
        <v/>
      </c>
      <c r="K130" s="4" t="str">
        <f t="shared" si="20"/>
        <v/>
      </c>
      <c r="L130" s="4" t="str">
        <f t="shared" si="21"/>
        <v/>
      </c>
      <c r="M130" s="4"/>
      <c r="N130" s="4"/>
      <c r="O130" s="4"/>
      <c r="P130" s="4"/>
      <c r="Q130" s="4"/>
      <c r="R130" s="4"/>
      <c r="S130" s="4"/>
      <c r="T130" s="4"/>
      <c r="U130" s="4"/>
    </row>
    <row r="131" spans="1:21">
      <c r="A131" t="s">
        <v>489</v>
      </c>
      <c r="B131">
        <v>20</v>
      </c>
      <c r="C131" t="str">
        <f t="shared" ref="C131:C194" si="22">CONCATENATE(A131, "_",B131,"_")</f>
        <v>test.Base64_20_</v>
      </c>
      <c r="D131">
        <v>5</v>
      </c>
      <c r="E131" s="4">
        <v>0.44554455445544555</v>
      </c>
      <c r="F131" s="4">
        <v>0.11263958569347791</v>
      </c>
      <c r="G131" s="4">
        <f t="shared" ref="G131:G194" si="23">IF(F131 &lt;= 0.2,E131,"")</f>
        <v>0.44554455445544555</v>
      </c>
      <c r="H131" s="4" t="str">
        <f t="shared" ref="H131:H194" si="24">IF(AND($F131 &gt; 0.2,$F131 &lt;= 0.4),$E131,"")</f>
        <v/>
      </c>
      <c r="I131" s="4" t="str">
        <f t="shared" ref="I131:I194" si="25">IF(AND($F131 &gt; 0.4,$F131 &lt;= 0.6),$E131,"")</f>
        <v/>
      </c>
      <c r="J131" s="4" t="str">
        <f t="shared" ref="J131:J194" si="26">IF(AND($F131 &gt; 0.6,$F131 &lt;= 0.8),$E131,"")</f>
        <v/>
      </c>
      <c r="K131" s="4" t="str">
        <f t="shared" ref="K131:K194" si="27">IF(AND($F131 &gt; 0.8, $F131 &lt;=1.1),$E131,"")</f>
        <v/>
      </c>
      <c r="L131" s="4" t="str">
        <f t="shared" ref="L131:L194" si="28">IF(AND($F131 &gt; 1.1),$E131,"")</f>
        <v/>
      </c>
      <c r="M131" s="4"/>
      <c r="N131" s="4"/>
      <c r="O131" s="4"/>
      <c r="P131" s="4"/>
      <c r="Q131" s="4"/>
      <c r="R131" s="4"/>
      <c r="S131" s="4"/>
      <c r="T131" s="4"/>
      <c r="U131" s="4"/>
    </row>
    <row r="132" spans="1:21">
      <c r="A132" t="s">
        <v>489</v>
      </c>
      <c r="B132">
        <v>20</v>
      </c>
      <c r="C132" t="str">
        <f t="shared" si="22"/>
        <v>test.Base64_20_</v>
      </c>
      <c r="D132">
        <v>6</v>
      </c>
      <c r="E132" s="4">
        <v>0.44554455445544555</v>
      </c>
      <c r="F132" s="4">
        <v>0.11846577116038194</v>
      </c>
      <c r="G132" s="4">
        <f t="shared" si="23"/>
        <v>0.44554455445544555</v>
      </c>
      <c r="H132" s="4" t="str">
        <f t="shared" si="24"/>
        <v/>
      </c>
      <c r="I132" s="4" t="str">
        <f t="shared" si="25"/>
        <v/>
      </c>
      <c r="J132" s="4" t="str">
        <f t="shared" si="26"/>
        <v/>
      </c>
      <c r="K132" s="4" t="str">
        <f t="shared" si="27"/>
        <v/>
      </c>
      <c r="L132" s="4" t="str">
        <f t="shared" si="28"/>
        <v/>
      </c>
      <c r="M132" s="4"/>
      <c r="N132" s="4"/>
      <c r="O132" s="4"/>
      <c r="P132" s="4"/>
      <c r="Q132" s="4"/>
      <c r="R132" s="4"/>
      <c r="S132" s="4"/>
      <c r="T132" s="4"/>
      <c r="U132" s="4"/>
    </row>
    <row r="133" spans="1:21">
      <c r="A133" t="s">
        <v>489</v>
      </c>
      <c r="B133">
        <v>20</v>
      </c>
      <c r="C133" t="str">
        <f t="shared" si="22"/>
        <v>test.Base64_20_</v>
      </c>
      <c r="D133">
        <v>7</v>
      </c>
      <c r="E133" s="4">
        <v>0.52475247524752477</v>
      </c>
      <c r="F133" s="4">
        <v>0.1187894481307655</v>
      </c>
      <c r="G133" s="4">
        <f t="shared" si="23"/>
        <v>0.52475247524752477</v>
      </c>
      <c r="H133" s="4" t="str">
        <f t="shared" si="24"/>
        <v/>
      </c>
      <c r="I133" s="4" t="str">
        <f t="shared" si="25"/>
        <v/>
      </c>
      <c r="J133" s="4" t="str">
        <f t="shared" si="26"/>
        <v/>
      </c>
      <c r="K133" s="4" t="str">
        <f t="shared" si="27"/>
        <v/>
      </c>
      <c r="L133" s="4" t="str">
        <f t="shared" si="28"/>
        <v/>
      </c>
      <c r="M133" s="4"/>
      <c r="N133" s="4"/>
      <c r="O133" s="4"/>
      <c r="P133" s="4"/>
      <c r="Q133" s="4"/>
      <c r="R133" s="4"/>
      <c r="S133" s="4"/>
      <c r="T133" s="4"/>
      <c r="U133" s="4"/>
    </row>
    <row r="134" spans="1:21">
      <c r="A134" t="s">
        <v>489</v>
      </c>
      <c r="B134">
        <v>20</v>
      </c>
      <c r="C134" t="str">
        <f t="shared" si="22"/>
        <v>test.Base64_20_</v>
      </c>
      <c r="D134">
        <v>8</v>
      </c>
      <c r="E134" s="4">
        <v>0.52475247524752477</v>
      </c>
      <c r="F134" s="4">
        <v>0.12154070237902573</v>
      </c>
      <c r="G134" s="4">
        <f t="shared" si="23"/>
        <v>0.52475247524752477</v>
      </c>
      <c r="H134" s="4" t="str">
        <f t="shared" si="24"/>
        <v/>
      </c>
      <c r="I134" s="4" t="str">
        <f t="shared" si="25"/>
        <v/>
      </c>
      <c r="J134" s="4" t="str">
        <f t="shared" si="26"/>
        <v/>
      </c>
      <c r="K134" s="4" t="str">
        <f t="shared" si="27"/>
        <v/>
      </c>
      <c r="L134" s="4" t="str">
        <f t="shared" si="28"/>
        <v/>
      </c>
      <c r="M134" s="4"/>
      <c r="N134" s="4"/>
      <c r="O134" s="4"/>
      <c r="P134" s="4"/>
      <c r="Q134" s="4"/>
      <c r="R134" s="4"/>
      <c r="S134" s="4"/>
      <c r="T134" s="4"/>
      <c r="U134" s="4"/>
    </row>
    <row r="135" spans="1:21">
      <c r="A135" t="s">
        <v>489</v>
      </c>
      <c r="B135">
        <v>20</v>
      </c>
      <c r="C135" t="str">
        <f t="shared" si="22"/>
        <v>test.Base64_20_</v>
      </c>
      <c r="D135">
        <v>9</v>
      </c>
      <c r="E135" s="4">
        <v>0.52475247524752477</v>
      </c>
      <c r="F135" s="4">
        <v>0.12380644117171064</v>
      </c>
      <c r="G135" s="4">
        <f t="shared" si="23"/>
        <v>0.52475247524752477</v>
      </c>
      <c r="H135" s="4" t="str">
        <f t="shared" si="24"/>
        <v/>
      </c>
      <c r="I135" s="4" t="str">
        <f t="shared" si="25"/>
        <v/>
      </c>
      <c r="J135" s="4" t="str">
        <f t="shared" si="26"/>
        <v/>
      </c>
      <c r="K135" s="4" t="str">
        <f t="shared" si="27"/>
        <v/>
      </c>
      <c r="L135" s="4" t="str">
        <f t="shared" si="28"/>
        <v/>
      </c>
      <c r="M135" s="4"/>
      <c r="N135" s="4"/>
      <c r="O135" s="4"/>
      <c r="P135" s="4"/>
      <c r="Q135" s="4"/>
      <c r="R135" s="4"/>
      <c r="S135" s="4"/>
      <c r="T135" s="4"/>
      <c r="U135" s="4"/>
    </row>
    <row r="136" spans="1:21">
      <c r="A136" t="s">
        <v>489</v>
      </c>
      <c r="B136">
        <v>20</v>
      </c>
      <c r="C136" t="str">
        <f t="shared" si="22"/>
        <v>test.Base64_20_</v>
      </c>
      <c r="D136">
        <v>10</v>
      </c>
      <c r="E136" s="4">
        <v>0.52475247524752477</v>
      </c>
      <c r="F136" s="4">
        <v>0.13448778119436802</v>
      </c>
      <c r="G136" s="4">
        <f t="shared" si="23"/>
        <v>0.52475247524752477</v>
      </c>
      <c r="H136" s="4" t="str">
        <f t="shared" si="24"/>
        <v/>
      </c>
      <c r="I136" s="4" t="str">
        <f t="shared" si="25"/>
        <v/>
      </c>
      <c r="J136" s="4" t="str">
        <f t="shared" si="26"/>
        <v/>
      </c>
      <c r="K136" s="4" t="str">
        <f t="shared" si="27"/>
        <v/>
      </c>
      <c r="L136" s="4" t="str">
        <f t="shared" si="28"/>
        <v/>
      </c>
      <c r="M136" s="4"/>
      <c r="N136" s="4"/>
      <c r="O136" s="4"/>
      <c r="P136" s="4"/>
      <c r="Q136" s="4"/>
      <c r="R136" s="4"/>
      <c r="S136" s="4"/>
      <c r="T136" s="4"/>
      <c r="U136" s="4"/>
    </row>
    <row r="137" spans="1:21">
      <c r="A137" t="s">
        <v>489</v>
      </c>
      <c r="B137">
        <v>20</v>
      </c>
      <c r="C137" t="str">
        <f t="shared" si="22"/>
        <v>test.Base64_20_</v>
      </c>
      <c r="D137">
        <v>11</v>
      </c>
      <c r="E137" s="4">
        <v>0.52475247524752477</v>
      </c>
      <c r="F137" s="4">
        <v>0.1346496196795598</v>
      </c>
      <c r="G137" s="4">
        <f t="shared" si="23"/>
        <v>0.52475247524752477</v>
      </c>
      <c r="H137" s="4" t="str">
        <f t="shared" si="24"/>
        <v/>
      </c>
      <c r="I137" s="4" t="str">
        <f t="shared" si="25"/>
        <v/>
      </c>
      <c r="J137" s="4" t="str">
        <f t="shared" si="26"/>
        <v/>
      </c>
      <c r="K137" s="4" t="str">
        <f t="shared" si="27"/>
        <v/>
      </c>
      <c r="L137" s="4" t="str">
        <f t="shared" si="28"/>
        <v/>
      </c>
      <c r="M137" s="4"/>
      <c r="N137" s="4"/>
      <c r="O137" s="4"/>
      <c r="P137" s="4"/>
      <c r="Q137" s="4"/>
      <c r="R137" s="4"/>
      <c r="S137" s="4"/>
      <c r="T137" s="4"/>
      <c r="U137" s="4"/>
    </row>
    <row r="138" spans="1:21">
      <c r="A138" t="s">
        <v>489</v>
      </c>
      <c r="B138">
        <v>20</v>
      </c>
      <c r="C138" t="str">
        <f t="shared" si="22"/>
        <v>test.Base64_20_</v>
      </c>
      <c r="D138">
        <v>12</v>
      </c>
      <c r="E138" s="4">
        <v>0.52475247524752477</v>
      </c>
      <c r="F138" s="4">
        <v>0.13562065059071046</v>
      </c>
      <c r="G138" s="4">
        <f t="shared" si="23"/>
        <v>0.52475247524752477</v>
      </c>
      <c r="H138" s="4" t="str">
        <f t="shared" si="24"/>
        <v/>
      </c>
      <c r="I138" s="4" t="str">
        <f t="shared" si="25"/>
        <v/>
      </c>
      <c r="J138" s="4" t="str">
        <f t="shared" si="26"/>
        <v/>
      </c>
      <c r="K138" s="4" t="str">
        <f t="shared" si="27"/>
        <v/>
      </c>
      <c r="L138" s="4" t="str">
        <f t="shared" si="28"/>
        <v/>
      </c>
      <c r="M138" s="4"/>
      <c r="N138" s="4"/>
      <c r="O138" s="4"/>
      <c r="P138" s="4"/>
      <c r="Q138" s="4"/>
      <c r="R138" s="4"/>
      <c r="S138" s="4"/>
      <c r="T138" s="4"/>
      <c r="U138" s="4"/>
    </row>
    <row r="139" spans="1:21">
      <c r="A139" t="s">
        <v>489</v>
      </c>
      <c r="B139">
        <v>20</v>
      </c>
      <c r="C139" t="str">
        <f t="shared" si="22"/>
        <v>test.Base64_20_</v>
      </c>
      <c r="D139">
        <v>13</v>
      </c>
      <c r="E139" s="4">
        <v>0.52475247524752477</v>
      </c>
      <c r="F139" s="4">
        <v>0.13885742029454604</v>
      </c>
      <c r="G139" s="4">
        <f t="shared" si="23"/>
        <v>0.52475247524752477</v>
      </c>
      <c r="H139" s="4" t="str">
        <f t="shared" si="24"/>
        <v/>
      </c>
      <c r="I139" s="4" t="str">
        <f t="shared" si="25"/>
        <v/>
      </c>
      <c r="J139" s="4" t="str">
        <f t="shared" si="26"/>
        <v/>
      </c>
      <c r="K139" s="4" t="str">
        <f t="shared" si="27"/>
        <v/>
      </c>
      <c r="L139" s="4" t="str">
        <f t="shared" si="28"/>
        <v/>
      </c>
      <c r="M139" s="4"/>
      <c r="N139" s="4"/>
      <c r="O139" s="4"/>
      <c r="P139" s="4"/>
      <c r="Q139" s="4"/>
      <c r="R139" s="4"/>
      <c r="S139" s="4"/>
      <c r="T139" s="4"/>
      <c r="U139" s="4"/>
    </row>
    <row r="140" spans="1:21">
      <c r="A140" t="s">
        <v>489</v>
      </c>
      <c r="B140">
        <v>20</v>
      </c>
      <c r="C140" t="str">
        <f t="shared" si="22"/>
        <v>test.Base64_20_</v>
      </c>
      <c r="D140">
        <v>14</v>
      </c>
      <c r="E140" s="4">
        <v>0.70297029702970293</v>
      </c>
      <c r="F140" s="4">
        <v>0.14824405243566921</v>
      </c>
      <c r="G140" s="4">
        <f t="shared" si="23"/>
        <v>0.70297029702970293</v>
      </c>
      <c r="H140" s="4" t="str">
        <f t="shared" si="24"/>
        <v/>
      </c>
      <c r="I140" s="4" t="str">
        <f t="shared" si="25"/>
        <v/>
      </c>
      <c r="J140" s="4" t="str">
        <f t="shared" si="26"/>
        <v/>
      </c>
      <c r="K140" s="4" t="str">
        <f t="shared" si="27"/>
        <v/>
      </c>
      <c r="L140" s="4" t="str">
        <f t="shared" si="28"/>
        <v/>
      </c>
      <c r="M140" s="4"/>
      <c r="N140" s="4"/>
      <c r="O140" s="4"/>
      <c r="P140" s="4"/>
      <c r="Q140" s="4"/>
      <c r="R140" s="4"/>
      <c r="S140" s="4"/>
      <c r="T140" s="4"/>
      <c r="U140" s="4"/>
    </row>
    <row r="141" spans="1:21">
      <c r="A141" t="s">
        <v>489</v>
      </c>
      <c r="B141">
        <v>20</v>
      </c>
      <c r="C141" t="str">
        <f t="shared" si="22"/>
        <v>test.Base64_20_</v>
      </c>
      <c r="D141">
        <v>15</v>
      </c>
      <c r="E141" s="4">
        <v>0.70297029702970293</v>
      </c>
      <c r="F141" s="4">
        <v>0.15649781518044992</v>
      </c>
      <c r="G141" s="4">
        <f t="shared" si="23"/>
        <v>0.70297029702970293</v>
      </c>
      <c r="H141" s="4" t="str">
        <f t="shared" si="24"/>
        <v/>
      </c>
      <c r="I141" s="4" t="str">
        <f t="shared" si="25"/>
        <v/>
      </c>
      <c r="J141" s="4" t="str">
        <f t="shared" si="26"/>
        <v/>
      </c>
      <c r="K141" s="4" t="str">
        <f t="shared" si="27"/>
        <v/>
      </c>
      <c r="L141" s="4" t="str">
        <f t="shared" si="28"/>
        <v/>
      </c>
      <c r="M141" s="4"/>
      <c r="N141" s="4"/>
      <c r="O141" s="4"/>
      <c r="P141" s="4"/>
      <c r="Q141" s="4"/>
      <c r="R141" s="4"/>
      <c r="S141" s="4"/>
      <c r="T141" s="4"/>
      <c r="U141" s="4"/>
    </row>
    <row r="142" spans="1:21">
      <c r="A142" t="s">
        <v>489</v>
      </c>
      <c r="B142">
        <v>20</v>
      </c>
      <c r="C142" t="str">
        <f t="shared" si="22"/>
        <v>test.Base64_20_</v>
      </c>
      <c r="D142">
        <v>16</v>
      </c>
      <c r="E142" s="4">
        <v>0.70297029702970293</v>
      </c>
      <c r="F142" s="4">
        <v>0.15763068457679236</v>
      </c>
      <c r="G142" s="4">
        <f t="shared" si="23"/>
        <v>0.70297029702970293</v>
      </c>
      <c r="H142" s="4" t="str">
        <f t="shared" si="24"/>
        <v/>
      </c>
      <c r="I142" s="4" t="str">
        <f t="shared" si="25"/>
        <v/>
      </c>
      <c r="J142" s="4" t="str">
        <f t="shared" si="26"/>
        <v/>
      </c>
      <c r="K142" s="4" t="str">
        <f t="shared" si="27"/>
        <v/>
      </c>
      <c r="L142" s="4" t="str">
        <f t="shared" si="28"/>
        <v/>
      </c>
      <c r="M142" s="4"/>
      <c r="N142" s="4"/>
      <c r="O142" s="4"/>
      <c r="P142" s="4"/>
      <c r="Q142" s="4"/>
      <c r="R142" s="4"/>
      <c r="S142" s="4"/>
      <c r="T142" s="4"/>
      <c r="U142" s="4"/>
    </row>
    <row r="143" spans="1:21">
      <c r="A143" t="s">
        <v>489</v>
      </c>
      <c r="B143">
        <v>20</v>
      </c>
      <c r="C143" t="str">
        <f t="shared" si="22"/>
        <v>test.Base64_20_</v>
      </c>
      <c r="D143">
        <v>17</v>
      </c>
      <c r="E143" s="4">
        <v>0.70297029702970293</v>
      </c>
      <c r="F143" s="4">
        <v>0.16022010033986081</v>
      </c>
      <c r="G143" s="4">
        <f t="shared" si="23"/>
        <v>0.70297029702970293</v>
      </c>
      <c r="H143" s="4" t="str">
        <f t="shared" si="24"/>
        <v/>
      </c>
      <c r="I143" s="4" t="str">
        <f t="shared" si="25"/>
        <v/>
      </c>
      <c r="J143" s="4" t="str">
        <f t="shared" si="26"/>
        <v/>
      </c>
      <c r="K143" s="4" t="str">
        <f t="shared" si="27"/>
        <v/>
      </c>
      <c r="L143" s="4" t="str">
        <f t="shared" si="28"/>
        <v/>
      </c>
      <c r="M143" s="4"/>
      <c r="N143" s="4"/>
      <c r="O143" s="4"/>
      <c r="P143" s="4"/>
      <c r="Q143" s="4"/>
      <c r="R143" s="4"/>
      <c r="S143" s="4"/>
      <c r="T143" s="4"/>
      <c r="U143" s="4"/>
    </row>
    <row r="144" spans="1:21">
      <c r="A144" t="s">
        <v>489</v>
      </c>
      <c r="B144">
        <v>20</v>
      </c>
      <c r="C144" t="str">
        <f t="shared" si="22"/>
        <v>test.Base64_20_</v>
      </c>
      <c r="D144">
        <v>18</v>
      </c>
      <c r="E144" s="4">
        <v>0.70297029702970293</v>
      </c>
      <c r="F144" s="4">
        <v>0.17025408642175111</v>
      </c>
      <c r="G144" s="4">
        <f t="shared" si="23"/>
        <v>0.70297029702970293</v>
      </c>
      <c r="H144" s="4" t="str">
        <f t="shared" si="24"/>
        <v/>
      </c>
      <c r="I144" s="4" t="str">
        <f t="shared" si="25"/>
        <v/>
      </c>
      <c r="J144" s="4" t="str">
        <f t="shared" si="26"/>
        <v/>
      </c>
      <c r="K144" s="4" t="str">
        <f t="shared" si="27"/>
        <v/>
      </c>
      <c r="L144" s="4" t="str">
        <f t="shared" si="28"/>
        <v/>
      </c>
      <c r="M144" s="4"/>
      <c r="N144" s="4"/>
      <c r="O144" s="4"/>
      <c r="P144" s="4"/>
      <c r="Q144" s="4"/>
      <c r="R144" s="4"/>
      <c r="S144" s="4"/>
      <c r="T144" s="4"/>
      <c r="U144" s="4"/>
    </row>
    <row r="145" spans="1:21">
      <c r="A145" t="s">
        <v>489</v>
      </c>
      <c r="B145">
        <v>20</v>
      </c>
      <c r="C145" t="str">
        <f t="shared" si="22"/>
        <v>test.Base64_20_</v>
      </c>
      <c r="D145">
        <v>19</v>
      </c>
      <c r="E145" s="4">
        <v>0.70297029702970293</v>
      </c>
      <c r="F145" s="4">
        <v>0.17510924097750444</v>
      </c>
      <c r="G145" s="4">
        <f t="shared" si="23"/>
        <v>0.70297029702970293</v>
      </c>
      <c r="H145" s="4" t="str">
        <f t="shared" si="24"/>
        <v/>
      </c>
      <c r="I145" s="4" t="str">
        <f t="shared" si="25"/>
        <v/>
      </c>
      <c r="J145" s="4" t="str">
        <f t="shared" si="26"/>
        <v/>
      </c>
      <c r="K145" s="4" t="str">
        <f t="shared" si="27"/>
        <v/>
      </c>
      <c r="L145" s="4" t="str">
        <f t="shared" si="28"/>
        <v/>
      </c>
      <c r="M145" s="4"/>
      <c r="N145" s="4"/>
      <c r="O145" s="4"/>
      <c r="P145" s="4"/>
      <c r="Q145" s="4"/>
      <c r="R145" s="4"/>
      <c r="S145" s="4"/>
      <c r="T145" s="4"/>
      <c r="U145" s="4"/>
    </row>
    <row r="146" spans="1:21">
      <c r="A146" t="s">
        <v>489</v>
      </c>
      <c r="B146">
        <v>20</v>
      </c>
      <c r="C146" t="str">
        <f t="shared" si="22"/>
        <v>test.Base64_20_</v>
      </c>
      <c r="D146">
        <v>20</v>
      </c>
      <c r="E146" s="4">
        <v>0.70297029702970293</v>
      </c>
      <c r="F146" s="4">
        <v>0.18417219614824407</v>
      </c>
      <c r="G146" s="4">
        <f t="shared" si="23"/>
        <v>0.70297029702970293</v>
      </c>
      <c r="H146" s="4" t="str">
        <f t="shared" si="24"/>
        <v/>
      </c>
      <c r="I146" s="4" t="str">
        <f t="shared" si="25"/>
        <v/>
      </c>
      <c r="J146" s="4" t="str">
        <f t="shared" si="26"/>
        <v/>
      </c>
      <c r="K146" s="4" t="str">
        <f t="shared" si="27"/>
        <v/>
      </c>
      <c r="L146" s="4" t="str">
        <f t="shared" si="28"/>
        <v/>
      </c>
      <c r="M146" s="4"/>
      <c r="N146" s="4"/>
      <c r="O146" s="4"/>
      <c r="P146" s="4"/>
      <c r="Q146" s="4"/>
      <c r="R146" s="4"/>
      <c r="S146" s="4"/>
      <c r="T146" s="4"/>
      <c r="U146" s="4"/>
    </row>
    <row r="147" spans="1:21">
      <c r="A147" t="s">
        <v>489</v>
      </c>
      <c r="B147">
        <v>20</v>
      </c>
      <c r="C147" t="str">
        <f t="shared" si="22"/>
        <v>test.Base64_20_</v>
      </c>
      <c r="D147">
        <v>21</v>
      </c>
      <c r="E147" s="4">
        <v>0.70297029702970293</v>
      </c>
      <c r="F147" s="4">
        <v>0.18433403463343584</v>
      </c>
      <c r="G147" s="4">
        <f t="shared" si="23"/>
        <v>0.70297029702970293</v>
      </c>
      <c r="H147" s="4" t="str">
        <f t="shared" si="24"/>
        <v/>
      </c>
      <c r="I147" s="4" t="str">
        <f t="shared" si="25"/>
        <v/>
      </c>
      <c r="J147" s="4" t="str">
        <f t="shared" si="26"/>
        <v/>
      </c>
      <c r="K147" s="4" t="str">
        <f t="shared" si="27"/>
        <v/>
      </c>
      <c r="L147" s="4" t="str">
        <f t="shared" si="28"/>
        <v/>
      </c>
      <c r="M147" s="4"/>
      <c r="N147" s="4"/>
      <c r="O147" s="4"/>
      <c r="P147" s="4"/>
      <c r="Q147" s="4"/>
      <c r="R147" s="4"/>
      <c r="S147" s="4"/>
      <c r="T147" s="4"/>
      <c r="U147" s="4"/>
    </row>
    <row r="148" spans="1:21">
      <c r="A148" t="s">
        <v>489</v>
      </c>
      <c r="B148">
        <v>20</v>
      </c>
      <c r="C148" t="str">
        <f t="shared" si="22"/>
        <v>test.Base64_20_</v>
      </c>
      <c r="D148">
        <v>22</v>
      </c>
      <c r="E148" s="4">
        <v>0.70297029702970293</v>
      </c>
      <c r="F148" s="4">
        <v>0.19323515131898367</v>
      </c>
      <c r="G148" s="4">
        <f t="shared" si="23"/>
        <v>0.70297029702970293</v>
      </c>
      <c r="H148" s="4" t="str">
        <f t="shared" si="24"/>
        <v/>
      </c>
      <c r="I148" s="4" t="str">
        <f t="shared" si="25"/>
        <v/>
      </c>
      <c r="J148" s="4" t="str">
        <f t="shared" si="26"/>
        <v/>
      </c>
      <c r="K148" s="4" t="str">
        <f t="shared" si="27"/>
        <v/>
      </c>
      <c r="L148" s="4" t="str">
        <f t="shared" si="28"/>
        <v/>
      </c>
      <c r="M148" s="4"/>
      <c r="N148" s="4"/>
      <c r="O148" s="4"/>
      <c r="P148" s="4"/>
      <c r="Q148" s="4"/>
      <c r="R148" s="4"/>
      <c r="S148" s="4"/>
      <c r="T148" s="4"/>
      <c r="U148" s="4"/>
    </row>
    <row r="149" spans="1:21">
      <c r="A149" t="s">
        <v>489</v>
      </c>
      <c r="B149">
        <v>20</v>
      </c>
      <c r="C149" t="str">
        <f t="shared" si="22"/>
        <v>test.Base64_20_</v>
      </c>
      <c r="D149">
        <v>23</v>
      </c>
      <c r="E149" s="4">
        <v>1</v>
      </c>
      <c r="F149" s="4">
        <v>0.85062307816798832</v>
      </c>
      <c r="G149" s="4" t="str">
        <f t="shared" si="23"/>
        <v/>
      </c>
      <c r="H149" s="4" t="str">
        <f t="shared" si="24"/>
        <v/>
      </c>
      <c r="I149" s="4" t="str">
        <f t="shared" si="25"/>
        <v/>
      </c>
      <c r="J149" s="4" t="str">
        <f t="shared" si="26"/>
        <v/>
      </c>
      <c r="K149" s="4">
        <f t="shared" si="27"/>
        <v>1</v>
      </c>
      <c r="L149" s="4" t="str">
        <f t="shared" si="28"/>
        <v/>
      </c>
      <c r="M149" s="4"/>
      <c r="N149" s="4"/>
      <c r="O149" s="4"/>
      <c r="P149" s="4"/>
      <c r="Q149" s="4"/>
      <c r="R149" s="4"/>
      <c r="S149" s="4"/>
      <c r="T149" s="4"/>
      <c r="U149" s="4"/>
    </row>
    <row r="150" spans="1:21">
      <c r="A150" t="s">
        <v>489</v>
      </c>
      <c r="B150">
        <v>20</v>
      </c>
      <c r="C150" t="str">
        <f t="shared" si="22"/>
        <v>test.Base64_20_</v>
      </c>
      <c r="D150">
        <v>24</v>
      </c>
      <c r="E150" s="4">
        <v>1</v>
      </c>
      <c r="F150" s="4">
        <v>0.85677294060527598</v>
      </c>
      <c r="G150" s="4" t="str">
        <f t="shared" si="23"/>
        <v/>
      </c>
      <c r="H150" s="4" t="str">
        <f t="shared" si="24"/>
        <v/>
      </c>
      <c r="I150" s="4" t="str">
        <f t="shared" si="25"/>
        <v/>
      </c>
      <c r="J150" s="4" t="str">
        <f t="shared" si="26"/>
        <v/>
      </c>
      <c r="K150" s="4">
        <f t="shared" si="27"/>
        <v>1</v>
      </c>
      <c r="L150" s="4" t="str">
        <f t="shared" si="28"/>
        <v/>
      </c>
      <c r="M150" s="4"/>
      <c r="N150" s="4"/>
      <c r="O150" s="4"/>
      <c r="P150" s="4"/>
      <c r="Q150" s="4"/>
      <c r="R150" s="4"/>
      <c r="S150" s="4"/>
      <c r="T150" s="4"/>
      <c r="U150" s="4"/>
    </row>
    <row r="151" spans="1:21">
      <c r="A151" t="s">
        <v>489</v>
      </c>
      <c r="B151">
        <v>20</v>
      </c>
      <c r="C151" t="str">
        <f t="shared" si="22"/>
        <v>test.Base64_20_</v>
      </c>
      <c r="D151">
        <v>25</v>
      </c>
      <c r="E151" s="4">
        <v>1</v>
      </c>
      <c r="F151" s="4">
        <v>0.86033338727949504</v>
      </c>
      <c r="G151" s="4" t="str">
        <f t="shared" si="23"/>
        <v/>
      </c>
      <c r="H151" s="4" t="str">
        <f t="shared" si="24"/>
        <v/>
      </c>
      <c r="I151" s="4" t="str">
        <f t="shared" si="25"/>
        <v/>
      </c>
      <c r="J151" s="4" t="str">
        <f t="shared" si="26"/>
        <v/>
      </c>
      <c r="K151" s="4">
        <f t="shared" si="27"/>
        <v>1</v>
      </c>
      <c r="L151" s="4" t="str">
        <f t="shared" si="28"/>
        <v/>
      </c>
      <c r="M151" s="4"/>
      <c r="N151" s="4"/>
      <c r="O151" s="4"/>
      <c r="P151" s="4"/>
      <c r="Q151" s="4"/>
      <c r="R151" s="4"/>
      <c r="S151" s="4"/>
      <c r="T151" s="4"/>
      <c r="U151" s="4"/>
    </row>
    <row r="152" spans="1:21">
      <c r="A152" t="s">
        <v>489</v>
      </c>
      <c r="B152">
        <v>20</v>
      </c>
      <c r="C152" t="str">
        <f t="shared" si="22"/>
        <v>test.Base64_20_</v>
      </c>
      <c r="D152">
        <v>26</v>
      </c>
      <c r="E152" s="4">
        <v>1</v>
      </c>
      <c r="F152" s="4">
        <v>0.87117656578734426</v>
      </c>
      <c r="G152" s="4" t="str">
        <f t="shared" si="23"/>
        <v/>
      </c>
      <c r="H152" s="4" t="str">
        <f t="shared" si="24"/>
        <v/>
      </c>
      <c r="I152" s="4" t="str">
        <f t="shared" si="25"/>
        <v/>
      </c>
      <c r="J152" s="4" t="str">
        <f t="shared" si="26"/>
        <v/>
      </c>
      <c r="K152" s="4">
        <f t="shared" si="27"/>
        <v>1</v>
      </c>
      <c r="L152" s="4" t="str">
        <f t="shared" si="28"/>
        <v/>
      </c>
      <c r="M152" s="4"/>
      <c r="N152" s="4"/>
      <c r="O152" s="4"/>
      <c r="P152" s="4"/>
      <c r="Q152" s="4"/>
      <c r="R152" s="4"/>
      <c r="S152" s="4"/>
      <c r="T152" s="4"/>
      <c r="U152" s="4"/>
    </row>
    <row r="153" spans="1:21">
      <c r="A153" t="s">
        <v>489</v>
      </c>
      <c r="B153">
        <v>20</v>
      </c>
      <c r="C153" t="str">
        <f t="shared" si="22"/>
        <v>test.Base64_20_</v>
      </c>
      <c r="D153">
        <v>27</v>
      </c>
      <c r="E153" s="4">
        <v>1</v>
      </c>
      <c r="F153" s="4">
        <v>0.87150024275772775</v>
      </c>
      <c r="G153" s="4" t="str">
        <f t="shared" si="23"/>
        <v/>
      </c>
      <c r="H153" s="4" t="str">
        <f t="shared" si="24"/>
        <v/>
      </c>
      <c r="I153" s="4" t="str">
        <f t="shared" si="25"/>
        <v/>
      </c>
      <c r="J153" s="4" t="str">
        <f t="shared" si="26"/>
        <v/>
      </c>
      <c r="K153" s="4">
        <f t="shared" si="27"/>
        <v>1</v>
      </c>
      <c r="L153" s="4" t="str">
        <f t="shared" si="28"/>
        <v/>
      </c>
      <c r="M153" s="4"/>
      <c r="N153" s="4"/>
      <c r="O153" s="4"/>
      <c r="P153" s="4"/>
      <c r="Q153" s="4"/>
      <c r="R153" s="4"/>
      <c r="S153" s="4"/>
      <c r="T153" s="4"/>
      <c r="U153" s="4"/>
    </row>
    <row r="154" spans="1:21">
      <c r="A154" t="s">
        <v>489</v>
      </c>
      <c r="B154">
        <v>20</v>
      </c>
      <c r="C154" t="str">
        <f t="shared" si="22"/>
        <v>test.Base64_20_</v>
      </c>
      <c r="D154">
        <v>28</v>
      </c>
      <c r="E154" s="4">
        <v>1</v>
      </c>
      <c r="F154" s="4">
        <v>0.88218158278038517</v>
      </c>
      <c r="G154" s="4" t="str">
        <f t="shared" si="23"/>
        <v/>
      </c>
      <c r="H154" s="4" t="str">
        <f t="shared" si="24"/>
        <v/>
      </c>
      <c r="I154" s="4" t="str">
        <f t="shared" si="25"/>
        <v/>
      </c>
      <c r="J154" s="4" t="str">
        <f t="shared" si="26"/>
        <v/>
      </c>
      <c r="K154" s="4">
        <f t="shared" si="27"/>
        <v>1</v>
      </c>
      <c r="L154" s="4" t="str">
        <f t="shared" si="28"/>
        <v/>
      </c>
      <c r="M154" s="4"/>
      <c r="N154" s="4"/>
      <c r="O154" s="4"/>
      <c r="P154" s="4"/>
      <c r="Q154" s="4"/>
      <c r="R154" s="4"/>
      <c r="S154" s="4"/>
      <c r="T154" s="4"/>
      <c r="U154" s="4"/>
    </row>
    <row r="155" spans="1:21">
      <c r="A155" t="s">
        <v>489</v>
      </c>
      <c r="B155">
        <v>20</v>
      </c>
      <c r="C155" t="str">
        <f t="shared" si="22"/>
        <v>test.Base64_20_</v>
      </c>
      <c r="D155">
        <v>29</v>
      </c>
      <c r="E155" s="4">
        <v>1</v>
      </c>
      <c r="F155" s="4">
        <v>0.89707072341802885</v>
      </c>
      <c r="G155" s="4" t="str">
        <f t="shared" si="23"/>
        <v/>
      </c>
      <c r="H155" s="4" t="str">
        <f t="shared" si="24"/>
        <v/>
      </c>
      <c r="I155" s="4" t="str">
        <f t="shared" si="25"/>
        <v/>
      </c>
      <c r="J155" s="4" t="str">
        <f t="shared" si="26"/>
        <v/>
      </c>
      <c r="K155" s="4">
        <f t="shared" si="27"/>
        <v>1</v>
      </c>
      <c r="L155" s="4" t="str">
        <f t="shared" si="28"/>
        <v/>
      </c>
      <c r="M155" s="4"/>
      <c r="N155" s="4"/>
      <c r="O155" s="4"/>
      <c r="P155" s="4"/>
      <c r="Q155" s="4"/>
      <c r="R155" s="4"/>
      <c r="S155" s="4"/>
      <c r="T155" s="4"/>
      <c r="U155" s="4"/>
    </row>
    <row r="156" spans="1:21">
      <c r="A156" t="s">
        <v>489</v>
      </c>
      <c r="B156">
        <v>20</v>
      </c>
      <c r="C156" t="str">
        <f t="shared" si="22"/>
        <v>test.Base64_20_</v>
      </c>
      <c r="D156">
        <v>30</v>
      </c>
      <c r="E156" s="4">
        <v>1</v>
      </c>
      <c r="F156" s="4">
        <v>0.90839941738145336</v>
      </c>
      <c r="G156" s="4" t="str">
        <f t="shared" si="23"/>
        <v/>
      </c>
      <c r="H156" s="4" t="str">
        <f t="shared" si="24"/>
        <v/>
      </c>
      <c r="I156" s="4" t="str">
        <f t="shared" si="25"/>
        <v/>
      </c>
      <c r="J156" s="4" t="str">
        <f t="shared" si="26"/>
        <v/>
      </c>
      <c r="K156" s="4">
        <f t="shared" si="27"/>
        <v>1</v>
      </c>
      <c r="L156" s="4" t="str">
        <f t="shared" si="28"/>
        <v/>
      </c>
      <c r="M156" s="4"/>
      <c r="N156" s="4"/>
      <c r="O156" s="4"/>
      <c r="P156" s="4"/>
      <c r="Q156" s="4"/>
      <c r="R156" s="4"/>
      <c r="S156" s="4"/>
      <c r="T156" s="4"/>
      <c r="U156" s="4"/>
    </row>
    <row r="157" spans="1:21">
      <c r="A157" t="s">
        <v>489</v>
      </c>
      <c r="B157">
        <v>20</v>
      </c>
      <c r="C157" t="str">
        <f t="shared" si="22"/>
        <v>test.Base64_20_</v>
      </c>
      <c r="D157">
        <v>31</v>
      </c>
      <c r="E157" s="4">
        <v>1</v>
      </c>
      <c r="F157" s="4">
        <v>0.91195986405567242</v>
      </c>
      <c r="G157" s="4" t="str">
        <f t="shared" si="23"/>
        <v/>
      </c>
      <c r="H157" s="4" t="str">
        <f t="shared" si="24"/>
        <v/>
      </c>
      <c r="I157" s="4" t="str">
        <f t="shared" si="25"/>
        <v/>
      </c>
      <c r="J157" s="4" t="str">
        <f t="shared" si="26"/>
        <v/>
      </c>
      <c r="K157" s="4">
        <f t="shared" si="27"/>
        <v>1</v>
      </c>
      <c r="L157" s="4" t="str">
        <f t="shared" si="28"/>
        <v/>
      </c>
      <c r="M157" s="4"/>
      <c r="N157" s="4"/>
      <c r="O157" s="4"/>
      <c r="P157" s="4"/>
      <c r="Q157" s="4"/>
      <c r="R157" s="4"/>
      <c r="S157" s="4"/>
      <c r="T157" s="4"/>
      <c r="U157" s="4"/>
    </row>
    <row r="158" spans="1:21">
      <c r="A158" t="s">
        <v>489</v>
      </c>
      <c r="B158">
        <v>20</v>
      </c>
      <c r="C158" t="str">
        <f t="shared" si="22"/>
        <v>test.Base64_20_</v>
      </c>
      <c r="D158">
        <v>32</v>
      </c>
      <c r="E158" s="4">
        <v>1</v>
      </c>
      <c r="F158" s="4">
        <v>0.92361223498948053</v>
      </c>
      <c r="G158" s="4" t="str">
        <f t="shared" si="23"/>
        <v/>
      </c>
      <c r="H158" s="4" t="str">
        <f t="shared" si="24"/>
        <v/>
      </c>
      <c r="I158" s="4" t="str">
        <f t="shared" si="25"/>
        <v/>
      </c>
      <c r="J158" s="4" t="str">
        <f t="shared" si="26"/>
        <v/>
      </c>
      <c r="K158" s="4">
        <f t="shared" si="27"/>
        <v>1</v>
      </c>
      <c r="L158" s="4" t="str">
        <f t="shared" si="28"/>
        <v/>
      </c>
      <c r="M158" s="4"/>
      <c r="N158" s="4"/>
      <c r="O158" s="4"/>
      <c r="P158" s="4"/>
      <c r="Q158" s="4"/>
      <c r="R158" s="4"/>
      <c r="S158" s="4"/>
      <c r="T158" s="4"/>
      <c r="U158" s="4"/>
    </row>
    <row r="159" spans="1:21">
      <c r="A159" t="s">
        <v>489</v>
      </c>
      <c r="B159">
        <v>20</v>
      </c>
      <c r="C159" t="str">
        <f t="shared" si="22"/>
        <v>test.Base64_20_</v>
      </c>
      <c r="D159">
        <v>33</v>
      </c>
      <c r="E159" s="4">
        <v>1</v>
      </c>
      <c r="F159" s="4">
        <v>0.94092895290500078</v>
      </c>
      <c r="G159" s="4" t="str">
        <f t="shared" si="23"/>
        <v/>
      </c>
      <c r="H159" s="4" t="str">
        <f t="shared" si="24"/>
        <v/>
      </c>
      <c r="I159" s="4" t="str">
        <f t="shared" si="25"/>
        <v/>
      </c>
      <c r="J159" s="4" t="str">
        <f t="shared" si="26"/>
        <v/>
      </c>
      <c r="K159" s="4">
        <f t="shared" si="27"/>
        <v>1</v>
      </c>
      <c r="L159" s="4" t="str">
        <f t="shared" si="28"/>
        <v/>
      </c>
      <c r="M159" s="4"/>
      <c r="N159" s="4"/>
      <c r="O159" s="4"/>
      <c r="P159" s="4"/>
      <c r="Q159" s="4"/>
      <c r="R159" s="4"/>
      <c r="S159" s="4"/>
      <c r="T159" s="4"/>
      <c r="U159" s="4"/>
    </row>
    <row r="160" spans="1:21">
      <c r="A160" t="s">
        <v>490</v>
      </c>
      <c r="B160">
        <v>1</v>
      </c>
      <c r="C160" t="str">
        <f t="shared" si="22"/>
        <v>test.Class11_1_</v>
      </c>
      <c r="D160">
        <v>1</v>
      </c>
      <c r="E160" s="4">
        <v>0.6470588235294118</v>
      </c>
      <c r="F160" s="4">
        <v>0.36989385654551304</v>
      </c>
      <c r="G160" s="4" t="str">
        <f t="shared" si="23"/>
        <v/>
      </c>
      <c r="H160" s="4">
        <f t="shared" si="24"/>
        <v>0.6470588235294118</v>
      </c>
      <c r="I160" s="4" t="str">
        <f t="shared" si="25"/>
        <v/>
      </c>
      <c r="J160" s="4" t="str">
        <f t="shared" si="26"/>
        <v/>
      </c>
      <c r="K160" s="4" t="str">
        <f t="shared" si="27"/>
        <v/>
      </c>
      <c r="L160" s="4" t="str">
        <f t="shared" si="28"/>
        <v/>
      </c>
      <c r="M160" s="4"/>
      <c r="N160" s="4"/>
      <c r="O160" s="4"/>
      <c r="P160" s="4"/>
      <c r="Q160" s="4"/>
      <c r="R160" s="4"/>
      <c r="S160" s="4"/>
      <c r="T160" s="4"/>
      <c r="U160" s="4"/>
    </row>
    <row r="161" spans="1:21">
      <c r="A161" t="s">
        <v>490</v>
      </c>
      <c r="B161">
        <v>1</v>
      </c>
      <c r="C161" t="str">
        <f t="shared" si="22"/>
        <v>test.Class11_1_</v>
      </c>
      <c r="D161">
        <v>2</v>
      </c>
      <c r="E161" s="4">
        <v>0.6470588235294118</v>
      </c>
      <c r="F161" s="4">
        <v>0.3700546799614024</v>
      </c>
      <c r="G161" s="4" t="str">
        <f t="shared" si="23"/>
        <v/>
      </c>
      <c r="H161" s="4">
        <f t="shared" si="24"/>
        <v>0.6470588235294118</v>
      </c>
      <c r="I161" s="4" t="str">
        <f t="shared" si="25"/>
        <v/>
      </c>
      <c r="J161" s="4" t="str">
        <f t="shared" si="26"/>
        <v/>
      </c>
      <c r="K161" s="4" t="str">
        <f t="shared" si="27"/>
        <v/>
      </c>
      <c r="L161" s="4" t="str">
        <f t="shared" si="28"/>
        <v/>
      </c>
      <c r="M161" s="4"/>
      <c r="N161" s="4"/>
      <c r="O161" s="4"/>
      <c r="P161" s="4"/>
      <c r="Q161" s="4"/>
      <c r="R161" s="4"/>
      <c r="S161" s="4"/>
      <c r="T161" s="4"/>
      <c r="U161" s="4"/>
    </row>
    <row r="162" spans="1:21">
      <c r="A162" t="s">
        <v>490</v>
      </c>
      <c r="B162">
        <v>1</v>
      </c>
      <c r="C162" t="str">
        <f t="shared" si="22"/>
        <v>test.Class11_1_</v>
      </c>
      <c r="D162">
        <v>3</v>
      </c>
      <c r="E162" s="4">
        <v>0.6470588235294118</v>
      </c>
      <c r="F162" s="4">
        <v>0.37021550337729175</v>
      </c>
      <c r="G162" s="4" t="str">
        <f t="shared" si="23"/>
        <v/>
      </c>
      <c r="H162" s="4">
        <f t="shared" si="24"/>
        <v>0.6470588235294118</v>
      </c>
      <c r="I162" s="4" t="str">
        <f t="shared" si="25"/>
        <v/>
      </c>
      <c r="J162" s="4" t="str">
        <f t="shared" si="26"/>
        <v/>
      </c>
      <c r="K162" s="4" t="str">
        <f t="shared" si="27"/>
        <v/>
      </c>
      <c r="L162" s="4" t="str">
        <f t="shared" si="28"/>
        <v/>
      </c>
      <c r="M162" s="4"/>
      <c r="N162" s="4"/>
      <c r="O162" s="4"/>
      <c r="P162" s="4"/>
      <c r="Q162" s="4"/>
      <c r="R162" s="4"/>
      <c r="S162" s="4"/>
      <c r="T162" s="4"/>
      <c r="U162" s="4"/>
    </row>
    <row r="163" spans="1:21">
      <c r="A163" t="s">
        <v>490</v>
      </c>
      <c r="B163">
        <v>1</v>
      </c>
      <c r="C163" t="str">
        <f t="shared" si="22"/>
        <v>test.Class11_1_</v>
      </c>
      <c r="D163">
        <v>4</v>
      </c>
      <c r="E163" s="4">
        <v>0.70588235294117652</v>
      </c>
      <c r="F163" s="4">
        <v>0.44258604052750078</v>
      </c>
      <c r="G163" s="4" t="str">
        <f t="shared" si="23"/>
        <v/>
      </c>
      <c r="H163" s="4" t="str">
        <f t="shared" si="24"/>
        <v/>
      </c>
      <c r="I163" s="4">
        <f t="shared" si="25"/>
        <v>0.70588235294117652</v>
      </c>
      <c r="J163" s="4" t="str">
        <f t="shared" si="26"/>
        <v/>
      </c>
      <c r="K163" s="4" t="str">
        <f t="shared" si="27"/>
        <v/>
      </c>
      <c r="L163" s="4" t="str">
        <f t="shared" si="28"/>
        <v/>
      </c>
      <c r="M163" s="4"/>
      <c r="N163" s="4"/>
      <c r="O163" s="4"/>
      <c r="P163" s="4"/>
      <c r="Q163" s="4"/>
      <c r="R163" s="4"/>
      <c r="S163" s="4"/>
      <c r="T163" s="4"/>
      <c r="U163" s="4"/>
    </row>
    <row r="164" spans="1:21">
      <c r="A164" t="s">
        <v>490</v>
      </c>
      <c r="B164">
        <v>1</v>
      </c>
      <c r="C164" t="str">
        <f t="shared" si="22"/>
        <v>test.Class11_1_</v>
      </c>
      <c r="D164">
        <v>5</v>
      </c>
      <c r="E164" s="4">
        <v>1</v>
      </c>
      <c r="F164" s="4">
        <v>0.63686072692183981</v>
      </c>
      <c r="G164" s="4" t="str">
        <f t="shared" si="23"/>
        <v/>
      </c>
      <c r="H164" s="4" t="str">
        <f t="shared" si="24"/>
        <v/>
      </c>
      <c r="I164" s="4" t="str">
        <f t="shared" si="25"/>
        <v/>
      </c>
      <c r="J164" s="4">
        <f t="shared" si="26"/>
        <v>1</v>
      </c>
      <c r="K164" s="4" t="str">
        <f t="shared" si="27"/>
        <v/>
      </c>
      <c r="L164" s="4" t="str">
        <f t="shared" si="28"/>
        <v/>
      </c>
      <c r="M164" s="4"/>
      <c r="N164" s="4"/>
      <c r="O164" s="4"/>
      <c r="P164" s="4"/>
      <c r="Q164" s="4"/>
      <c r="R164" s="4"/>
      <c r="S164" s="4"/>
      <c r="T164" s="4"/>
      <c r="U164" s="4"/>
    </row>
    <row r="165" spans="1:21">
      <c r="A165" t="s">
        <v>490</v>
      </c>
      <c r="B165">
        <v>2</v>
      </c>
      <c r="C165" t="str">
        <f t="shared" si="22"/>
        <v>test.Class11_2_</v>
      </c>
      <c r="D165">
        <v>1</v>
      </c>
      <c r="E165" s="4">
        <v>4.4642857142857144E-2</v>
      </c>
      <c r="F165" s="4">
        <v>5.1843817787418658E-2</v>
      </c>
      <c r="G165" s="4">
        <f t="shared" si="23"/>
        <v>4.4642857142857144E-2</v>
      </c>
      <c r="H165" s="4" t="str">
        <f t="shared" si="24"/>
        <v/>
      </c>
      <c r="I165" s="4" t="str">
        <f t="shared" si="25"/>
        <v/>
      </c>
      <c r="J165" s="4" t="str">
        <f t="shared" si="26"/>
        <v/>
      </c>
      <c r="K165" s="4" t="str">
        <f t="shared" si="27"/>
        <v/>
      </c>
      <c r="L165" s="4" t="str">
        <f t="shared" si="28"/>
        <v/>
      </c>
      <c r="M165" s="4"/>
      <c r="N165" s="4"/>
      <c r="O165" s="4"/>
      <c r="P165" s="4"/>
      <c r="Q165" s="4"/>
      <c r="R165" s="4"/>
      <c r="S165" s="4"/>
      <c r="T165" s="4"/>
      <c r="U165" s="4"/>
    </row>
    <row r="166" spans="1:21">
      <c r="A166" t="s">
        <v>490</v>
      </c>
      <c r="B166">
        <v>2</v>
      </c>
      <c r="C166" t="str">
        <f t="shared" si="22"/>
        <v>test.Class11_2_</v>
      </c>
      <c r="D166">
        <v>2</v>
      </c>
      <c r="E166" s="4">
        <v>0.5</v>
      </c>
      <c r="F166" s="4">
        <v>0.50976138828633411</v>
      </c>
      <c r="G166" s="4" t="str">
        <f t="shared" si="23"/>
        <v/>
      </c>
      <c r="H166" s="4" t="str">
        <f t="shared" si="24"/>
        <v/>
      </c>
      <c r="I166" s="4">
        <f t="shared" si="25"/>
        <v>0.5</v>
      </c>
      <c r="J166" s="4" t="str">
        <f t="shared" si="26"/>
        <v/>
      </c>
      <c r="K166" s="4" t="str">
        <f t="shared" si="27"/>
        <v/>
      </c>
      <c r="L166" s="4" t="str">
        <f t="shared" si="28"/>
        <v/>
      </c>
      <c r="M166" s="4"/>
      <c r="N166" s="4"/>
      <c r="O166" s="4"/>
      <c r="P166" s="4"/>
      <c r="Q166" s="4"/>
      <c r="R166" s="4"/>
      <c r="S166" s="4"/>
      <c r="T166" s="4"/>
      <c r="U166" s="4"/>
    </row>
    <row r="167" spans="1:21">
      <c r="A167" t="s">
        <v>490</v>
      </c>
      <c r="B167">
        <v>2</v>
      </c>
      <c r="C167" t="str">
        <f t="shared" si="22"/>
        <v>test.Class11_2_</v>
      </c>
      <c r="D167">
        <v>3</v>
      </c>
      <c r="E167" s="4">
        <v>1</v>
      </c>
      <c r="F167" s="4">
        <v>0.9941431670281996</v>
      </c>
      <c r="G167" s="4" t="str">
        <f t="shared" si="23"/>
        <v/>
      </c>
      <c r="H167" s="4" t="str">
        <f t="shared" si="24"/>
        <v/>
      </c>
      <c r="I167" s="4" t="str">
        <f t="shared" si="25"/>
        <v/>
      </c>
      <c r="J167" s="4" t="str">
        <f t="shared" si="26"/>
        <v/>
      </c>
      <c r="K167" s="4">
        <f t="shared" si="27"/>
        <v>1</v>
      </c>
      <c r="L167" s="4" t="str">
        <f t="shared" si="28"/>
        <v/>
      </c>
      <c r="M167" s="4"/>
      <c r="N167" s="4"/>
      <c r="O167" s="4"/>
      <c r="P167" s="4"/>
      <c r="Q167" s="4"/>
      <c r="R167" s="4"/>
      <c r="S167" s="4"/>
      <c r="T167" s="4"/>
      <c r="U167" s="4"/>
    </row>
    <row r="168" spans="1:21">
      <c r="A168" t="s">
        <v>490</v>
      </c>
      <c r="B168">
        <v>3</v>
      </c>
      <c r="C168" t="str">
        <f t="shared" si="22"/>
        <v>test.Class11_3_</v>
      </c>
      <c r="D168">
        <v>1</v>
      </c>
      <c r="E168" s="4">
        <v>0.93181818181818177</v>
      </c>
      <c r="F168" s="4">
        <v>0.96553581044695747</v>
      </c>
      <c r="G168" s="4" t="str">
        <f t="shared" si="23"/>
        <v/>
      </c>
      <c r="H168" s="4" t="str">
        <f t="shared" si="24"/>
        <v/>
      </c>
      <c r="I168" s="4" t="str">
        <f t="shared" si="25"/>
        <v/>
      </c>
      <c r="J168" s="4" t="str">
        <f t="shared" si="26"/>
        <v/>
      </c>
      <c r="K168" s="4">
        <f t="shared" si="27"/>
        <v>0.93181818181818177</v>
      </c>
      <c r="L168" s="4" t="str">
        <f t="shared" si="28"/>
        <v/>
      </c>
      <c r="M168" s="4"/>
      <c r="N168" s="4"/>
      <c r="O168" s="4"/>
      <c r="P168" s="4"/>
      <c r="Q168" s="4"/>
      <c r="R168" s="4"/>
      <c r="S168" s="4"/>
      <c r="T168" s="4"/>
      <c r="U168" s="4"/>
    </row>
    <row r="169" spans="1:21">
      <c r="A169" t="s">
        <v>490</v>
      </c>
      <c r="B169">
        <v>3</v>
      </c>
      <c r="C169" t="str">
        <f t="shared" si="22"/>
        <v>test.Class11_3_</v>
      </c>
      <c r="D169">
        <v>2</v>
      </c>
      <c r="E169" s="4">
        <v>1</v>
      </c>
      <c r="F169" s="4">
        <v>1.0032310177705976</v>
      </c>
      <c r="G169" s="4" t="str">
        <f t="shared" si="23"/>
        <v/>
      </c>
      <c r="H169" s="4" t="str">
        <f t="shared" si="24"/>
        <v/>
      </c>
      <c r="I169" s="4" t="str">
        <f t="shared" si="25"/>
        <v/>
      </c>
      <c r="J169" s="4" t="str">
        <f t="shared" si="26"/>
        <v/>
      </c>
      <c r="K169" s="4">
        <f t="shared" si="27"/>
        <v>1</v>
      </c>
      <c r="L169" s="4" t="str">
        <f t="shared" si="28"/>
        <v/>
      </c>
      <c r="M169" s="4"/>
      <c r="N169" s="4"/>
      <c r="O169" s="4"/>
      <c r="P169" s="4"/>
      <c r="Q169" s="4"/>
      <c r="R169" s="4"/>
      <c r="S169" s="4"/>
      <c r="T169" s="4"/>
      <c r="U169" s="4"/>
    </row>
    <row r="170" spans="1:21">
      <c r="A170" t="s">
        <v>490</v>
      </c>
      <c r="B170">
        <v>7</v>
      </c>
      <c r="C170" t="str">
        <f t="shared" si="22"/>
        <v>test.Class11_7_</v>
      </c>
      <c r="D170">
        <v>1</v>
      </c>
      <c r="E170" s="4">
        <v>0.93023255813953487</v>
      </c>
      <c r="F170" s="4">
        <v>1.0140765765765767</v>
      </c>
      <c r="G170" s="4" t="str">
        <f t="shared" si="23"/>
        <v/>
      </c>
      <c r="H170" s="4" t="str">
        <f t="shared" si="24"/>
        <v/>
      </c>
      <c r="I170" s="4" t="str">
        <f t="shared" si="25"/>
        <v/>
      </c>
      <c r="J170" s="4" t="str">
        <f t="shared" si="26"/>
        <v/>
      </c>
      <c r="K170" s="4">
        <f t="shared" si="27"/>
        <v>0.93023255813953487</v>
      </c>
      <c r="L170" s="4" t="str">
        <f t="shared" si="28"/>
        <v/>
      </c>
      <c r="M170" s="4"/>
      <c r="N170" s="4"/>
      <c r="O170" s="4"/>
      <c r="P170" s="4"/>
      <c r="Q170" s="4"/>
      <c r="R170" s="4"/>
      <c r="S170" s="4"/>
      <c r="T170" s="4"/>
      <c r="U170" s="4"/>
    </row>
    <row r="171" spans="1:21">
      <c r="A171" t="s">
        <v>490</v>
      </c>
      <c r="B171">
        <v>7</v>
      </c>
      <c r="C171" t="str">
        <f t="shared" si="22"/>
        <v>test.Class11_7_</v>
      </c>
      <c r="D171">
        <v>2</v>
      </c>
      <c r="E171" s="4">
        <v>1</v>
      </c>
      <c r="F171" s="4">
        <v>1.0208333333333333</v>
      </c>
      <c r="G171" s="4" t="str">
        <f t="shared" si="23"/>
        <v/>
      </c>
      <c r="H171" s="4" t="str">
        <f t="shared" si="24"/>
        <v/>
      </c>
      <c r="I171" s="4" t="str">
        <f t="shared" si="25"/>
        <v/>
      </c>
      <c r="J171" s="4" t="str">
        <f t="shared" si="26"/>
        <v/>
      </c>
      <c r="K171" s="4">
        <f t="shared" si="27"/>
        <v>1</v>
      </c>
      <c r="L171" s="4" t="str">
        <f t="shared" si="28"/>
        <v/>
      </c>
      <c r="M171" s="4"/>
      <c r="N171" s="4"/>
      <c r="O171" s="4"/>
      <c r="P171" s="4"/>
      <c r="Q171" s="4"/>
      <c r="R171" s="4"/>
      <c r="S171" s="4"/>
      <c r="T171" s="4"/>
      <c r="U171" s="4"/>
    </row>
    <row r="172" spans="1:21">
      <c r="A172" t="s">
        <v>490</v>
      </c>
      <c r="B172">
        <v>10</v>
      </c>
      <c r="C172" t="str">
        <f t="shared" si="22"/>
        <v>test.Class11_10_</v>
      </c>
      <c r="D172">
        <v>1</v>
      </c>
      <c r="E172" s="4">
        <v>0.11576354679802955</v>
      </c>
      <c r="F172" s="4">
        <v>0.12648341002664085</v>
      </c>
      <c r="G172" s="4">
        <f t="shared" si="23"/>
        <v>0.11576354679802955</v>
      </c>
      <c r="H172" s="4" t="str">
        <f t="shared" si="24"/>
        <v/>
      </c>
      <c r="I172" s="4" t="str">
        <f t="shared" si="25"/>
        <v/>
      </c>
      <c r="J172" s="4" t="str">
        <f t="shared" si="26"/>
        <v/>
      </c>
      <c r="K172" s="4" t="str">
        <f t="shared" si="27"/>
        <v/>
      </c>
      <c r="L172" s="4" t="str">
        <f t="shared" si="28"/>
        <v/>
      </c>
      <c r="M172" s="4"/>
      <c r="N172" s="4"/>
      <c r="O172" s="4"/>
      <c r="P172" s="4"/>
      <c r="Q172" s="4"/>
      <c r="R172" s="4"/>
      <c r="S172" s="4"/>
      <c r="T172" s="4"/>
      <c r="U172" s="4"/>
    </row>
    <row r="173" spans="1:21">
      <c r="A173" t="s">
        <v>490</v>
      </c>
      <c r="B173">
        <v>10</v>
      </c>
      <c r="C173" t="str">
        <f t="shared" si="22"/>
        <v>test.Class11_10_</v>
      </c>
      <c r="D173">
        <v>2</v>
      </c>
      <c r="E173" s="4">
        <v>0.11576354679802955</v>
      </c>
      <c r="F173" s="4">
        <v>0.12666505207071929</v>
      </c>
      <c r="G173" s="4">
        <f t="shared" si="23"/>
        <v>0.11576354679802955</v>
      </c>
      <c r="H173" s="4" t="str">
        <f t="shared" si="24"/>
        <v/>
      </c>
      <c r="I173" s="4" t="str">
        <f t="shared" si="25"/>
        <v/>
      </c>
      <c r="J173" s="4" t="str">
        <f t="shared" si="26"/>
        <v/>
      </c>
      <c r="K173" s="4" t="str">
        <f t="shared" si="27"/>
        <v/>
      </c>
      <c r="L173" s="4" t="str">
        <f t="shared" si="28"/>
        <v/>
      </c>
      <c r="M173" s="4"/>
      <c r="N173" s="4"/>
      <c r="O173" s="4"/>
      <c r="P173" s="4"/>
      <c r="Q173" s="4"/>
      <c r="R173" s="4"/>
      <c r="S173" s="4"/>
      <c r="T173" s="4"/>
      <c r="U173" s="4"/>
    </row>
    <row r="174" spans="1:21">
      <c r="A174" t="s">
        <v>490</v>
      </c>
      <c r="B174">
        <v>10</v>
      </c>
      <c r="C174" t="str">
        <f t="shared" si="22"/>
        <v>test.Class11_10_</v>
      </c>
      <c r="D174">
        <v>3</v>
      </c>
      <c r="E174" s="4">
        <v>0.11576354679802955</v>
      </c>
      <c r="F174" s="4">
        <v>0.12684669411479776</v>
      </c>
      <c r="G174" s="4">
        <f t="shared" si="23"/>
        <v>0.11576354679802955</v>
      </c>
      <c r="H174" s="4" t="str">
        <f t="shared" si="24"/>
        <v/>
      </c>
      <c r="I174" s="4" t="str">
        <f t="shared" si="25"/>
        <v/>
      </c>
      <c r="J174" s="4" t="str">
        <f t="shared" si="26"/>
        <v/>
      </c>
      <c r="K174" s="4" t="str">
        <f t="shared" si="27"/>
        <v/>
      </c>
      <c r="L174" s="4" t="str">
        <f t="shared" si="28"/>
        <v/>
      </c>
      <c r="M174" s="4"/>
      <c r="N174" s="4"/>
      <c r="O174" s="4"/>
      <c r="P174" s="4"/>
      <c r="Q174" s="4"/>
      <c r="R174" s="4"/>
      <c r="S174" s="4"/>
      <c r="T174" s="4"/>
      <c r="U174" s="4"/>
    </row>
    <row r="175" spans="1:21">
      <c r="A175" t="s">
        <v>490</v>
      </c>
      <c r="B175">
        <v>10</v>
      </c>
      <c r="C175" t="str">
        <f t="shared" si="22"/>
        <v>test.Class11_10_</v>
      </c>
      <c r="D175">
        <v>4</v>
      </c>
      <c r="E175" s="4">
        <v>0.11576354679802955</v>
      </c>
      <c r="F175" s="4">
        <v>0.12769435698716397</v>
      </c>
      <c r="G175" s="4">
        <f t="shared" si="23"/>
        <v>0.11576354679802955</v>
      </c>
      <c r="H175" s="4" t="str">
        <f t="shared" si="24"/>
        <v/>
      </c>
      <c r="I175" s="4" t="str">
        <f t="shared" si="25"/>
        <v/>
      </c>
      <c r="J175" s="4" t="str">
        <f t="shared" si="26"/>
        <v/>
      </c>
      <c r="K175" s="4" t="str">
        <f t="shared" si="27"/>
        <v/>
      </c>
      <c r="L175" s="4" t="str">
        <f t="shared" si="28"/>
        <v/>
      </c>
      <c r="M175" s="4"/>
      <c r="N175" s="4"/>
      <c r="O175" s="4"/>
      <c r="P175" s="4"/>
      <c r="Q175" s="4"/>
      <c r="R175" s="4"/>
      <c r="S175" s="4"/>
      <c r="T175" s="4"/>
      <c r="U175" s="4"/>
    </row>
    <row r="176" spans="1:21">
      <c r="A176" t="s">
        <v>490</v>
      </c>
      <c r="B176">
        <v>10</v>
      </c>
      <c r="C176" t="str">
        <f t="shared" si="22"/>
        <v>test.Class11_10_</v>
      </c>
      <c r="D176">
        <v>5</v>
      </c>
      <c r="E176" s="4">
        <v>0.20689655172413793</v>
      </c>
      <c r="F176" s="4">
        <v>0.12987406151610559</v>
      </c>
      <c r="G176" s="4">
        <f t="shared" si="23"/>
        <v>0.20689655172413793</v>
      </c>
      <c r="H176" s="4" t="str">
        <f t="shared" si="24"/>
        <v/>
      </c>
      <c r="I176" s="4" t="str">
        <f t="shared" si="25"/>
        <v/>
      </c>
      <c r="J176" s="4" t="str">
        <f t="shared" si="26"/>
        <v/>
      </c>
      <c r="K176" s="4" t="str">
        <f t="shared" si="27"/>
        <v/>
      </c>
      <c r="L176" s="4" t="str">
        <f t="shared" si="28"/>
        <v/>
      </c>
      <c r="M176" s="4"/>
      <c r="N176" s="4"/>
      <c r="O176" s="4"/>
      <c r="P176" s="4"/>
      <c r="Q176" s="4"/>
      <c r="R176" s="4"/>
      <c r="S176" s="4"/>
      <c r="T176" s="4"/>
      <c r="U176" s="4"/>
    </row>
    <row r="177" spans="1:21">
      <c r="A177" t="s">
        <v>490</v>
      </c>
      <c r="B177">
        <v>10</v>
      </c>
      <c r="C177" t="str">
        <f t="shared" si="22"/>
        <v>test.Class11_10_</v>
      </c>
      <c r="D177">
        <v>6</v>
      </c>
      <c r="E177" s="4">
        <v>0.20689655172413793</v>
      </c>
      <c r="F177" s="4">
        <v>0.12993460886413175</v>
      </c>
      <c r="G177" s="4">
        <f t="shared" si="23"/>
        <v>0.20689655172413793</v>
      </c>
      <c r="H177" s="4" t="str">
        <f t="shared" si="24"/>
        <v/>
      </c>
      <c r="I177" s="4" t="str">
        <f t="shared" si="25"/>
        <v/>
      </c>
      <c r="J177" s="4" t="str">
        <f t="shared" si="26"/>
        <v/>
      </c>
      <c r="K177" s="4" t="str">
        <f t="shared" si="27"/>
        <v/>
      </c>
      <c r="L177" s="4" t="str">
        <f t="shared" si="28"/>
        <v/>
      </c>
      <c r="M177" s="4"/>
      <c r="N177" s="4"/>
      <c r="O177" s="4"/>
      <c r="P177" s="4"/>
      <c r="Q177" s="4"/>
      <c r="R177" s="4"/>
      <c r="S177" s="4"/>
      <c r="T177" s="4"/>
      <c r="U177" s="4"/>
    </row>
    <row r="178" spans="1:21">
      <c r="A178" t="s">
        <v>490</v>
      </c>
      <c r="B178">
        <v>10</v>
      </c>
      <c r="C178" t="str">
        <f t="shared" si="22"/>
        <v>test.Class11_10_</v>
      </c>
      <c r="D178">
        <v>7</v>
      </c>
      <c r="E178" s="4">
        <v>0.20689655172413793</v>
      </c>
      <c r="F178" s="4">
        <v>0.13162993460886413</v>
      </c>
      <c r="G178" s="4">
        <f t="shared" si="23"/>
        <v>0.20689655172413793</v>
      </c>
      <c r="H178" s="4" t="str">
        <f t="shared" si="24"/>
        <v/>
      </c>
      <c r="I178" s="4" t="str">
        <f t="shared" si="25"/>
        <v/>
      </c>
      <c r="J178" s="4" t="str">
        <f t="shared" si="26"/>
        <v/>
      </c>
      <c r="K178" s="4" t="str">
        <f t="shared" si="27"/>
        <v/>
      </c>
      <c r="L178" s="4" t="str">
        <f t="shared" si="28"/>
        <v/>
      </c>
      <c r="M178" s="4"/>
      <c r="N178" s="4"/>
      <c r="O178" s="4"/>
      <c r="P178" s="4"/>
      <c r="Q178" s="4"/>
      <c r="R178" s="4"/>
      <c r="S178" s="4"/>
      <c r="T178" s="4"/>
      <c r="U178" s="4"/>
    </row>
    <row r="179" spans="1:21">
      <c r="A179" t="s">
        <v>490</v>
      </c>
      <c r="B179">
        <v>10</v>
      </c>
      <c r="C179" t="str">
        <f t="shared" si="22"/>
        <v>test.Class11_10_</v>
      </c>
      <c r="D179">
        <v>8</v>
      </c>
      <c r="E179" s="4">
        <v>0.20689655172413793</v>
      </c>
      <c r="F179" s="4">
        <v>0.1318115766529426</v>
      </c>
      <c r="G179" s="4">
        <f t="shared" si="23"/>
        <v>0.20689655172413793</v>
      </c>
      <c r="H179" s="4" t="str">
        <f t="shared" si="24"/>
        <v/>
      </c>
      <c r="I179" s="4" t="str">
        <f t="shared" si="25"/>
        <v/>
      </c>
      <c r="J179" s="4" t="str">
        <f t="shared" si="26"/>
        <v/>
      </c>
      <c r="K179" s="4" t="str">
        <f t="shared" si="27"/>
        <v/>
      </c>
      <c r="L179" s="4" t="str">
        <f t="shared" si="28"/>
        <v/>
      </c>
      <c r="M179" s="4"/>
      <c r="N179" s="4"/>
      <c r="O179" s="4"/>
      <c r="P179" s="4"/>
      <c r="Q179" s="4"/>
      <c r="R179" s="4"/>
      <c r="S179" s="4"/>
      <c r="T179" s="4"/>
      <c r="U179" s="4"/>
    </row>
    <row r="180" spans="1:21">
      <c r="A180" t="s">
        <v>490</v>
      </c>
      <c r="B180">
        <v>10</v>
      </c>
      <c r="C180" t="str">
        <f t="shared" si="22"/>
        <v>test.Class11_10_</v>
      </c>
      <c r="D180">
        <v>9</v>
      </c>
      <c r="E180" s="4">
        <v>0.22167487684729065</v>
      </c>
      <c r="F180" s="4">
        <v>0.13732138532332283</v>
      </c>
      <c r="G180" s="4">
        <f t="shared" si="23"/>
        <v>0.22167487684729065</v>
      </c>
      <c r="H180" s="4" t="str">
        <f t="shared" si="24"/>
        <v/>
      </c>
      <c r="I180" s="4" t="str">
        <f t="shared" si="25"/>
        <v/>
      </c>
      <c r="J180" s="4" t="str">
        <f t="shared" si="26"/>
        <v/>
      </c>
      <c r="K180" s="4" t="str">
        <f t="shared" si="27"/>
        <v/>
      </c>
      <c r="L180" s="4" t="str">
        <f t="shared" si="28"/>
        <v/>
      </c>
      <c r="M180" s="4"/>
      <c r="N180" s="4"/>
      <c r="O180" s="4"/>
      <c r="P180" s="4"/>
      <c r="Q180" s="4"/>
      <c r="R180" s="4"/>
      <c r="S180" s="4"/>
      <c r="T180" s="4"/>
      <c r="U180" s="4"/>
    </row>
    <row r="181" spans="1:21">
      <c r="A181" t="s">
        <v>490</v>
      </c>
      <c r="B181">
        <v>10</v>
      </c>
      <c r="C181" t="str">
        <f t="shared" si="22"/>
        <v>test.Class11_10_</v>
      </c>
      <c r="D181">
        <v>10</v>
      </c>
      <c r="E181" s="4">
        <v>0.22167487684729065</v>
      </c>
      <c r="F181" s="4">
        <v>0.13816904819568904</v>
      </c>
      <c r="G181" s="4">
        <f t="shared" si="23"/>
        <v>0.22167487684729065</v>
      </c>
      <c r="H181" s="4" t="str">
        <f t="shared" si="24"/>
        <v/>
      </c>
      <c r="I181" s="4" t="str">
        <f t="shared" si="25"/>
        <v/>
      </c>
      <c r="J181" s="4" t="str">
        <f t="shared" si="26"/>
        <v/>
      </c>
      <c r="K181" s="4" t="str">
        <f t="shared" si="27"/>
        <v/>
      </c>
      <c r="L181" s="4" t="str">
        <f t="shared" si="28"/>
        <v/>
      </c>
      <c r="M181" s="4"/>
      <c r="N181" s="4"/>
      <c r="O181" s="4"/>
      <c r="P181" s="4"/>
      <c r="Q181" s="4"/>
      <c r="R181" s="4"/>
      <c r="S181" s="4"/>
      <c r="T181" s="4"/>
      <c r="U181" s="4"/>
    </row>
    <row r="182" spans="1:21">
      <c r="A182" t="s">
        <v>490</v>
      </c>
      <c r="B182">
        <v>10</v>
      </c>
      <c r="C182" t="str">
        <f t="shared" si="22"/>
        <v>test.Class11_10_</v>
      </c>
      <c r="D182">
        <v>11</v>
      </c>
      <c r="E182" s="4">
        <v>0.22167487684729065</v>
      </c>
      <c r="F182" s="4">
        <v>0.13998546863647371</v>
      </c>
      <c r="G182" s="4">
        <f t="shared" si="23"/>
        <v>0.22167487684729065</v>
      </c>
      <c r="H182" s="4" t="str">
        <f t="shared" si="24"/>
        <v/>
      </c>
      <c r="I182" s="4" t="str">
        <f t="shared" si="25"/>
        <v/>
      </c>
      <c r="J182" s="4" t="str">
        <f t="shared" si="26"/>
        <v/>
      </c>
      <c r="K182" s="4" t="str">
        <f t="shared" si="27"/>
        <v/>
      </c>
      <c r="L182" s="4" t="str">
        <f t="shared" si="28"/>
        <v/>
      </c>
      <c r="M182" s="4"/>
      <c r="N182" s="4"/>
      <c r="O182" s="4"/>
      <c r="P182" s="4"/>
      <c r="Q182" s="4"/>
      <c r="R182" s="4"/>
      <c r="S182" s="4"/>
      <c r="T182" s="4"/>
      <c r="U182" s="4"/>
    </row>
    <row r="183" spans="1:21">
      <c r="A183" t="s">
        <v>490</v>
      </c>
      <c r="B183">
        <v>10</v>
      </c>
      <c r="C183" t="str">
        <f t="shared" si="22"/>
        <v>test.Class11_10_</v>
      </c>
      <c r="D183">
        <v>12</v>
      </c>
      <c r="E183" s="4">
        <v>0.22167487684729065</v>
      </c>
      <c r="F183" s="4">
        <v>0.14059094211673528</v>
      </c>
      <c r="G183" s="4">
        <f t="shared" si="23"/>
        <v>0.22167487684729065</v>
      </c>
      <c r="H183" s="4" t="str">
        <f t="shared" si="24"/>
        <v/>
      </c>
      <c r="I183" s="4" t="str">
        <f t="shared" si="25"/>
        <v/>
      </c>
      <c r="J183" s="4" t="str">
        <f t="shared" si="26"/>
        <v/>
      </c>
      <c r="K183" s="4" t="str">
        <f t="shared" si="27"/>
        <v/>
      </c>
      <c r="L183" s="4" t="str">
        <f t="shared" si="28"/>
        <v/>
      </c>
      <c r="M183" s="4"/>
      <c r="N183" s="4"/>
      <c r="O183" s="4"/>
      <c r="P183" s="4"/>
      <c r="Q183" s="4"/>
      <c r="R183" s="4"/>
      <c r="S183" s="4"/>
      <c r="T183" s="4"/>
      <c r="U183" s="4"/>
    </row>
    <row r="184" spans="1:21">
      <c r="A184" t="s">
        <v>490</v>
      </c>
      <c r="B184">
        <v>10</v>
      </c>
      <c r="C184" t="str">
        <f t="shared" si="22"/>
        <v>test.Class11_10_</v>
      </c>
      <c r="D184">
        <v>13</v>
      </c>
      <c r="E184" s="4">
        <v>0.22167487684729065</v>
      </c>
      <c r="F184" s="4">
        <v>0.14192298377331072</v>
      </c>
      <c r="G184" s="4">
        <f t="shared" si="23"/>
        <v>0.22167487684729065</v>
      </c>
      <c r="H184" s="4" t="str">
        <f t="shared" si="24"/>
        <v/>
      </c>
      <c r="I184" s="4" t="str">
        <f t="shared" si="25"/>
        <v/>
      </c>
      <c r="J184" s="4" t="str">
        <f t="shared" si="26"/>
        <v/>
      </c>
      <c r="K184" s="4" t="str">
        <f t="shared" si="27"/>
        <v/>
      </c>
      <c r="L184" s="4" t="str">
        <f t="shared" si="28"/>
        <v/>
      </c>
      <c r="M184" s="4"/>
      <c r="N184" s="4"/>
      <c r="O184" s="4"/>
      <c r="P184" s="4"/>
      <c r="Q184" s="4"/>
      <c r="R184" s="4"/>
      <c r="S184" s="4"/>
      <c r="T184" s="4"/>
      <c r="U184" s="4"/>
    </row>
    <row r="185" spans="1:21">
      <c r="A185" t="s">
        <v>490</v>
      </c>
      <c r="B185">
        <v>10</v>
      </c>
      <c r="C185" t="str">
        <f t="shared" si="22"/>
        <v>test.Class11_10_</v>
      </c>
      <c r="D185">
        <v>14</v>
      </c>
      <c r="E185" s="4">
        <v>0.22167487684729065</v>
      </c>
      <c r="F185" s="4">
        <v>0.14277064664567693</v>
      </c>
      <c r="G185" s="4">
        <f t="shared" si="23"/>
        <v>0.22167487684729065</v>
      </c>
      <c r="H185" s="4" t="str">
        <f t="shared" si="24"/>
        <v/>
      </c>
      <c r="I185" s="4" t="str">
        <f t="shared" si="25"/>
        <v/>
      </c>
      <c r="J185" s="4" t="str">
        <f t="shared" si="26"/>
        <v/>
      </c>
      <c r="K185" s="4" t="str">
        <f t="shared" si="27"/>
        <v/>
      </c>
      <c r="L185" s="4" t="str">
        <f t="shared" si="28"/>
        <v/>
      </c>
      <c r="M185" s="4"/>
      <c r="N185" s="4"/>
      <c r="O185" s="4"/>
      <c r="P185" s="4"/>
      <c r="Q185" s="4"/>
      <c r="R185" s="4"/>
      <c r="S185" s="4"/>
      <c r="T185" s="4"/>
      <c r="U185" s="4"/>
    </row>
    <row r="186" spans="1:21">
      <c r="A186" t="s">
        <v>490</v>
      </c>
      <c r="B186">
        <v>10</v>
      </c>
      <c r="C186" t="str">
        <f t="shared" si="22"/>
        <v>test.Class11_10_</v>
      </c>
      <c r="D186">
        <v>15</v>
      </c>
      <c r="E186" s="4">
        <v>0.22167487684729065</v>
      </c>
      <c r="F186" s="4">
        <v>0.14319447808186</v>
      </c>
      <c r="G186" s="4">
        <f t="shared" si="23"/>
        <v>0.22167487684729065</v>
      </c>
      <c r="H186" s="4" t="str">
        <f t="shared" si="24"/>
        <v/>
      </c>
      <c r="I186" s="4" t="str">
        <f t="shared" si="25"/>
        <v/>
      </c>
      <c r="J186" s="4" t="str">
        <f t="shared" si="26"/>
        <v/>
      </c>
      <c r="K186" s="4" t="str">
        <f t="shared" si="27"/>
        <v/>
      </c>
      <c r="L186" s="4" t="str">
        <f t="shared" si="28"/>
        <v/>
      </c>
      <c r="M186" s="4"/>
      <c r="N186" s="4"/>
      <c r="O186" s="4"/>
      <c r="P186" s="4"/>
      <c r="Q186" s="4"/>
      <c r="R186" s="4"/>
      <c r="S186" s="4"/>
      <c r="T186" s="4"/>
      <c r="U186" s="4"/>
    </row>
    <row r="187" spans="1:21">
      <c r="A187" t="s">
        <v>490</v>
      </c>
      <c r="B187">
        <v>10</v>
      </c>
      <c r="C187" t="str">
        <f t="shared" si="22"/>
        <v>test.Class11_10_</v>
      </c>
      <c r="D187">
        <v>16</v>
      </c>
      <c r="E187" s="4">
        <v>0.22167487684729065</v>
      </c>
      <c r="F187" s="4">
        <v>0.14446597239040929</v>
      </c>
      <c r="G187" s="4">
        <f t="shared" si="23"/>
        <v>0.22167487684729065</v>
      </c>
      <c r="H187" s="4" t="str">
        <f t="shared" si="24"/>
        <v/>
      </c>
      <c r="I187" s="4" t="str">
        <f t="shared" si="25"/>
        <v/>
      </c>
      <c r="J187" s="4" t="str">
        <f t="shared" si="26"/>
        <v/>
      </c>
      <c r="K187" s="4" t="str">
        <f t="shared" si="27"/>
        <v/>
      </c>
      <c r="L187" s="4" t="str">
        <f t="shared" si="28"/>
        <v/>
      </c>
      <c r="M187" s="4"/>
      <c r="N187" s="4"/>
      <c r="O187" s="4"/>
      <c r="P187" s="4"/>
      <c r="Q187" s="4"/>
      <c r="R187" s="4"/>
      <c r="S187" s="4"/>
      <c r="T187" s="4"/>
      <c r="U187" s="4"/>
    </row>
    <row r="188" spans="1:21">
      <c r="A188" t="s">
        <v>490</v>
      </c>
      <c r="B188">
        <v>10</v>
      </c>
      <c r="C188" t="str">
        <f t="shared" si="22"/>
        <v>test.Class11_10_</v>
      </c>
      <c r="D188">
        <v>17</v>
      </c>
      <c r="E188" s="4">
        <v>0.33743842364532017</v>
      </c>
      <c r="F188" s="4">
        <v>0.15814967304432065</v>
      </c>
      <c r="G188" s="4">
        <f t="shared" si="23"/>
        <v>0.33743842364532017</v>
      </c>
      <c r="H188" s="4" t="str">
        <f t="shared" si="24"/>
        <v/>
      </c>
      <c r="I188" s="4" t="str">
        <f t="shared" si="25"/>
        <v/>
      </c>
      <c r="J188" s="4" t="str">
        <f t="shared" si="26"/>
        <v/>
      </c>
      <c r="K188" s="4" t="str">
        <f t="shared" si="27"/>
        <v/>
      </c>
      <c r="L188" s="4" t="str">
        <f t="shared" si="28"/>
        <v/>
      </c>
      <c r="M188" s="4"/>
      <c r="N188" s="4"/>
      <c r="O188" s="4"/>
      <c r="P188" s="4"/>
      <c r="Q188" s="4"/>
      <c r="R188" s="4"/>
      <c r="S188" s="4"/>
      <c r="T188" s="4"/>
      <c r="U188" s="4"/>
    </row>
    <row r="189" spans="1:21">
      <c r="A189" t="s">
        <v>490</v>
      </c>
      <c r="B189">
        <v>10</v>
      </c>
      <c r="C189" t="str">
        <f t="shared" si="22"/>
        <v>test.Class11_10_</v>
      </c>
      <c r="D189">
        <v>18</v>
      </c>
      <c r="E189" s="4">
        <v>0.45073891625615764</v>
      </c>
      <c r="F189" s="4">
        <v>0.15942116735286996</v>
      </c>
      <c r="G189" s="4">
        <f t="shared" si="23"/>
        <v>0.45073891625615764</v>
      </c>
      <c r="H189" s="4" t="str">
        <f t="shared" si="24"/>
        <v/>
      </c>
      <c r="I189" s="4" t="str">
        <f t="shared" si="25"/>
        <v/>
      </c>
      <c r="J189" s="4" t="str">
        <f t="shared" si="26"/>
        <v/>
      </c>
      <c r="K189" s="4" t="str">
        <f t="shared" si="27"/>
        <v/>
      </c>
      <c r="L189" s="4" t="str">
        <f t="shared" si="28"/>
        <v/>
      </c>
      <c r="M189" s="4"/>
      <c r="N189" s="4"/>
      <c r="O189" s="4"/>
      <c r="P189" s="4"/>
      <c r="Q189" s="4"/>
      <c r="R189" s="4"/>
      <c r="S189" s="4"/>
      <c r="T189" s="4"/>
      <c r="U189" s="4"/>
    </row>
    <row r="190" spans="1:21">
      <c r="A190" t="s">
        <v>490</v>
      </c>
      <c r="B190">
        <v>10</v>
      </c>
      <c r="C190" t="str">
        <f t="shared" si="22"/>
        <v>test.Class11_10_</v>
      </c>
      <c r="D190">
        <v>19</v>
      </c>
      <c r="E190" s="4">
        <v>0.58620689655172409</v>
      </c>
      <c r="F190" s="4">
        <v>0.16426495519496245</v>
      </c>
      <c r="G190" s="4">
        <f t="shared" si="23"/>
        <v>0.58620689655172409</v>
      </c>
      <c r="H190" s="4" t="str">
        <f t="shared" si="24"/>
        <v/>
      </c>
      <c r="I190" s="4" t="str">
        <f t="shared" si="25"/>
        <v/>
      </c>
      <c r="J190" s="4" t="str">
        <f t="shared" si="26"/>
        <v/>
      </c>
      <c r="K190" s="4" t="str">
        <f t="shared" si="27"/>
        <v/>
      </c>
      <c r="L190" s="4" t="str">
        <f t="shared" si="28"/>
        <v/>
      </c>
      <c r="M190" s="4"/>
      <c r="N190" s="4"/>
      <c r="O190" s="4"/>
      <c r="P190" s="4"/>
      <c r="Q190" s="4"/>
      <c r="R190" s="4"/>
      <c r="S190" s="4"/>
      <c r="T190" s="4"/>
      <c r="U190" s="4"/>
    </row>
    <row r="191" spans="1:21">
      <c r="A191" t="s">
        <v>490</v>
      </c>
      <c r="B191">
        <v>10</v>
      </c>
      <c r="C191" t="str">
        <f t="shared" si="22"/>
        <v>test.Class11_10_</v>
      </c>
      <c r="D191">
        <v>20</v>
      </c>
      <c r="E191" s="4">
        <v>0.58620689655172409</v>
      </c>
      <c r="F191" s="4">
        <v>0.16783724872850569</v>
      </c>
      <c r="G191" s="4">
        <f t="shared" si="23"/>
        <v>0.58620689655172409</v>
      </c>
      <c r="H191" s="4" t="str">
        <f t="shared" si="24"/>
        <v/>
      </c>
      <c r="I191" s="4" t="str">
        <f t="shared" si="25"/>
        <v/>
      </c>
      <c r="J191" s="4" t="str">
        <f t="shared" si="26"/>
        <v/>
      </c>
      <c r="K191" s="4" t="str">
        <f t="shared" si="27"/>
        <v/>
      </c>
      <c r="L191" s="4" t="str">
        <f t="shared" si="28"/>
        <v/>
      </c>
      <c r="M191" s="4"/>
      <c r="N191" s="4"/>
      <c r="O191" s="4"/>
      <c r="P191" s="4"/>
      <c r="Q191" s="4"/>
      <c r="R191" s="4"/>
      <c r="S191" s="4"/>
      <c r="T191" s="4"/>
      <c r="U191" s="4"/>
    </row>
    <row r="192" spans="1:21">
      <c r="A192" t="s">
        <v>490</v>
      </c>
      <c r="B192">
        <v>10</v>
      </c>
      <c r="C192" t="str">
        <f t="shared" si="22"/>
        <v>test.Class11_10_</v>
      </c>
      <c r="D192">
        <v>21</v>
      </c>
      <c r="E192" s="4">
        <v>0.58620689655172409</v>
      </c>
      <c r="F192" s="4">
        <v>0.17346815209493824</v>
      </c>
      <c r="G192" s="4">
        <f t="shared" si="23"/>
        <v>0.58620689655172409</v>
      </c>
      <c r="H192" s="4" t="str">
        <f t="shared" si="24"/>
        <v/>
      </c>
      <c r="I192" s="4" t="str">
        <f t="shared" si="25"/>
        <v/>
      </c>
      <c r="J192" s="4" t="str">
        <f t="shared" si="26"/>
        <v/>
      </c>
      <c r="K192" s="4" t="str">
        <f t="shared" si="27"/>
        <v/>
      </c>
      <c r="L192" s="4" t="str">
        <f t="shared" si="28"/>
        <v/>
      </c>
      <c r="M192" s="4"/>
      <c r="N192" s="4"/>
      <c r="O192" s="4"/>
      <c r="P192" s="4"/>
      <c r="Q192" s="4"/>
      <c r="R192" s="4"/>
      <c r="S192" s="4"/>
      <c r="T192" s="4"/>
      <c r="U192" s="4"/>
    </row>
    <row r="193" spans="1:21">
      <c r="A193" t="s">
        <v>490</v>
      </c>
      <c r="B193">
        <v>10</v>
      </c>
      <c r="C193" t="str">
        <f t="shared" si="22"/>
        <v>test.Class11_10_</v>
      </c>
      <c r="D193">
        <v>22</v>
      </c>
      <c r="E193" s="4">
        <v>0.58620689655172409</v>
      </c>
      <c r="F193" s="4">
        <v>0.17546621457980141</v>
      </c>
      <c r="G193" s="4">
        <f t="shared" si="23"/>
        <v>0.58620689655172409</v>
      </c>
      <c r="H193" s="4" t="str">
        <f t="shared" si="24"/>
        <v/>
      </c>
      <c r="I193" s="4" t="str">
        <f t="shared" si="25"/>
        <v/>
      </c>
      <c r="J193" s="4" t="str">
        <f t="shared" si="26"/>
        <v/>
      </c>
      <c r="K193" s="4" t="str">
        <f t="shared" si="27"/>
        <v/>
      </c>
      <c r="L193" s="4" t="str">
        <f t="shared" si="28"/>
        <v/>
      </c>
      <c r="M193" s="4"/>
      <c r="N193" s="4"/>
      <c r="O193" s="4"/>
      <c r="P193" s="4"/>
      <c r="Q193" s="4"/>
      <c r="R193" s="4"/>
      <c r="S193" s="4"/>
      <c r="T193" s="4"/>
      <c r="U193" s="4"/>
    </row>
    <row r="194" spans="1:21">
      <c r="A194" t="s">
        <v>490</v>
      </c>
      <c r="B194">
        <v>10</v>
      </c>
      <c r="C194" t="str">
        <f t="shared" si="22"/>
        <v>test.Class11_10_</v>
      </c>
      <c r="D194">
        <v>23</v>
      </c>
      <c r="E194" s="4">
        <v>0.77093596059113301</v>
      </c>
      <c r="F194" s="4">
        <v>0.22450956648098813</v>
      </c>
      <c r="G194" s="4" t="str">
        <f t="shared" si="23"/>
        <v/>
      </c>
      <c r="H194" s="4">
        <f t="shared" si="24"/>
        <v>0.77093596059113301</v>
      </c>
      <c r="I194" s="4" t="str">
        <f t="shared" si="25"/>
        <v/>
      </c>
      <c r="J194" s="4" t="str">
        <f t="shared" si="26"/>
        <v/>
      </c>
      <c r="K194" s="4" t="str">
        <f t="shared" si="27"/>
        <v/>
      </c>
      <c r="L194" s="4" t="str">
        <f t="shared" si="28"/>
        <v/>
      </c>
      <c r="M194" s="4"/>
      <c r="N194" s="4"/>
      <c r="O194" s="4"/>
      <c r="P194" s="4"/>
      <c r="Q194" s="4"/>
      <c r="R194" s="4"/>
      <c r="S194" s="4"/>
      <c r="T194" s="4"/>
      <c r="U194" s="4"/>
    </row>
    <row r="195" spans="1:21">
      <c r="A195" t="s">
        <v>490</v>
      </c>
      <c r="B195">
        <v>10</v>
      </c>
      <c r="C195" t="str">
        <f t="shared" ref="C195:C258" si="29">CONCATENATE(A195, "_",B195,"_")</f>
        <v>test.Class11_10_</v>
      </c>
      <c r="D195">
        <v>24</v>
      </c>
      <c r="E195" s="4">
        <v>0.77093596059113301</v>
      </c>
      <c r="F195" s="4">
        <v>0.22584160813756357</v>
      </c>
      <c r="G195" s="4" t="str">
        <f t="shared" ref="G195:G258" si="30">IF(F195 &lt;= 0.2,E195,"")</f>
        <v/>
      </c>
      <c r="H195" s="4">
        <f t="shared" ref="H195:H258" si="31">IF(AND($F195 &gt; 0.2,$F195 &lt;= 0.4),$E195,"")</f>
        <v>0.77093596059113301</v>
      </c>
      <c r="I195" s="4" t="str">
        <f t="shared" ref="I195:I258" si="32">IF(AND($F195 &gt; 0.4,$F195 &lt;= 0.6),$E195,"")</f>
        <v/>
      </c>
      <c r="J195" s="4" t="str">
        <f t="shared" ref="J195:J258" si="33">IF(AND($F195 &gt; 0.6,$F195 &lt;= 0.8),$E195,"")</f>
        <v/>
      </c>
      <c r="K195" s="4" t="str">
        <f t="shared" ref="K195:K258" si="34">IF(AND($F195 &gt; 0.8, $F195 &lt;=1.1),$E195,"")</f>
        <v/>
      </c>
      <c r="L195" s="4" t="str">
        <f t="shared" ref="L195:L258" si="35">IF(AND($F195 &gt; 1.1),$E195,"")</f>
        <v/>
      </c>
      <c r="M195" s="4"/>
      <c r="N195" s="4"/>
      <c r="O195" s="4"/>
      <c r="P195" s="4"/>
      <c r="Q195" s="4"/>
      <c r="R195" s="4"/>
      <c r="S195" s="4"/>
      <c r="T195" s="4"/>
      <c r="U195" s="4"/>
    </row>
    <row r="196" spans="1:21">
      <c r="A196" t="s">
        <v>490</v>
      </c>
      <c r="B196">
        <v>10</v>
      </c>
      <c r="C196" t="str">
        <f t="shared" si="29"/>
        <v>test.Class11_10_</v>
      </c>
      <c r="D196">
        <v>25</v>
      </c>
      <c r="E196" s="4">
        <v>0.77093596059113301</v>
      </c>
      <c r="F196" s="4">
        <v>0.22705255509808669</v>
      </c>
      <c r="G196" s="4" t="str">
        <f t="shared" si="30"/>
        <v/>
      </c>
      <c r="H196" s="4">
        <f t="shared" si="31"/>
        <v>0.77093596059113301</v>
      </c>
      <c r="I196" s="4" t="str">
        <f t="shared" si="32"/>
        <v/>
      </c>
      <c r="J196" s="4" t="str">
        <f t="shared" si="33"/>
        <v/>
      </c>
      <c r="K196" s="4" t="str">
        <f t="shared" si="34"/>
        <v/>
      </c>
      <c r="L196" s="4" t="str">
        <f t="shared" si="35"/>
        <v/>
      </c>
      <c r="M196" s="4"/>
      <c r="N196" s="4"/>
      <c r="O196" s="4"/>
      <c r="P196" s="4"/>
      <c r="Q196" s="4"/>
      <c r="R196" s="4"/>
      <c r="S196" s="4"/>
      <c r="T196" s="4"/>
      <c r="U196" s="4"/>
    </row>
    <row r="197" spans="1:21">
      <c r="A197" t="s">
        <v>490</v>
      </c>
      <c r="B197">
        <v>10</v>
      </c>
      <c r="C197" t="str">
        <f t="shared" si="29"/>
        <v>test.Class11_10_</v>
      </c>
      <c r="D197">
        <v>26</v>
      </c>
      <c r="E197" s="4">
        <v>0.77093596059113301</v>
      </c>
      <c r="F197" s="4">
        <v>0.22759748123032211</v>
      </c>
      <c r="G197" s="4" t="str">
        <f t="shared" si="30"/>
        <v/>
      </c>
      <c r="H197" s="4">
        <f t="shared" si="31"/>
        <v>0.77093596059113301</v>
      </c>
      <c r="I197" s="4" t="str">
        <f t="shared" si="32"/>
        <v/>
      </c>
      <c r="J197" s="4" t="str">
        <f t="shared" si="33"/>
        <v/>
      </c>
      <c r="K197" s="4" t="str">
        <f t="shared" si="34"/>
        <v/>
      </c>
      <c r="L197" s="4" t="str">
        <f t="shared" si="35"/>
        <v/>
      </c>
      <c r="M197" s="4"/>
      <c r="N197" s="4"/>
      <c r="O197" s="4"/>
      <c r="P197" s="4"/>
      <c r="Q197" s="4"/>
      <c r="R197" s="4"/>
      <c r="S197" s="4"/>
      <c r="T197" s="4"/>
      <c r="U197" s="4"/>
    </row>
    <row r="198" spans="1:21">
      <c r="A198" t="s">
        <v>490</v>
      </c>
      <c r="B198">
        <v>10</v>
      </c>
      <c r="C198" t="str">
        <f t="shared" si="29"/>
        <v>test.Class11_10_</v>
      </c>
      <c r="D198">
        <v>27</v>
      </c>
      <c r="E198" s="4">
        <v>0.77093596059113301</v>
      </c>
      <c r="F198" s="4">
        <v>0.23643739404214095</v>
      </c>
      <c r="G198" s="4" t="str">
        <f t="shared" si="30"/>
        <v/>
      </c>
      <c r="H198" s="4">
        <f t="shared" si="31"/>
        <v>0.77093596059113301</v>
      </c>
      <c r="I198" s="4" t="str">
        <f t="shared" si="32"/>
        <v/>
      </c>
      <c r="J198" s="4" t="str">
        <f t="shared" si="33"/>
        <v/>
      </c>
      <c r="K198" s="4" t="str">
        <f t="shared" si="34"/>
        <v/>
      </c>
      <c r="L198" s="4" t="str">
        <f t="shared" si="35"/>
        <v/>
      </c>
      <c r="M198" s="4"/>
      <c r="N198" s="4"/>
      <c r="O198" s="4"/>
      <c r="P198" s="4"/>
      <c r="Q198" s="4"/>
      <c r="R198" s="4"/>
      <c r="S198" s="4"/>
      <c r="T198" s="4"/>
      <c r="U198" s="4"/>
    </row>
    <row r="199" spans="1:21">
      <c r="A199" t="s">
        <v>490</v>
      </c>
      <c r="B199">
        <v>10</v>
      </c>
      <c r="C199" t="str">
        <f t="shared" si="29"/>
        <v>test.Class11_10_</v>
      </c>
      <c r="D199">
        <v>28</v>
      </c>
      <c r="E199" s="4">
        <v>0.77093596059113301</v>
      </c>
      <c r="F199" s="4">
        <v>0.23789053039476871</v>
      </c>
      <c r="G199" s="4" t="str">
        <f t="shared" si="30"/>
        <v/>
      </c>
      <c r="H199" s="4">
        <f t="shared" si="31"/>
        <v>0.77093596059113301</v>
      </c>
      <c r="I199" s="4" t="str">
        <f t="shared" si="32"/>
        <v/>
      </c>
      <c r="J199" s="4" t="str">
        <f t="shared" si="33"/>
        <v/>
      </c>
      <c r="K199" s="4" t="str">
        <f t="shared" si="34"/>
        <v/>
      </c>
      <c r="L199" s="4" t="str">
        <f t="shared" si="35"/>
        <v/>
      </c>
      <c r="M199" s="4"/>
      <c r="N199" s="4"/>
      <c r="O199" s="4"/>
      <c r="P199" s="4"/>
      <c r="Q199" s="4"/>
      <c r="R199" s="4"/>
      <c r="S199" s="4"/>
      <c r="T199" s="4"/>
      <c r="U199" s="4"/>
    </row>
    <row r="200" spans="1:21">
      <c r="A200" t="s">
        <v>490</v>
      </c>
      <c r="B200">
        <v>10</v>
      </c>
      <c r="C200" t="str">
        <f t="shared" si="29"/>
        <v>test.Class11_10_</v>
      </c>
      <c r="D200">
        <v>29</v>
      </c>
      <c r="E200" s="4">
        <v>0.77093596059113301</v>
      </c>
      <c r="F200" s="4">
        <v>0.2386170985710826</v>
      </c>
      <c r="G200" s="4" t="str">
        <f t="shared" si="30"/>
        <v/>
      </c>
      <c r="H200" s="4">
        <f t="shared" si="31"/>
        <v>0.77093596059113301</v>
      </c>
      <c r="I200" s="4" t="str">
        <f t="shared" si="32"/>
        <v/>
      </c>
      <c r="J200" s="4" t="str">
        <f t="shared" si="33"/>
        <v/>
      </c>
      <c r="K200" s="4" t="str">
        <f t="shared" si="34"/>
        <v/>
      </c>
      <c r="L200" s="4" t="str">
        <f t="shared" si="35"/>
        <v/>
      </c>
      <c r="M200" s="4"/>
      <c r="N200" s="4"/>
      <c r="O200" s="4"/>
      <c r="P200" s="4"/>
      <c r="Q200" s="4"/>
      <c r="R200" s="4"/>
      <c r="S200" s="4"/>
      <c r="T200" s="4"/>
      <c r="U200" s="4"/>
    </row>
    <row r="201" spans="1:21">
      <c r="A201" t="s">
        <v>490</v>
      </c>
      <c r="B201">
        <v>10</v>
      </c>
      <c r="C201" t="str">
        <f t="shared" si="29"/>
        <v>test.Class11_10_</v>
      </c>
      <c r="D201">
        <v>30</v>
      </c>
      <c r="E201" s="4">
        <v>0.77093596059113301</v>
      </c>
      <c r="F201" s="4">
        <v>0.24545894889803826</v>
      </c>
      <c r="G201" s="4" t="str">
        <f t="shared" si="30"/>
        <v/>
      </c>
      <c r="H201" s="4">
        <f t="shared" si="31"/>
        <v>0.77093596059113301</v>
      </c>
      <c r="I201" s="4" t="str">
        <f t="shared" si="32"/>
        <v/>
      </c>
      <c r="J201" s="4" t="str">
        <f t="shared" si="33"/>
        <v/>
      </c>
      <c r="K201" s="4" t="str">
        <f t="shared" si="34"/>
        <v/>
      </c>
      <c r="L201" s="4" t="str">
        <f t="shared" si="35"/>
        <v/>
      </c>
      <c r="M201" s="4"/>
      <c r="N201" s="4"/>
      <c r="O201" s="4"/>
      <c r="P201" s="4"/>
      <c r="Q201" s="4"/>
      <c r="R201" s="4"/>
      <c r="S201" s="4"/>
      <c r="T201" s="4"/>
      <c r="U201" s="4"/>
    </row>
    <row r="202" spans="1:21">
      <c r="A202" t="s">
        <v>490</v>
      </c>
      <c r="B202">
        <v>10</v>
      </c>
      <c r="C202" t="str">
        <f t="shared" si="29"/>
        <v>test.Class11_10_</v>
      </c>
      <c r="D202">
        <v>31</v>
      </c>
      <c r="E202" s="4">
        <v>1</v>
      </c>
      <c r="F202" s="4">
        <v>0.28045531605715668</v>
      </c>
      <c r="G202" s="4" t="str">
        <f t="shared" si="30"/>
        <v/>
      </c>
      <c r="H202" s="4">
        <f t="shared" si="31"/>
        <v>1</v>
      </c>
      <c r="I202" s="4" t="str">
        <f t="shared" si="32"/>
        <v/>
      </c>
      <c r="J202" s="4" t="str">
        <f t="shared" si="33"/>
        <v/>
      </c>
      <c r="K202" s="4" t="str">
        <f t="shared" si="34"/>
        <v/>
      </c>
      <c r="L202" s="4" t="str">
        <f t="shared" si="35"/>
        <v/>
      </c>
      <c r="M202" s="4"/>
      <c r="N202" s="4"/>
      <c r="O202" s="4"/>
      <c r="P202" s="4"/>
      <c r="Q202" s="4"/>
      <c r="R202" s="4"/>
      <c r="S202" s="4"/>
      <c r="T202" s="4"/>
      <c r="U202" s="4"/>
    </row>
    <row r="203" spans="1:21">
      <c r="A203" t="s">
        <v>490</v>
      </c>
      <c r="B203">
        <v>10</v>
      </c>
      <c r="C203" t="str">
        <f t="shared" si="29"/>
        <v>test.Class11_10_</v>
      </c>
      <c r="D203">
        <v>32</v>
      </c>
      <c r="E203" s="4">
        <v>1</v>
      </c>
      <c r="F203" s="4">
        <v>0.2943812061031727</v>
      </c>
      <c r="G203" s="4" t="str">
        <f t="shared" si="30"/>
        <v/>
      </c>
      <c r="H203" s="4">
        <f t="shared" si="31"/>
        <v>1</v>
      </c>
      <c r="I203" s="4" t="str">
        <f t="shared" si="32"/>
        <v/>
      </c>
      <c r="J203" s="4" t="str">
        <f t="shared" si="33"/>
        <v/>
      </c>
      <c r="K203" s="4" t="str">
        <f t="shared" si="34"/>
        <v/>
      </c>
      <c r="L203" s="4" t="str">
        <f t="shared" si="35"/>
        <v/>
      </c>
      <c r="M203" s="4"/>
      <c r="N203" s="4"/>
      <c r="O203" s="4"/>
      <c r="P203" s="4"/>
      <c r="Q203" s="4"/>
      <c r="R203" s="4"/>
      <c r="S203" s="4"/>
      <c r="T203" s="4"/>
      <c r="U203" s="4"/>
    </row>
    <row r="204" spans="1:21">
      <c r="A204" t="s">
        <v>490</v>
      </c>
      <c r="B204">
        <v>11</v>
      </c>
      <c r="C204" t="str">
        <f t="shared" si="29"/>
        <v>test.Class11_11_</v>
      </c>
      <c r="D204">
        <v>1</v>
      </c>
      <c r="E204" s="4">
        <v>5.208333333333333E-3</v>
      </c>
      <c r="F204" s="4">
        <v>1.7577588574567427E-2</v>
      </c>
      <c r="G204" s="4">
        <f t="shared" si="30"/>
        <v>5.208333333333333E-3</v>
      </c>
      <c r="H204" s="4" t="str">
        <f t="shared" si="31"/>
        <v/>
      </c>
      <c r="I204" s="4" t="str">
        <f t="shared" si="32"/>
        <v/>
      </c>
      <c r="J204" s="4" t="str">
        <f t="shared" si="33"/>
        <v/>
      </c>
      <c r="K204" s="4" t="str">
        <f t="shared" si="34"/>
        <v/>
      </c>
      <c r="L204" s="4" t="str">
        <f t="shared" si="35"/>
        <v/>
      </c>
      <c r="M204" s="4"/>
      <c r="N204" s="4"/>
      <c r="O204" s="4"/>
      <c r="P204" s="4"/>
      <c r="Q204" s="4"/>
      <c r="R204" s="4"/>
      <c r="S204" s="4"/>
      <c r="T204" s="4"/>
      <c r="U204" s="4"/>
    </row>
    <row r="205" spans="1:21">
      <c r="A205" t="s">
        <v>490</v>
      </c>
      <c r="B205">
        <v>11</v>
      </c>
      <c r="C205" t="str">
        <f t="shared" si="29"/>
        <v>test.Class11_11_</v>
      </c>
      <c r="D205">
        <v>2</v>
      </c>
      <c r="E205" s="4">
        <v>8.8541666666666671E-2</v>
      </c>
      <c r="F205" s="4">
        <v>0.12551496841527052</v>
      </c>
      <c r="G205" s="4">
        <f t="shared" si="30"/>
        <v>8.8541666666666671E-2</v>
      </c>
      <c r="H205" s="4" t="str">
        <f t="shared" si="31"/>
        <v/>
      </c>
      <c r="I205" s="4" t="str">
        <f t="shared" si="32"/>
        <v/>
      </c>
      <c r="J205" s="4" t="str">
        <f t="shared" si="33"/>
        <v/>
      </c>
      <c r="K205" s="4" t="str">
        <f t="shared" si="34"/>
        <v/>
      </c>
      <c r="L205" s="4" t="str">
        <f t="shared" si="35"/>
        <v/>
      </c>
      <c r="M205" s="4"/>
      <c r="N205" s="4"/>
      <c r="O205" s="4"/>
      <c r="P205" s="4"/>
      <c r="Q205" s="4"/>
      <c r="R205" s="4"/>
      <c r="S205" s="4"/>
      <c r="T205" s="4"/>
      <c r="U205" s="4"/>
    </row>
    <row r="206" spans="1:21">
      <c r="A206" t="s">
        <v>490</v>
      </c>
      <c r="B206">
        <v>11</v>
      </c>
      <c r="C206" t="str">
        <f t="shared" si="29"/>
        <v>test.Class11_11_</v>
      </c>
      <c r="D206">
        <v>3</v>
      </c>
      <c r="E206" s="4">
        <v>0.11979166666666667</v>
      </c>
      <c r="F206" s="4">
        <v>0.15023345234825597</v>
      </c>
      <c r="G206" s="4">
        <f t="shared" si="30"/>
        <v>0.11979166666666667</v>
      </c>
      <c r="H206" s="4" t="str">
        <f t="shared" si="31"/>
        <v/>
      </c>
      <c r="I206" s="4" t="str">
        <f t="shared" si="32"/>
        <v/>
      </c>
      <c r="J206" s="4" t="str">
        <f t="shared" si="33"/>
        <v/>
      </c>
      <c r="K206" s="4" t="str">
        <f t="shared" si="34"/>
        <v/>
      </c>
      <c r="L206" s="4" t="str">
        <f t="shared" si="35"/>
        <v/>
      </c>
      <c r="M206" s="4"/>
      <c r="N206" s="4"/>
      <c r="O206" s="4"/>
      <c r="P206" s="4"/>
      <c r="Q206" s="4"/>
      <c r="R206" s="4"/>
      <c r="S206" s="4"/>
      <c r="T206" s="4"/>
      <c r="U206" s="4"/>
    </row>
    <row r="207" spans="1:21">
      <c r="A207" t="s">
        <v>490</v>
      </c>
      <c r="B207">
        <v>11</v>
      </c>
      <c r="C207" t="str">
        <f t="shared" si="29"/>
        <v>test.Class11_11_</v>
      </c>
      <c r="D207">
        <v>4</v>
      </c>
      <c r="E207" s="4">
        <v>0.26041666666666669</v>
      </c>
      <c r="F207" s="4">
        <v>0.23249107388080198</v>
      </c>
      <c r="G207" s="4" t="str">
        <f t="shared" si="30"/>
        <v/>
      </c>
      <c r="H207" s="4">
        <f t="shared" si="31"/>
        <v>0.26041666666666669</v>
      </c>
      <c r="I207" s="4" t="str">
        <f t="shared" si="32"/>
        <v/>
      </c>
      <c r="J207" s="4" t="str">
        <f t="shared" si="33"/>
        <v/>
      </c>
      <c r="K207" s="4" t="str">
        <f t="shared" si="34"/>
        <v/>
      </c>
      <c r="L207" s="4" t="str">
        <f t="shared" si="35"/>
        <v/>
      </c>
      <c r="M207" s="4"/>
      <c r="N207" s="4"/>
      <c r="O207" s="4"/>
      <c r="P207" s="4"/>
      <c r="Q207" s="4"/>
      <c r="R207" s="4"/>
      <c r="S207" s="4"/>
      <c r="T207" s="4"/>
      <c r="U207" s="4"/>
    </row>
    <row r="208" spans="1:21">
      <c r="A208" t="s">
        <v>490</v>
      </c>
      <c r="B208">
        <v>11</v>
      </c>
      <c r="C208" t="str">
        <f t="shared" si="29"/>
        <v>test.Class11_11_</v>
      </c>
      <c r="D208">
        <v>5</v>
      </c>
      <c r="E208" s="4">
        <v>0.40104166666666669</v>
      </c>
      <c r="F208" s="4">
        <v>0.24951936281241416</v>
      </c>
      <c r="G208" s="4" t="str">
        <f t="shared" si="30"/>
        <v/>
      </c>
      <c r="H208" s="4">
        <f t="shared" si="31"/>
        <v>0.40104166666666669</v>
      </c>
      <c r="I208" s="4" t="str">
        <f t="shared" si="32"/>
        <v/>
      </c>
      <c r="J208" s="4" t="str">
        <f t="shared" si="33"/>
        <v/>
      </c>
      <c r="K208" s="4" t="str">
        <f t="shared" si="34"/>
        <v/>
      </c>
      <c r="L208" s="4" t="str">
        <f t="shared" si="35"/>
        <v/>
      </c>
      <c r="M208" s="4"/>
      <c r="N208" s="4"/>
      <c r="O208" s="4"/>
      <c r="P208" s="4"/>
      <c r="Q208" s="4"/>
      <c r="R208" s="4"/>
      <c r="S208" s="4"/>
      <c r="T208" s="4"/>
      <c r="U208" s="4"/>
    </row>
    <row r="209" spans="1:21">
      <c r="A209" t="s">
        <v>490</v>
      </c>
      <c r="B209">
        <v>11</v>
      </c>
      <c r="C209" t="str">
        <f t="shared" si="29"/>
        <v>test.Class11_11_</v>
      </c>
      <c r="D209">
        <v>6</v>
      </c>
      <c r="E209" s="4">
        <v>0.54166666666666663</v>
      </c>
      <c r="F209" s="4">
        <v>0.25611095852787696</v>
      </c>
      <c r="G209" s="4" t="str">
        <f t="shared" si="30"/>
        <v/>
      </c>
      <c r="H209" s="4">
        <f t="shared" si="31"/>
        <v>0.54166666666666663</v>
      </c>
      <c r="I209" s="4" t="str">
        <f t="shared" si="32"/>
        <v/>
      </c>
      <c r="J209" s="4" t="str">
        <f t="shared" si="33"/>
        <v/>
      </c>
      <c r="K209" s="4" t="str">
        <f t="shared" si="34"/>
        <v/>
      </c>
      <c r="L209" s="4" t="str">
        <f t="shared" si="35"/>
        <v/>
      </c>
      <c r="M209" s="4"/>
      <c r="N209" s="4"/>
      <c r="O209" s="4"/>
      <c r="P209" s="4"/>
      <c r="Q209" s="4"/>
      <c r="R209" s="4"/>
      <c r="S209" s="4"/>
      <c r="T209" s="4"/>
      <c r="U209" s="4"/>
    </row>
    <row r="210" spans="1:21">
      <c r="A210" t="s">
        <v>490</v>
      </c>
      <c r="B210">
        <v>11</v>
      </c>
      <c r="C210" t="str">
        <f t="shared" si="29"/>
        <v>test.Class11_11_</v>
      </c>
      <c r="D210">
        <v>7</v>
      </c>
      <c r="E210" s="4">
        <v>0.68229166666666663</v>
      </c>
      <c r="F210" s="4">
        <v>0.26091733040373521</v>
      </c>
      <c r="G210" s="4" t="str">
        <f t="shared" si="30"/>
        <v/>
      </c>
      <c r="H210" s="4">
        <f t="shared" si="31"/>
        <v>0.68229166666666663</v>
      </c>
      <c r="I210" s="4" t="str">
        <f t="shared" si="32"/>
        <v/>
      </c>
      <c r="J210" s="4" t="str">
        <f t="shared" si="33"/>
        <v/>
      </c>
      <c r="K210" s="4" t="str">
        <f t="shared" si="34"/>
        <v/>
      </c>
      <c r="L210" s="4" t="str">
        <f t="shared" si="35"/>
        <v/>
      </c>
      <c r="M210" s="4"/>
      <c r="N210" s="4"/>
      <c r="O210" s="4"/>
      <c r="P210" s="4"/>
      <c r="Q210" s="4"/>
      <c r="R210" s="4"/>
      <c r="S210" s="4"/>
      <c r="T210" s="4"/>
      <c r="U210" s="4"/>
    </row>
    <row r="211" spans="1:21">
      <c r="A211" t="s">
        <v>490</v>
      </c>
      <c r="B211">
        <v>11</v>
      </c>
      <c r="C211" t="str">
        <f t="shared" si="29"/>
        <v>test.Class11_11_</v>
      </c>
      <c r="D211">
        <v>8</v>
      </c>
      <c r="E211" s="4">
        <v>0.68229166666666663</v>
      </c>
      <c r="F211" s="4">
        <v>0.26242790442186215</v>
      </c>
      <c r="G211" s="4" t="str">
        <f t="shared" si="30"/>
        <v/>
      </c>
      <c r="H211" s="4">
        <f t="shared" si="31"/>
        <v>0.68229166666666663</v>
      </c>
      <c r="I211" s="4" t="str">
        <f t="shared" si="32"/>
        <v/>
      </c>
      <c r="J211" s="4" t="str">
        <f t="shared" si="33"/>
        <v/>
      </c>
      <c r="K211" s="4" t="str">
        <f t="shared" si="34"/>
        <v/>
      </c>
      <c r="L211" s="4" t="str">
        <f t="shared" si="35"/>
        <v/>
      </c>
      <c r="M211" s="4"/>
      <c r="N211" s="4"/>
      <c r="O211" s="4"/>
      <c r="P211" s="4"/>
      <c r="Q211" s="4"/>
      <c r="R211" s="4"/>
      <c r="S211" s="4"/>
      <c r="T211" s="4"/>
      <c r="U211" s="4"/>
    </row>
    <row r="212" spans="1:21">
      <c r="A212" t="s">
        <v>490</v>
      </c>
      <c r="B212">
        <v>11</v>
      </c>
      <c r="C212" t="str">
        <f t="shared" si="29"/>
        <v>test.Class11_11_</v>
      </c>
      <c r="D212">
        <v>9</v>
      </c>
      <c r="E212" s="4">
        <v>0.68229166666666663</v>
      </c>
      <c r="F212" s="4">
        <v>0.26737160120845921</v>
      </c>
      <c r="G212" s="4" t="str">
        <f t="shared" si="30"/>
        <v/>
      </c>
      <c r="H212" s="4">
        <f t="shared" si="31"/>
        <v>0.68229166666666663</v>
      </c>
      <c r="I212" s="4" t="str">
        <f t="shared" si="32"/>
        <v/>
      </c>
      <c r="J212" s="4" t="str">
        <f t="shared" si="33"/>
        <v/>
      </c>
      <c r="K212" s="4" t="str">
        <f t="shared" si="34"/>
        <v/>
      </c>
      <c r="L212" s="4" t="str">
        <f t="shared" si="35"/>
        <v/>
      </c>
      <c r="M212" s="4"/>
      <c r="N212" s="4"/>
      <c r="O212" s="4"/>
      <c r="P212" s="4"/>
      <c r="Q212" s="4"/>
      <c r="R212" s="4"/>
      <c r="S212" s="4"/>
      <c r="T212" s="4"/>
      <c r="U212" s="4"/>
    </row>
    <row r="213" spans="1:21">
      <c r="A213" t="s">
        <v>490</v>
      </c>
      <c r="B213">
        <v>11</v>
      </c>
      <c r="C213" t="str">
        <f t="shared" si="29"/>
        <v>test.Class11_11_</v>
      </c>
      <c r="D213">
        <v>10</v>
      </c>
      <c r="E213" s="4">
        <v>0.68229166666666663</v>
      </c>
      <c r="F213" s="4">
        <v>0.27931886844273551</v>
      </c>
      <c r="G213" s="4" t="str">
        <f t="shared" si="30"/>
        <v/>
      </c>
      <c r="H213" s="4">
        <f t="shared" si="31"/>
        <v>0.68229166666666663</v>
      </c>
      <c r="I213" s="4" t="str">
        <f t="shared" si="32"/>
        <v/>
      </c>
      <c r="J213" s="4" t="str">
        <f t="shared" si="33"/>
        <v/>
      </c>
      <c r="K213" s="4" t="str">
        <f t="shared" si="34"/>
        <v/>
      </c>
      <c r="L213" s="4" t="str">
        <f t="shared" si="35"/>
        <v/>
      </c>
      <c r="M213" s="4"/>
      <c r="N213" s="4"/>
      <c r="O213" s="4"/>
      <c r="P213" s="4"/>
      <c r="Q213" s="4"/>
      <c r="R213" s="4"/>
      <c r="S213" s="4"/>
      <c r="T213" s="4"/>
      <c r="U213" s="4"/>
    </row>
    <row r="214" spans="1:21">
      <c r="A214" t="s">
        <v>490</v>
      </c>
      <c r="B214">
        <v>11</v>
      </c>
      <c r="C214" t="str">
        <f t="shared" si="29"/>
        <v>test.Class11_11_</v>
      </c>
      <c r="D214">
        <v>11</v>
      </c>
      <c r="E214" s="4">
        <v>0.68229166666666663</v>
      </c>
      <c r="F214" s="4">
        <v>0.29552320790991488</v>
      </c>
      <c r="G214" s="4" t="str">
        <f t="shared" si="30"/>
        <v/>
      </c>
      <c r="H214" s="4">
        <f t="shared" si="31"/>
        <v>0.68229166666666663</v>
      </c>
      <c r="I214" s="4" t="str">
        <f t="shared" si="32"/>
        <v/>
      </c>
      <c r="J214" s="4" t="str">
        <f t="shared" si="33"/>
        <v/>
      </c>
      <c r="K214" s="4" t="str">
        <f t="shared" si="34"/>
        <v/>
      </c>
      <c r="L214" s="4" t="str">
        <f t="shared" si="35"/>
        <v/>
      </c>
      <c r="M214" s="4"/>
      <c r="N214" s="4"/>
      <c r="O214" s="4"/>
      <c r="P214" s="4"/>
      <c r="Q214" s="4"/>
      <c r="R214" s="4"/>
      <c r="S214" s="4"/>
      <c r="T214" s="4"/>
      <c r="U214" s="4"/>
    </row>
    <row r="215" spans="1:21">
      <c r="A215" t="s">
        <v>490</v>
      </c>
      <c r="B215">
        <v>11</v>
      </c>
      <c r="C215" t="str">
        <f t="shared" si="29"/>
        <v>test.Class11_11_</v>
      </c>
      <c r="D215">
        <v>12</v>
      </c>
      <c r="E215" s="4">
        <v>1</v>
      </c>
      <c r="F215" s="4">
        <v>0.96951386981598464</v>
      </c>
      <c r="G215" s="4" t="str">
        <f t="shared" si="30"/>
        <v/>
      </c>
      <c r="H215" s="4" t="str">
        <f t="shared" si="31"/>
        <v/>
      </c>
      <c r="I215" s="4" t="str">
        <f t="shared" si="32"/>
        <v/>
      </c>
      <c r="J215" s="4" t="str">
        <f t="shared" si="33"/>
        <v/>
      </c>
      <c r="K215" s="4">
        <f t="shared" si="34"/>
        <v>1</v>
      </c>
      <c r="L215" s="4" t="str">
        <f t="shared" si="35"/>
        <v/>
      </c>
      <c r="M215" s="4"/>
      <c r="N215" s="4"/>
      <c r="O215" s="4"/>
      <c r="P215" s="4"/>
      <c r="Q215" s="4"/>
      <c r="R215" s="4"/>
      <c r="S215" s="4"/>
      <c r="T215" s="4"/>
      <c r="U215" s="4"/>
    </row>
    <row r="216" spans="1:21">
      <c r="A216" t="s">
        <v>490</v>
      </c>
      <c r="B216">
        <v>11</v>
      </c>
      <c r="C216" t="str">
        <f t="shared" si="29"/>
        <v>test.Class11_11_</v>
      </c>
      <c r="D216">
        <v>13</v>
      </c>
      <c r="E216" s="4">
        <v>1</v>
      </c>
      <c r="F216" s="4">
        <v>1.0031584729469927</v>
      </c>
      <c r="G216" s="4" t="str">
        <f t="shared" si="30"/>
        <v/>
      </c>
      <c r="H216" s="4" t="str">
        <f t="shared" si="31"/>
        <v/>
      </c>
      <c r="I216" s="4" t="str">
        <f t="shared" si="32"/>
        <v/>
      </c>
      <c r="J216" s="4" t="str">
        <f t="shared" si="33"/>
        <v/>
      </c>
      <c r="K216" s="4">
        <f t="shared" si="34"/>
        <v>1</v>
      </c>
      <c r="L216" s="4" t="str">
        <f t="shared" si="35"/>
        <v/>
      </c>
      <c r="M216" s="4"/>
      <c r="N216" s="4"/>
      <c r="O216" s="4"/>
      <c r="P216" s="4"/>
      <c r="Q216" s="4"/>
      <c r="R216" s="4"/>
      <c r="S216" s="4"/>
      <c r="T216" s="4"/>
      <c r="U216" s="4"/>
    </row>
    <row r="217" spans="1:21">
      <c r="A217" t="s">
        <v>490</v>
      </c>
      <c r="B217">
        <v>12</v>
      </c>
      <c r="C217" t="str">
        <f t="shared" si="29"/>
        <v>test.Class11_12_</v>
      </c>
      <c r="D217">
        <v>1</v>
      </c>
      <c r="E217" s="4">
        <v>8.4745762711864406E-3</v>
      </c>
      <c r="F217" s="4">
        <v>2.6424983620877921E-2</v>
      </c>
      <c r="G217" s="4">
        <f t="shared" si="30"/>
        <v>8.4745762711864406E-3</v>
      </c>
      <c r="H217" s="4" t="str">
        <f t="shared" si="31"/>
        <v/>
      </c>
      <c r="I217" s="4" t="str">
        <f t="shared" si="32"/>
        <v/>
      </c>
      <c r="J217" s="4" t="str">
        <f t="shared" si="33"/>
        <v/>
      </c>
      <c r="K217" s="4" t="str">
        <f t="shared" si="34"/>
        <v/>
      </c>
      <c r="L217" s="4" t="str">
        <f t="shared" si="35"/>
        <v/>
      </c>
      <c r="M217" s="4"/>
      <c r="N217" s="4"/>
      <c r="O217" s="4"/>
      <c r="P217" s="4"/>
      <c r="Q217" s="4"/>
      <c r="R217" s="4"/>
      <c r="S217" s="4"/>
      <c r="T217" s="4"/>
      <c r="U217" s="4"/>
    </row>
    <row r="218" spans="1:21">
      <c r="A218" t="s">
        <v>490</v>
      </c>
      <c r="B218">
        <v>12</v>
      </c>
      <c r="C218" t="str">
        <f t="shared" si="29"/>
        <v>test.Class11_12_</v>
      </c>
      <c r="D218">
        <v>2</v>
      </c>
      <c r="E218" s="4">
        <v>0.52542372881355937</v>
      </c>
      <c r="F218" s="4">
        <v>0.59292421926184757</v>
      </c>
      <c r="G218" s="4" t="str">
        <f t="shared" si="30"/>
        <v/>
      </c>
      <c r="H218" s="4" t="str">
        <f t="shared" si="31"/>
        <v/>
      </c>
      <c r="I218" s="4">
        <f t="shared" si="32"/>
        <v>0.52542372881355937</v>
      </c>
      <c r="J218" s="4" t="str">
        <f t="shared" si="33"/>
        <v/>
      </c>
      <c r="K218" s="4" t="str">
        <f t="shared" si="34"/>
        <v/>
      </c>
      <c r="L218" s="4" t="str">
        <f t="shared" si="35"/>
        <v/>
      </c>
      <c r="M218" s="4"/>
      <c r="N218" s="4"/>
      <c r="O218" s="4"/>
      <c r="P218" s="4"/>
      <c r="Q218" s="4"/>
      <c r="R218" s="4"/>
      <c r="S218" s="4"/>
      <c r="T218" s="4"/>
      <c r="U218" s="4"/>
    </row>
    <row r="219" spans="1:21">
      <c r="A219" t="s">
        <v>490</v>
      </c>
      <c r="B219">
        <v>12</v>
      </c>
      <c r="C219" t="str">
        <f t="shared" si="29"/>
        <v>test.Class11_12_</v>
      </c>
      <c r="D219">
        <v>3</v>
      </c>
      <c r="E219" s="4">
        <v>0.55932203389830504</v>
      </c>
      <c r="F219" s="4">
        <v>0.62655601659751037</v>
      </c>
      <c r="G219" s="4" t="str">
        <f t="shared" si="30"/>
        <v/>
      </c>
      <c r="H219" s="4" t="str">
        <f t="shared" si="31"/>
        <v/>
      </c>
      <c r="I219" s="4" t="str">
        <f t="shared" si="32"/>
        <v/>
      </c>
      <c r="J219" s="4">
        <f t="shared" si="33"/>
        <v>0.55932203389830504</v>
      </c>
      <c r="K219" s="4" t="str">
        <f t="shared" si="34"/>
        <v/>
      </c>
      <c r="L219" s="4" t="str">
        <f t="shared" si="35"/>
        <v/>
      </c>
      <c r="M219" s="4"/>
      <c r="N219" s="4"/>
      <c r="O219" s="4"/>
      <c r="P219" s="4"/>
      <c r="Q219" s="4"/>
      <c r="R219" s="4"/>
      <c r="S219" s="4"/>
      <c r="T219" s="4"/>
      <c r="U219" s="4"/>
    </row>
    <row r="220" spans="1:21">
      <c r="A220" t="s">
        <v>490</v>
      </c>
      <c r="B220">
        <v>12</v>
      </c>
      <c r="C220" t="str">
        <f t="shared" si="29"/>
        <v>test.Class11_12_</v>
      </c>
      <c r="D220">
        <v>4</v>
      </c>
      <c r="E220" s="4">
        <v>0.59322033898305082</v>
      </c>
      <c r="F220" s="4">
        <v>0.67700371260100456</v>
      </c>
      <c r="G220" s="4" t="str">
        <f t="shared" si="30"/>
        <v/>
      </c>
      <c r="H220" s="4" t="str">
        <f t="shared" si="31"/>
        <v/>
      </c>
      <c r="I220" s="4" t="str">
        <f t="shared" si="32"/>
        <v/>
      </c>
      <c r="J220" s="4">
        <f t="shared" si="33"/>
        <v>0.59322033898305082</v>
      </c>
      <c r="K220" s="4" t="str">
        <f t="shared" si="34"/>
        <v/>
      </c>
      <c r="L220" s="4" t="str">
        <f t="shared" si="35"/>
        <v/>
      </c>
      <c r="M220" s="4"/>
      <c r="N220" s="4"/>
      <c r="O220" s="4"/>
      <c r="P220" s="4"/>
      <c r="Q220" s="4"/>
      <c r="R220" s="4"/>
      <c r="S220" s="4"/>
      <c r="T220" s="4"/>
      <c r="U220" s="4"/>
    </row>
    <row r="221" spans="1:21">
      <c r="A221" t="s">
        <v>490</v>
      </c>
      <c r="B221">
        <v>12</v>
      </c>
      <c r="C221" t="str">
        <f t="shared" si="29"/>
        <v>test.Class11_12_</v>
      </c>
      <c r="D221">
        <v>5</v>
      </c>
      <c r="E221" s="4">
        <v>0.71186440677966101</v>
      </c>
      <c r="F221" s="4">
        <v>0.71806071194583976</v>
      </c>
      <c r="G221" s="4" t="str">
        <f t="shared" si="30"/>
        <v/>
      </c>
      <c r="H221" s="4" t="str">
        <f t="shared" si="31"/>
        <v/>
      </c>
      <c r="I221" s="4" t="str">
        <f t="shared" si="32"/>
        <v/>
      </c>
      <c r="J221" s="4">
        <f t="shared" si="33"/>
        <v>0.71186440677966101</v>
      </c>
      <c r="K221" s="4" t="str">
        <f t="shared" si="34"/>
        <v/>
      </c>
      <c r="L221" s="4" t="str">
        <f t="shared" si="35"/>
        <v/>
      </c>
      <c r="M221" s="4"/>
      <c r="N221" s="4"/>
      <c r="O221" s="4"/>
      <c r="P221" s="4"/>
      <c r="Q221" s="4"/>
      <c r="R221" s="4"/>
      <c r="S221" s="4"/>
      <c r="T221" s="4"/>
      <c r="U221" s="4"/>
    </row>
    <row r="222" spans="1:21">
      <c r="A222" t="s">
        <v>490</v>
      </c>
      <c r="B222">
        <v>12</v>
      </c>
      <c r="C222" t="str">
        <f t="shared" si="29"/>
        <v>test.Class11_12_</v>
      </c>
      <c r="D222">
        <v>6</v>
      </c>
      <c r="E222" s="4">
        <v>0.88983050847457623</v>
      </c>
      <c r="F222" s="4">
        <v>0.73138239790347237</v>
      </c>
      <c r="G222" s="4" t="str">
        <f t="shared" si="30"/>
        <v/>
      </c>
      <c r="H222" s="4" t="str">
        <f t="shared" si="31"/>
        <v/>
      </c>
      <c r="I222" s="4" t="str">
        <f t="shared" si="32"/>
        <v/>
      </c>
      <c r="J222" s="4">
        <f t="shared" si="33"/>
        <v>0.88983050847457623</v>
      </c>
      <c r="K222" s="4" t="str">
        <f t="shared" si="34"/>
        <v/>
      </c>
      <c r="L222" s="4" t="str">
        <f t="shared" si="35"/>
        <v/>
      </c>
      <c r="M222" s="4"/>
      <c r="N222" s="4"/>
      <c r="O222" s="4"/>
      <c r="P222" s="4"/>
      <c r="Q222" s="4"/>
      <c r="R222" s="4"/>
      <c r="S222" s="4"/>
      <c r="T222" s="4"/>
      <c r="U222" s="4"/>
    </row>
    <row r="223" spans="1:21">
      <c r="A223" t="s">
        <v>490</v>
      </c>
      <c r="B223">
        <v>12</v>
      </c>
      <c r="C223" t="str">
        <f t="shared" si="29"/>
        <v>test.Class11_12_</v>
      </c>
      <c r="D223">
        <v>7</v>
      </c>
      <c r="E223" s="4">
        <v>1</v>
      </c>
      <c r="F223" s="4">
        <v>0.73225595108102204</v>
      </c>
      <c r="G223" s="4" t="str">
        <f t="shared" si="30"/>
        <v/>
      </c>
      <c r="H223" s="4" t="str">
        <f t="shared" si="31"/>
        <v/>
      </c>
      <c r="I223" s="4" t="str">
        <f t="shared" si="32"/>
        <v/>
      </c>
      <c r="J223" s="4">
        <f t="shared" si="33"/>
        <v>1</v>
      </c>
      <c r="K223" s="4" t="str">
        <f t="shared" si="34"/>
        <v/>
      </c>
      <c r="L223" s="4" t="str">
        <f t="shared" si="35"/>
        <v/>
      </c>
      <c r="M223" s="4"/>
      <c r="N223" s="4"/>
      <c r="O223" s="4"/>
      <c r="P223" s="4"/>
      <c r="Q223" s="4"/>
      <c r="R223" s="4"/>
      <c r="S223" s="4"/>
      <c r="T223" s="4"/>
      <c r="U223" s="4"/>
    </row>
    <row r="224" spans="1:21">
      <c r="A224" t="s">
        <v>490</v>
      </c>
      <c r="B224">
        <v>12</v>
      </c>
      <c r="C224" t="str">
        <f t="shared" si="29"/>
        <v>test.Class11_12_</v>
      </c>
      <c r="D224">
        <v>8</v>
      </c>
      <c r="E224" s="4">
        <v>1</v>
      </c>
      <c r="F224" s="4">
        <v>0.75496833369731386</v>
      </c>
      <c r="G224" s="4" t="str">
        <f t="shared" si="30"/>
        <v/>
      </c>
      <c r="H224" s="4" t="str">
        <f t="shared" si="31"/>
        <v/>
      </c>
      <c r="I224" s="4" t="str">
        <f t="shared" si="32"/>
        <v/>
      </c>
      <c r="J224" s="4">
        <f t="shared" si="33"/>
        <v>1</v>
      </c>
      <c r="K224" s="4" t="str">
        <f t="shared" si="34"/>
        <v/>
      </c>
      <c r="L224" s="4" t="str">
        <f t="shared" si="35"/>
        <v/>
      </c>
      <c r="M224" s="4"/>
      <c r="N224" s="4"/>
      <c r="O224" s="4"/>
      <c r="P224" s="4"/>
      <c r="Q224" s="4"/>
      <c r="R224" s="4"/>
      <c r="S224" s="4"/>
      <c r="T224" s="4"/>
      <c r="U224" s="4"/>
    </row>
    <row r="225" spans="1:21">
      <c r="A225" t="s">
        <v>490</v>
      </c>
      <c r="B225">
        <v>12</v>
      </c>
      <c r="C225" t="str">
        <f t="shared" si="29"/>
        <v>test.Class11_12_</v>
      </c>
      <c r="D225">
        <v>9</v>
      </c>
      <c r="E225" s="4">
        <v>1</v>
      </c>
      <c r="F225" s="4">
        <v>0.79689888621969862</v>
      </c>
      <c r="G225" s="4" t="str">
        <f t="shared" si="30"/>
        <v/>
      </c>
      <c r="H225" s="4" t="str">
        <f t="shared" si="31"/>
        <v/>
      </c>
      <c r="I225" s="4" t="str">
        <f t="shared" si="32"/>
        <v/>
      </c>
      <c r="J225" s="4">
        <f t="shared" si="33"/>
        <v>1</v>
      </c>
      <c r="K225" s="4" t="str">
        <f t="shared" si="34"/>
        <v/>
      </c>
      <c r="L225" s="4" t="str">
        <f t="shared" si="35"/>
        <v/>
      </c>
      <c r="M225" s="4"/>
      <c r="N225" s="4"/>
      <c r="O225" s="4"/>
      <c r="P225" s="4"/>
      <c r="Q225" s="4"/>
      <c r="R225" s="4"/>
      <c r="S225" s="4"/>
      <c r="T225" s="4"/>
      <c r="U225" s="4"/>
    </row>
    <row r="226" spans="1:21">
      <c r="A226" t="s">
        <v>490</v>
      </c>
      <c r="B226">
        <v>12</v>
      </c>
      <c r="C226" t="str">
        <f t="shared" si="29"/>
        <v>test.Class11_12_</v>
      </c>
      <c r="D226">
        <v>10</v>
      </c>
      <c r="E226" s="4">
        <v>1</v>
      </c>
      <c r="F226" s="4">
        <v>0.81961126883599034</v>
      </c>
      <c r="G226" s="4" t="str">
        <f t="shared" si="30"/>
        <v/>
      </c>
      <c r="H226" s="4" t="str">
        <f t="shared" si="31"/>
        <v/>
      </c>
      <c r="I226" s="4" t="str">
        <f t="shared" si="32"/>
        <v/>
      </c>
      <c r="J226" s="4" t="str">
        <f t="shared" si="33"/>
        <v/>
      </c>
      <c r="K226" s="4">
        <f t="shared" si="34"/>
        <v>1</v>
      </c>
      <c r="L226" s="4" t="str">
        <f t="shared" si="35"/>
        <v/>
      </c>
      <c r="M226" s="4"/>
      <c r="N226" s="4"/>
      <c r="O226" s="4"/>
      <c r="P226" s="4"/>
      <c r="Q226" s="4"/>
      <c r="R226" s="4"/>
      <c r="S226" s="4"/>
      <c r="T226" s="4"/>
      <c r="U226" s="4"/>
    </row>
    <row r="227" spans="1:21">
      <c r="A227" t="s">
        <v>490</v>
      </c>
      <c r="B227">
        <v>12</v>
      </c>
      <c r="C227" t="str">
        <f t="shared" si="29"/>
        <v>test.Class11_12_</v>
      </c>
      <c r="D227">
        <v>11</v>
      </c>
      <c r="E227" s="4">
        <v>1</v>
      </c>
      <c r="F227" s="4">
        <v>0.86066826818082554</v>
      </c>
      <c r="G227" s="4" t="str">
        <f t="shared" si="30"/>
        <v/>
      </c>
      <c r="H227" s="4" t="str">
        <f t="shared" si="31"/>
        <v/>
      </c>
      <c r="I227" s="4" t="str">
        <f t="shared" si="32"/>
        <v/>
      </c>
      <c r="J227" s="4" t="str">
        <f t="shared" si="33"/>
        <v/>
      </c>
      <c r="K227" s="4">
        <f t="shared" si="34"/>
        <v>1</v>
      </c>
      <c r="L227" s="4" t="str">
        <f t="shared" si="35"/>
        <v/>
      </c>
      <c r="M227" s="4"/>
      <c r="N227" s="4"/>
      <c r="O227" s="4"/>
      <c r="P227" s="4"/>
      <c r="Q227" s="4"/>
      <c r="R227" s="4"/>
      <c r="S227" s="4"/>
      <c r="T227" s="4"/>
      <c r="U227" s="4"/>
    </row>
    <row r="228" spans="1:21">
      <c r="A228" t="s">
        <v>490</v>
      </c>
      <c r="B228">
        <v>12</v>
      </c>
      <c r="C228" t="str">
        <f t="shared" si="29"/>
        <v>test.Class11_12_</v>
      </c>
      <c r="D228">
        <v>12</v>
      </c>
      <c r="E228" s="4">
        <v>1</v>
      </c>
      <c r="F228" s="4">
        <v>0.86547281065734871</v>
      </c>
      <c r="G228" s="4" t="str">
        <f t="shared" si="30"/>
        <v/>
      </c>
      <c r="H228" s="4" t="str">
        <f t="shared" si="31"/>
        <v/>
      </c>
      <c r="I228" s="4" t="str">
        <f t="shared" si="32"/>
        <v/>
      </c>
      <c r="J228" s="4" t="str">
        <f t="shared" si="33"/>
        <v/>
      </c>
      <c r="K228" s="4">
        <f t="shared" si="34"/>
        <v>1</v>
      </c>
      <c r="L228" s="4" t="str">
        <f t="shared" si="35"/>
        <v/>
      </c>
      <c r="M228" s="4"/>
      <c r="N228" s="4"/>
      <c r="O228" s="4"/>
      <c r="P228" s="4"/>
      <c r="Q228" s="4"/>
      <c r="R228" s="4"/>
      <c r="S228" s="4"/>
      <c r="T228" s="4"/>
      <c r="U228" s="4"/>
    </row>
    <row r="229" spans="1:21">
      <c r="A229" t="s">
        <v>490</v>
      </c>
      <c r="B229">
        <v>12</v>
      </c>
      <c r="C229" t="str">
        <f t="shared" si="29"/>
        <v>test.Class11_12_</v>
      </c>
      <c r="D229">
        <v>13</v>
      </c>
      <c r="E229" s="4">
        <v>1</v>
      </c>
      <c r="F229" s="4">
        <v>0.86590958724612366</v>
      </c>
      <c r="G229" s="4" t="str">
        <f t="shared" si="30"/>
        <v/>
      </c>
      <c r="H229" s="4" t="str">
        <f t="shared" si="31"/>
        <v/>
      </c>
      <c r="I229" s="4" t="str">
        <f t="shared" si="32"/>
        <v/>
      </c>
      <c r="J229" s="4" t="str">
        <f t="shared" si="33"/>
        <v/>
      </c>
      <c r="K229" s="4">
        <f t="shared" si="34"/>
        <v>1</v>
      </c>
      <c r="L229" s="4" t="str">
        <f t="shared" si="35"/>
        <v/>
      </c>
      <c r="M229" s="4"/>
      <c r="N229" s="4"/>
      <c r="O229" s="4"/>
      <c r="P229" s="4"/>
      <c r="Q229" s="4"/>
      <c r="R229" s="4"/>
      <c r="S229" s="4"/>
      <c r="T229" s="4"/>
      <c r="U229" s="4"/>
    </row>
    <row r="230" spans="1:21">
      <c r="A230" t="s">
        <v>490</v>
      </c>
      <c r="B230">
        <v>12</v>
      </c>
      <c r="C230" t="str">
        <f t="shared" si="29"/>
        <v>test.Class11_12_</v>
      </c>
      <c r="D230">
        <v>14</v>
      </c>
      <c r="E230" s="4">
        <v>1</v>
      </c>
      <c r="F230" s="4">
        <v>0.89255295916138899</v>
      </c>
      <c r="G230" s="4" t="str">
        <f t="shared" si="30"/>
        <v/>
      </c>
      <c r="H230" s="4" t="str">
        <f t="shared" si="31"/>
        <v/>
      </c>
      <c r="I230" s="4" t="str">
        <f t="shared" si="32"/>
        <v/>
      </c>
      <c r="J230" s="4" t="str">
        <f t="shared" si="33"/>
        <v/>
      </c>
      <c r="K230" s="4">
        <f t="shared" si="34"/>
        <v>1</v>
      </c>
      <c r="L230" s="4" t="str">
        <f t="shared" si="35"/>
        <v/>
      </c>
      <c r="M230" s="4"/>
      <c r="N230" s="4"/>
      <c r="O230" s="4"/>
      <c r="P230" s="4"/>
      <c r="Q230" s="4"/>
      <c r="R230" s="4"/>
      <c r="S230" s="4"/>
      <c r="T230" s="4"/>
      <c r="U230" s="4"/>
    </row>
    <row r="231" spans="1:21">
      <c r="A231" t="s">
        <v>490</v>
      </c>
      <c r="B231">
        <v>12</v>
      </c>
      <c r="C231" t="str">
        <f t="shared" si="29"/>
        <v>test.Class11_12_</v>
      </c>
      <c r="D231">
        <v>15</v>
      </c>
      <c r="E231" s="4">
        <v>1</v>
      </c>
      <c r="F231" s="4">
        <v>0.92094343743175366</v>
      </c>
      <c r="G231" s="4" t="str">
        <f t="shared" si="30"/>
        <v/>
      </c>
      <c r="H231" s="4" t="str">
        <f t="shared" si="31"/>
        <v/>
      </c>
      <c r="I231" s="4" t="str">
        <f t="shared" si="32"/>
        <v/>
      </c>
      <c r="J231" s="4" t="str">
        <f t="shared" si="33"/>
        <v/>
      </c>
      <c r="K231" s="4">
        <f t="shared" si="34"/>
        <v>1</v>
      </c>
      <c r="L231" s="4" t="str">
        <f t="shared" si="35"/>
        <v/>
      </c>
      <c r="M231" s="4"/>
      <c r="N231" s="4"/>
      <c r="O231" s="4"/>
      <c r="P231" s="4"/>
      <c r="Q231" s="4"/>
      <c r="R231" s="4"/>
      <c r="S231" s="4"/>
      <c r="T231" s="4"/>
      <c r="U231" s="4"/>
    </row>
    <row r="232" spans="1:21">
      <c r="A232" t="s">
        <v>490</v>
      </c>
      <c r="B232">
        <v>12</v>
      </c>
      <c r="C232" t="str">
        <f t="shared" si="29"/>
        <v>test.Class11_12_</v>
      </c>
      <c r="D232">
        <v>16</v>
      </c>
      <c r="E232" s="4">
        <v>1</v>
      </c>
      <c r="F232" s="4">
        <v>0.93863288927713473</v>
      </c>
      <c r="G232" s="4" t="str">
        <f t="shared" si="30"/>
        <v/>
      </c>
      <c r="H232" s="4" t="str">
        <f t="shared" si="31"/>
        <v/>
      </c>
      <c r="I232" s="4" t="str">
        <f t="shared" si="32"/>
        <v/>
      </c>
      <c r="J232" s="4" t="str">
        <f t="shared" si="33"/>
        <v/>
      </c>
      <c r="K232" s="4">
        <f t="shared" si="34"/>
        <v>1</v>
      </c>
      <c r="L232" s="4" t="str">
        <f t="shared" si="35"/>
        <v/>
      </c>
      <c r="M232" s="4"/>
      <c r="N232" s="4"/>
      <c r="O232" s="4"/>
      <c r="P232" s="4"/>
      <c r="Q232" s="4"/>
      <c r="R232" s="4"/>
      <c r="S232" s="4"/>
      <c r="T232" s="4"/>
      <c r="U232" s="4"/>
    </row>
    <row r="233" spans="1:21">
      <c r="A233" t="s">
        <v>490</v>
      </c>
      <c r="B233">
        <v>12</v>
      </c>
      <c r="C233" t="str">
        <f t="shared" si="29"/>
        <v>test.Class11_12_</v>
      </c>
      <c r="D233">
        <v>17</v>
      </c>
      <c r="E233" s="4">
        <v>1</v>
      </c>
      <c r="F233" s="4">
        <v>0.99737934046735099</v>
      </c>
      <c r="G233" s="4" t="str">
        <f t="shared" si="30"/>
        <v/>
      </c>
      <c r="H233" s="4" t="str">
        <f t="shared" si="31"/>
        <v/>
      </c>
      <c r="I233" s="4" t="str">
        <f t="shared" si="32"/>
        <v/>
      </c>
      <c r="J233" s="4" t="str">
        <f t="shared" si="33"/>
        <v/>
      </c>
      <c r="K233" s="4">
        <f t="shared" si="34"/>
        <v>1</v>
      </c>
      <c r="L233" s="4" t="str">
        <f t="shared" si="35"/>
        <v/>
      </c>
      <c r="M233" s="4"/>
      <c r="N233" s="4"/>
      <c r="O233" s="4"/>
      <c r="P233" s="4"/>
      <c r="Q233" s="4"/>
      <c r="R233" s="4"/>
      <c r="S233" s="4"/>
      <c r="T233" s="4"/>
      <c r="U233" s="4"/>
    </row>
    <row r="234" spans="1:21">
      <c r="A234" t="s">
        <v>491</v>
      </c>
      <c r="B234">
        <v>1</v>
      </c>
      <c r="C234" t="str">
        <f t="shared" si="29"/>
        <v>test.Class13_1_</v>
      </c>
      <c r="D234">
        <v>1</v>
      </c>
      <c r="E234" s="4">
        <v>0.20454545454545456</v>
      </c>
      <c r="F234" s="4">
        <v>0.3858579701310576</v>
      </c>
      <c r="G234" s="4" t="str">
        <f t="shared" si="30"/>
        <v/>
      </c>
      <c r="H234" s="4">
        <f t="shared" si="31"/>
        <v>0.20454545454545456</v>
      </c>
      <c r="I234" s="4" t="str">
        <f t="shared" si="32"/>
        <v/>
      </c>
      <c r="J234" s="4" t="str">
        <f t="shared" si="33"/>
        <v/>
      </c>
      <c r="K234" s="4" t="str">
        <f t="shared" si="34"/>
        <v/>
      </c>
      <c r="L234" s="4" t="str">
        <f t="shared" si="35"/>
        <v/>
      </c>
      <c r="M234" s="4"/>
      <c r="N234" s="4"/>
      <c r="O234" s="4"/>
      <c r="P234" s="4"/>
      <c r="Q234" s="4"/>
      <c r="R234" s="4"/>
      <c r="S234" s="4"/>
      <c r="T234" s="4"/>
      <c r="U234" s="4"/>
    </row>
    <row r="235" spans="1:21">
      <c r="A235" t="s">
        <v>491</v>
      </c>
      <c r="B235">
        <v>1</v>
      </c>
      <c r="C235" t="str">
        <f t="shared" si="29"/>
        <v>test.Class13_1_</v>
      </c>
      <c r="D235">
        <v>2</v>
      </c>
      <c r="E235" s="4">
        <v>0.38636363636363635</v>
      </c>
      <c r="F235" s="4">
        <v>0.47851264858274917</v>
      </c>
      <c r="G235" s="4" t="str">
        <f t="shared" si="30"/>
        <v/>
      </c>
      <c r="H235" s="4" t="str">
        <f t="shared" si="31"/>
        <v/>
      </c>
      <c r="I235" s="4">
        <f t="shared" si="32"/>
        <v>0.38636363636363635</v>
      </c>
      <c r="J235" s="4" t="str">
        <f t="shared" si="33"/>
        <v/>
      </c>
      <c r="K235" s="4" t="str">
        <f t="shared" si="34"/>
        <v/>
      </c>
      <c r="L235" s="4" t="str">
        <f t="shared" si="35"/>
        <v/>
      </c>
      <c r="M235" s="4"/>
      <c r="N235" s="4"/>
      <c r="O235" s="4"/>
      <c r="P235" s="4"/>
      <c r="Q235" s="4"/>
      <c r="R235" s="4"/>
      <c r="S235" s="4"/>
      <c r="T235" s="4"/>
      <c r="U235" s="4"/>
    </row>
    <row r="236" spans="1:21">
      <c r="A236" t="s">
        <v>491</v>
      </c>
      <c r="B236">
        <v>1</v>
      </c>
      <c r="C236" t="str">
        <f t="shared" si="29"/>
        <v>test.Class13_1_</v>
      </c>
      <c r="D236">
        <v>3</v>
      </c>
      <c r="E236" s="4">
        <v>0.38636363636363635</v>
      </c>
      <c r="F236" s="4">
        <v>0.49710454129838466</v>
      </c>
      <c r="G236" s="4" t="str">
        <f t="shared" si="30"/>
        <v/>
      </c>
      <c r="H236" s="4" t="str">
        <f t="shared" si="31"/>
        <v/>
      </c>
      <c r="I236" s="4">
        <f t="shared" si="32"/>
        <v>0.38636363636363635</v>
      </c>
      <c r="J236" s="4" t="str">
        <f t="shared" si="33"/>
        <v/>
      </c>
      <c r="K236" s="4" t="str">
        <f t="shared" si="34"/>
        <v/>
      </c>
      <c r="L236" s="4" t="str">
        <f t="shared" si="35"/>
        <v/>
      </c>
      <c r="M236" s="4"/>
      <c r="N236" s="4"/>
      <c r="O236" s="4"/>
      <c r="P236" s="4"/>
      <c r="Q236" s="4"/>
      <c r="R236" s="4"/>
      <c r="S236" s="4"/>
      <c r="T236" s="4"/>
      <c r="U236" s="4"/>
    </row>
    <row r="237" spans="1:21">
      <c r="A237" t="s">
        <v>491</v>
      </c>
      <c r="B237">
        <v>1</v>
      </c>
      <c r="C237" t="str">
        <f t="shared" si="29"/>
        <v>test.Class13_1_</v>
      </c>
      <c r="D237">
        <v>4</v>
      </c>
      <c r="E237" s="4">
        <v>0.38636363636363635</v>
      </c>
      <c r="F237" s="4">
        <v>0.5160012191405059</v>
      </c>
      <c r="G237" s="4" t="str">
        <f t="shared" si="30"/>
        <v/>
      </c>
      <c r="H237" s="4" t="str">
        <f t="shared" si="31"/>
        <v/>
      </c>
      <c r="I237" s="4">
        <f t="shared" si="32"/>
        <v>0.38636363636363635</v>
      </c>
      <c r="J237" s="4" t="str">
        <f t="shared" si="33"/>
        <v/>
      </c>
      <c r="K237" s="4" t="str">
        <f t="shared" si="34"/>
        <v/>
      </c>
      <c r="L237" s="4" t="str">
        <f t="shared" si="35"/>
        <v/>
      </c>
      <c r="M237" s="4"/>
      <c r="N237" s="4"/>
      <c r="O237" s="4"/>
      <c r="P237" s="4"/>
      <c r="Q237" s="4"/>
      <c r="R237" s="4"/>
      <c r="S237" s="4"/>
      <c r="T237" s="4"/>
      <c r="U237" s="4"/>
    </row>
    <row r="238" spans="1:21">
      <c r="A238" t="s">
        <v>491</v>
      </c>
      <c r="B238">
        <v>1</v>
      </c>
      <c r="C238" t="str">
        <f t="shared" si="29"/>
        <v>test.Class13_1_</v>
      </c>
      <c r="D238">
        <v>5</v>
      </c>
      <c r="E238" s="4">
        <v>1</v>
      </c>
      <c r="F238" s="4">
        <v>0.85857970131057604</v>
      </c>
      <c r="G238" s="4" t="str">
        <f t="shared" si="30"/>
        <v/>
      </c>
      <c r="H238" s="4" t="str">
        <f t="shared" si="31"/>
        <v/>
      </c>
      <c r="I238" s="4" t="str">
        <f t="shared" si="32"/>
        <v/>
      </c>
      <c r="J238" s="4" t="str">
        <f t="shared" si="33"/>
        <v/>
      </c>
      <c r="K238" s="4">
        <f t="shared" si="34"/>
        <v>1</v>
      </c>
      <c r="L238" s="4" t="str">
        <f t="shared" si="35"/>
        <v/>
      </c>
      <c r="M238" s="4"/>
      <c r="N238" s="4"/>
      <c r="O238" s="4"/>
      <c r="P238" s="4"/>
      <c r="Q238" s="4"/>
      <c r="R238" s="4"/>
      <c r="S238" s="4"/>
      <c r="T238" s="4"/>
      <c r="U238" s="4"/>
    </row>
    <row r="239" spans="1:21">
      <c r="A239" t="s">
        <v>491</v>
      </c>
      <c r="B239">
        <v>1</v>
      </c>
      <c r="C239" t="str">
        <f t="shared" si="29"/>
        <v>test.Class13_1_</v>
      </c>
      <c r="D239">
        <v>6</v>
      </c>
      <c r="E239" s="4">
        <v>1</v>
      </c>
      <c r="F239" s="4">
        <v>0.87442852788783909</v>
      </c>
      <c r="G239" s="4" t="str">
        <f t="shared" si="30"/>
        <v/>
      </c>
      <c r="H239" s="4" t="str">
        <f t="shared" si="31"/>
        <v/>
      </c>
      <c r="I239" s="4" t="str">
        <f t="shared" si="32"/>
        <v/>
      </c>
      <c r="J239" s="4" t="str">
        <f t="shared" si="33"/>
        <v/>
      </c>
      <c r="K239" s="4">
        <f t="shared" si="34"/>
        <v>1</v>
      </c>
      <c r="L239" s="4" t="str">
        <f t="shared" si="35"/>
        <v/>
      </c>
      <c r="M239" s="4"/>
      <c r="N239" s="4"/>
      <c r="O239" s="4"/>
      <c r="P239" s="4"/>
      <c r="Q239" s="4"/>
      <c r="R239" s="4"/>
      <c r="S239" s="4"/>
      <c r="T239" s="4"/>
      <c r="U239" s="4"/>
    </row>
    <row r="240" spans="1:21">
      <c r="A240" t="s">
        <v>491</v>
      </c>
      <c r="B240">
        <v>1</v>
      </c>
      <c r="C240" t="str">
        <f t="shared" si="29"/>
        <v>test.Class13_1_</v>
      </c>
      <c r="D240">
        <v>7</v>
      </c>
      <c r="E240" s="4">
        <v>1</v>
      </c>
      <c r="F240" s="4">
        <v>0.89119170984455953</v>
      </c>
      <c r="G240" s="4" t="str">
        <f t="shared" si="30"/>
        <v/>
      </c>
      <c r="H240" s="4" t="str">
        <f t="shared" si="31"/>
        <v/>
      </c>
      <c r="I240" s="4" t="str">
        <f t="shared" si="32"/>
        <v/>
      </c>
      <c r="J240" s="4" t="str">
        <f t="shared" si="33"/>
        <v/>
      </c>
      <c r="K240" s="4">
        <f t="shared" si="34"/>
        <v>1</v>
      </c>
      <c r="L240" s="4" t="str">
        <f t="shared" si="35"/>
        <v/>
      </c>
      <c r="M240" s="4"/>
      <c r="N240" s="4"/>
      <c r="O240" s="4"/>
      <c r="P240" s="4"/>
      <c r="Q240" s="4"/>
      <c r="R240" s="4"/>
      <c r="S240" s="4"/>
      <c r="T240" s="4"/>
      <c r="U240" s="4"/>
    </row>
    <row r="241" spans="1:21">
      <c r="A241" t="s">
        <v>492</v>
      </c>
      <c r="B241">
        <v>1</v>
      </c>
      <c r="C241" t="str">
        <f t="shared" si="29"/>
        <v>test.client_1_</v>
      </c>
      <c r="D241">
        <v>1</v>
      </c>
      <c r="E241" s="4">
        <v>7.8787878787878782E-2</v>
      </c>
      <c r="F241" s="4">
        <v>3.3182311275604622E-2</v>
      </c>
      <c r="G241" s="4">
        <f t="shared" si="30"/>
        <v>7.8787878787878782E-2</v>
      </c>
      <c r="H241" s="4" t="str">
        <f t="shared" si="31"/>
        <v/>
      </c>
      <c r="I241" s="4" t="str">
        <f t="shared" si="32"/>
        <v/>
      </c>
      <c r="J241" s="4" t="str">
        <f t="shared" si="33"/>
        <v/>
      </c>
      <c r="K241" s="4" t="str">
        <f t="shared" si="34"/>
        <v/>
      </c>
      <c r="L241" s="4" t="str">
        <f t="shared" si="35"/>
        <v/>
      </c>
      <c r="M241" s="4"/>
      <c r="N241" s="4"/>
      <c r="O241" s="4"/>
      <c r="P241" s="4"/>
      <c r="Q241" s="4"/>
      <c r="R241" s="4"/>
      <c r="S241" s="4"/>
      <c r="T241" s="4"/>
      <c r="U241" s="4"/>
    </row>
    <row r="242" spans="1:21">
      <c r="A242" t="s">
        <v>492</v>
      </c>
      <c r="B242">
        <v>1</v>
      </c>
      <c r="C242" t="str">
        <f t="shared" si="29"/>
        <v>test.client_1_</v>
      </c>
      <c r="D242">
        <v>2</v>
      </c>
      <c r="E242" s="4">
        <v>9.0909090909090912E-2</v>
      </c>
      <c r="F242" s="4">
        <v>3.784059728160296E-2</v>
      </c>
      <c r="G242" s="4">
        <f t="shared" si="30"/>
        <v>9.0909090909090912E-2</v>
      </c>
      <c r="H242" s="4" t="str">
        <f t="shared" si="31"/>
        <v/>
      </c>
      <c r="I242" s="4" t="str">
        <f t="shared" si="32"/>
        <v/>
      </c>
      <c r="J242" s="4" t="str">
        <f t="shared" si="33"/>
        <v/>
      </c>
      <c r="K242" s="4" t="str">
        <f t="shared" si="34"/>
        <v/>
      </c>
      <c r="L242" s="4" t="str">
        <f t="shared" si="35"/>
        <v/>
      </c>
      <c r="M242" s="4"/>
      <c r="N242" s="4"/>
      <c r="O242" s="4"/>
      <c r="P242" s="4"/>
      <c r="Q242" s="4"/>
      <c r="R242" s="4"/>
      <c r="S242" s="4"/>
      <c r="T242" s="4"/>
      <c r="U242" s="4"/>
    </row>
    <row r="243" spans="1:21">
      <c r="A243" t="s">
        <v>492</v>
      </c>
      <c r="B243">
        <v>1</v>
      </c>
      <c r="C243" t="str">
        <f t="shared" si="29"/>
        <v>test.client_1_</v>
      </c>
      <c r="D243">
        <v>3</v>
      </c>
      <c r="E243" s="4">
        <v>0.12727272727272726</v>
      </c>
      <c r="F243" s="4">
        <v>4.1222640546231891E-2</v>
      </c>
      <c r="G243" s="4">
        <f t="shared" si="30"/>
        <v>0.12727272727272726</v>
      </c>
      <c r="H243" s="4" t="str">
        <f t="shared" si="31"/>
        <v/>
      </c>
      <c r="I243" s="4" t="str">
        <f t="shared" si="32"/>
        <v/>
      </c>
      <c r="J243" s="4" t="str">
        <f t="shared" si="33"/>
        <v/>
      </c>
      <c r="K243" s="4" t="str">
        <f t="shared" si="34"/>
        <v/>
      </c>
      <c r="L243" s="4" t="str">
        <f t="shared" si="35"/>
        <v/>
      </c>
      <c r="M243" s="4"/>
      <c r="N243" s="4"/>
      <c r="O243" s="4"/>
      <c r="P243" s="4"/>
      <c r="Q243" s="4"/>
      <c r="R243" s="4"/>
      <c r="S243" s="4"/>
      <c r="T243" s="4"/>
      <c r="U243" s="4"/>
    </row>
    <row r="244" spans="1:21">
      <c r="A244" t="s">
        <v>492</v>
      </c>
      <c r="B244">
        <v>1</v>
      </c>
      <c r="C244" t="str">
        <f t="shared" si="29"/>
        <v>test.client_1_</v>
      </c>
      <c r="D244">
        <v>4</v>
      </c>
      <c r="E244" s="4">
        <v>0.13333333333333333</v>
      </c>
      <c r="F244" s="4">
        <v>4.3775126028970712E-2</v>
      </c>
      <c r="G244" s="4">
        <f t="shared" si="30"/>
        <v>0.13333333333333333</v>
      </c>
      <c r="H244" s="4" t="str">
        <f t="shared" si="31"/>
        <v/>
      </c>
      <c r="I244" s="4" t="str">
        <f t="shared" si="32"/>
        <v/>
      </c>
      <c r="J244" s="4" t="str">
        <f t="shared" si="33"/>
        <v/>
      </c>
      <c r="K244" s="4" t="str">
        <f t="shared" si="34"/>
        <v/>
      </c>
      <c r="L244" s="4" t="str">
        <f t="shared" si="35"/>
        <v/>
      </c>
      <c r="M244" s="4"/>
      <c r="N244" s="4"/>
      <c r="O244" s="4"/>
      <c r="P244" s="4"/>
      <c r="Q244" s="4"/>
      <c r="R244" s="4"/>
      <c r="S244" s="4"/>
      <c r="T244" s="4"/>
      <c r="U244" s="4"/>
    </row>
    <row r="245" spans="1:21">
      <c r="A245" t="s">
        <v>492</v>
      </c>
      <c r="B245">
        <v>1</v>
      </c>
      <c r="C245" t="str">
        <f t="shared" si="29"/>
        <v>test.client_1_</v>
      </c>
      <c r="D245">
        <v>5</v>
      </c>
      <c r="E245" s="4">
        <v>0.14545454545454545</v>
      </c>
      <c r="F245" s="4">
        <v>4.5434241592750939E-2</v>
      </c>
      <c r="G245" s="4">
        <f t="shared" si="30"/>
        <v>0.14545454545454545</v>
      </c>
      <c r="H245" s="4" t="str">
        <f t="shared" si="31"/>
        <v/>
      </c>
      <c r="I245" s="4" t="str">
        <f t="shared" si="32"/>
        <v/>
      </c>
      <c r="J245" s="4" t="str">
        <f t="shared" si="33"/>
        <v/>
      </c>
      <c r="K245" s="4" t="str">
        <f t="shared" si="34"/>
        <v/>
      </c>
      <c r="L245" s="4" t="str">
        <f t="shared" si="35"/>
        <v/>
      </c>
      <c r="M245" s="4"/>
      <c r="N245" s="4"/>
      <c r="O245" s="4"/>
      <c r="P245" s="4"/>
      <c r="Q245" s="4"/>
      <c r="R245" s="4"/>
      <c r="S245" s="4"/>
      <c r="T245" s="4"/>
      <c r="U245" s="4"/>
    </row>
    <row r="246" spans="1:21">
      <c r="A246" t="s">
        <v>492</v>
      </c>
      <c r="B246">
        <v>1</v>
      </c>
      <c r="C246" t="str">
        <f t="shared" si="29"/>
        <v>test.client_1_</v>
      </c>
      <c r="D246">
        <v>6</v>
      </c>
      <c r="E246" s="4">
        <v>0.15757575757575756</v>
      </c>
      <c r="F246" s="4">
        <v>4.5880926552230236E-2</v>
      </c>
      <c r="G246" s="4">
        <f t="shared" si="30"/>
        <v>0.15757575757575756</v>
      </c>
      <c r="H246" s="4" t="str">
        <f t="shared" si="31"/>
        <v/>
      </c>
      <c r="I246" s="4" t="str">
        <f t="shared" si="32"/>
        <v/>
      </c>
      <c r="J246" s="4" t="str">
        <f t="shared" si="33"/>
        <v/>
      </c>
      <c r="K246" s="4" t="str">
        <f t="shared" si="34"/>
        <v/>
      </c>
      <c r="L246" s="4" t="str">
        <f t="shared" si="35"/>
        <v/>
      </c>
      <c r="M246" s="4"/>
      <c r="N246" s="4"/>
      <c r="O246" s="4"/>
      <c r="P246" s="4"/>
      <c r="Q246" s="4"/>
      <c r="R246" s="4"/>
      <c r="S246" s="4"/>
      <c r="T246" s="4"/>
      <c r="U246" s="4"/>
    </row>
    <row r="247" spans="1:21">
      <c r="A247" t="s">
        <v>492</v>
      </c>
      <c r="B247">
        <v>1</v>
      </c>
      <c r="C247" t="str">
        <f t="shared" si="29"/>
        <v>test.client_1_</v>
      </c>
      <c r="D247">
        <v>7</v>
      </c>
      <c r="E247" s="4">
        <v>0.16363636363636364</v>
      </c>
      <c r="F247" s="4">
        <v>4.6008550826367178E-2</v>
      </c>
      <c r="G247" s="4">
        <f t="shared" si="30"/>
        <v>0.16363636363636364</v>
      </c>
      <c r="H247" s="4" t="str">
        <f t="shared" si="31"/>
        <v/>
      </c>
      <c r="I247" s="4" t="str">
        <f t="shared" si="32"/>
        <v/>
      </c>
      <c r="J247" s="4" t="str">
        <f t="shared" si="33"/>
        <v/>
      </c>
      <c r="K247" s="4" t="str">
        <f t="shared" si="34"/>
        <v/>
      </c>
      <c r="L247" s="4" t="str">
        <f t="shared" si="35"/>
        <v/>
      </c>
      <c r="M247" s="4"/>
      <c r="N247" s="4"/>
      <c r="O247" s="4"/>
      <c r="P247" s="4"/>
      <c r="Q247" s="4"/>
      <c r="R247" s="4"/>
      <c r="S247" s="4"/>
      <c r="T247" s="4"/>
      <c r="U247" s="4"/>
    </row>
    <row r="248" spans="1:21">
      <c r="A248" t="s">
        <v>492</v>
      </c>
      <c r="B248">
        <v>1</v>
      </c>
      <c r="C248" t="str">
        <f t="shared" si="29"/>
        <v>test.client_1_</v>
      </c>
      <c r="D248">
        <v>8</v>
      </c>
      <c r="E248" s="4">
        <v>0.16969696969696971</v>
      </c>
      <c r="F248" s="4">
        <v>4.7220981430668114E-2</v>
      </c>
      <c r="G248" s="4">
        <f t="shared" si="30"/>
        <v>0.16969696969696971</v>
      </c>
      <c r="H248" s="4" t="str">
        <f t="shared" si="31"/>
        <v/>
      </c>
      <c r="I248" s="4" t="str">
        <f t="shared" si="32"/>
        <v/>
      </c>
      <c r="J248" s="4" t="str">
        <f t="shared" si="33"/>
        <v/>
      </c>
      <c r="K248" s="4" t="str">
        <f t="shared" si="34"/>
        <v/>
      </c>
      <c r="L248" s="4" t="str">
        <f t="shared" si="35"/>
        <v/>
      </c>
      <c r="M248" s="4"/>
      <c r="N248" s="4"/>
      <c r="O248" s="4"/>
      <c r="P248" s="4"/>
      <c r="Q248" s="4"/>
      <c r="R248" s="4"/>
      <c r="S248" s="4"/>
      <c r="T248" s="4"/>
      <c r="U248" s="4"/>
    </row>
    <row r="249" spans="1:21">
      <c r="A249" t="s">
        <v>492</v>
      </c>
      <c r="B249">
        <v>1</v>
      </c>
      <c r="C249" t="str">
        <f t="shared" si="29"/>
        <v>test.client_1_</v>
      </c>
      <c r="D249">
        <v>9</v>
      </c>
      <c r="E249" s="4">
        <v>0.18181818181818182</v>
      </c>
      <c r="F249" s="4">
        <v>4.836959989790058E-2</v>
      </c>
      <c r="G249" s="4">
        <f t="shared" si="30"/>
        <v>0.18181818181818182</v>
      </c>
      <c r="H249" s="4" t="str">
        <f t="shared" si="31"/>
        <v/>
      </c>
      <c r="I249" s="4" t="str">
        <f t="shared" si="32"/>
        <v/>
      </c>
      <c r="J249" s="4" t="str">
        <f t="shared" si="33"/>
        <v/>
      </c>
      <c r="K249" s="4" t="str">
        <f t="shared" si="34"/>
        <v/>
      </c>
      <c r="L249" s="4" t="str">
        <f t="shared" si="35"/>
        <v/>
      </c>
      <c r="M249" s="4"/>
      <c r="N249" s="4"/>
      <c r="O249" s="4"/>
      <c r="P249" s="4"/>
      <c r="Q249" s="4"/>
      <c r="R249" s="4"/>
      <c r="S249" s="4"/>
      <c r="T249" s="4"/>
      <c r="U249" s="4"/>
    </row>
    <row r="250" spans="1:21">
      <c r="A250" t="s">
        <v>492</v>
      </c>
      <c r="B250">
        <v>1</v>
      </c>
      <c r="C250" t="str">
        <f t="shared" si="29"/>
        <v>test.client_1_</v>
      </c>
      <c r="D250">
        <v>10</v>
      </c>
      <c r="E250" s="4">
        <v>0.19393939393939394</v>
      </c>
      <c r="F250" s="4">
        <v>5.0475400421160103E-2</v>
      </c>
      <c r="G250" s="4">
        <f t="shared" si="30"/>
        <v>0.19393939393939394</v>
      </c>
      <c r="H250" s="4" t="str">
        <f t="shared" si="31"/>
        <v/>
      </c>
      <c r="I250" s="4" t="str">
        <f t="shared" si="32"/>
        <v/>
      </c>
      <c r="J250" s="4" t="str">
        <f t="shared" si="33"/>
        <v/>
      </c>
      <c r="K250" s="4" t="str">
        <f t="shared" si="34"/>
        <v/>
      </c>
      <c r="L250" s="4" t="str">
        <f t="shared" si="35"/>
        <v/>
      </c>
      <c r="M250" s="4"/>
      <c r="N250" s="4"/>
      <c r="O250" s="4"/>
      <c r="P250" s="4"/>
      <c r="Q250" s="4"/>
      <c r="R250" s="4"/>
      <c r="S250" s="4"/>
      <c r="T250" s="4"/>
      <c r="U250" s="4"/>
    </row>
    <row r="251" spans="1:21">
      <c r="A251" t="s">
        <v>492</v>
      </c>
      <c r="B251">
        <v>1</v>
      </c>
      <c r="C251" t="str">
        <f t="shared" si="29"/>
        <v>test.client_1_</v>
      </c>
      <c r="D251">
        <v>11</v>
      </c>
      <c r="E251" s="4">
        <v>0.21212121212121213</v>
      </c>
      <c r="F251" s="4">
        <v>5.1943079573734924E-2</v>
      </c>
      <c r="G251" s="4">
        <f t="shared" si="30"/>
        <v>0.21212121212121213</v>
      </c>
      <c r="H251" s="4" t="str">
        <f t="shared" si="31"/>
        <v/>
      </c>
      <c r="I251" s="4" t="str">
        <f t="shared" si="32"/>
        <v/>
      </c>
      <c r="J251" s="4" t="str">
        <f t="shared" si="33"/>
        <v/>
      </c>
      <c r="K251" s="4" t="str">
        <f t="shared" si="34"/>
        <v/>
      </c>
      <c r="L251" s="4" t="str">
        <f t="shared" si="35"/>
        <v/>
      </c>
      <c r="M251" s="4"/>
      <c r="N251" s="4"/>
      <c r="O251" s="4"/>
      <c r="P251" s="4"/>
      <c r="Q251" s="4"/>
      <c r="R251" s="4"/>
      <c r="S251" s="4"/>
      <c r="T251" s="4"/>
      <c r="U251" s="4"/>
    </row>
    <row r="252" spans="1:21">
      <c r="A252" t="s">
        <v>492</v>
      </c>
      <c r="B252">
        <v>1</v>
      </c>
      <c r="C252" t="str">
        <f t="shared" si="29"/>
        <v>test.client_1_</v>
      </c>
      <c r="D252">
        <v>12</v>
      </c>
      <c r="E252" s="4">
        <v>0.21818181818181817</v>
      </c>
      <c r="F252" s="4">
        <v>5.2389764533214214E-2</v>
      </c>
      <c r="G252" s="4">
        <f t="shared" si="30"/>
        <v>0.21818181818181817</v>
      </c>
      <c r="H252" s="4" t="str">
        <f t="shared" si="31"/>
        <v/>
      </c>
      <c r="I252" s="4" t="str">
        <f t="shared" si="32"/>
        <v/>
      </c>
      <c r="J252" s="4" t="str">
        <f t="shared" si="33"/>
        <v/>
      </c>
      <c r="K252" s="4" t="str">
        <f t="shared" si="34"/>
        <v/>
      </c>
      <c r="L252" s="4" t="str">
        <f t="shared" si="35"/>
        <v/>
      </c>
      <c r="M252" s="4"/>
      <c r="N252" s="4"/>
      <c r="O252" s="4"/>
      <c r="P252" s="4"/>
      <c r="Q252" s="4"/>
      <c r="R252" s="4"/>
      <c r="S252" s="4"/>
      <c r="T252" s="4"/>
      <c r="U252" s="4"/>
    </row>
    <row r="253" spans="1:21">
      <c r="A253" t="s">
        <v>492</v>
      </c>
      <c r="B253">
        <v>1</v>
      </c>
      <c r="C253" t="str">
        <f t="shared" si="29"/>
        <v>test.client_1_</v>
      </c>
      <c r="D253">
        <v>13</v>
      </c>
      <c r="E253" s="4">
        <v>0.23636363636363636</v>
      </c>
      <c r="F253" s="4">
        <v>5.3729819411652099E-2</v>
      </c>
      <c r="G253" s="4">
        <f t="shared" si="30"/>
        <v>0.23636363636363636</v>
      </c>
      <c r="H253" s="4" t="str">
        <f t="shared" si="31"/>
        <v/>
      </c>
      <c r="I253" s="4" t="str">
        <f t="shared" si="32"/>
        <v/>
      </c>
      <c r="J253" s="4" t="str">
        <f t="shared" si="33"/>
        <v/>
      </c>
      <c r="K253" s="4" t="str">
        <f t="shared" si="34"/>
        <v/>
      </c>
      <c r="L253" s="4" t="str">
        <f t="shared" si="35"/>
        <v/>
      </c>
      <c r="M253" s="4"/>
      <c r="N253" s="4"/>
      <c r="O253" s="4"/>
      <c r="P253" s="4"/>
      <c r="Q253" s="4"/>
      <c r="R253" s="4"/>
      <c r="S253" s="4"/>
      <c r="T253" s="4"/>
      <c r="U253" s="4"/>
    </row>
    <row r="254" spans="1:21">
      <c r="A254" t="s">
        <v>492</v>
      </c>
      <c r="B254">
        <v>1</v>
      </c>
      <c r="C254" t="str">
        <f t="shared" si="29"/>
        <v>test.client_1_</v>
      </c>
      <c r="D254">
        <v>14</v>
      </c>
      <c r="E254" s="4">
        <v>0.24242424242424243</v>
      </c>
      <c r="F254" s="4">
        <v>5.4750813604747622E-2</v>
      </c>
      <c r="G254" s="4">
        <f t="shared" si="30"/>
        <v>0.24242424242424243</v>
      </c>
      <c r="H254" s="4" t="str">
        <f t="shared" si="31"/>
        <v/>
      </c>
      <c r="I254" s="4" t="str">
        <f t="shared" si="32"/>
        <v/>
      </c>
      <c r="J254" s="4" t="str">
        <f t="shared" si="33"/>
        <v/>
      </c>
      <c r="K254" s="4" t="str">
        <f t="shared" si="34"/>
        <v/>
      </c>
      <c r="L254" s="4" t="str">
        <f t="shared" si="35"/>
        <v/>
      </c>
      <c r="M254" s="4"/>
      <c r="N254" s="4"/>
      <c r="O254" s="4"/>
      <c r="P254" s="4"/>
      <c r="Q254" s="4"/>
      <c r="R254" s="4"/>
      <c r="S254" s="4"/>
      <c r="T254" s="4"/>
      <c r="U254" s="4"/>
    </row>
    <row r="255" spans="1:21">
      <c r="A255" t="s">
        <v>492</v>
      </c>
      <c r="B255">
        <v>1</v>
      </c>
      <c r="C255" t="str">
        <f t="shared" si="29"/>
        <v>test.client_1_</v>
      </c>
      <c r="D255">
        <v>15</v>
      </c>
      <c r="E255" s="4">
        <v>0.24848484848484848</v>
      </c>
      <c r="F255" s="4">
        <v>5.5707995660774681E-2</v>
      </c>
      <c r="G255" s="4">
        <f t="shared" si="30"/>
        <v>0.24848484848484848</v>
      </c>
      <c r="H255" s="4" t="str">
        <f t="shared" si="31"/>
        <v/>
      </c>
      <c r="I255" s="4" t="str">
        <f t="shared" si="32"/>
        <v/>
      </c>
      <c r="J255" s="4" t="str">
        <f t="shared" si="33"/>
        <v/>
      </c>
      <c r="K255" s="4" t="str">
        <f t="shared" si="34"/>
        <v/>
      </c>
      <c r="L255" s="4" t="str">
        <f t="shared" si="35"/>
        <v/>
      </c>
      <c r="M255" s="4"/>
      <c r="N255" s="4"/>
      <c r="O255" s="4"/>
      <c r="P255" s="4"/>
      <c r="Q255" s="4"/>
      <c r="R255" s="4"/>
      <c r="S255" s="4"/>
      <c r="T255" s="4"/>
      <c r="U255" s="4"/>
    </row>
    <row r="256" spans="1:21">
      <c r="A256" t="s">
        <v>492</v>
      </c>
      <c r="B256">
        <v>1</v>
      </c>
      <c r="C256" t="str">
        <f t="shared" si="29"/>
        <v>test.client_1_</v>
      </c>
      <c r="D256">
        <v>16</v>
      </c>
      <c r="E256" s="4">
        <v>1</v>
      </c>
      <c r="F256" s="4">
        <v>0.9631803969114926</v>
      </c>
      <c r="G256" s="4" t="str">
        <f t="shared" si="30"/>
        <v/>
      </c>
      <c r="H256" s="4" t="str">
        <f t="shared" si="31"/>
        <v/>
      </c>
      <c r="I256" s="4" t="str">
        <f t="shared" si="32"/>
        <v/>
      </c>
      <c r="J256" s="4" t="str">
        <f t="shared" si="33"/>
        <v/>
      </c>
      <c r="K256" s="4">
        <f t="shared" si="34"/>
        <v>1</v>
      </c>
      <c r="L256" s="4" t="str">
        <f t="shared" si="35"/>
        <v/>
      </c>
      <c r="M256" s="4"/>
      <c r="N256" s="4"/>
      <c r="O256" s="4"/>
      <c r="P256" s="4"/>
      <c r="Q256" s="4"/>
      <c r="R256" s="4"/>
      <c r="S256" s="4"/>
      <c r="T256" s="4"/>
      <c r="U256" s="4"/>
    </row>
    <row r="257" spans="1:21">
      <c r="A257" t="s">
        <v>492</v>
      </c>
      <c r="B257">
        <v>3</v>
      </c>
      <c r="C257" t="str">
        <f t="shared" si="29"/>
        <v>test.client_3_</v>
      </c>
      <c r="D257">
        <v>1</v>
      </c>
      <c r="E257" s="4">
        <v>0.84036144578313254</v>
      </c>
      <c r="F257" s="4">
        <v>0.76360321800816389</v>
      </c>
      <c r="G257" s="4" t="str">
        <f t="shared" si="30"/>
        <v/>
      </c>
      <c r="H257" s="4" t="str">
        <f t="shared" si="31"/>
        <v/>
      </c>
      <c r="I257" s="4" t="str">
        <f t="shared" si="32"/>
        <v/>
      </c>
      <c r="J257" s="4">
        <f t="shared" si="33"/>
        <v>0.84036144578313254</v>
      </c>
      <c r="K257" s="4" t="str">
        <f t="shared" si="34"/>
        <v/>
      </c>
      <c r="L257" s="4" t="str">
        <f t="shared" si="35"/>
        <v/>
      </c>
      <c r="M257" s="4"/>
      <c r="N257" s="4"/>
      <c r="O257" s="4"/>
      <c r="P257" s="4"/>
      <c r="Q257" s="4"/>
      <c r="R257" s="4"/>
      <c r="S257" s="4"/>
      <c r="T257" s="4"/>
      <c r="U257" s="4"/>
    </row>
    <row r="258" spans="1:21">
      <c r="A258" t="s">
        <v>492</v>
      </c>
      <c r="B258">
        <v>3</v>
      </c>
      <c r="C258" t="str">
        <f t="shared" si="29"/>
        <v>test.client_3_</v>
      </c>
      <c r="D258">
        <v>2</v>
      </c>
      <c r="E258" s="4">
        <v>0.99698795180722888</v>
      </c>
      <c r="F258" s="4">
        <v>0.89866444735069151</v>
      </c>
      <c r="G258" s="4" t="str">
        <f t="shared" si="30"/>
        <v/>
      </c>
      <c r="H258" s="4" t="str">
        <f t="shared" si="31"/>
        <v/>
      </c>
      <c r="I258" s="4" t="str">
        <f t="shared" si="32"/>
        <v/>
      </c>
      <c r="J258" s="4" t="str">
        <f t="shared" si="33"/>
        <v/>
      </c>
      <c r="K258" s="4">
        <f t="shared" si="34"/>
        <v>0.99698795180722888</v>
      </c>
      <c r="L258" s="4" t="str">
        <f t="shared" si="35"/>
        <v/>
      </c>
      <c r="M258" s="4"/>
      <c r="N258" s="4"/>
      <c r="O258" s="4"/>
      <c r="P258" s="4"/>
      <c r="Q258" s="4"/>
      <c r="R258" s="4"/>
      <c r="S258" s="4"/>
      <c r="T258" s="4"/>
      <c r="U258" s="4"/>
    </row>
    <row r="259" spans="1:21">
      <c r="A259" t="s">
        <v>492</v>
      </c>
      <c r="B259">
        <v>3</v>
      </c>
      <c r="C259" t="str">
        <f t="shared" ref="C259:C322" si="36">CONCATENATE(A259, "_",B259,"_")</f>
        <v>test.client_3_</v>
      </c>
      <c r="D259">
        <v>3</v>
      </c>
      <c r="E259" s="4">
        <v>1</v>
      </c>
      <c r="F259" s="4">
        <v>0.99675028732215754</v>
      </c>
      <c r="G259" s="4" t="str">
        <f t="shared" ref="G259:G322" si="37">IF(F259 &lt;= 0.2,E259,"")</f>
        <v/>
      </c>
      <c r="H259" s="4" t="str">
        <f t="shared" ref="H259:H322" si="38">IF(AND($F259 &gt; 0.2,$F259 &lt;= 0.4),$E259,"")</f>
        <v/>
      </c>
      <c r="I259" s="4" t="str">
        <f t="shared" ref="I259:I322" si="39">IF(AND($F259 &gt; 0.4,$F259 &lt;= 0.6),$E259,"")</f>
        <v/>
      </c>
      <c r="J259" s="4" t="str">
        <f t="shared" ref="J259:J322" si="40">IF(AND($F259 &gt; 0.6,$F259 &lt;= 0.8),$E259,"")</f>
        <v/>
      </c>
      <c r="K259" s="4">
        <f t="shared" ref="K259:K322" si="41">IF(AND($F259 &gt; 0.8, $F259 &lt;=1.1),$E259,"")</f>
        <v>1</v>
      </c>
      <c r="L259" s="4" t="str">
        <f t="shared" ref="L259:L322" si="42">IF(AND($F259 &gt; 1.1),$E259,"")</f>
        <v/>
      </c>
      <c r="M259" s="4"/>
      <c r="N259" s="4"/>
      <c r="O259" s="4"/>
      <c r="P259" s="4"/>
      <c r="Q259" s="4"/>
      <c r="R259" s="4"/>
      <c r="S259" s="4"/>
      <c r="T259" s="4"/>
      <c r="U259" s="4"/>
    </row>
    <row r="260" spans="1:21">
      <c r="A260" t="s">
        <v>492</v>
      </c>
      <c r="B260">
        <v>4</v>
      </c>
      <c r="C260" t="str">
        <f t="shared" si="36"/>
        <v>test.client_4_</v>
      </c>
      <c r="D260">
        <v>1</v>
      </c>
      <c r="E260" s="4">
        <v>0.86821705426356588</v>
      </c>
      <c r="F260" s="4">
        <v>0.86994760479041922</v>
      </c>
      <c r="G260" s="4" t="str">
        <f t="shared" si="37"/>
        <v/>
      </c>
      <c r="H260" s="4" t="str">
        <f t="shared" si="38"/>
        <v/>
      </c>
      <c r="I260" s="4" t="str">
        <f t="shared" si="39"/>
        <v/>
      </c>
      <c r="J260" s="4" t="str">
        <f t="shared" si="40"/>
        <v/>
      </c>
      <c r="K260" s="4">
        <f t="shared" si="41"/>
        <v>0.86821705426356588</v>
      </c>
      <c r="L260" s="4" t="str">
        <f t="shared" si="42"/>
        <v/>
      </c>
      <c r="M260" s="4"/>
      <c r="N260" s="4"/>
      <c r="O260" s="4"/>
      <c r="P260" s="4"/>
      <c r="Q260" s="4"/>
      <c r="R260" s="4"/>
      <c r="S260" s="4"/>
      <c r="T260" s="4"/>
      <c r="U260" s="4"/>
    </row>
    <row r="261" spans="1:21">
      <c r="A261" t="s">
        <v>492</v>
      </c>
      <c r="B261">
        <v>4</v>
      </c>
      <c r="C261" t="str">
        <f t="shared" si="36"/>
        <v>test.client_4_</v>
      </c>
      <c r="D261">
        <v>2</v>
      </c>
      <c r="E261" s="4">
        <v>0.89922480620155043</v>
      </c>
      <c r="F261" s="4">
        <v>0.88005239520958078</v>
      </c>
      <c r="G261" s="4" t="str">
        <f t="shared" si="37"/>
        <v/>
      </c>
      <c r="H261" s="4" t="str">
        <f t="shared" si="38"/>
        <v/>
      </c>
      <c r="I261" s="4" t="str">
        <f t="shared" si="39"/>
        <v/>
      </c>
      <c r="J261" s="4" t="str">
        <f t="shared" si="40"/>
        <v/>
      </c>
      <c r="K261" s="4">
        <f t="shared" si="41"/>
        <v>0.89922480620155043</v>
      </c>
      <c r="L261" s="4" t="str">
        <f t="shared" si="42"/>
        <v/>
      </c>
      <c r="M261" s="4"/>
      <c r="N261" s="4"/>
      <c r="O261" s="4"/>
      <c r="P261" s="4"/>
      <c r="Q261" s="4"/>
      <c r="R261" s="4"/>
      <c r="S261" s="4"/>
      <c r="T261" s="4"/>
      <c r="U261" s="4"/>
    </row>
    <row r="262" spans="1:21">
      <c r="A262" t="s">
        <v>492</v>
      </c>
      <c r="B262">
        <v>4</v>
      </c>
      <c r="C262" t="str">
        <f t="shared" si="36"/>
        <v>test.client_4_</v>
      </c>
      <c r="D262">
        <v>3</v>
      </c>
      <c r="E262" s="4">
        <v>0.92248062015503873</v>
      </c>
      <c r="F262" s="4">
        <v>0.89333832335329344</v>
      </c>
      <c r="G262" s="4" t="str">
        <f t="shared" si="37"/>
        <v/>
      </c>
      <c r="H262" s="4" t="str">
        <f t="shared" si="38"/>
        <v/>
      </c>
      <c r="I262" s="4" t="str">
        <f t="shared" si="39"/>
        <v/>
      </c>
      <c r="J262" s="4" t="str">
        <f t="shared" si="40"/>
        <v/>
      </c>
      <c r="K262" s="4">
        <f t="shared" si="41"/>
        <v>0.92248062015503873</v>
      </c>
      <c r="L262" s="4" t="str">
        <f t="shared" si="42"/>
        <v/>
      </c>
      <c r="M262" s="4"/>
      <c r="N262" s="4"/>
      <c r="O262" s="4"/>
      <c r="P262" s="4"/>
      <c r="Q262" s="4"/>
      <c r="R262" s="4"/>
      <c r="S262" s="4"/>
      <c r="T262" s="4"/>
      <c r="U262" s="4"/>
    </row>
    <row r="263" spans="1:21">
      <c r="A263" t="s">
        <v>492</v>
      </c>
      <c r="B263">
        <v>4</v>
      </c>
      <c r="C263" t="str">
        <f t="shared" si="36"/>
        <v>test.client_4_</v>
      </c>
      <c r="D263">
        <v>4</v>
      </c>
      <c r="E263" s="4">
        <v>0.99224806201550386</v>
      </c>
      <c r="F263" s="4">
        <v>0.9447979041916168</v>
      </c>
      <c r="G263" s="4" t="str">
        <f t="shared" si="37"/>
        <v/>
      </c>
      <c r="H263" s="4" t="str">
        <f t="shared" si="38"/>
        <v/>
      </c>
      <c r="I263" s="4" t="str">
        <f t="shared" si="39"/>
        <v/>
      </c>
      <c r="J263" s="4" t="str">
        <f t="shared" si="40"/>
        <v/>
      </c>
      <c r="K263" s="4">
        <f t="shared" si="41"/>
        <v>0.99224806201550386</v>
      </c>
      <c r="L263" s="4" t="str">
        <f t="shared" si="42"/>
        <v/>
      </c>
      <c r="M263" s="4"/>
      <c r="N263" s="4"/>
      <c r="O263" s="4"/>
      <c r="P263" s="4"/>
      <c r="Q263" s="4"/>
      <c r="R263" s="4"/>
      <c r="S263" s="4"/>
      <c r="T263" s="4"/>
      <c r="U263" s="4"/>
    </row>
    <row r="264" spans="1:21">
      <c r="A264" t="s">
        <v>492</v>
      </c>
      <c r="B264">
        <v>4</v>
      </c>
      <c r="C264" t="str">
        <f t="shared" si="36"/>
        <v>test.client_4_</v>
      </c>
      <c r="D264">
        <v>5</v>
      </c>
      <c r="E264" s="4">
        <v>0.99224806201550386</v>
      </c>
      <c r="F264" s="4">
        <v>0.95864520958083832</v>
      </c>
      <c r="G264" s="4" t="str">
        <f t="shared" si="37"/>
        <v/>
      </c>
      <c r="H264" s="4" t="str">
        <f t="shared" si="38"/>
        <v/>
      </c>
      <c r="I264" s="4" t="str">
        <f t="shared" si="39"/>
        <v/>
      </c>
      <c r="J264" s="4" t="str">
        <f t="shared" si="40"/>
        <v/>
      </c>
      <c r="K264" s="4">
        <f t="shared" si="41"/>
        <v>0.99224806201550386</v>
      </c>
      <c r="L264" s="4" t="str">
        <f t="shared" si="42"/>
        <v/>
      </c>
      <c r="M264" s="4"/>
      <c r="N264" s="4"/>
      <c r="O264" s="4"/>
      <c r="P264" s="4"/>
      <c r="Q264" s="4"/>
      <c r="R264" s="4"/>
      <c r="S264" s="4"/>
      <c r="T264" s="4"/>
      <c r="U264" s="4"/>
    </row>
    <row r="265" spans="1:21">
      <c r="A265" t="s">
        <v>492</v>
      </c>
      <c r="B265">
        <v>4</v>
      </c>
      <c r="C265" t="str">
        <f t="shared" si="36"/>
        <v>test.client_4_</v>
      </c>
      <c r="D265">
        <v>6</v>
      </c>
      <c r="E265" s="4">
        <v>0.99224806201550386</v>
      </c>
      <c r="F265" s="4">
        <v>0.96014221556886226</v>
      </c>
      <c r="G265" s="4" t="str">
        <f t="shared" si="37"/>
        <v/>
      </c>
      <c r="H265" s="4" t="str">
        <f t="shared" si="38"/>
        <v/>
      </c>
      <c r="I265" s="4" t="str">
        <f t="shared" si="39"/>
        <v/>
      </c>
      <c r="J265" s="4" t="str">
        <f t="shared" si="40"/>
        <v/>
      </c>
      <c r="K265" s="4">
        <f t="shared" si="41"/>
        <v>0.99224806201550386</v>
      </c>
      <c r="L265" s="4" t="str">
        <f t="shared" si="42"/>
        <v/>
      </c>
      <c r="M265" s="4"/>
      <c r="N265" s="4"/>
      <c r="O265" s="4"/>
      <c r="P265" s="4"/>
      <c r="Q265" s="4"/>
      <c r="R265" s="4"/>
      <c r="S265" s="4"/>
      <c r="T265" s="4"/>
      <c r="U265" s="4"/>
    </row>
    <row r="266" spans="1:21">
      <c r="A266" t="s">
        <v>492</v>
      </c>
      <c r="B266">
        <v>4</v>
      </c>
      <c r="C266" t="str">
        <f t="shared" si="36"/>
        <v>test.client_4_</v>
      </c>
      <c r="D266">
        <v>7</v>
      </c>
      <c r="E266" s="4">
        <v>1</v>
      </c>
      <c r="F266" s="4">
        <v>1.1427769461077844</v>
      </c>
      <c r="G266" s="4" t="str">
        <f t="shared" si="37"/>
        <v/>
      </c>
      <c r="H266" s="4" t="str">
        <f t="shared" si="38"/>
        <v/>
      </c>
      <c r="I266" s="4" t="str">
        <f t="shared" si="39"/>
        <v/>
      </c>
      <c r="J266" s="4" t="str">
        <f t="shared" si="40"/>
        <v/>
      </c>
      <c r="K266" s="4" t="str">
        <f t="shared" si="41"/>
        <v/>
      </c>
      <c r="L266" s="4">
        <f t="shared" si="42"/>
        <v>1</v>
      </c>
      <c r="M266" s="4"/>
      <c r="N266" s="4"/>
      <c r="O266" s="4"/>
      <c r="P266" s="4"/>
      <c r="Q266" s="4"/>
      <c r="R266" s="4"/>
      <c r="S266" s="4"/>
      <c r="T266" s="4"/>
      <c r="U266" s="4"/>
    </row>
    <row r="267" spans="1:21">
      <c r="A267" t="s">
        <v>492</v>
      </c>
      <c r="B267">
        <v>4</v>
      </c>
      <c r="C267" t="str">
        <f t="shared" si="36"/>
        <v>test.client_4_</v>
      </c>
      <c r="D267">
        <v>8</v>
      </c>
      <c r="E267" s="4">
        <v>1</v>
      </c>
      <c r="F267" s="4">
        <v>1.1483907185628743</v>
      </c>
      <c r="G267" s="4" t="str">
        <f t="shared" si="37"/>
        <v/>
      </c>
      <c r="H267" s="4" t="str">
        <f t="shared" si="38"/>
        <v/>
      </c>
      <c r="I267" s="4" t="str">
        <f t="shared" si="39"/>
        <v/>
      </c>
      <c r="J267" s="4" t="str">
        <f t="shared" si="40"/>
        <v/>
      </c>
      <c r="K267" s="4" t="str">
        <f t="shared" si="41"/>
        <v/>
      </c>
      <c r="L267" s="4">
        <f t="shared" si="42"/>
        <v>1</v>
      </c>
      <c r="M267" s="4"/>
      <c r="N267" s="4"/>
      <c r="O267" s="4"/>
      <c r="P267" s="4"/>
      <c r="Q267" s="4"/>
      <c r="R267" s="4"/>
      <c r="S267" s="4"/>
      <c r="T267" s="4"/>
      <c r="U267" s="4"/>
    </row>
    <row r="268" spans="1:21">
      <c r="A268" t="s">
        <v>492</v>
      </c>
      <c r="B268">
        <v>4</v>
      </c>
      <c r="C268" t="str">
        <f t="shared" si="36"/>
        <v>test.client_4_</v>
      </c>
      <c r="D268">
        <v>9</v>
      </c>
      <c r="E268" s="4">
        <v>1</v>
      </c>
      <c r="F268" s="4">
        <v>1.1648577844311376</v>
      </c>
      <c r="G268" s="4" t="str">
        <f t="shared" si="37"/>
        <v/>
      </c>
      <c r="H268" s="4" t="str">
        <f t="shared" si="38"/>
        <v/>
      </c>
      <c r="I268" s="4" t="str">
        <f t="shared" si="39"/>
        <v/>
      </c>
      <c r="J268" s="4" t="str">
        <f t="shared" si="40"/>
        <v/>
      </c>
      <c r="K268" s="4" t="str">
        <f t="shared" si="41"/>
        <v/>
      </c>
      <c r="L268" s="4">
        <f t="shared" si="42"/>
        <v>1</v>
      </c>
      <c r="M268" s="4"/>
      <c r="N268" s="4"/>
      <c r="O268" s="4"/>
      <c r="P268" s="4"/>
      <c r="Q268" s="4"/>
      <c r="R268" s="4"/>
      <c r="S268" s="4"/>
      <c r="T268" s="4"/>
      <c r="U268" s="4"/>
    </row>
    <row r="269" spans="1:21">
      <c r="A269" t="s">
        <v>492</v>
      </c>
      <c r="B269">
        <v>6</v>
      </c>
      <c r="C269" t="str">
        <f t="shared" si="36"/>
        <v>test.client_6_</v>
      </c>
      <c r="D269">
        <v>1</v>
      </c>
      <c r="E269" s="4">
        <v>0.64462809917355368</v>
      </c>
      <c r="F269" s="4">
        <v>0.61672707746006172</v>
      </c>
      <c r="G269" s="4" t="str">
        <f t="shared" si="37"/>
        <v/>
      </c>
      <c r="H269" s="4" t="str">
        <f t="shared" si="38"/>
        <v/>
      </c>
      <c r="I269" s="4" t="str">
        <f t="shared" si="39"/>
        <v/>
      </c>
      <c r="J269" s="4">
        <f t="shared" si="40"/>
        <v>0.64462809917355368</v>
      </c>
      <c r="K269" s="4" t="str">
        <f t="shared" si="41"/>
        <v/>
      </c>
      <c r="L269" s="4" t="str">
        <f t="shared" si="42"/>
        <v/>
      </c>
      <c r="M269" s="4"/>
      <c r="N269" s="4"/>
      <c r="O269" s="4"/>
      <c r="P269" s="4"/>
      <c r="Q269" s="4"/>
      <c r="R269" s="4"/>
      <c r="S269" s="4"/>
      <c r="T269" s="4"/>
      <c r="U269" s="4"/>
    </row>
    <row r="270" spans="1:21">
      <c r="A270" t="s">
        <v>492</v>
      </c>
      <c r="B270">
        <v>6</v>
      </c>
      <c r="C270" t="str">
        <f t="shared" si="36"/>
        <v>test.client_6_</v>
      </c>
      <c r="D270">
        <v>2</v>
      </c>
      <c r="E270" s="4">
        <v>1</v>
      </c>
      <c r="F270" s="4">
        <v>0.61874077057323129</v>
      </c>
      <c r="G270" s="4" t="str">
        <f t="shared" si="37"/>
        <v/>
      </c>
      <c r="H270" s="4" t="str">
        <f t="shared" si="38"/>
        <v/>
      </c>
      <c r="I270" s="4" t="str">
        <f t="shared" si="39"/>
        <v/>
      </c>
      <c r="J270" s="4">
        <f t="shared" si="40"/>
        <v>1</v>
      </c>
      <c r="K270" s="4" t="str">
        <f t="shared" si="41"/>
        <v/>
      </c>
      <c r="L270" s="4" t="str">
        <f t="shared" si="42"/>
        <v/>
      </c>
      <c r="M270" s="4"/>
      <c r="N270" s="4"/>
      <c r="O270" s="4"/>
      <c r="P270" s="4"/>
      <c r="Q270" s="4"/>
      <c r="R270" s="4"/>
      <c r="S270" s="4"/>
      <c r="T270" s="4"/>
      <c r="U270" s="4"/>
    </row>
    <row r="271" spans="1:21">
      <c r="A271" t="s">
        <v>492</v>
      </c>
      <c r="B271">
        <v>7</v>
      </c>
      <c r="C271" t="str">
        <f t="shared" si="36"/>
        <v>test.client_7_</v>
      </c>
      <c r="D271">
        <v>1</v>
      </c>
      <c r="E271" s="4">
        <v>2.4390243902439025E-2</v>
      </c>
      <c r="F271" s="4">
        <v>7.571428571428572E-2</v>
      </c>
      <c r="G271" s="4">
        <f t="shared" si="37"/>
        <v>2.4390243902439025E-2</v>
      </c>
      <c r="H271" s="4" t="str">
        <f t="shared" si="38"/>
        <v/>
      </c>
      <c r="I271" s="4" t="str">
        <f t="shared" si="39"/>
        <v/>
      </c>
      <c r="J271" s="4" t="str">
        <f t="shared" si="40"/>
        <v/>
      </c>
      <c r="K271" s="4" t="str">
        <f t="shared" si="41"/>
        <v/>
      </c>
      <c r="L271" s="4" t="str">
        <f t="shared" si="42"/>
        <v/>
      </c>
      <c r="M271" s="4"/>
      <c r="N271" s="4"/>
      <c r="O271" s="4"/>
      <c r="P271" s="4"/>
      <c r="Q271" s="4"/>
      <c r="R271" s="4"/>
      <c r="S271" s="4"/>
      <c r="T271" s="4"/>
      <c r="U271" s="4"/>
    </row>
    <row r="272" spans="1:21">
      <c r="A272" t="s">
        <v>492</v>
      </c>
      <c r="B272">
        <v>7</v>
      </c>
      <c r="C272" t="str">
        <f t="shared" si="36"/>
        <v>test.client_7_</v>
      </c>
      <c r="D272">
        <v>2</v>
      </c>
      <c r="E272" s="4">
        <v>7.3170731707317069E-2</v>
      </c>
      <c r="F272" s="4">
        <v>0.13928571428571429</v>
      </c>
      <c r="G272" s="4">
        <f t="shared" si="37"/>
        <v>7.3170731707317069E-2</v>
      </c>
      <c r="H272" s="4" t="str">
        <f t="shared" si="38"/>
        <v/>
      </c>
      <c r="I272" s="4" t="str">
        <f t="shared" si="39"/>
        <v/>
      </c>
      <c r="J272" s="4" t="str">
        <f t="shared" si="40"/>
        <v/>
      </c>
      <c r="K272" s="4" t="str">
        <f t="shared" si="41"/>
        <v/>
      </c>
      <c r="L272" s="4" t="str">
        <f t="shared" si="42"/>
        <v/>
      </c>
      <c r="M272" s="4"/>
      <c r="N272" s="4"/>
      <c r="O272" s="4"/>
      <c r="P272" s="4"/>
      <c r="Q272" s="4"/>
      <c r="R272" s="4"/>
      <c r="S272" s="4"/>
      <c r="T272" s="4"/>
      <c r="U272" s="4"/>
    </row>
    <row r="273" spans="1:21">
      <c r="A273" t="s">
        <v>492</v>
      </c>
      <c r="B273">
        <v>7</v>
      </c>
      <c r="C273" t="str">
        <f t="shared" si="36"/>
        <v>test.client_7_</v>
      </c>
      <c r="D273">
        <v>3</v>
      </c>
      <c r="E273" s="4">
        <v>0.14634146341463414</v>
      </c>
      <c r="F273" s="4">
        <v>0.20428571428571429</v>
      </c>
      <c r="G273" s="4" t="str">
        <f t="shared" si="37"/>
        <v/>
      </c>
      <c r="H273" s="4">
        <f t="shared" si="38"/>
        <v>0.14634146341463414</v>
      </c>
      <c r="I273" s="4" t="str">
        <f t="shared" si="39"/>
        <v/>
      </c>
      <c r="J273" s="4" t="str">
        <f t="shared" si="40"/>
        <v/>
      </c>
      <c r="K273" s="4" t="str">
        <f t="shared" si="41"/>
        <v/>
      </c>
      <c r="L273" s="4" t="str">
        <f t="shared" si="42"/>
        <v/>
      </c>
      <c r="M273" s="4"/>
      <c r="N273" s="4"/>
      <c r="O273" s="4"/>
      <c r="P273" s="4"/>
      <c r="Q273" s="4"/>
      <c r="R273" s="4"/>
      <c r="S273" s="4"/>
      <c r="T273" s="4"/>
      <c r="U273" s="4"/>
    </row>
    <row r="274" spans="1:21">
      <c r="A274" t="s">
        <v>492</v>
      </c>
      <c r="B274">
        <v>7</v>
      </c>
      <c r="C274" t="str">
        <f t="shared" si="36"/>
        <v>test.client_7_</v>
      </c>
      <c r="D274">
        <v>4</v>
      </c>
      <c r="E274" s="4">
        <v>0.17073170731707318</v>
      </c>
      <c r="F274" s="4">
        <v>0.64142857142857146</v>
      </c>
      <c r="G274" s="4" t="str">
        <f t="shared" si="37"/>
        <v/>
      </c>
      <c r="H274" s="4" t="str">
        <f t="shared" si="38"/>
        <v/>
      </c>
      <c r="I274" s="4" t="str">
        <f t="shared" si="39"/>
        <v/>
      </c>
      <c r="J274" s="4">
        <f t="shared" si="40"/>
        <v>0.17073170731707318</v>
      </c>
      <c r="K274" s="4" t="str">
        <f t="shared" si="41"/>
        <v/>
      </c>
      <c r="L274" s="4" t="str">
        <f t="shared" si="42"/>
        <v/>
      </c>
      <c r="M274" s="4"/>
      <c r="N274" s="4"/>
      <c r="O274" s="4"/>
      <c r="P274" s="4"/>
      <c r="Q274" s="4"/>
      <c r="R274" s="4"/>
      <c r="S274" s="4"/>
      <c r="T274" s="4"/>
      <c r="U274" s="4"/>
    </row>
    <row r="275" spans="1:21">
      <c r="A275" t="s">
        <v>492</v>
      </c>
      <c r="B275">
        <v>7</v>
      </c>
      <c r="C275" t="str">
        <f t="shared" si="36"/>
        <v>test.client_7_</v>
      </c>
      <c r="D275">
        <v>5</v>
      </c>
      <c r="E275" s="4">
        <v>0.26829268292682928</v>
      </c>
      <c r="F275" s="4">
        <v>0.86428571428571432</v>
      </c>
      <c r="G275" s="4" t="str">
        <f t="shared" si="37"/>
        <v/>
      </c>
      <c r="H275" s="4" t="str">
        <f t="shared" si="38"/>
        <v/>
      </c>
      <c r="I275" s="4" t="str">
        <f t="shared" si="39"/>
        <v/>
      </c>
      <c r="J275" s="4" t="str">
        <f t="shared" si="40"/>
        <v/>
      </c>
      <c r="K275" s="4">
        <f t="shared" si="41"/>
        <v>0.26829268292682928</v>
      </c>
      <c r="L275" s="4" t="str">
        <f t="shared" si="42"/>
        <v/>
      </c>
      <c r="M275" s="4"/>
      <c r="N275" s="4"/>
      <c r="O275" s="4"/>
      <c r="P275" s="4"/>
      <c r="Q275" s="4"/>
      <c r="R275" s="4"/>
      <c r="S275" s="4"/>
      <c r="T275" s="4"/>
      <c r="U275" s="4"/>
    </row>
    <row r="276" spans="1:21">
      <c r="A276" t="s">
        <v>492</v>
      </c>
      <c r="B276">
        <v>7</v>
      </c>
      <c r="C276" t="str">
        <f t="shared" si="36"/>
        <v>test.client_7_</v>
      </c>
      <c r="D276">
        <v>6</v>
      </c>
      <c r="E276" s="4">
        <v>0.26829268292682928</v>
      </c>
      <c r="F276" s="4">
        <v>0.98571428571428577</v>
      </c>
      <c r="G276" s="4" t="str">
        <f t="shared" si="37"/>
        <v/>
      </c>
      <c r="H276" s="4" t="str">
        <f t="shared" si="38"/>
        <v/>
      </c>
      <c r="I276" s="4" t="str">
        <f t="shared" si="39"/>
        <v/>
      </c>
      <c r="J276" s="4" t="str">
        <f t="shared" si="40"/>
        <v/>
      </c>
      <c r="K276" s="4">
        <f t="shared" si="41"/>
        <v>0.26829268292682928</v>
      </c>
      <c r="L276" s="4" t="str">
        <f t="shared" si="42"/>
        <v/>
      </c>
      <c r="M276" s="4"/>
      <c r="N276" s="4"/>
      <c r="O276" s="4"/>
      <c r="P276" s="4"/>
      <c r="Q276" s="4"/>
      <c r="R276" s="4"/>
      <c r="S276" s="4"/>
      <c r="T276" s="4"/>
      <c r="U276" s="4"/>
    </row>
    <row r="277" spans="1:21">
      <c r="A277" s="9" t="s">
        <v>492</v>
      </c>
      <c r="B277" s="9">
        <v>7</v>
      </c>
      <c r="C277" s="9" t="str">
        <f t="shared" si="36"/>
        <v>test.client_7_</v>
      </c>
      <c r="D277" s="9">
        <v>7</v>
      </c>
      <c r="E277" s="4">
        <v>1</v>
      </c>
      <c r="F277" s="4">
        <v>1.3178571428571428</v>
      </c>
      <c r="G277" s="4" t="str">
        <f t="shared" si="37"/>
        <v/>
      </c>
      <c r="H277" s="4" t="str">
        <f t="shared" si="38"/>
        <v/>
      </c>
      <c r="I277" s="4" t="str">
        <f t="shared" si="39"/>
        <v/>
      </c>
      <c r="J277" s="4" t="str">
        <f t="shared" si="40"/>
        <v/>
      </c>
      <c r="K277" s="4" t="str">
        <f t="shared" si="41"/>
        <v/>
      </c>
      <c r="L277" s="4">
        <f t="shared" si="42"/>
        <v>1</v>
      </c>
      <c r="M277" s="4"/>
      <c r="N277" s="4"/>
      <c r="O277" s="4"/>
      <c r="P277" s="4"/>
      <c r="Q277" s="4"/>
      <c r="R277" s="4"/>
      <c r="S277" s="4"/>
      <c r="T277" s="4"/>
      <c r="U277" s="4"/>
    </row>
    <row r="278" spans="1:21">
      <c r="A278" t="s">
        <v>493</v>
      </c>
      <c r="B278">
        <v>3</v>
      </c>
      <c r="C278" t="str">
        <f t="shared" si="36"/>
        <v>test.GeoEngine_3_</v>
      </c>
      <c r="D278">
        <v>1</v>
      </c>
      <c r="E278" s="4">
        <v>9.6774193548387094E-2</v>
      </c>
      <c r="F278" s="4">
        <v>6.75502351432236E-2</v>
      </c>
      <c r="G278" s="4">
        <f t="shared" si="37"/>
        <v>9.6774193548387094E-2</v>
      </c>
      <c r="H278" s="4" t="str">
        <f t="shared" si="38"/>
        <v/>
      </c>
      <c r="I278" s="4" t="str">
        <f t="shared" si="39"/>
        <v/>
      </c>
      <c r="J278" s="4" t="str">
        <f t="shared" si="40"/>
        <v/>
      </c>
      <c r="K278" s="4" t="str">
        <f t="shared" si="41"/>
        <v/>
      </c>
      <c r="L278" s="4" t="str">
        <f t="shared" si="42"/>
        <v/>
      </c>
      <c r="M278" s="4"/>
      <c r="N278" s="4"/>
      <c r="O278" s="4"/>
      <c r="P278" s="4"/>
      <c r="Q278" s="4"/>
      <c r="R278" s="4"/>
      <c r="S278" s="4"/>
      <c r="T278" s="4"/>
      <c r="U278" s="4"/>
    </row>
    <row r="279" spans="1:21">
      <c r="A279" t="s">
        <v>493</v>
      </c>
      <c r="B279">
        <v>3</v>
      </c>
      <c r="C279" t="str">
        <f t="shared" si="36"/>
        <v>test.GeoEngine_3_</v>
      </c>
      <c r="D279">
        <v>2</v>
      </c>
      <c r="E279" s="4">
        <v>0.74193548387096775</v>
      </c>
      <c r="F279" s="4">
        <v>0.5791648852786091</v>
      </c>
      <c r="G279" s="4" t="str">
        <f t="shared" si="37"/>
        <v/>
      </c>
      <c r="H279" s="4" t="str">
        <f t="shared" si="38"/>
        <v/>
      </c>
      <c r="I279" s="4">
        <f t="shared" si="39"/>
        <v>0.74193548387096775</v>
      </c>
      <c r="J279" s="4" t="str">
        <f t="shared" si="40"/>
        <v/>
      </c>
      <c r="K279" s="4" t="str">
        <f t="shared" si="41"/>
        <v/>
      </c>
      <c r="L279" s="4" t="str">
        <f t="shared" si="42"/>
        <v/>
      </c>
      <c r="M279" s="4"/>
      <c r="N279" s="4"/>
      <c r="O279" s="4"/>
      <c r="P279" s="4"/>
      <c r="Q279" s="4"/>
      <c r="R279" s="4"/>
      <c r="S279" s="4"/>
      <c r="T279" s="4"/>
      <c r="U279" s="4"/>
    </row>
    <row r="280" spans="1:21">
      <c r="A280" t="s">
        <v>493</v>
      </c>
      <c r="B280">
        <v>3</v>
      </c>
      <c r="C280" t="str">
        <f t="shared" si="36"/>
        <v>test.GeoEngine_3_</v>
      </c>
      <c r="D280">
        <v>3</v>
      </c>
      <c r="E280" s="4">
        <v>1</v>
      </c>
      <c r="F280" s="4">
        <v>0.58401026079521168</v>
      </c>
      <c r="G280" s="4" t="str">
        <f t="shared" si="37"/>
        <v/>
      </c>
      <c r="H280" s="4" t="str">
        <f t="shared" si="38"/>
        <v/>
      </c>
      <c r="I280" s="4">
        <f t="shared" si="39"/>
        <v>1</v>
      </c>
      <c r="J280" s="4" t="str">
        <f t="shared" si="40"/>
        <v/>
      </c>
      <c r="K280" s="4" t="str">
        <f t="shared" si="41"/>
        <v/>
      </c>
      <c r="L280" s="4" t="str">
        <f t="shared" si="42"/>
        <v/>
      </c>
      <c r="M280" s="4"/>
      <c r="N280" s="4"/>
      <c r="O280" s="4"/>
      <c r="P280" s="4"/>
      <c r="Q280" s="4"/>
      <c r="R280" s="4"/>
      <c r="S280" s="4"/>
      <c r="T280" s="4"/>
      <c r="U280" s="4"/>
    </row>
    <row r="281" spans="1:21">
      <c r="A281" t="s">
        <v>493</v>
      </c>
      <c r="B281">
        <v>7</v>
      </c>
      <c r="C281" t="str">
        <f t="shared" si="36"/>
        <v>test.GeoEngine_7_</v>
      </c>
      <c r="D281">
        <v>1</v>
      </c>
      <c r="E281" s="4">
        <v>5.3571428571428568E-2</v>
      </c>
      <c r="F281" s="4">
        <v>9.1227003192945119E-3</v>
      </c>
      <c r="G281" s="4">
        <f t="shared" si="37"/>
        <v>5.3571428571428568E-2</v>
      </c>
      <c r="H281" s="4" t="str">
        <f t="shared" si="38"/>
        <v/>
      </c>
      <c r="I281" s="4" t="str">
        <f t="shared" si="39"/>
        <v/>
      </c>
      <c r="J281" s="4" t="str">
        <f t="shared" si="40"/>
        <v/>
      </c>
      <c r="K281" s="4" t="str">
        <f t="shared" si="41"/>
        <v/>
      </c>
      <c r="L281" s="4" t="str">
        <f t="shared" si="42"/>
        <v/>
      </c>
      <c r="M281" s="4"/>
      <c r="N281" s="4"/>
      <c r="O281" s="4"/>
      <c r="P281" s="4"/>
      <c r="Q281" s="4"/>
      <c r="R281" s="4"/>
      <c r="S281" s="4"/>
      <c r="T281" s="4"/>
      <c r="U281" s="4"/>
    </row>
    <row r="282" spans="1:21">
      <c r="A282" t="s">
        <v>493</v>
      </c>
      <c r="B282">
        <v>7</v>
      </c>
      <c r="C282" t="str">
        <f t="shared" si="36"/>
        <v>test.GeoEngine_7_</v>
      </c>
      <c r="D282">
        <v>2</v>
      </c>
      <c r="E282" s="4">
        <v>7.1428571428571425E-2</v>
      </c>
      <c r="F282" s="4">
        <v>2.2198570776949977E-2</v>
      </c>
      <c r="G282" s="4">
        <f t="shared" si="37"/>
        <v>7.1428571428571425E-2</v>
      </c>
      <c r="H282" s="4" t="str">
        <f t="shared" si="38"/>
        <v/>
      </c>
      <c r="I282" s="4" t="str">
        <f t="shared" si="39"/>
        <v/>
      </c>
      <c r="J282" s="4" t="str">
        <f t="shared" si="40"/>
        <v/>
      </c>
      <c r="K282" s="4" t="str">
        <f t="shared" si="41"/>
        <v/>
      </c>
      <c r="L282" s="4" t="str">
        <f t="shared" si="42"/>
        <v/>
      </c>
      <c r="M282" s="4"/>
      <c r="N282" s="4"/>
      <c r="O282" s="4"/>
      <c r="P282" s="4"/>
      <c r="Q282" s="4"/>
      <c r="R282" s="4"/>
      <c r="S282" s="4"/>
      <c r="T282" s="4"/>
      <c r="U282" s="4"/>
    </row>
    <row r="283" spans="1:21">
      <c r="A283" t="s">
        <v>493</v>
      </c>
      <c r="B283">
        <v>7</v>
      </c>
      <c r="C283" t="str">
        <f t="shared" si="36"/>
        <v>test.GeoEngine_7_</v>
      </c>
      <c r="D283">
        <v>3</v>
      </c>
      <c r="E283" s="4">
        <v>0.2857142857142857</v>
      </c>
      <c r="F283" s="4">
        <v>6.1578227155237954E-2</v>
      </c>
      <c r="G283" s="4">
        <f t="shared" si="37"/>
        <v>0.2857142857142857</v>
      </c>
      <c r="H283" s="4" t="str">
        <f t="shared" si="38"/>
        <v/>
      </c>
      <c r="I283" s="4" t="str">
        <f t="shared" si="39"/>
        <v/>
      </c>
      <c r="J283" s="4" t="str">
        <f t="shared" si="40"/>
        <v/>
      </c>
      <c r="K283" s="4" t="str">
        <f t="shared" si="41"/>
        <v/>
      </c>
      <c r="L283" s="4" t="str">
        <f t="shared" si="42"/>
        <v/>
      </c>
      <c r="M283" s="4"/>
      <c r="N283" s="4"/>
      <c r="O283" s="4"/>
      <c r="P283" s="4"/>
      <c r="Q283" s="4"/>
      <c r="R283" s="4"/>
      <c r="S283" s="4"/>
      <c r="T283" s="4"/>
      <c r="U283" s="4"/>
    </row>
    <row r="284" spans="1:21">
      <c r="A284" t="s">
        <v>493</v>
      </c>
      <c r="B284">
        <v>7</v>
      </c>
      <c r="C284" t="str">
        <f t="shared" si="36"/>
        <v>test.GeoEngine_7_</v>
      </c>
      <c r="D284">
        <v>4</v>
      </c>
      <c r="E284" s="4">
        <v>0.48214285714285715</v>
      </c>
      <c r="F284" s="4">
        <v>9.1987228219552991E-2</v>
      </c>
      <c r="G284" s="4">
        <f t="shared" si="37"/>
        <v>0.48214285714285715</v>
      </c>
      <c r="H284" s="4" t="str">
        <f t="shared" si="38"/>
        <v/>
      </c>
      <c r="I284" s="4" t="str">
        <f t="shared" si="39"/>
        <v/>
      </c>
      <c r="J284" s="4" t="str">
        <f t="shared" si="40"/>
        <v/>
      </c>
      <c r="K284" s="4" t="str">
        <f t="shared" si="41"/>
        <v/>
      </c>
      <c r="L284" s="4" t="str">
        <f t="shared" si="42"/>
        <v/>
      </c>
      <c r="M284" s="4"/>
      <c r="N284" s="4"/>
      <c r="O284" s="4"/>
      <c r="P284" s="4"/>
      <c r="Q284" s="4"/>
      <c r="R284" s="4"/>
      <c r="S284" s="4"/>
      <c r="T284" s="4"/>
      <c r="U284" s="4"/>
    </row>
    <row r="285" spans="1:21">
      <c r="A285" t="s">
        <v>493</v>
      </c>
      <c r="B285">
        <v>7</v>
      </c>
      <c r="C285" t="str">
        <f t="shared" si="36"/>
        <v>test.GeoEngine_7_</v>
      </c>
      <c r="D285">
        <v>5</v>
      </c>
      <c r="E285" s="4">
        <v>0.5178571428571429</v>
      </c>
      <c r="F285" s="4">
        <v>9.3355633267447169E-2</v>
      </c>
      <c r="G285" s="4">
        <f t="shared" si="37"/>
        <v>0.5178571428571429</v>
      </c>
      <c r="H285" s="4" t="str">
        <f t="shared" si="38"/>
        <v/>
      </c>
      <c r="I285" s="4" t="str">
        <f t="shared" si="39"/>
        <v/>
      </c>
      <c r="J285" s="4" t="str">
        <f t="shared" si="40"/>
        <v/>
      </c>
      <c r="K285" s="4" t="str">
        <f t="shared" si="41"/>
        <v/>
      </c>
      <c r="L285" s="4" t="str">
        <f t="shared" si="42"/>
        <v/>
      </c>
      <c r="M285" s="4"/>
      <c r="N285" s="4"/>
      <c r="O285" s="4"/>
      <c r="P285" s="4"/>
      <c r="Q285" s="4"/>
      <c r="R285" s="4"/>
      <c r="S285" s="4"/>
      <c r="T285" s="4"/>
      <c r="U285" s="4"/>
    </row>
    <row r="286" spans="1:21">
      <c r="A286" t="s">
        <v>493</v>
      </c>
      <c r="B286">
        <v>7</v>
      </c>
      <c r="C286" t="str">
        <f t="shared" si="36"/>
        <v>test.GeoEngine_7_</v>
      </c>
      <c r="D286">
        <v>6</v>
      </c>
      <c r="E286" s="4">
        <v>1</v>
      </c>
      <c r="F286" s="4">
        <v>0.98266686939334047</v>
      </c>
      <c r="G286" s="4" t="str">
        <f t="shared" si="37"/>
        <v/>
      </c>
      <c r="H286" s="4" t="str">
        <f t="shared" si="38"/>
        <v/>
      </c>
      <c r="I286" s="4" t="str">
        <f t="shared" si="39"/>
        <v/>
      </c>
      <c r="J286" s="4" t="str">
        <f t="shared" si="40"/>
        <v/>
      </c>
      <c r="K286" s="4">
        <f t="shared" si="41"/>
        <v>1</v>
      </c>
      <c r="L286" s="4" t="str">
        <f t="shared" si="42"/>
        <v/>
      </c>
      <c r="M286" s="4"/>
      <c r="N286" s="4"/>
      <c r="O286" s="4"/>
      <c r="P286" s="4"/>
      <c r="Q286" s="4"/>
      <c r="R286" s="4"/>
      <c r="S286" s="4"/>
      <c r="T286" s="4"/>
      <c r="U286" s="4"/>
    </row>
    <row r="287" spans="1:21">
      <c r="A287" t="s">
        <v>493</v>
      </c>
      <c r="B287">
        <v>8</v>
      </c>
      <c r="C287" t="str">
        <f t="shared" si="36"/>
        <v>test.GeoEngine_8_</v>
      </c>
      <c r="D287">
        <v>1</v>
      </c>
      <c r="E287" s="4">
        <v>4.6511627906976744E-2</v>
      </c>
      <c r="F287" s="4">
        <v>4.6797447411959348E-2</v>
      </c>
      <c r="G287" s="4">
        <f t="shared" si="37"/>
        <v>4.6511627906976744E-2</v>
      </c>
      <c r="H287" s="4" t="str">
        <f t="shared" si="38"/>
        <v/>
      </c>
      <c r="I287" s="4" t="str">
        <f t="shared" si="39"/>
        <v/>
      </c>
      <c r="J287" s="4" t="str">
        <f t="shared" si="40"/>
        <v/>
      </c>
      <c r="K287" s="4" t="str">
        <f t="shared" si="41"/>
        <v/>
      </c>
      <c r="L287" s="4" t="str">
        <f t="shared" si="42"/>
        <v/>
      </c>
      <c r="M287" s="4"/>
      <c r="N287" s="4"/>
      <c r="O287" s="4"/>
      <c r="P287" s="4"/>
      <c r="Q287" s="4"/>
      <c r="R287" s="4"/>
      <c r="S287" s="4"/>
      <c r="T287" s="4"/>
      <c r="U287" s="4"/>
    </row>
    <row r="288" spans="1:21">
      <c r="A288" t="s">
        <v>493</v>
      </c>
      <c r="B288">
        <v>8</v>
      </c>
      <c r="C288" t="str">
        <f t="shared" si="36"/>
        <v>test.GeoEngine_8_</v>
      </c>
      <c r="D288">
        <v>2</v>
      </c>
      <c r="E288" s="4">
        <v>0.1744186046511628</v>
      </c>
      <c r="F288" s="4">
        <v>0.1207752304419759</v>
      </c>
      <c r="G288" s="4">
        <f t="shared" si="37"/>
        <v>0.1744186046511628</v>
      </c>
      <c r="H288" s="4" t="str">
        <f t="shared" si="38"/>
        <v/>
      </c>
      <c r="I288" s="4" t="str">
        <f t="shared" si="39"/>
        <v/>
      </c>
      <c r="J288" s="4" t="str">
        <f t="shared" si="40"/>
        <v/>
      </c>
      <c r="K288" s="4" t="str">
        <f t="shared" si="41"/>
        <v/>
      </c>
      <c r="L288" s="4" t="str">
        <f t="shared" si="42"/>
        <v/>
      </c>
      <c r="M288" s="4"/>
      <c r="N288" s="4"/>
      <c r="O288" s="4"/>
      <c r="P288" s="4"/>
      <c r="Q288" s="4"/>
      <c r="R288" s="4"/>
      <c r="S288" s="4"/>
      <c r="T288" s="4"/>
      <c r="U288" s="4"/>
    </row>
    <row r="289" spans="1:21">
      <c r="A289" t="s">
        <v>493</v>
      </c>
      <c r="B289">
        <v>8</v>
      </c>
      <c r="C289" t="str">
        <f t="shared" si="36"/>
        <v>test.GeoEngine_8_</v>
      </c>
      <c r="D289">
        <v>3</v>
      </c>
      <c r="E289" s="4">
        <v>0.22093023255813954</v>
      </c>
      <c r="F289" s="4">
        <v>0.14511935712597496</v>
      </c>
      <c r="G289" s="4">
        <f t="shared" si="37"/>
        <v>0.22093023255813954</v>
      </c>
      <c r="H289" s="4" t="str">
        <f t="shared" si="38"/>
        <v/>
      </c>
      <c r="I289" s="4" t="str">
        <f t="shared" si="39"/>
        <v/>
      </c>
      <c r="J289" s="4" t="str">
        <f t="shared" si="40"/>
        <v/>
      </c>
      <c r="K289" s="4" t="str">
        <f t="shared" si="41"/>
        <v/>
      </c>
      <c r="L289" s="4" t="str">
        <f t="shared" si="42"/>
        <v/>
      </c>
      <c r="M289" s="4"/>
      <c r="N289" s="4"/>
      <c r="O289" s="4"/>
      <c r="P289" s="4"/>
      <c r="Q289" s="4"/>
      <c r="R289" s="4"/>
      <c r="S289" s="4"/>
      <c r="T289" s="4"/>
      <c r="U289" s="4"/>
    </row>
    <row r="290" spans="1:21">
      <c r="A290" t="s">
        <v>493</v>
      </c>
      <c r="B290">
        <v>8</v>
      </c>
      <c r="C290" t="str">
        <f t="shared" si="36"/>
        <v>test.GeoEngine_8_</v>
      </c>
      <c r="D290">
        <v>4</v>
      </c>
      <c r="E290" s="4">
        <v>0.33720930232558138</v>
      </c>
      <c r="F290" s="4">
        <v>0.16733632710943039</v>
      </c>
      <c r="G290" s="4">
        <f t="shared" si="37"/>
        <v>0.33720930232558138</v>
      </c>
      <c r="H290" s="4" t="str">
        <f t="shared" si="38"/>
        <v/>
      </c>
      <c r="I290" s="4" t="str">
        <f t="shared" si="39"/>
        <v/>
      </c>
      <c r="J290" s="4" t="str">
        <f t="shared" si="40"/>
        <v/>
      </c>
      <c r="K290" s="4" t="str">
        <f t="shared" si="41"/>
        <v/>
      </c>
      <c r="L290" s="4" t="str">
        <f t="shared" si="42"/>
        <v/>
      </c>
      <c r="M290" s="4"/>
      <c r="N290" s="4"/>
      <c r="O290" s="4"/>
      <c r="P290" s="4"/>
      <c r="Q290" s="4"/>
      <c r="R290" s="4"/>
      <c r="S290" s="4"/>
      <c r="T290" s="4"/>
      <c r="U290" s="4"/>
    </row>
    <row r="291" spans="1:21">
      <c r="A291" t="s">
        <v>493</v>
      </c>
      <c r="B291">
        <v>8</v>
      </c>
      <c r="C291" t="str">
        <f t="shared" si="36"/>
        <v>test.GeoEngine_8_</v>
      </c>
      <c r="D291">
        <v>5</v>
      </c>
      <c r="E291" s="4">
        <v>0.36046511627906974</v>
      </c>
      <c r="F291" s="4">
        <v>0.17868116284566296</v>
      </c>
      <c r="G291" s="4">
        <f t="shared" si="37"/>
        <v>0.36046511627906974</v>
      </c>
      <c r="H291" s="4" t="str">
        <f t="shared" si="38"/>
        <v/>
      </c>
      <c r="I291" s="4" t="str">
        <f t="shared" si="39"/>
        <v/>
      </c>
      <c r="J291" s="4" t="str">
        <f t="shared" si="40"/>
        <v/>
      </c>
      <c r="K291" s="4" t="str">
        <f t="shared" si="41"/>
        <v/>
      </c>
      <c r="L291" s="4" t="str">
        <f t="shared" si="42"/>
        <v/>
      </c>
      <c r="M291" s="4"/>
      <c r="N291" s="4"/>
      <c r="O291" s="4"/>
      <c r="P291" s="4"/>
      <c r="Q291" s="4"/>
      <c r="R291" s="4"/>
      <c r="S291" s="4"/>
      <c r="T291" s="4"/>
      <c r="U291" s="4"/>
    </row>
    <row r="292" spans="1:21">
      <c r="A292" t="s">
        <v>493</v>
      </c>
      <c r="B292">
        <v>8</v>
      </c>
      <c r="C292" t="str">
        <f t="shared" si="36"/>
        <v>test.GeoEngine_8_</v>
      </c>
      <c r="D292">
        <v>6</v>
      </c>
      <c r="E292" s="4">
        <v>0.7558139534883721</v>
      </c>
      <c r="F292" s="4">
        <v>0.73575986764358303</v>
      </c>
      <c r="G292" s="4" t="str">
        <f t="shared" si="37"/>
        <v/>
      </c>
      <c r="H292" s="4" t="str">
        <f t="shared" si="38"/>
        <v/>
      </c>
      <c r="I292" s="4" t="str">
        <f t="shared" si="39"/>
        <v/>
      </c>
      <c r="J292" s="4">
        <f t="shared" si="40"/>
        <v>0.7558139534883721</v>
      </c>
      <c r="K292" s="4" t="str">
        <f t="shared" si="41"/>
        <v/>
      </c>
      <c r="L292" s="4" t="str">
        <f t="shared" si="42"/>
        <v/>
      </c>
      <c r="M292" s="4"/>
      <c r="N292" s="4"/>
      <c r="O292" s="4"/>
      <c r="P292" s="4"/>
      <c r="Q292" s="4"/>
      <c r="R292" s="4"/>
      <c r="S292" s="4"/>
      <c r="T292" s="4"/>
      <c r="U292" s="4"/>
    </row>
    <row r="293" spans="1:21">
      <c r="A293" t="s">
        <v>493</v>
      </c>
      <c r="B293">
        <v>8</v>
      </c>
      <c r="C293" t="str">
        <f t="shared" si="36"/>
        <v>test.GeoEngine_8_</v>
      </c>
      <c r="D293">
        <v>7</v>
      </c>
      <c r="E293" s="4">
        <v>0.80232558139534882</v>
      </c>
      <c r="F293" s="4">
        <v>0.77239423304183408</v>
      </c>
      <c r="G293" s="4" t="str">
        <f t="shared" si="37"/>
        <v/>
      </c>
      <c r="H293" s="4" t="str">
        <f t="shared" si="38"/>
        <v/>
      </c>
      <c r="I293" s="4" t="str">
        <f t="shared" si="39"/>
        <v/>
      </c>
      <c r="J293" s="4">
        <f t="shared" si="40"/>
        <v>0.80232558139534882</v>
      </c>
      <c r="K293" s="4" t="str">
        <f t="shared" si="41"/>
        <v/>
      </c>
      <c r="L293" s="4" t="str">
        <f t="shared" si="42"/>
        <v/>
      </c>
      <c r="M293" s="4"/>
      <c r="N293" s="4"/>
      <c r="O293" s="4"/>
      <c r="P293" s="4"/>
      <c r="Q293" s="4"/>
      <c r="R293" s="4"/>
      <c r="S293" s="4"/>
      <c r="T293" s="4"/>
      <c r="U293" s="4"/>
    </row>
    <row r="294" spans="1:21">
      <c r="A294" t="s">
        <v>493</v>
      </c>
      <c r="B294">
        <v>8</v>
      </c>
      <c r="C294" t="str">
        <f t="shared" si="36"/>
        <v>test.GeoEngine_8_</v>
      </c>
      <c r="D294">
        <v>8</v>
      </c>
      <c r="E294" s="4">
        <v>0.81395348837209303</v>
      </c>
      <c r="F294" s="4">
        <v>0.77546679272039709</v>
      </c>
      <c r="G294" s="4" t="str">
        <f t="shared" si="37"/>
        <v/>
      </c>
      <c r="H294" s="4" t="str">
        <f t="shared" si="38"/>
        <v/>
      </c>
      <c r="I294" s="4" t="str">
        <f t="shared" si="39"/>
        <v/>
      </c>
      <c r="J294" s="4">
        <f t="shared" si="40"/>
        <v>0.81395348837209303</v>
      </c>
      <c r="K294" s="4" t="str">
        <f t="shared" si="41"/>
        <v/>
      </c>
      <c r="L294" s="4" t="str">
        <f t="shared" si="42"/>
        <v/>
      </c>
      <c r="M294" s="4"/>
      <c r="N294" s="4"/>
      <c r="O294" s="4"/>
      <c r="P294" s="4"/>
      <c r="Q294" s="4"/>
      <c r="R294" s="4"/>
      <c r="S294" s="4"/>
      <c r="T294" s="4"/>
      <c r="U294" s="4"/>
    </row>
    <row r="295" spans="1:21">
      <c r="A295" t="s">
        <v>493</v>
      </c>
      <c r="B295">
        <v>8</v>
      </c>
      <c r="C295" t="str">
        <f t="shared" si="36"/>
        <v>test.GeoEngine_8_</v>
      </c>
      <c r="D295">
        <v>9</v>
      </c>
      <c r="E295" s="4">
        <v>0.87209302325581395</v>
      </c>
      <c r="F295" s="4">
        <v>0.8203734341763177</v>
      </c>
      <c r="G295" s="4" t="str">
        <f t="shared" si="37"/>
        <v/>
      </c>
      <c r="H295" s="4" t="str">
        <f t="shared" si="38"/>
        <v/>
      </c>
      <c r="I295" s="4" t="str">
        <f t="shared" si="39"/>
        <v/>
      </c>
      <c r="J295" s="4" t="str">
        <f t="shared" si="40"/>
        <v/>
      </c>
      <c r="K295" s="4">
        <f t="shared" si="41"/>
        <v>0.87209302325581395</v>
      </c>
      <c r="L295" s="4" t="str">
        <f t="shared" si="42"/>
        <v/>
      </c>
      <c r="M295" s="4"/>
      <c r="N295" s="4"/>
      <c r="O295" s="4"/>
      <c r="P295" s="4"/>
      <c r="Q295" s="4"/>
      <c r="R295" s="4"/>
      <c r="S295" s="4"/>
      <c r="T295" s="4"/>
      <c r="U295" s="4"/>
    </row>
    <row r="296" spans="1:21">
      <c r="A296" t="s">
        <v>493</v>
      </c>
      <c r="B296">
        <v>8</v>
      </c>
      <c r="C296" t="str">
        <f t="shared" si="36"/>
        <v>test.GeoEngine_8_</v>
      </c>
      <c r="D296">
        <v>10</v>
      </c>
      <c r="E296" s="4">
        <v>0.91860465116279066</v>
      </c>
      <c r="F296" s="4">
        <v>0.86244386669818007</v>
      </c>
      <c r="G296" s="4" t="str">
        <f t="shared" si="37"/>
        <v/>
      </c>
      <c r="H296" s="4" t="str">
        <f t="shared" si="38"/>
        <v/>
      </c>
      <c r="I296" s="4" t="str">
        <f t="shared" si="39"/>
        <v/>
      </c>
      <c r="J296" s="4" t="str">
        <f t="shared" si="40"/>
        <v/>
      </c>
      <c r="K296" s="4">
        <f t="shared" si="41"/>
        <v>0.91860465116279066</v>
      </c>
      <c r="L296" s="4" t="str">
        <f t="shared" si="42"/>
        <v/>
      </c>
      <c r="M296" s="4"/>
      <c r="N296" s="4"/>
      <c r="O296" s="4"/>
      <c r="P296" s="4"/>
      <c r="Q296" s="4"/>
      <c r="R296" s="4"/>
      <c r="S296" s="4"/>
      <c r="T296" s="4"/>
      <c r="U296" s="4"/>
    </row>
    <row r="297" spans="1:21">
      <c r="A297" t="s">
        <v>493</v>
      </c>
      <c r="B297">
        <v>8</v>
      </c>
      <c r="C297" t="str">
        <f t="shared" si="36"/>
        <v>test.GeoEngine_8_</v>
      </c>
      <c r="D297">
        <v>11</v>
      </c>
      <c r="E297" s="4">
        <v>1</v>
      </c>
      <c r="F297" s="4">
        <v>0.92365870952493501</v>
      </c>
      <c r="G297" s="4" t="str">
        <f t="shared" si="37"/>
        <v/>
      </c>
      <c r="H297" s="4" t="str">
        <f t="shared" si="38"/>
        <v/>
      </c>
      <c r="I297" s="4" t="str">
        <f t="shared" si="39"/>
        <v/>
      </c>
      <c r="J297" s="4" t="str">
        <f t="shared" si="40"/>
        <v/>
      </c>
      <c r="K297" s="4">
        <f t="shared" si="41"/>
        <v>1</v>
      </c>
      <c r="L297" s="4" t="str">
        <f t="shared" si="42"/>
        <v/>
      </c>
      <c r="M297" s="4"/>
      <c r="N297" s="4"/>
      <c r="O297" s="4"/>
      <c r="P297" s="4"/>
      <c r="Q297" s="4"/>
      <c r="R297" s="4"/>
      <c r="S297" s="4"/>
      <c r="T297" s="4"/>
      <c r="U297" s="4"/>
    </row>
    <row r="298" spans="1:21">
      <c r="A298" t="s">
        <v>493</v>
      </c>
      <c r="B298">
        <v>9</v>
      </c>
      <c r="C298" t="str">
        <f t="shared" si="36"/>
        <v>test.GeoEngine_9_</v>
      </c>
      <c r="D298">
        <v>1</v>
      </c>
      <c r="E298" s="4">
        <v>8.6956521739130432E-2</v>
      </c>
      <c r="F298" s="4">
        <v>6.5729349736379616E-2</v>
      </c>
      <c r="G298" s="4">
        <f t="shared" si="37"/>
        <v>8.6956521739130432E-2</v>
      </c>
      <c r="H298" s="4" t="str">
        <f t="shared" si="38"/>
        <v/>
      </c>
      <c r="I298" s="4" t="str">
        <f t="shared" si="39"/>
        <v/>
      </c>
      <c r="J298" s="4" t="str">
        <f t="shared" si="40"/>
        <v/>
      </c>
      <c r="K298" s="4" t="str">
        <f t="shared" si="41"/>
        <v/>
      </c>
      <c r="L298" s="4" t="str">
        <f t="shared" si="42"/>
        <v/>
      </c>
      <c r="M298" s="4"/>
      <c r="N298" s="4"/>
      <c r="O298" s="4"/>
      <c r="P298" s="4"/>
      <c r="Q298" s="4"/>
      <c r="R298" s="4"/>
      <c r="S298" s="4"/>
      <c r="T298" s="4"/>
      <c r="U298" s="4"/>
    </row>
    <row r="299" spans="1:21">
      <c r="A299" t="s">
        <v>493</v>
      </c>
      <c r="B299">
        <v>9</v>
      </c>
      <c r="C299" t="str">
        <f t="shared" si="36"/>
        <v>test.GeoEngine_9_</v>
      </c>
      <c r="D299">
        <v>2</v>
      </c>
      <c r="E299" s="4">
        <v>0.19565217391304349</v>
      </c>
      <c r="F299" s="4">
        <v>0.11212653778558876</v>
      </c>
      <c r="G299" s="4">
        <f t="shared" si="37"/>
        <v>0.19565217391304349</v>
      </c>
      <c r="H299" s="4" t="str">
        <f t="shared" si="38"/>
        <v/>
      </c>
      <c r="I299" s="4" t="str">
        <f t="shared" si="39"/>
        <v/>
      </c>
      <c r="J299" s="4" t="str">
        <f t="shared" si="40"/>
        <v/>
      </c>
      <c r="K299" s="4" t="str">
        <f t="shared" si="41"/>
        <v/>
      </c>
      <c r="L299" s="4" t="str">
        <f t="shared" si="42"/>
        <v/>
      </c>
      <c r="M299" s="4"/>
      <c r="N299" s="4"/>
      <c r="O299" s="4"/>
      <c r="P299" s="4"/>
      <c r="Q299" s="4"/>
      <c r="R299" s="4"/>
      <c r="S299" s="4"/>
      <c r="T299" s="4"/>
      <c r="U299" s="4"/>
    </row>
    <row r="300" spans="1:21">
      <c r="A300" t="s">
        <v>493</v>
      </c>
      <c r="B300">
        <v>9</v>
      </c>
      <c r="C300" t="str">
        <f t="shared" si="36"/>
        <v>test.GeoEngine_9_</v>
      </c>
      <c r="D300">
        <v>3</v>
      </c>
      <c r="E300" s="4">
        <v>0.41304347826086957</v>
      </c>
      <c r="F300" s="4">
        <v>0.24710017574692442</v>
      </c>
      <c r="G300" s="4" t="str">
        <f t="shared" si="37"/>
        <v/>
      </c>
      <c r="H300" s="4">
        <f t="shared" si="38"/>
        <v>0.41304347826086957</v>
      </c>
      <c r="I300" s="4" t="str">
        <f t="shared" si="39"/>
        <v/>
      </c>
      <c r="J300" s="4" t="str">
        <f t="shared" si="40"/>
        <v/>
      </c>
      <c r="K300" s="4" t="str">
        <f t="shared" si="41"/>
        <v/>
      </c>
      <c r="L300" s="4" t="str">
        <f t="shared" si="42"/>
        <v/>
      </c>
      <c r="M300" s="4"/>
      <c r="N300" s="4"/>
      <c r="O300" s="4"/>
      <c r="P300" s="4"/>
      <c r="Q300" s="4"/>
      <c r="R300" s="4"/>
      <c r="S300" s="4"/>
      <c r="T300" s="4"/>
      <c r="U300" s="4"/>
    </row>
    <row r="301" spans="1:21">
      <c r="A301" t="s">
        <v>493</v>
      </c>
      <c r="B301">
        <v>9</v>
      </c>
      <c r="C301" t="str">
        <f t="shared" si="36"/>
        <v>test.GeoEngine_9_</v>
      </c>
      <c r="D301">
        <v>4</v>
      </c>
      <c r="E301" s="4">
        <v>0.45652173913043476</v>
      </c>
      <c r="F301" s="4">
        <v>0.26572934973637963</v>
      </c>
      <c r="G301" s="4" t="str">
        <f t="shared" si="37"/>
        <v/>
      </c>
      <c r="H301" s="4">
        <f t="shared" si="38"/>
        <v>0.45652173913043476</v>
      </c>
      <c r="I301" s="4" t="str">
        <f t="shared" si="39"/>
        <v/>
      </c>
      <c r="J301" s="4" t="str">
        <f t="shared" si="40"/>
        <v/>
      </c>
      <c r="K301" s="4" t="str">
        <f t="shared" si="41"/>
        <v/>
      </c>
      <c r="L301" s="4" t="str">
        <f t="shared" si="42"/>
        <v/>
      </c>
      <c r="M301" s="4"/>
      <c r="N301" s="4"/>
      <c r="O301" s="4"/>
      <c r="P301" s="4"/>
      <c r="Q301" s="4"/>
      <c r="R301" s="4"/>
      <c r="S301" s="4"/>
      <c r="T301" s="4"/>
      <c r="U301" s="4"/>
    </row>
    <row r="302" spans="1:21">
      <c r="A302" t="s">
        <v>493</v>
      </c>
      <c r="B302">
        <v>9</v>
      </c>
      <c r="C302" t="str">
        <f t="shared" si="36"/>
        <v>test.GeoEngine_9_</v>
      </c>
      <c r="D302">
        <v>5</v>
      </c>
      <c r="E302" s="4">
        <v>1</v>
      </c>
      <c r="F302" s="4">
        <v>0.97047451669595786</v>
      </c>
      <c r="G302" s="4" t="str">
        <f t="shared" si="37"/>
        <v/>
      </c>
      <c r="H302" s="4" t="str">
        <f t="shared" si="38"/>
        <v/>
      </c>
      <c r="I302" s="4" t="str">
        <f t="shared" si="39"/>
        <v/>
      </c>
      <c r="J302" s="4" t="str">
        <f t="shared" si="40"/>
        <v/>
      </c>
      <c r="K302" s="4">
        <f t="shared" si="41"/>
        <v>1</v>
      </c>
      <c r="L302" s="4" t="str">
        <f t="shared" si="42"/>
        <v/>
      </c>
      <c r="M302" s="4"/>
      <c r="N302" s="4"/>
      <c r="O302" s="4"/>
      <c r="P302" s="4"/>
      <c r="Q302" s="4"/>
      <c r="R302" s="4"/>
      <c r="S302" s="4"/>
      <c r="T302" s="4"/>
      <c r="U302" s="4"/>
    </row>
    <row r="303" spans="1:21">
      <c r="A303" t="s">
        <v>493</v>
      </c>
      <c r="B303">
        <v>10</v>
      </c>
      <c r="C303" t="str">
        <f t="shared" si="36"/>
        <v>test.GeoEngine_10_</v>
      </c>
      <c r="D303">
        <v>1</v>
      </c>
      <c r="E303" s="4">
        <v>3.3333333333333333E-2</v>
      </c>
      <c r="F303" s="4">
        <v>8.1355932203389825E-2</v>
      </c>
      <c r="G303" s="4">
        <f t="shared" si="37"/>
        <v>3.3333333333333333E-2</v>
      </c>
      <c r="H303" s="4" t="str">
        <f t="shared" si="38"/>
        <v/>
      </c>
      <c r="I303" s="4" t="str">
        <f t="shared" si="39"/>
        <v/>
      </c>
      <c r="J303" s="4" t="str">
        <f t="shared" si="40"/>
        <v/>
      </c>
      <c r="K303" s="4" t="str">
        <f t="shared" si="41"/>
        <v/>
      </c>
      <c r="L303" s="4" t="str">
        <f t="shared" si="42"/>
        <v/>
      </c>
      <c r="M303" s="4"/>
      <c r="N303" s="4"/>
      <c r="O303" s="4"/>
      <c r="P303" s="4"/>
      <c r="Q303" s="4"/>
      <c r="R303" s="4"/>
      <c r="S303" s="4"/>
      <c r="T303" s="4"/>
      <c r="U303" s="4"/>
    </row>
    <row r="304" spans="1:21">
      <c r="A304" t="s">
        <v>493</v>
      </c>
      <c r="B304">
        <v>10</v>
      </c>
      <c r="C304" t="str">
        <f t="shared" si="36"/>
        <v>test.GeoEngine_10_</v>
      </c>
      <c r="D304">
        <v>2</v>
      </c>
      <c r="E304" s="4">
        <v>0.2</v>
      </c>
      <c r="F304" s="4">
        <v>0.33389830508474577</v>
      </c>
      <c r="G304" s="4" t="str">
        <f t="shared" si="37"/>
        <v/>
      </c>
      <c r="H304" s="4">
        <f t="shared" si="38"/>
        <v>0.2</v>
      </c>
      <c r="I304" s="4" t="str">
        <f t="shared" si="39"/>
        <v/>
      </c>
      <c r="J304" s="4" t="str">
        <f t="shared" si="40"/>
        <v/>
      </c>
      <c r="K304" s="4" t="str">
        <f t="shared" si="41"/>
        <v/>
      </c>
      <c r="L304" s="4" t="str">
        <f t="shared" si="42"/>
        <v/>
      </c>
      <c r="M304" s="4"/>
      <c r="N304" s="4"/>
      <c r="O304" s="4"/>
      <c r="P304" s="4"/>
      <c r="Q304" s="4"/>
      <c r="R304" s="4"/>
      <c r="S304" s="4"/>
      <c r="T304" s="4"/>
      <c r="U304" s="4"/>
    </row>
    <row r="305" spans="1:21">
      <c r="A305" t="s">
        <v>493</v>
      </c>
      <c r="B305">
        <v>10</v>
      </c>
      <c r="C305" t="str">
        <f t="shared" si="36"/>
        <v>test.GeoEngine_10_</v>
      </c>
      <c r="D305">
        <v>3</v>
      </c>
      <c r="E305" s="4">
        <v>0.4</v>
      </c>
      <c r="F305" s="4">
        <v>0.48220338983050848</v>
      </c>
      <c r="G305" s="4" t="str">
        <f t="shared" si="37"/>
        <v/>
      </c>
      <c r="H305" s="4" t="str">
        <f t="shared" si="38"/>
        <v/>
      </c>
      <c r="I305" s="4">
        <f t="shared" si="39"/>
        <v>0.4</v>
      </c>
      <c r="J305" s="4" t="str">
        <f t="shared" si="40"/>
        <v/>
      </c>
      <c r="K305" s="4" t="str">
        <f t="shared" si="41"/>
        <v/>
      </c>
      <c r="L305" s="4" t="str">
        <f t="shared" si="42"/>
        <v/>
      </c>
      <c r="M305" s="4"/>
      <c r="N305" s="4"/>
      <c r="O305" s="4"/>
      <c r="P305" s="4"/>
      <c r="Q305" s="4"/>
      <c r="R305" s="4"/>
      <c r="S305" s="4"/>
      <c r="T305" s="4"/>
      <c r="U305" s="4"/>
    </row>
    <row r="306" spans="1:21">
      <c r="A306" t="s">
        <v>493</v>
      </c>
      <c r="B306">
        <v>10</v>
      </c>
      <c r="C306" t="str">
        <f t="shared" si="36"/>
        <v>test.GeoEngine_10_</v>
      </c>
      <c r="D306">
        <v>4</v>
      </c>
      <c r="E306" s="4">
        <v>0.43333333333333335</v>
      </c>
      <c r="F306" s="4">
        <v>0.56610169491525419</v>
      </c>
      <c r="G306" s="4" t="str">
        <f t="shared" si="37"/>
        <v/>
      </c>
      <c r="H306" s="4" t="str">
        <f t="shared" si="38"/>
        <v/>
      </c>
      <c r="I306" s="4">
        <f t="shared" si="39"/>
        <v>0.43333333333333335</v>
      </c>
      <c r="J306" s="4" t="str">
        <f t="shared" si="40"/>
        <v/>
      </c>
      <c r="K306" s="4" t="str">
        <f t="shared" si="41"/>
        <v/>
      </c>
      <c r="L306" s="4" t="str">
        <f t="shared" si="42"/>
        <v/>
      </c>
      <c r="M306" s="4"/>
      <c r="N306" s="4"/>
      <c r="O306" s="4"/>
      <c r="P306" s="4"/>
      <c r="Q306" s="4"/>
      <c r="R306" s="4"/>
      <c r="S306" s="4"/>
      <c r="T306" s="4"/>
      <c r="U306" s="4"/>
    </row>
    <row r="307" spans="1:21">
      <c r="A307" t="s">
        <v>493</v>
      </c>
      <c r="B307">
        <v>10</v>
      </c>
      <c r="C307" t="str">
        <f t="shared" si="36"/>
        <v>test.GeoEngine_10_</v>
      </c>
      <c r="D307">
        <v>5</v>
      </c>
      <c r="E307" s="4">
        <v>0.6333333333333333</v>
      </c>
      <c r="F307" s="4">
        <v>0.65169491525423728</v>
      </c>
      <c r="G307" s="4" t="str">
        <f t="shared" si="37"/>
        <v/>
      </c>
      <c r="H307" s="4" t="str">
        <f t="shared" si="38"/>
        <v/>
      </c>
      <c r="I307" s="4" t="str">
        <f t="shared" si="39"/>
        <v/>
      </c>
      <c r="J307" s="4">
        <f t="shared" si="40"/>
        <v>0.6333333333333333</v>
      </c>
      <c r="K307" s="4" t="str">
        <f t="shared" si="41"/>
        <v/>
      </c>
      <c r="L307" s="4" t="str">
        <f t="shared" si="42"/>
        <v/>
      </c>
      <c r="M307" s="4"/>
      <c r="N307" s="4"/>
      <c r="O307" s="4"/>
      <c r="P307" s="4"/>
      <c r="Q307" s="4"/>
      <c r="R307" s="4"/>
      <c r="S307" s="4"/>
      <c r="T307" s="4"/>
      <c r="U307" s="4"/>
    </row>
    <row r="308" spans="1:21">
      <c r="A308" t="s">
        <v>493</v>
      </c>
      <c r="B308">
        <v>10</v>
      </c>
      <c r="C308" t="str">
        <f t="shared" si="36"/>
        <v>test.GeoEngine_10_</v>
      </c>
      <c r="D308">
        <v>6</v>
      </c>
      <c r="E308" s="4">
        <v>0.6333333333333333</v>
      </c>
      <c r="F308" s="4">
        <v>0.71779661016949148</v>
      </c>
      <c r="G308" s="4" t="str">
        <f t="shared" si="37"/>
        <v/>
      </c>
      <c r="H308" s="4" t="str">
        <f t="shared" si="38"/>
        <v/>
      </c>
      <c r="I308" s="4" t="str">
        <f t="shared" si="39"/>
        <v/>
      </c>
      <c r="J308" s="4">
        <f t="shared" si="40"/>
        <v>0.6333333333333333</v>
      </c>
      <c r="K308" s="4" t="str">
        <f t="shared" si="41"/>
        <v/>
      </c>
      <c r="L308" s="4" t="str">
        <f t="shared" si="42"/>
        <v/>
      </c>
      <c r="M308" s="4"/>
      <c r="N308" s="4"/>
      <c r="O308" s="4"/>
      <c r="P308" s="4"/>
      <c r="Q308" s="4"/>
      <c r="R308" s="4"/>
      <c r="S308" s="4"/>
      <c r="T308" s="4"/>
      <c r="U308" s="4"/>
    </row>
    <row r="309" spans="1:21">
      <c r="A309" t="s">
        <v>493</v>
      </c>
      <c r="B309">
        <v>10</v>
      </c>
      <c r="C309" t="str">
        <f t="shared" si="36"/>
        <v>test.GeoEngine_10_</v>
      </c>
      <c r="D309">
        <v>7</v>
      </c>
      <c r="E309" s="4">
        <v>0.66666666666666663</v>
      </c>
      <c r="F309" s="4">
        <v>0.71864406779661016</v>
      </c>
      <c r="G309" s="4" t="str">
        <f t="shared" si="37"/>
        <v/>
      </c>
      <c r="H309" s="4" t="str">
        <f t="shared" si="38"/>
        <v/>
      </c>
      <c r="I309" s="4" t="str">
        <f t="shared" si="39"/>
        <v/>
      </c>
      <c r="J309" s="4">
        <f t="shared" si="40"/>
        <v>0.66666666666666663</v>
      </c>
      <c r="K309" s="4" t="str">
        <f t="shared" si="41"/>
        <v/>
      </c>
      <c r="L309" s="4" t="str">
        <f t="shared" si="42"/>
        <v/>
      </c>
      <c r="M309" s="4"/>
      <c r="N309" s="4"/>
      <c r="O309" s="4"/>
      <c r="P309" s="4"/>
      <c r="Q309" s="4"/>
      <c r="R309" s="4"/>
      <c r="S309" s="4"/>
      <c r="T309" s="4"/>
      <c r="U309" s="4"/>
    </row>
    <row r="310" spans="1:21">
      <c r="A310" t="s">
        <v>493</v>
      </c>
      <c r="B310">
        <v>10</v>
      </c>
      <c r="C310" t="str">
        <f t="shared" si="36"/>
        <v>test.GeoEngine_10_</v>
      </c>
      <c r="D310">
        <v>8</v>
      </c>
      <c r="E310" s="4">
        <v>0.8</v>
      </c>
      <c r="F310" s="4">
        <v>0.73728813559322037</v>
      </c>
      <c r="G310" s="4" t="str">
        <f t="shared" si="37"/>
        <v/>
      </c>
      <c r="H310" s="4" t="str">
        <f t="shared" si="38"/>
        <v/>
      </c>
      <c r="I310" s="4" t="str">
        <f t="shared" si="39"/>
        <v/>
      </c>
      <c r="J310" s="4">
        <f t="shared" si="40"/>
        <v>0.8</v>
      </c>
      <c r="K310" s="4" t="str">
        <f t="shared" si="41"/>
        <v/>
      </c>
      <c r="L310" s="4" t="str">
        <f t="shared" si="42"/>
        <v/>
      </c>
      <c r="M310" s="4"/>
      <c r="N310" s="4"/>
      <c r="O310" s="4"/>
      <c r="P310" s="4"/>
      <c r="Q310" s="4"/>
      <c r="R310" s="4"/>
      <c r="S310" s="4"/>
      <c r="T310" s="4"/>
      <c r="U310" s="4"/>
    </row>
    <row r="311" spans="1:21">
      <c r="A311" t="s">
        <v>493</v>
      </c>
      <c r="B311">
        <v>10</v>
      </c>
      <c r="C311" t="str">
        <f t="shared" si="36"/>
        <v>test.GeoEngine_10_</v>
      </c>
      <c r="D311">
        <v>9</v>
      </c>
      <c r="E311" s="4">
        <v>0.8</v>
      </c>
      <c r="F311" s="4">
        <v>0.77542372881355937</v>
      </c>
      <c r="G311" s="4" t="str">
        <f t="shared" si="37"/>
        <v/>
      </c>
      <c r="H311" s="4" t="str">
        <f t="shared" si="38"/>
        <v/>
      </c>
      <c r="I311" s="4" t="str">
        <f t="shared" si="39"/>
        <v/>
      </c>
      <c r="J311" s="4">
        <f t="shared" si="40"/>
        <v>0.8</v>
      </c>
      <c r="K311" s="4" t="str">
        <f t="shared" si="41"/>
        <v/>
      </c>
      <c r="L311" s="4" t="str">
        <f t="shared" si="42"/>
        <v/>
      </c>
      <c r="M311" s="4"/>
      <c r="N311" s="4"/>
      <c r="O311" s="4"/>
      <c r="P311" s="4"/>
      <c r="Q311" s="4"/>
      <c r="R311" s="4"/>
      <c r="S311" s="4"/>
      <c r="T311" s="4"/>
      <c r="U311" s="4"/>
    </row>
    <row r="312" spans="1:21">
      <c r="A312" t="s">
        <v>493</v>
      </c>
      <c r="B312">
        <v>10</v>
      </c>
      <c r="C312" t="str">
        <f t="shared" si="36"/>
        <v>test.GeoEngine_10_</v>
      </c>
      <c r="D312">
        <v>10</v>
      </c>
      <c r="E312" s="4">
        <v>0.93333333333333335</v>
      </c>
      <c r="F312" s="4">
        <v>0.79491525423728815</v>
      </c>
      <c r="G312" s="4" t="str">
        <f t="shared" si="37"/>
        <v/>
      </c>
      <c r="H312" s="4" t="str">
        <f t="shared" si="38"/>
        <v/>
      </c>
      <c r="I312" s="4" t="str">
        <f t="shared" si="39"/>
        <v/>
      </c>
      <c r="J312" s="4">
        <f t="shared" si="40"/>
        <v>0.93333333333333335</v>
      </c>
      <c r="K312" s="4" t="str">
        <f t="shared" si="41"/>
        <v/>
      </c>
      <c r="L312" s="4" t="str">
        <f t="shared" si="42"/>
        <v/>
      </c>
      <c r="M312" s="4"/>
      <c r="N312" s="4"/>
      <c r="O312" s="4"/>
      <c r="P312" s="4"/>
      <c r="Q312" s="4"/>
      <c r="R312" s="4"/>
      <c r="S312" s="4"/>
      <c r="T312" s="4"/>
      <c r="U312" s="4"/>
    </row>
    <row r="313" spans="1:21">
      <c r="A313" t="s">
        <v>493</v>
      </c>
      <c r="B313">
        <v>10</v>
      </c>
      <c r="C313" t="str">
        <f t="shared" si="36"/>
        <v>test.GeoEngine_10_</v>
      </c>
      <c r="D313">
        <v>11</v>
      </c>
      <c r="E313" s="4">
        <v>0.93333333333333335</v>
      </c>
      <c r="F313" s="4">
        <v>0.7974576271186441</v>
      </c>
      <c r="G313" s="4" t="str">
        <f t="shared" si="37"/>
        <v/>
      </c>
      <c r="H313" s="4" t="str">
        <f t="shared" si="38"/>
        <v/>
      </c>
      <c r="I313" s="4" t="str">
        <f t="shared" si="39"/>
        <v/>
      </c>
      <c r="J313" s="4">
        <f t="shared" si="40"/>
        <v>0.93333333333333335</v>
      </c>
      <c r="K313" s="4" t="str">
        <f t="shared" si="41"/>
        <v/>
      </c>
      <c r="L313" s="4" t="str">
        <f t="shared" si="42"/>
        <v/>
      </c>
      <c r="M313" s="4"/>
      <c r="N313" s="4"/>
      <c r="O313" s="4"/>
      <c r="P313" s="4"/>
      <c r="Q313" s="4"/>
      <c r="R313" s="4"/>
      <c r="S313" s="4"/>
      <c r="T313" s="4"/>
      <c r="U313" s="4"/>
    </row>
    <row r="314" spans="1:21">
      <c r="A314" t="s">
        <v>493</v>
      </c>
      <c r="B314">
        <v>10</v>
      </c>
      <c r="C314" t="str">
        <f t="shared" si="36"/>
        <v>test.GeoEngine_10_</v>
      </c>
      <c r="D314">
        <v>12</v>
      </c>
      <c r="E314" s="4">
        <v>0.96666666666666667</v>
      </c>
      <c r="F314" s="4">
        <v>0.80423728813559325</v>
      </c>
      <c r="G314" s="4" t="str">
        <f t="shared" si="37"/>
        <v/>
      </c>
      <c r="H314" s="4" t="str">
        <f t="shared" si="38"/>
        <v/>
      </c>
      <c r="I314" s="4" t="str">
        <f t="shared" si="39"/>
        <v/>
      </c>
      <c r="J314" s="4" t="str">
        <f t="shared" si="40"/>
        <v/>
      </c>
      <c r="K314" s="4">
        <f t="shared" si="41"/>
        <v>0.96666666666666667</v>
      </c>
      <c r="L314" s="4" t="str">
        <f t="shared" si="42"/>
        <v/>
      </c>
      <c r="M314" s="4"/>
      <c r="N314" s="4"/>
      <c r="O314" s="4"/>
      <c r="P314" s="4"/>
      <c r="Q314" s="4"/>
      <c r="R314" s="4"/>
      <c r="S314" s="4"/>
      <c r="T314" s="4"/>
      <c r="U314" s="4"/>
    </row>
    <row r="315" spans="1:21">
      <c r="A315" t="s">
        <v>493</v>
      </c>
      <c r="B315">
        <v>10</v>
      </c>
      <c r="C315" t="str">
        <f t="shared" si="36"/>
        <v>test.GeoEngine_10_</v>
      </c>
      <c r="D315">
        <v>13</v>
      </c>
      <c r="E315" s="4">
        <v>1</v>
      </c>
      <c r="F315" s="4">
        <v>0.80593220338983051</v>
      </c>
      <c r="G315" s="4" t="str">
        <f t="shared" si="37"/>
        <v/>
      </c>
      <c r="H315" s="4" t="str">
        <f t="shared" si="38"/>
        <v/>
      </c>
      <c r="I315" s="4" t="str">
        <f t="shared" si="39"/>
        <v/>
      </c>
      <c r="J315" s="4" t="str">
        <f t="shared" si="40"/>
        <v/>
      </c>
      <c r="K315" s="4">
        <f t="shared" si="41"/>
        <v>1</v>
      </c>
      <c r="L315" s="4" t="str">
        <f t="shared" si="42"/>
        <v/>
      </c>
      <c r="M315" s="4"/>
      <c r="N315" s="4"/>
      <c r="O315" s="4"/>
      <c r="P315" s="4"/>
      <c r="Q315" s="4"/>
      <c r="R315" s="4"/>
      <c r="S315" s="4"/>
      <c r="T315" s="4"/>
      <c r="U315" s="4"/>
    </row>
    <row r="316" spans="1:21">
      <c r="A316" t="s">
        <v>493</v>
      </c>
      <c r="B316">
        <v>10</v>
      </c>
      <c r="C316" t="str">
        <f t="shared" si="36"/>
        <v>test.GeoEngine_10_</v>
      </c>
      <c r="D316">
        <v>14</v>
      </c>
      <c r="E316" s="4">
        <v>1</v>
      </c>
      <c r="F316" s="4">
        <v>0.8067796610169492</v>
      </c>
      <c r="G316" s="4" t="str">
        <f t="shared" si="37"/>
        <v/>
      </c>
      <c r="H316" s="4" t="str">
        <f t="shared" si="38"/>
        <v/>
      </c>
      <c r="I316" s="4" t="str">
        <f t="shared" si="39"/>
        <v/>
      </c>
      <c r="J316" s="4" t="str">
        <f t="shared" si="40"/>
        <v/>
      </c>
      <c r="K316" s="4">
        <f t="shared" si="41"/>
        <v>1</v>
      </c>
      <c r="L316" s="4" t="str">
        <f t="shared" si="42"/>
        <v/>
      </c>
      <c r="M316" s="4"/>
      <c r="N316" s="4"/>
      <c r="O316" s="4"/>
      <c r="P316" s="4"/>
      <c r="Q316" s="4"/>
      <c r="R316" s="4"/>
      <c r="S316" s="4"/>
      <c r="T316" s="4"/>
      <c r="U316" s="4"/>
    </row>
    <row r="317" spans="1:21">
      <c r="A317" t="s">
        <v>493</v>
      </c>
      <c r="B317">
        <v>10</v>
      </c>
      <c r="C317" t="str">
        <f t="shared" si="36"/>
        <v>test.GeoEngine_10_</v>
      </c>
      <c r="D317">
        <v>15</v>
      </c>
      <c r="E317" s="4">
        <v>1</v>
      </c>
      <c r="F317" s="4">
        <v>0.86525423728813555</v>
      </c>
      <c r="G317" s="4" t="str">
        <f t="shared" si="37"/>
        <v/>
      </c>
      <c r="H317" s="4" t="str">
        <f t="shared" si="38"/>
        <v/>
      </c>
      <c r="I317" s="4" t="str">
        <f t="shared" si="39"/>
        <v/>
      </c>
      <c r="J317" s="4" t="str">
        <f t="shared" si="40"/>
        <v/>
      </c>
      <c r="K317" s="4">
        <f t="shared" si="41"/>
        <v>1</v>
      </c>
      <c r="L317" s="4" t="str">
        <f t="shared" si="42"/>
        <v/>
      </c>
      <c r="M317" s="4"/>
      <c r="N317" s="4"/>
      <c r="O317" s="4"/>
      <c r="P317" s="4"/>
      <c r="Q317" s="4"/>
      <c r="R317" s="4"/>
      <c r="S317" s="4"/>
      <c r="T317" s="4"/>
      <c r="U317" s="4"/>
    </row>
    <row r="318" spans="1:21">
      <c r="A318" t="s">
        <v>493</v>
      </c>
      <c r="B318">
        <v>10</v>
      </c>
      <c r="C318" t="str">
        <f t="shared" si="36"/>
        <v>test.GeoEngine_10_</v>
      </c>
      <c r="D318">
        <v>16</v>
      </c>
      <c r="E318" s="4">
        <v>1</v>
      </c>
      <c r="F318" s="4">
        <v>0.86694915254237293</v>
      </c>
      <c r="G318" s="4" t="str">
        <f t="shared" si="37"/>
        <v/>
      </c>
      <c r="H318" s="4" t="str">
        <f t="shared" si="38"/>
        <v/>
      </c>
      <c r="I318" s="4" t="str">
        <f t="shared" si="39"/>
        <v/>
      </c>
      <c r="J318" s="4" t="str">
        <f t="shared" si="40"/>
        <v/>
      </c>
      <c r="K318" s="4">
        <f t="shared" si="41"/>
        <v>1</v>
      </c>
      <c r="L318" s="4" t="str">
        <f t="shared" si="42"/>
        <v/>
      </c>
      <c r="M318" s="4"/>
      <c r="N318" s="4"/>
      <c r="O318" s="4"/>
      <c r="P318" s="4"/>
      <c r="Q318" s="4"/>
      <c r="R318" s="4"/>
      <c r="S318" s="4"/>
      <c r="T318" s="4"/>
      <c r="U318" s="4"/>
    </row>
    <row r="319" spans="1:21">
      <c r="A319" t="s">
        <v>493</v>
      </c>
      <c r="B319">
        <v>10</v>
      </c>
      <c r="C319" t="str">
        <f t="shared" si="36"/>
        <v>test.GeoEngine_10_</v>
      </c>
      <c r="D319">
        <v>17</v>
      </c>
      <c r="E319" s="4">
        <v>1</v>
      </c>
      <c r="F319" s="4">
        <v>0.87542372881355934</v>
      </c>
      <c r="G319" s="4" t="str">
        <f t="shared" si="37"/>
        <v/>
      </c>
      <c r="H319" s="4" t="str">
        <f t="shared" si="38"/>
        <v/>
      </c>
      <c r="I319" s="4" t="str">
        <f t="shared" si="39"/>
        <v/>
      </c>
      <c r="J319" s="4" t="str">
        <f t="shared" si="40"/>
        <v/>
      </c>
      <c r="K319" s="4">
        <f t="shared" si="41"/>
        <v>1</v>
      </c>
      <c r="L319" s="4" t="str">
        <f t="shared" si="42"/>
        <v/>
      </c>
      <c r="M319" s="4"/>
      <c r="N319" s="4"/>
      <c r="O319" s="4"/>
      <c r="P319" s="4"/>
      <c r="Q319" s="4"/>
      <c r="R319" s="4"/>
      <c r="S319" s="4"/>
      <c r="T319" s="4"/>
      <c r="U319" s="4"/>
    </row>
    <row r="320" spans="1:21">
      <c r="A320" t="s">
        <v>493</v>
      </c>
      <c r="B320">
        <v>10</v>
      </c>
      <c r="C320" t="str">
        <f t="shared" si="36"/>
        <v>test.GeoEngine_10_</v>
      </c>
      <c r="D320">
        <v>18</v>
      </c>
      <c r="E320" s="4">
        <v>1</v>
      </c>
      <c r="F320" s="4">
        <v>0.87627118644067792</v>
      </c>
      <c r="G320" s="4" t="str">
        <f t="shared" si="37"/>
        <v/>
      </c>
      <c r="H320" s="4" t="str">
        <f t="shared" si="38"/>
        <v/>
      </c>
      <c r="I320" s="4" t="str">
        <f t="shared" si="39"/>
        <v/>
      </c>
      <c r="J320" s="4" t="str">
        <f t="shared" si="40"/>
        <v/>
      </c>
      <c r="K320" s="4">
        <f t="shared" si="41"/>
        <v>1</v>
      </c>
      <c r="L320" s="4" t="str">
        <f t="shared" si="42"/>
        <v/>
      </c>
      <c r="M320" s="4"/>
      <c r="N320" s="4"/>
      <c r="O320" s="4"/>
      <c r="P320" s="4"/>
      <c r="Q320" s="4"/>
      <c r="R320" s="4"/>
      <c r="S320" s="4"/>
      <c r="T320" s="4"/>
      <c r="U320" s="4"/>
    </row>
    <row r="321" spans="1:21">
      <c r="A321" t="s">
        <v>493</v>
      </c>
      <c r="B321">
        <v>10</v>
      </c>
      <c r="C321" t="str">
        <f t="shared" si="36"/>
        <v>test.GeoEngine_10_</v>
      </c>
      <c r="D321">
        <v>19</v>
      </c>
      <c r="E321" s="4">
        <v>1</v>
      </c>
      <c r="F321" s="4">
        <v>0.8771186440677966</v>
      </c>
      <c r="G321" s="4" t="str">
        <f t="shared" si="37"/>
        <v/>
      </c>
      <c r="H321" s="4" t="str">
        <f t="shared" si="38"/>
        <v/>
      </c>
      <c r="I321" s="4" t="str">
        <f t="shared" si="39"/>
        <v/>
      </c>
      <c r="J321" s="4" t="str">
        <f t="shared" si="40"/>
        <v/>
      </c>
      <c r="K321" s="4">
        <f t="shared" si="41"/>
        <v>1</v>
      </c>
      <c r="L321" s="4" t="str">
        <f t="shared" si="42"/>
        <v/>
      </c>
      <c r="M321" s="4"/>
      <c r="N321" s="4"/>
      <c r="O321" s="4"/>
      <c r="P321" s="4"/>
      <c r="Q321" s="4"/>
      <c r="R321" s="4"/>
      <c r="S321" s="4"/>
      <c r="T321" s="4"/>
      <c r="U321" s="4"/>
    </row>
    <row r="322" spans="1:21">
      <c r="A322" t="s">
        <v>493</v>
      </c>
      <c r="B322">
        <v>10</v>
      </c>
      <c r="C322" t="str">
        <f t="shared" si="36"/>
        <v>test.GeoEngine_10_</v>
      </c>
      <c r="D322">
        <v>20</v>
      </c>
      <c r="E322" s="4">
        <v>1</v>
      </c>
      <c r="F322" s="4">
        <v>0.87881355932203387</v>
      </c>
      <c r="G322" s="4" t="str">
        <f t="shared" si="37"/>
        <v/>
      </c>
      <c r="H322" s="4" t="str">
        <f t="shared" si="38"/>
        <v/>
      </c>
      <c r="I322" s="4" t="str">
        <f t="shared" si="39"/>
        <v/>
      </c>
      <c r="J322" s="4" t="str">
        <f t="shared" si="40"/>
        <v/>
      </c>
      <c r="K322" s="4">
        <f t="shared" si="41"/>
        <v>1</v>
      </c>
      <c r="L322" s="4" t="str">
        <f t="shared" si="42"/>
        <v/>
      </c>
      <c r="M322" s="4"/>
      <c r="N322" s="4"/>
      <c r="O322" s="4"/>
      <c r="P322" s="4"/>
      <c r="Q322" s="4"/>
      <c r="R322" s="4"/>
      <c r="S322" s="4"/>
      <c r="T322" s="4"/>
      <c r="U322" s="4"/>
    </row>
    <row r="323" spans="1:21">
      <c r="A323" t="s">
        <v>493</v>
      </c>
      <c r="B323">
        <v>10</v>
      </c>
      <c r="C323" t="str">
        <f t="shared" ref="C323:C386" si="43">CONCATENATE(A323, "_",B323,"_")</f>
        <v>test.GeoEngine_10_</v>
      </c>
      <c r="D323">
        <v>21</v>
      </c>
      <c r="E323" s="4">
        <v>1</v>
      </c>
      <c r="F323" s="4">
        <v>0.87966101694915255</v>
      </c>
      <c r="G323" s="4" t="str">
        <f t="shared" ref="G323:G386" si="44">IF(F323 &lt;= 0.2,E323,"")</f>
        <v/>
      </c>
      <c r="H323" s="4" t="str">
        <f t="shared" ref="H323:H386" si="45">IF(AND($F323 &gt; 0.2,$F323 &lt;= 0.4),$E323,"")</f>
        <v/>
      </c>
      <c r="I323" s="4" t="str">
        <f t="shared" ref="I323:I386" si="46">IF(AND($F323 &gt; 0.4,$F323 &lt;= 0.6),$E323,"")</f>
        <v/>
      </c>
      <c r="J323" s="4" t="str">
        <f t="shared" ref="J323:J386" si="47">IF(AND($F323 &gt; 0.6,$F323 &lt;= 0.8),$E323,"")</f>
        <v/>
      </c>
      <c r="K323" s="4">
        <f t="shared" ref="K323:K386" si="48">IF(AND($F323 &gt; 0.8, $F323 &lt;=1.1),$E323,"")</f>
        <v>1</v>
      </c>
      <c r="L323" s="4" t="str">
        <f t="shared" ref="L323:L386" si="49">IF(AND($F323 &gt; 1.1),$E323,"")</f>
        <v/>
      </c>
      <c r="M323" s="4"/>
      <c r="N323" s="4"/>
      <c r="O323" s="4"/>
      <c r="P323" s="4"/>
      <c r="Q323" s="4"/>
      <c r="R323" s="4"/>
      <c r="S323" s="4"/>
      <c r="T323" s="4"/>
      <c r="U323" s="4"/>
    </row>
    <row r="324" spans="1:21">
      <c r="A324" t="s">
        <v>493</v>
      </c>
      <c r="B324">
        <v>10</v>
      </c>
      <c r="C324" t="str">
        <f t="shared" si="43"/>
        <v>test.GeoEngine_10_</v>
      </c>
      <c r="D324">
        <v>22</v>
      </c>
      <c r="E324" s="4">
        <v>1</v>
      </c>
      <c r="F324" s="4">
        <v>0.88305084745762707</v>
      </c>
      <c r="G324" s="4" t="str">
        <f t="shared" si="44"/>
        <v/>
      </c>
      <c r="H324" s="4" t="str">
        <f t="shared" si="45"/>
        <v/>
      </c>
      <c r="I324" s="4" t="str">
        <f t="shared" si="46"/>
        <v/>
      </c>
      <c r="J324" s="4" t="str">
        <f t="shared" si="47"/>
        <v/>
      </c>
      <c r="K324" s="4">
        <f t="shared" si="48"/>
        <v>1</v>
      </c>
      <c r="L324" s="4" t="str">
        <f t="shared" si="49"/>
        <v/>
      </c>
      <c r="M324" s="4"/>
      <c r="N324" s="4"/>
      <c r="O324" s="4"/>
      <c r="P324" s="4"/>
      <c r="Q324" s="4"/>
      <c r="R324" s="4"/>
      <c r="S324" s="4"/>
      <c r="T324" s="4"/>
      <c r="U324" s="4"/>
    </row>
    <row r="325" spans="1:21">
      <c r="A325" t="s">
        <v>493</v>
      </c>
      <c r="B325">
        <v>10</v>
      </c>
      <c r="C325" t="str">
        <f t="shared" si="43"/>
        <v>test.GeoEngine_10_</v>
      </c>
      <c r="D325">
        <v>23</v>
      </c>
      <c r="E325" s="4">
        <v>1</v>
      </c>
      <c r="F325" s="4">
        <v>0.88559322033898302</v>
      </c>
      <c r="G325" s="4" t="str">
        <f t="shared" si="44"/>
        <v/>
      </c>
      <c r="H325" s="4" t="str">
        <f t="shared" si="45"/>
        <v/>
      </c>
      <c r="I325" s="4" t="str">
        <f t="shared" si="46"/>
        <v/>
      </c>
      <c r="J325" s="4" t="str">
        <f t="shared" si="47"/>
        <v/>
      </c>
      <c r="K325" s="4">
        <f t="shared" si="48"/>
        <v>1</v>
      </c>
      <c r="L325" s="4" t="str">
        <f t="shared" si="49"/>
        <v/>
      </c>
      <c r="M325" s="4"/>
      <c r="N325" s="4"/>
      <c r="O325" s="4"/>
      <c r="P325" s="4"/>
      <c r="Q325" s="4"/>
      <c r="R325" s="4"/>
      <c r="S325" s="4"/>
      <c r="T325" s="4"/>
      <c r="U325" s="4"/>
    </row>
    <row r="326" spans="1:21">
      <c r="A326" t="s">
        <v>493</v>
      </c>
      <c r="B326">
        <v>10</v>
      </c>
      <c r="C326" t="str">
        <f t="shared" si="43"/>
        <v>test.GeoEngine_10_</v>
      </c>
      <c r="D326">
        <v>24</v>
      </c>
      <c r="E326" s="4">
        <v>1</v>
      </c>
      <c r="F326" s="4">
        <v>0.93559322033898307</v>
      </c>
      <c r="G326" s="4" t="str">
        <f t="shared" si="44"/>
        <v/>
      </c>
      <c r="H326" s="4" t="str">
        <f t="shared" si="45"/>
        <v/>
      </c>
      <c r="I326" s="4" t="str">
        <f t="shared" si="46"/>
        <v/>
      </c>
      <c r="J326" s="4" t="str">
        <f t="shared" si="47"/>
        <v/>
      </c>
      <c r="K326" s="4">
        <f t="shared" si="48"/>
        <v>1</v>
      </c>
      <c r="L326" s="4" t="str">
        <f t="shared" si="49"/>
        <v/>
      </c>
      <c r="M326" s="4"/>
      <c r="N326" s="4"/>
      <c r="O326" s="4"/>
      <c r="P326" s="4"/>
      <c r="Q326" s="4"/>
      <c r="R326" s="4"/>
      <c r="S326" s="4"/>
      <c r="T326" s="4"/>
      <c r="U326" s="4"/>
    </row>
    <row r="327" spans="1:21">
      <c r="A327" t="s">
        <v>493</v>
      </c>
      <c r="B327">
        <v>10</v>
      </c>
      <c r="C327" t="str">
        <f t="shared" si="43"/>
        <v>test.GeoEngine_10_</v>
      </c>
      <c r="D327">
        <v>25</v>
      </c>
      <c r="E327" s="4">
        <v>1</v>
      </c>
      <c r="F327" s="4">
        <v>0.93898305084745759</v>
      </c>
      <c r="G327" s="4" t="str">
        <f t="shared" si="44"/>
        <v/>
      </c>
      <c r="H327" s="4" t="str">
        <f t="shared" si="45"/>
        <v/>
      </c>
      <c r="I327" s="4" t="str">
        <f t="shared" si="46"/>
        <v/>
      </c>
      <c r="J327" s="4" t="str">
        <f t="shared" si="47"/>
        <v/>
      </c>
      <c r="K327" s="4">
        <f t="shared" si="48"/>
        <v>1</v>
      </c>
      <c r="L327" s="4" t="str">
        <f t="shared" si="49"/>
        <v/>
      </c>
      <c r="M327" s="4"/>
      <c r="N327" s="4"/>
      <c r="O327" s="4"/>
      <c r="P327" s="4"/>
      <c r="Q327" s="4"/>
      <c r="R327" s="4"/>
      <c r="S327" s="4"/>
      <c r="T327" s="4"/>
      <c r="U327" s="4"/>
    </row>
    <row r="328" spans="1:21">
      <c r="A328" t="s">
        <v>493</v>
      </c>
      <c r="B328">
        <v>10</v>
      </c>
      <c r="C328" t="str">
        <f t="shared" si="43"/>
        <v>test.GeoEngine_10_</v>
      </c>
      <c r="D328">
        <v>26</v>
      </c>
      <c r="E328" s="4">
        <v>1</v>
      </c>
      <c r="F328" s="4">
        <v>0.94491525423728817</v>
      </c>
      <c r="G328" s="4" t="str">
        <f t="shared" si="44"/>
        <v/>
      </c>
      <c r="H328" s="4" t="str">
        <f t="shared" si="45"/>
        <v/>
      </c>
      <c r="I328" s="4" t="str">
        <f t="shared" si="46"/>
        <v/>
      </c>
      <c r="J328" s="4" t="str">
        <f t="shared" si="47"/>
        <v/>
      </c>
      <c r="K328" s="4">
        <f t="shared" si="48"/>
        <v>1</v>
      </c>
      <c r="L328" s="4" t="str">
        <f t="shared" si="49"/>
        <v/>
      </c>
      <c r="M328" s="4"/>
      <c r="N328" s="4"/>
      <c r="O328" s="4"/>
      <c r="P328" s="4"/>
      <c r="Q328" s="4"/>
      <c r="R328" s="4"/>
      <c r="S328" s="4"/>
      <c r="T328" s="4"/>
      <c r="U328" s="4"/>
    </row>
    <row r="329" spans="1:21">
      <c r="A329" t="s">
        <v>493</v>
      </c>
      <c r="B329">
        <v>10</v>
      </c>
      <c r="C329" t="str">
        <f t="shared" si="43"/>
        <v>test.GeoEngine_10_</v>
      </c>
      <c r="D329">
        <v>27</v>
      </c>
      <c r="E329" s="4">
        <v>1</v>
      </c>
      <c r="F329" s="4">
        <v>0.94661016949152543</v>
      </c>
      <c r="G329" s="4" t="str">
        <f t="shared" si="44"/>
        <v/>
      </c>
      <c r="H329" s="4" t="str">
        <f t="shared" si="45"/>
        <v/>
      </c>
      <c r="I329" s="4" t="str">
        <f t="shared" si="46"/>
        <v/>
      </c>
      <c r="J329" s="4" t="str">
        <f t="shared" si="47"/>
        <v/>
      </c>
      <c r="K329" s="4">
        <f t="shared" si="48"/>
        <v>1</v>
      </c>
      <c r="L329" s="4" t="str">
        <f t="shared" si="49"/>
        <v/>
      </c>
      <c r="M329" s="4"/>
      <c r="N329" s="4"/>
      <c r="O329" s="4"/>
      <c r="P329" s="4"/>
      <c r="Q329" s="4"/>
      <c r="R329" s="4"/>
      <c r="S329" s="4"/>
      <c r="T329" s="4"/>
      <c r="U329" s="4"/>
    </row>
    <row r="330" spans="1:21">
      <c r="A330" t="s">
        <v>493</v>
      </c>
      <c r="B330">
        <v>10</v>
      </c>
      <c r="C330" t="str">
        <f t="shared" si="43"/>
        <v>test.GeoEngine_10_</v>
      </c>
      <c r="D330">
        <v>28</v>
      </c>
      <c r="E330" s="4">
        <v>1</v>
      </c>
      <c r="F330" s="4">
        <v>0.95338983050847459</v>
      </c>
      <c r="G330" s="4" t="str">
        <f t="shared" si="44"/>
        <v/>
      </c>
      <c r="H330" s="4" t="str">
        <f t="shared" si="45"/>
        <v/>
      </c>
      <c r="I330" s="4" t="str">
        <f t="shared" si="46"/>
        <v/>
      </c>
      <c r="J330" s="4" t="str">
        <f t="shared" si="47"/>
        <v/>
      </c>
      <c r="K330" s="4">
        <f t="shared" si="48"/>
        <v>1</v>
      </c>
      <c r="L330" s="4" t="str">
        <f t="shared" si="49"/>
        <v/>
      </c>
      <c r="M330" s="4"/>
      <c r="N330" s="4"/>
      <c r="O330" s="4"/>
      <c r="P330" s="4"/>
      <c r="Q330" s="4"/>
      <c r="R330" s="4"/>
      <c r="S330" s="4"/>
      <c r="T330" s="4"/>
      <c r="U330" s="4"/>
    </row>
    <row r="331" spans="1:21">
      <c r="A331" t="s">
        <v>493</v>
      </c>
      <c r="B331">
        <v>10</v>
      </c>
      <c r="C331" t="str">
        <f t="shared" si="43"/>
        <v>test.GeoEngine_10_</v>
      </c>
      <c r="D331">
        <v>29</v>
      </c>
      <c r="E331" s="4">
        <v>1</v>
      </c>
      <c r="F331" s="4">
        <v>0.96271186440677969</v>
      </c>
      <c r="G331" s="4" t="str">
        <f t="shared" si="44"/>
        <v/>
      </c>
      <c r="H331" s="4" t="str">
        <f t="shared" si="45"/>
        <v/>
      </c>
      <c r="I331" s="4" t="str">
        <f t="shared" si="46"/>
        <v/>
      </c>
      <c r="J331" s="4" t="str">
        <f t="shared" si="47"/>
        <v/>
      </c>
      <c r="K331" s="4">
        <f t="shared" si="48"/>
        <v>1</v>
      </c>
      <c r="L331" s="4" t="str">
        <f t="shared" si="49"/>
        <v/>
      </c>
      <c r="M331" s="4"/>
      <c r="N331" s="4"/>
      <c r="O331" s="4"/>
      <c r="P331" s="4"/>
      <c r="Q331" s="4"/>
      <c r="R331" s="4"/>
      <c r="S331" s="4"/>
      <c r="T331" s="4"/>
      <c r="U331" s="4"/>
    </row>
    <row r="332" spans="1:21">
      <c r="A332" t="s">
        <v>493</v>
      </c>
      <c r="B332">
        <v>10</v>
      </c>
      <c r="C332" t="str">
        <f t="shared" si="43"/>
        <v>test.GeoEngine_10_</v>
      </c>
      <c r="D332">
        <v>30</v>
      </c>
      <c r="E332" s="4">
        <v>1</v>
      </c>
      <c r="F332" s="4">
        <v>0.9720338983050848</v>
      </c>
      <c r="G332" s="4" t="str">
        <f t="shared" si="44"/>
        <v/>
      </c>
      <c r="H332" s="4" t="str">
        <f t="shared" si="45"/>
        <v/>
      </c>
      <c r="I332" s="4" t="str">
        <f t="shared" si="46"/>
        <v/>
      </c>
      <c r="J332" s="4" t="str">
        <f t="shared" si="47"/>
        <v/>
      </c>
      <c r="K332" s="4">
        <f t="shared" si="48"/>
        <v>1</v>
      </c>
      <c r="L332" s="4" t="str">
        <f t="shared" si="49"/>
        <v/>
      </c>
      <c r="M332" s="4"/>
      <c r="N332" s="4"/>
      <c r="O332" s="4"/>
      <c r="P332" s="4"/>
      <c r="Q332" s="4"/>
      <c r="R332" s="4"/>
      <c r="S332" s="4"/>
      <c r="T332" s="4"/>
      <c r="U332" s="4"/>
    </row>
    <row r="333" spans="1:21">
      <c r="A333" t="s">
        <v>493</v>
      </c>
      <c r="B333">
        <v>10</v>
      </c>
      <c r="C333" t="str">
        <f t="shared" si="43"/>
        <v>test.GeoEngine_10_</v>
      </c>
      <c r="D333">
        <v>31</v>
      </c>
      <c r="E333" s="4">
        <v>1</v>
      </c>
      <c r="F333" s="4">
        <v>1.0076271186440677</v>
      </c>
      <c r="G333" s="4" t="str">
        <f t="shared" si="44"/>
        <v/>
      </c>
      <c r="H333" s="4" t="str">
        <f t="shared" si="45"/>
        <v/>
      </c>
      <c r="I333" s="4" t="str">
        <f t="shared" si="46"/>
        <v/>
      </c>
      <c r="J333" s="4" t="str">
        <f t="shared" si="47"/>
        <v/>
      </c>
      <c r="K333" s="4">
        <f t="shared" si="48"/>
        <v>1</v>
      </c>
      <c r="L333" s="4" t="str">
        <f t="shared" si="49"/>
        <v/>
      </c>
      <c r="M333" s="4"/>
      <c r="N333" s="4"/>
      <c r="O333" s="4"/>
      <c r="P333" s="4"/>
      <c r="Q333" s="4"/>
      <c r="R333" s="4"/>
      <c r="S333" s="4"/>
      <c r="T333" s="4"/>
      <c r="U333" s="4"/>
    </row>
    <row r="334" spans="1:21">
      <c r="A334" t="s">
        <v>493</v>
      </c>
      <c r="B334">
        <v>10</v>
      </c>
      <c r="C334" t="str">
        <f t="shared" si="43"/>
        <v>test.GeoEngine_10_</v>
      </c>
      <c r="D334">
        <v>32</v>
      </c>
      <c r="E334" s="4">
        <v>1</v>
      </c>
      <c r="F334" s="4">
        <v>1.0271186440677966</v>
      </c>
      <c r="G334" s="4" t="str">
        <f t="shared" si="44"/>
        <v/>
      </c>
      <c r="H334" s="4" t="str">
        <f t="shared" si="45"/>
        <v/>
      </c>
      <c r="I334" s="4" t="str">
        <f t="shared" si="46"/>
        <v/>
      </c>
      <c r="J334" s="4" t="str">
        <f t="shared" si="47"/>
        <v/>
      </c>
      <c r="K334" s="4">
        <f t="shared" si="48"/>
        <v>1</v>
      </c>
      <c r="L334" s="4" t="str">
        <f t="shared" si="49"/>
        <v/>
      </c>
      <c r="M334" s="4"/>
      <c r="N334" s="4"/>
      <c r="O334" s="4"/>
      <c r="P334" s="4"/>
      <c r="Q334" s="4"/>
      <c r="R334" s="4"/>
      <c r="S334" s="4"/>
      <c r="T334" s="4"/>
      <c r="U334" s="4"/>
    </row>
    <row r="335" spans="1:21">
      <c r="A335" t="s">
        <v>494</v>
      </c>
      <c r="B335">
        <v>3</v>
      </c>
      <c r="C335" t="str">
        <f t="shared" si="43"/>
        <v>test.FastBlurFilter_3_</v>
      </c>
      <c r="D335">
        <v>1</v>
      </c>
      <c r="E335" s="4">
        <v>0.93525179856115104</v>
      </c>
      <c r="F335" s="4">
        <v>0.96096913679104989</v>
      </c>
      <c r="G335" s="4" t="str">
        <f t="shared" si="44"/>
        <v/>
      </c>
      <c r="H335" s="4" t="str">
        <f t="shared" si="45"/>
        <v/>
      </c>
      <c r="I335" s="4" t="str">
        <f t="shared" si="46"/>
        <v/>
      </c>
      <c r="J335" s="4" t="str">
        <f t="shared" si="47"/>
        <v/>
      </c>
      <c r="K335" s="4">
        <f t="shared" si="48"/>
        <v>0.93525179856115104</v>
      </c>
      <c r="L335" s="4" t="str">
        <f t="shared" si="49"/>
        <v/>
      </c>
      <c r="M335" s="4"/>
      <c r="N335" s="4"/>
      <c r="O335" s="4"/>
      <c r="P335" s="4"/>
      <c r="Q335" s="4"/>
      <c r="R335" s="4"/>
      <c r="S335" s="4"/>
      <c r="T335" s="4"/>
      <c r="U335" s="4"/>
    </row>
    <row r="336" spans="1:21">
      <c r="A336" t="s">
        <v>494</v>
      </c>
      <c r="B336">
        <v>3</v>
      </c>
      <c r="C336" t="str">
        <f t="shared" si="43"/>
        <v>test.FastBlurFilter_3_</v>
      </c>
      <c r="D336">
        <v>2</v>
      </c>
      <c r="E336" s="4">
        <v>1</v>
      </c>
      <c r="F336" s="4">
        <v>0.96350865954380105</v>
      </c>
      <c r="G336" s="4" t="str">
        <f t="shared" si="44"/>
        <v/>
      </c>
      <c r="H336" s="4" t="str">
        <f t="shared" si="45"/>
        <v/>
      </c>
      <c r="I336" s="4" t="str">
        <f t="shared" si="46"/>
        <v/>
      </c>
      <c r="J336" s="4" t="str">
        <f t="shared" si="47"/>
        <v/>
      </c>
      <c r="K336" s="4">
        <f t="shared" si="48"/>
        <v>1</v>
      </c>
      <c r="L336" s="4" t="str">
        <f t="shared" si="49"/>
        <v/>
      </c>
      <c r="M336" s="4"/>
      <c r="N336" s="4"/>
      <c r="O336" s="4"/>
      <c r="P336" s="4"/>
      <c r="Q336" s="4"/>
      <c r="R336" s="4"/>
      <c r="S336" s="4"/>
      <c r="T336" s="4"/>
      <c r="U336" s="4"/>
    </row>
    <row r="337" spans="1:21">
      <c r="A337" t="s">
        <v>495</v>
      </c>
      <c r="B337">
        <v>2</v>
      </c>
      <c r="C337" t="str">
        <f t="shared" si="43"/>
        <v>test.ImageData_2_</v>
      </c>
      <c r="D337">
        <v>1</v>
      </c>
      <c r="E337" s="4">
        <v>0.125</v>
      </c>
      <c r="F337" s="4">
        <v>0.19204604918890633</v>
      </c>
      <c r="G337" s="4">
        <f t="shared" si="44"/>
        <v>0.125</v>
      </c>
      <c r="H337" s="4" t="str">
        <f t="shared" si="45"/>
        <v/>
      </c>
      <c r="I337" s="4" t="str">
        <f t="shared" si="46"/>
        <v/>
      </c>
      <c r="J337" s="4" t="str">
        <f t="shared" si="47"/>
        <v/>
      </c>
      <c r="K337" s="4" t="str">
        <f t="shared" si="48"/>
        <v/>
      </c>
      <c r="L337" s="4" t="str">
        <f t="shared" si="49"/>
        <v/>
      </c>
      <c r="M337" s="4"/>
      <c r="N337" s="4"/>
      <c r="O337" s="4"/>
      <c r="P337" s="4"/>
      <c r="Q337" s="4"/>
      <c r="R337" s="4"/>
      <c r="S337" s="4"/>
      <c r="T337" s="4"/>
      <c r="U337" s="4"/>
    </row>
    <row r="338" spans="1:21">
      <c r="A338" t="s">
        <v>495</v>
      </c>
      <c r="B338">
        <v>2</v>
      </c>
      <c r="C338" t="str">
        <f t="shared" si="43"/>
        <v>test.ImageData_2_</v>
      </c>
      <c r="D338">
        <v>2</v>
      </c>
      <c r="E338" s="4">
        <v>0.23214285714285715</v>
      </c>
      <c r="F338" s="4">
        <v>0.19858712715855573</v>
      </c>
      <c r="G338" s="4">
        <f t="shared" si="44"/>
        <v>0.23214285714285715</v>
      </c>
      <c r="H338" s="4" t="str">
        <f t="shared" si="45"/>
        <v/>
      </c>
      <c r="I338" s="4" t="str">
        <f t="shared" si="46"/>
        <v/>
      </c>
      <c r="J338" s="4" t="str">
        <f t="shared" si="47"/>
        <v/>
      </c>
      <c r="K338" s="4" t="str">
        <f t="shared" si="48"/>
        <v/>
      </c>
      <c r="L338" s="4" t="str">
        <f t="shared" si="49"/>
        <v/>
      </c>
      <c r="M338" s="4"/>
      <c r="N338" s="4"/>
      <c r="O338" s="4"/>
      <c r="P338" s="4"/>
      <c r="Q338" s="4"/>
      <c r="R338" s="4"/>
      <c r="S338" s="4"/>
      <c r="T338" s="4"/>
      <c r="U338" s="4"/>
    </row>
    <row r="339" spans="1:21">
      <c r="A339" t="s">
        <v>495</v>
      </c>
      <c r="B339">
        <v>2</v>
      </c>
      <c r="C339" t="str">
        <f t="shared" si="43"/>
        <v>test.ImageData_2_</v>
      </c>
      <c r="D339">
        <v>3</v>
      </c>
      <c r="E339" s="4">
        <v>0.3482142857142857</v>
      </c>
      <c r="F339" s="4">
        <v>0.20748299319727892</v>
      </c>
      <c r="G339" s="4" t="str">
        <f t="shared" si="44"/>
        <v/>
      </c>
      <c r="H339" s="4">
        <f t="shared" si="45"/>
        <v>0.3482142857142857</v>
      </c>
      <c r="I339" s="4" t="str">
        <f t="shared" si="46"/>
        <v/>
      </c>
      <c r="J339" s="4" t="str">
        <f t="shared" si="47"/>
        <v/>
      </c>
      <c r="K339" s="4" t="str">
        <f t="shared" si="48"/>
        <v/>
      </c>
      <c r="L339" s="4" t="str">
        <f t="shared" si="49"/>
        <v/>
      </c>
      <c r="M339" s="4"/>
      <c r="N339" s="4"/>
      <c r="O339" s="4"/>
      <c r="P339" s="4"/>
      <c r="Q339" s="4"/>
      <c r="R339" s="4"/>
      <c r="S339" s="4"/>
      <c r="T339" s="4"/>
      <c r="U339" s="4"/>
    </row>
    <row r="340" spans="1:21">
      <c r="A340" t="s">
        <v>495</v>
      </c>
      <c r="B340">
        <v>2</v>
      </c>
      <c r="C340" t="str">
        <f t="shared" si="43"/>
        <v>test.ImageData_2_</v>
      </c>
      <c r="D340">
        <v>4</v>
      </c>
      <c r="E340" s="4">
        <v>0.44642857142857145</v>
      </c>
      <c r="F340" s="4">
        <v>0.239141810570382</v>
      </c>
      <c r="G340" s="4" t="str">
        <f t="shared" si="44"/>
        <v/>
      </c>
      <c r="H340" s="4">
        <f t="shared" si="45"/>
        <v>0.44642857142857145</v>
      </c>
      <c r="I340" s="4" t="str">
        <f t="shared" si="46"/>
        <v/>
      </c>
      <c r="J340" s="4" t="str">
        <f t="shared" si="47"/>
        <v/>
      </c>
      <c r="K340" s="4" t="str">
        <f t="shared" si="48"/>
        <v/>
      </c>
      <c r="L340" s="4" t="str">
        <f t="shared" si="49"/>
        <v/>
      </c>
      <c r="M340" s="4"/>
      <c r="N340" s="4"/>
      <c r="O340" s="4"/>
      <c r="P340" s="4"/>
      <c r="Q340" s="4"/>
      <c r="R340" s="4"/>
      <c r="S340" s="4"/>
      <c r="T340" s="4"/>
      <c r="U340" s="4"/>
    </row>
    <row r="341" spans="1:21">
      <c r="A341" t="s">
        <v>495</v>
      </c>
      <c r="B341">
        <v>2</v>
      </c>
      <c r="C341" t="str">
        <f t="shared" si="43"/>
        <v>test.ImageData_2_</v>
      </c>
      <c r="D341">
        <v>5</v>
      </c>
      <c r="E341" s="4">
        <v>0.5535714285714286</v>
      </c>
      <c r="F341" s="4">
        <v>0.28492935635792777</v>
      </c>
      <c r="G341" s="4" t="str">
        <f t="shared" si="44"/>
        <v/>
      </c>
      <c r="H341" s="4">
        <f t="shared" si="45"/>
        <v>0.5535714285714286</v>
      </c>
      <c r="I341" s="4" t="str">
        <f t="shared" si="46"/>
        <v/>
      </c>
      <c r="J341" s="4" t="str">
        <f t="shared" si="47"/>
        <v/>
      </c>
      <c r="K341" s="4" t="str">
        <f t="shared" si="48"/>
        <v/>
      </c>
      <c r="L341" s="4" t="str">
        <f t="shared" si="49"/>
        <v/>
      </c>
      <c r="M341" s="4"/>
      <c r="N341" s="4"/>
      <c r="O341" s="4"/>
      <c r="P341" s="4"/>
      <c r="Q341" s="4"/>
      <c r="R341" s="4"/>
      <c r="S341" s="4"/>
      <c r="T341" s="4"/>
      <c r="U341" s="4"/>
    </row>
    <row r="342" spans="1:21">
      <c r="A342" t="s">
        <v>495</v>
      </c>
      <c r="B342">
        <v>2</v>
      </c>
      <c r="C342" t="str">
        <f t="shared" si="43"/>
        <v>test.ImageData_2_</v>
      </c>
      <c r="D342">
        <v>6</v>
      </c>
      <c r="E342" s="4">
        <v>0.6428571428571429</v>
      </c>
      <c r="F342" s="4">
        <v>0.29251700680272108</v>
      </c>
      <c r="G342" s="4" t="str">
        <f t="shared" si="44"/>
        <v/>
      </c>
      <c r="H342" s="4">
        <f t="shared" si="45"/>
        <v>0.6428571428571429</v>
      </c>
      <c r="I342" s="4" t="str">
        <f t="shared" si="46"/>
        <v/>
      </c>
      <c r="J342" s="4" t="str">
        <f t="shared" si="47"/>
        <v/>
      </c>
      <c r="K342" s="4" t="str">
        <f t="shared" si="48"/>
        <v/>
      </c>
      <c r="L342" s="4" t="str">
        <f t="shared" si="49"/>
        <v/>
      </c>
      <c r="M342" s="4"/>
      <c r="N342" s="4"/>
      <c r="O342" s="4"/>
      <c r="P342" s="4"/>
      <c r="Q342" s="4"/>
      <c r="R342" s="4"/>
      <c r="S342" s="4"/>
      <c r="T342" s="4"/>
      <c r="U342" s="4"/>
    </row>
    <row r="343" spans="1:21">
      <c r="A343" t="s">
        <v>495</v>
      </c>
      <c r="B343">
        <v>2</v>
      </c>
      <c r="C343" t="str">
        <f t="shared" si="43"/>
        <v>test.ImageData_2_</v>
      </c>
      <c r="D343">
        <v>7</v>
      </c>
      <c r="E343" s="4">
        <v>0.6428571428571429</v>
      </c>
      <c r="F343" s="4">
        <v>0.29277864992150704</v>
      </c>
      <c r="G343" s="4" t="str">
        <f t="shared" si="44"/>
        <v/>
      </c>
      <c r="H343" s="4">
        <f t="shared" si="45"/>
        <v>0.6428571428571429</v>
      </c>
      <c r="I343" s="4" t="str">
        <f t="shared" si="46"/>
        <v/>
      </c>
      <c r="J343" s="4" t="str">
        <f t="shared" si="47"/>
        <v/>
      </c>
      <c r="K343" s="4" t="str">
        <f t="shared" si="48"/>
        <v/>
      </c>
      <c r="L343" s="4" t="str">
        <f t="shared" si="49"/>
        <v/>
      </c>
      <c r="M343" s="4"/>
      <c r="N343" s="4"/>
      <c r="O343" s="4"/>
      <c r="P343" s="4"/>
      <c r="Q343" s="4"/>
      <c r="R343" s="4"/>
      <c r="S343" s="4"/>
      <c r="T343" s="4"/>
      <c r="U343" s="4"/>
    </row>
    <row r="344" spans="1:21">
      <c r="A344" t="s">
        <v>495</v>
      </c>
      <c r="B344">
        <v>2</v>
      </c>
      <c r="C344" t="str">
        <f t="shared" si="43"/>
        <v>test.ImageData_2_</v>
      </c>
      <c r="D344">
        <v>8</v>
      </c>
      <c r="E344" s="4">
        <v>0.6428571428571429</v>
      </c>
      <c r="F344" s="4">
        <v>0.30455259026687598</v>
      </c>
      <c r="G344" s="4" t="str">
        <f t="shared" si="44"/>
        <v/>
      </c>
      <c r="H344" s="4">
        <f t="shared" si="45"/>
        <v>0.6428571428571429</v>
      </c>
      <c r="I344" s="4" t="str">
        <f t="shared" si="46"/>
        <v/>
      </c>
      <c r="J344" s="4" t="str">
        <f t="shared" si="47"/>
        <v/>
      </c>
      <c r="K344" s="4" t="str">
        <f t="shared" si="48"/>
        <v/>
      </c>
      <c r="L344" s="4" t="str">
        <f t="shared" si="49"/>
        <v/>
      </c>
      <c r="M344" s="4"/>
      <c r="N344" s="4"/>
      <c r="O344" s="4"/>
      <c r="P344" s="4"/>
      <c r="Q344" s="4"/>
      <c r="R344" s="4"/>
      <c r="S344" s="4"/>
      <c r="T344" s="4"/>
      <c r="U344" s="4"/>
    </row>
    <row r="345" spans="1:21">
      <c r="A345" t="s">
        <v>495</v>
      </c>
      <c r="B345">
        <v>2</v>
      </c>
      <c r="C345" t="str">
        <f t="shared" si="43"/>
        <v>test.ImageData_2_</v>
      </c>
      <c r="D345">
        <v>9</v>
      </c>
      <c r="E345" s="4">
        <v>0.6428571428571429</v>
      </c>
      <c r="F345" s="4">
        <v>0.31187859759288333</v>
      </c>
      <c r="G345" s="4" t="str">
        <f t="shared" si="44"/>
        <v/>
      </c>
      <c r="H345" s="4">
        <f t="shared" si="45"/>
        <v>0.6428571428571429</v>
      </c>
      <c r="I345" s="4" t="str">
        <f t="shared" si="46"/>
        <v/>
      </c>
      <c r="J345" s="4" t="str">
        <f t="shared" si="47"/>
        <v/>
      </c>
      <c r="K345" s="4" t="str">
        <f t="shared" si="48"/>
        <v/>
      </c>
      <c r="L345" s="4" t="str">
        <f t="shared" si="49"/>
        <v/>
      </c>
      <c r="M345" s="4"/>
      <c r="N345" s="4"/>
      <c r="O345" s="4"/>
      <c r="P345" s="4"/>
      <c r="Q345" s="4"/>
      <c r="R345" s="4"/>
      <c r="S345" s="4"/>
      <c r="T345" s="4"/>
      <c r="U345" s="4"/>
    </row>
    <row r="346" spans="1:21">
      <c r="A346" t="s">
        <v>495</v>
      </c>
      <c r="B346">
        <v>2</v>
      </c>
      <c r="C346" t="str">
        <f t="shared" si="43"/>
        <v>test.ImageData_2_</v>
      </c>
      <c r="D346">
        <v>10</v>
      </c>
      <c r="E346" s="4">
        <v>0.7946428571428571</v>
      </c>
      <c r="F346" s="4">
        <v>0.3207744636316065</v>
      </c>
      <c r="G346" s="4" t="str">
        <f t="shared" si="44"/>
        <v/>
      </c>
      <c r="H346" s="4">
        <f t="shared" si="45"/>
        <v>0.7946428571428571</v>
      </c>
      <c r="I346" s="4" t="str">
        <f t="shared" si="46"/>
        <v/>
      </c>
      <c r="J346" s="4" t="str">
        <f t="shared" si="47"/>
        <v/>
      </c>
      <c r="K346" s="4" t="str">
        <f t="shared" si="48"/>
        <v/>
      </c>
      <c r="L346" s="4" t="str">
        <f t="shared" si="49"/>
        <v/>
      </c>
      <c r="M346" s="4"/>
      <c r="N346" s="4"/>
      <c r="O346" s="4"/>
      <c r="P346" s="4"/>
      <c r="Q346" s="4"/>
      <c r="R346" s="4"/>
      <c r="S346" s="4"/>
      <c r="T346" s="4"/>
      <c r="U346" s="4"/>
    </row>
    <row r="347" spans="1:21">
      <c r="A347" t="s">
        <v>495</v>
      </c>
      <c r="B347">
        <v>2</v>
      </c>
      <c r="C347" t="str">
        <f t="shared" si="43"/>
        <v>test.ImageData_2_</v>
      </c>
      <c r="D347">
        <v>11</v>
      </c>
      <c r="E347" s="4">
        <v>0.7946428571428571</v>
      </c>
      <c r="F347" s="4">
        <v>0.34589220303506019</v>
      </c>
      <c r="G347" s="4" t="str">
        <f t="shared" si="44"/>
        <v/>
      </c>
      <c r="H347" s="4">
        <f t="shared" si="45"/>
        <v>0.7946428571428571</v>
      </c>
      <c r="I347" s="4" t="str">
        <f t="shared" si="46"/>
        <v/>
      </c>
      <c r="J347" s="4" t="str">
        <f t="shared" si="47"/>
        <v/>
      </c>
      <c r="K347" s="4" t="str">
        <f t="shared" si="48"/>
        <v/>
      </c>
      <c r="L347" s="4" t="str">
        <f t="shared" si="49"/>
        <v/>
      </c>
      <c r="M347" s="4"/>
      <c r="N347" s="4"/>
      <c r="O347" s="4"/>
      <c r="P347" s="4"/>
      <c r="Q347" s="4"/>
      <c r="R347" s="4"/>
      <c r="S347" s="4"/>
      <c r="T347" s="4"/>
      <c r="U347" s="4"/>
    </row>
    <row r="348" spans="1:21">
      <c r="A348" t="s">
        <v>495</v>
      </c>
      <c r="B348">
        <v>2</v>
      </c>
      <c r="C348" t="str">
        <f t="shared" si="43"/>
        <v>test.ImageData_2_</v>
      </c>
      <c r="D348">
        <v>12</v>
      </c>
      <c r="E348" s="4">
        <v>1</v>
      </c>
      <c r="F348" s="4">
        <v>0.36682365253793825</v>
      </c>
      <c r="G348" s="4" t="str">
        <f t="shared" si="44"/>
        <v/>
      </c>
      <c r="H348" s="4">
        <f t="shared" si="45"/>
        <v>1</v>
      </c>
      <c r="I348" s="4" t="str">
        <f t="shared" si="46"/>
        <v/>
      </c>
      <c r="J348" s="4" t="str">
        <f t="shared" si="47"/>
        <v/>
      </c>
      <c r="K348" s="4" t="str">
        <f t="shared" si="48"/>
        <v/>
      </c>
      <c r="L348" s="4" t="str">
        <f t="shared" si="49"/>
        <v/>
      </c>
      <c r="M348" s="4"/>
      <c r="N348" s="4"/>
      <c r="O348" s="4"/>
      <c r="P348" s="4"/>
      <c r="Q348" s="4"/>
      <c r="R348" s="4"/>
      <c r="S348" s="4"/>
      <c r="T348" s="4"/>
      <c r="U348" s="4"/>
    </row>
    <row r="349" spans="1:21">
      <c r="A349" t="s">
        <v>495</v>
      </c>
      <c r="B349">
        <v>2</v>
      </c>
      <c r="C349" t="str">
        <f t="shared" si="43"/>
        <v>test.ImageData_2_</v>
      </c>
      <c r="D349">
        <v>13</v>
      </c>
      <c r="E349" s="4">
        <v>1</v>
      </c>
      <c r="F349" s="4">
        <v>0.42046049188906331</v>
      </c>
      <c r="G349" s="4" t="str">
        <f t="shared" si="44"/>
        <v/>
      </c>
      <c r="H349" s="4" t="str">
        <f t="shared" si="45"/>
        <v/>
      </c>
      <c r="I349" s="4">
        <f t="shared" si="46"/>
        <v>1</v>
      </c>
      <c r="J349" s="4" t="str">
        <f t="shared" si="47"/>
        <v/>
      </c>
      <c r="K349" s="4" t="str">
        <f t="shared" si="48"/>
        <v/>
      </c>
      <c r="L349" s="4" t="str">
        <f t="shared" si="49"/>
        <v/>
      </c>
      <c r="M349" s="4"/>
      <c r="N349" s="4"/>
      <c r="O349" s="4"/>
      <c r="P349" s="4"/>
      <c r="Q349" s="4"/>
      <c r="R349" s="4"/>
      <c r="S349" s="4"/>
      <c r="T349" s="4"/>
      <c r="U349" s="4"/>
    </row>
    <row r="350" spans="1:21">
      <c r="A350" t="s">
        <v>495</v>
      </c>
      <c r="B350">
        <v>2</v>
      </c>
      <c r="C350" t="str">
        <f t="shared" si="43"/>
        <v>test.ImageData_2_</v>
      </c>
      <c r="D350">
        <v>14</v>
      </c>
      <c r="E350" s="4">
        <v>1</v>
      </c>
      <c r="F350" s="4">
        <v>0.45290423861852436</v>
      </c>
      <c r="G350" s="4" t="str">
        <f t="shared" si="44"/>
        <v/>
      </c>
      <c r="H350" s="4" t="str">
        <f t="shared" si="45"/>
        <v/>
      </c>
      <c r="I350" s="4">
        <f t="shared" si="46"/>
        <v>1</v>
      </c>
      <c r="J350" s="4" t="str">
        <f t="shared" si="47"/>
        <v/>
      </c>
      <c r="K350" s="4" t="str">
        <f t="shared" si="48"/>
        <v/>
      </c>
      <c r="L350" s="4" t="str">
        <f t="shared" si="49"/>
        <v/>
      </c>
      <c r="M350" s="4"/>
      <c r="N350" s="4"/>
      <c r="O350" s="4"/>
      <c r="P350" s="4"/>
      <c r="Q350" s="4"/>
      <c r="R350" s="4"/>
      <c r="S350" s="4"/>
      <c r="T350" s="4"/>
      <c r="U350" s="4"/>
    </row>
    <row r="351" spans="1:21">
      <c r="A351" t="s">
        <v>495</v>
      </c>
      <c r="B351">
        <v>3</v>
      </c>
      <c r="C351" t="str">
        <f t="shared" si="43"/>
        <v>test.ImageData_3_</v>
      </c>
      <c r="D351">
        <v>1</v>
      </c>
      <c r="E351" s="4">
        <v>0.1357142857142857</v>
      </c>
      <c r="F351" s="4">
        <v>6.6706730769230768E-2</v>
      </c>
      <c r="G351" s="4">
        <f t="shared" si="44"/>
        <v>0.1357142857142857</v>
      </c>
      <c r="H351" s="4" t="str">
        <f t="shared" si="45"/>
        <v/>
      </c>
      <c r="I351" s="4" t="str">
        <f t="shared" si="46"/>
        <v/>
      </c>
      <c r="J351" s="4" t="str">
        <f t="shared" si="47"/>
        <v/>
      </c>
      <c r="K351" s="4" t="str">
        <f t="shared" si="48"/>
        <v/>
      </c>
      <c r="L351" s="4" t="str">
        <f t="shared" si="49"/>
        <v/>
      </c>
      <c r="M351" s="4"/>
      <c r="N351" s="4"/>
      <c r="O351" s="4"/>
      <c r="P351" s="4"/>
      <c r="Q351" s="4"/>
      <c r="R351" s="4"/>
      <c r="S351" s="4"/>
      <c r="T351" s="4"/>
      <c r="U351" s="4"/>
    </row>
    <row r="352" spans="1:21">
      <c r="A352" t="s">
        <v>495</v>
      </c>
      <c r="B352">
        <v>3</v>
      </c>
      <c r="C352" t="str">
        <f t="shared" si="43"/>
        <v>test.ImageData_3_</v>
      </c>
      <c r="D352">
        <v>2</v>
      </c>
      <c r="E352" s="4">
        <v>0.2</v>
      </c>
      <c r="F352" s="4">
        <v>0.16397664835164835</v>
      </c>
      <c r="G352" s="4">
        <f t="shared" si="44"/>
        <v>0.2</v>
      </c>
      <c r="H352" s="4" t="str">
        <f t="shared" si="45"/>
        <v/>
      </c>
      <c r="I352" s="4" t="str">
        <f t="shared" si="46"/>
        <v/>
      </c>
      <c r="J352" s="4" t="str">
        <f t="shared" si="47"/>
        <v/>
      </c>
      <c r="K352" s="4" t="str">
        <f t="shared" si="48"/>
        <v/>
      </c>
      <c r="L352" s="4" t="str">
        <f t="shared" si="49"/>
        <v/>
      </c>
      <c r="M352" s="4"/>
      <c r="N352" s="4"/>
      <c r="O352" s="4"/>
      <c r="P352" s="4"/>
      <c r="Q352" s="4"/>
      <c r="R352" s="4"/>
      <c r="S352" s="4"/>
      <c r="T352" s="4"/>
      <c r="U352" s="4"/>
    </row>
    <row r="353" spans="1:21">
      <c r="A353" t="s">
        <v>495</v>
      </c>
      <c r="B353">
        <v>3</v>
      </c>
      <c r="C353" t="str">
        <f t="shared" si="43"/>
        <v>test.ImageData_3_</v>
      </c>
      <c r="D353">
        <v>3</v>
      </c>
      <c r="E353" s="4">
        <v>0.45</v>
      </c>
      <c r="F353" s="4">
        <v>0.23248626373626374</v>
      </c>
      <c r="G353" s="4" t="str">
        <f t="shared" si="44"/>
        <v/>
      </c>
      <c r="H353" s="4">
        <f t="shared" si="45"/>
        <v>0.45</v>
      </c>
      <c r="I353" s="4" t="str">
        <f t="shared" si="46"/>
        <v/>
      </c>
      <c r="J353" s="4" t="str">
        <f t="shared" si="47"/>
        <v/>
      </c>
      <c r="K353" s="4" t="str">
        <f t="shared" si="48"/>
        <v/>
      </c>
      <c r="L353" s="4" t="str">
        <f t="shared" si="49"/>
        <v/>
      </c>
      <c r="M353" s="4"/>
      <c r="N353" s="4"/>
      <c r="O353" s="4"/>
      <c r="P353" s="4"/>
      <c r="Q353" s="4"/>
      <c r="R353" s="4"/>
      <c r="S353" s="4"/>
      <c r="T353" s="4"/>
      <c r="U353" s="4"/>
    </row>
    <row r="354" spans="1:21">
      <c r="A354" t="s">
        <v>495</v>
      </c>
      <c r="B354">
        <v>3</v>
      </c>
      <c r="C354" t="str">
        <f t="shared" si="43"/>
        <v>test.ImageData_3_</v>
      </c>
      <c r="D354">
        <v>4</v>
      </c>
      <c r="E354" s="4">
        <v>0.45</v>
      </c>
      <c r="F354" s="4">
        <v>0.27712912087912089</v>
      </c>
      <c r="G354" s="4" t="str">
        <f t="shared" si="44"/>
        <v/>
      </c>
      <c r="H354" s="4">
        <f t="shared" si="45"/>
        <v>0.45</v>
      </c>
      <c r="I354" s="4" t="str">
        <f t="shared" si="46"/>
        <v/>
      </c>
      <c r="J354" s="4" t="str">
        <f t="shared" si="47"/>
        <v/>
      </c>
      <c r="K354" s="4" t="str">
        <f t="shared" si="48"/>
        <v/>
      </c>
      <c r="L354" s="4" t="str">
        <f t="shared" si="49"/>
        <v/>
      </c>
      <c r="M354" s="4"/>
      <c r="N354" s="4"/>
      <c r="O354" s="4"/>
      <c r="P354" s="4"/>
      <c r="Q354" s="4"/>
      <c r="R354" s="4"/>
      <c r="S354" s="4"/>
      <c r="T354" s="4"/>
      <c r="U354" s="4"/>
    </row>
    <row r="355" spans="1:21">
      <c r="A355" t="s">
        <v>495</v>
      </c>
      <c r="B355">
        <v>3</v>
      </c>
      <c r="C355" t="str">
        <f t="shared" si="43"/>
        <v>test.ImageData_3_</v>
      </c>
      <c r="D355">
        <v>5</v>
      </c>
      <c r="E355" s="4">
        <v>0.8571428571428571</v>
      </c>
      <c r="F355" s="4">
        <v>0.33361950549450547</v>
      </c>
      <c r="G355" s="4" t="str">
        <f t="shared" si="44"/>
        <v/>
      </c>
      <c r="H355" s="4">
        <f t="shared" si="45"/>
        <v>0.8571428571428571</v>
      </c>
      <c r="I355" s="4" t="str">
        <f t="shared" si="46"/>
        <v/>
      </c>
      <c r="J355" s="4" t="str">
        <f t="shared" si="47"/>
        <v/>
      </c>
      <c r="K355" s="4" t="str">
        <f t="shared" si="48"/>
        <v/>
      </c>
      <c r="L355" s="4" t="str">
        <f t="shared" si="49"/>
        <v/>
      </c>
      <c r="M355" s="4"/>
      <c r="N355" s="4"/>
      <c r="O355" s="4"/>
      <c r="P355" s="4"/>
      <c r="Q355" s="4"/>
      <c r="R355" s="4"/>
      <c r="S355" s="4"/>
      <c r="T355" s="4"/>
      <c r="U355" s="4"/>
    </row>
    <row r="356" spans="1:21">
      <c r="A356" t="s">
        <v>495</v>
      </c>
      <c r="B356">
        <v>3</v>
      </c>
      <c r="C356" t="str">
        <f t="shared" si="43"/>
        <v>test.ImageData_3_</v>
      </c>
      <c r="D356">
        <v>6</v>
      </c>
      <c r="E356" s="4">
        <v>1</v>
      </c>
      <c r="F356" s="4">
        <v>0.58628090659340659</v>
      </c>
      <c r="G356" s="4" t="str">
        <f t="shared" si="44"/>
        <v/>
      </c>
      <c r="H356" s="4" t="str">
        <f t="shared" si="45"/>
        <v/>
      </c>
      <c r="I356" s="4">
        <f t="shared" si="46"/>
        <v>1</v>
      </c>
      <c r="J356" s="4" t="str">
        <f t="shared" si="47"/>
        <v/>
      </c>
      <c r="K356" s="4" t="str">
        <f t="shared" si="48"/>
        <v/>
      </c>
      <c r="L356" s="4" t="str">
        <f t="shared" si="49"/>
        <v/>
      </c>
      <c r="M356" s="4"/>
      <c r="N356" s="4"/>
      <c r="O356" s="4"/>
      <c r="P356" s="4"/>
      <c r="Q356" s="4"/>
      <c r="R356" s="4"/>
      <c r="S356" s="4"/>
      <c r="T356" s="4"/>
      <c r="U356" s="4"/>
    </row>
    <row r="357" spans="1:21">
      <c r="A357" t="s">
        <v>495</v>
      </c>
      <c r="B357">
        <v>4</v>
      </c>
      <c r="C357" t="str">
        <f t="shared" si="43"/>
        <v>test.ImageData_4_</v>
      </c>
      <c r="D357">
        <v>1</v>
      </c>
      <c r="E357" s="4">
        <v>6.985294117647059E-2</v>
      </c>
      <c r="F357" s="4">
        <v>2.5491054672838735E-2</v>
      </c>
      <c r="G357" s="4">
        <f t="shared" si="44"/>
        <v>6.985294117647059E-2</v>
      </c>
      <c r="H357" s="4" t="str">
        <f t="shared" si="45"/>
        <v/>
      </c>
      <c r="I357" s="4" t="str">
        <f t="shared" si="46"/>
        <v/>
      </c>
      <c r="J357" s="4" t="str">
        <f t="shared" si="47"/>
        <v/>
      </c>
      <c r="K357" s="4" t="str">
        <f t="shared" si="48"/>
        <v/>
      </c>
      <c r="L357" s="4" t="str">
        <f t="shared" si="49"/>
        <v/>
      </c>
      <c r="M357" s="4"/>
      <c r="N357" s="4"/>
      <c r="O357" s="4"/>
      <c r="P357" s="4"/>
      <c r="Q357" s="4"/>
      <c r="R357" s="4"/>
      <c r="S357" s="4"/>
      <c r="T357" s="4"/>
      <c r="U357" s="4"/>
    </row>
    <row r="358" spans="1:21">
      <c r="A358" t="s">
        <v>495</v>
      </c>
      <c r="B358">
        <v>4</v>
      </c>
      <c r="C358" t="str">
        <f t="shared" si="43"/>
        <v>test.ImageData_4_</v>
      </c>
      <c r="D358">
        <v>2</v>
      </c>
      <c r="E358" s="4">
        <v>0.11397058823529412</v>
      </c>
      <c r="F358" s="4">
        <v>4.6978606280495432E-2</v>
      </c>
      <c r="G358" s="4">
        <f t="shared" si="44"/>
        <v>0.11397058823529412</v>
      </c>
      <c r="H358" s="4" t="str">
        <f t="shared" si="45"/>
        <v/>
      </c>
      <c r="I358" s="4" t="str">
        <f t="shared" si="46"/>
        <v/>
      </c>
      <c r="J358" s="4" t="str">
        <f t="shared" si="47"/>
        <v/>
      </c>
      <c r="K358" s="4" t="str">
        <f t="shared" si="48"/>
        <v/>
      </c>
      <c r="L358" s="4" t="str">
        <f t="shared" si="49"/>
        <v/>
      </c>
      <c r="M358" s="4"/>
      <c r="N358" s="4"/>
      <c r="O358" s="4"/>
      <c r="P358" s="4"/>
      <c r="Q358" s="4"/>
      <c r="R358" s="4"/>
      <c r="S358" s="4"/>
      <c r="T358" s="4"/>
      <c r="U358" s="4"/>
    </row>
    <row r="359" spans="1:21">
      <c r="A359" t="s">
        <v>495</v>
      </c>
      <c r="B359">
        <v>4</v>
      </c>
      <c r="C359" t="str">
        <f t="shared" si="43"/>
        <v>test.ImageData_4_</v>
      </c>
      <c r="D359">
        <v>3</v>
      </c>
      <c r="E359" s="4">
        <v>0.24264705882352941</v>
      </c>
      <c r="F359" s="4">
        <v>7.9194295008132118E-2</v>
      </c>
      <c r="G359" s="4">
        <f t="shared" si="44"/>
        <v>0.24264705882352941</v>
      </c>
      <c r="H359" s="4" t="str">
        <f t="shared" si="45"/>
        <v/>
      </c>
      <c r="I359" s="4" t="str">
        <f t="shared" si="46"/>
        <v/>
      </c>
      <c r="J359" s="4" t="str">
        <f t="shared" si="47"/>
        <v/>
      </c>
      <c r="K359" s="4" t="str">
        <f t="shared" si="48"/>
        <v/>
      </c>
      <c r="L359" s="4" t="str">
        <f t="shared" si="49"/>
        <v/>
      </c>
      <c r="M359" s="4"/>
      <c r="N359" s="4"/>
      <c r="O359" s="4"/>
      <c r="P359" s="4"/>
      <c r="Q359" s="4"/>
      <c r="R359" s="4"/>
      <c r="S359" s="4"/>
      <c r="T359" s="4"/>
      <c r="U359" s="4"/>
    </row>
    <row r="360" spans="1:21">
      <c r="A360" t="s">
        <v>495</v>
      </c>
      <c r="B360">
        <v>4</v>
      </c>
      <c r="C360" t="str">
        <f t="shared" si="43"/>
        <v>test.ImageData_4_</v>
      </c>
      <c r="D360">
        <v>4</v>
      </c>
      <c r="E360" s="4">
        <v>0.37132352941176472</v>
      </c>
      <c r="F360" s="4">
        <v>8.6137870636807209E-2</v>
      </c>
      <c r="G360" s="4">
        <f t="shared" si="44"/>
        <v>0.37132352941176472</v>
      </c>
      <c r="H360" s="4" t="str">
        <f t="shared" si="45"/>
        <v/>
      </c>
      <c r="I360" s="4" t="str">
        <f t="shared" si="46"/>
        <v/>
      </c>
      <c r="J360" s="4" t="str">
        <f t="shared" si="47"/>
        <v/>
      </c>
      <c r="K360" s="4" t="str">
        <f t="shared" si="48"/>
        <v/>
      </c>
      <c r="L360" s="4" t="str">
        <f t="shared" si="49"/>
        <v/>
      </c>
      <c r="M360" s="4"/>
      <c r="N360" s="4"/>
      <c r="O360" s="4"/>
      <c r="P360" s="4"/>
      <c r="Q360" s="4"/>
      <c r="R360" s="4"/>
      <c r="S360" s="4"/>
      <c r="T360" s="4"/>
      <c r="U360" s="4"/>
    </row>
    <row r="361" spans="1:21">
      <c r="A361" t="s">
        <v>495</v>
      </c>
      <c r="B361">
        <v>4</v>
      </c>
      <c r="C361" t="str">
        <f t="shared" si="43"/>
        <v>test.ImageData_4_</v>
      </c>
      <c r="D361">
        <v>5</v>
      </c>
      <c r="E361" s="4">
        <v>0.56617647058823528</v>
      </c>
      <c r="F361" s="4">
        <v>0.12629801075941449</v>
      </c>
      <c r="G361" s="4">
        <f t="shared" si="44"/>
        <v>0.56617647058823528</v>
      </c>
      <c r="H361" s="4" t="str">
        <f t="shared" si="45"/>
        <v/>
      </c>
      <c r="I361" s="4" t="str">
        <f t="shared" si="46"/>
        <v/>
      </c>
      <c r="J361" s="4" t="str">
        <f t="shared" si="47"/>
        <v/>
      </c>
      <c r="K361" s="4" t="str">
        <f t="shared" si="48"/>
        <v/>
      </c>
      <c r="L361" s="4" t="str">
        <f t="shared" si="49"/>
        <v/>
      </c>
      <c r="M361" s="4"/>
      <c r="N361" s="4"/>
      <c r="O361" s="4"/>
      <c r="P361" s="4"/>
      <c r="Q361" s="4"/>
      <c r="R361" s="4"/>
      <c r="S361" s="4"/>
      <c r="T361" s="4"/>
      <c r="U361" s="4"/>
    </row>
    <row r="362" spans="1:21">
      <c r="A362" t="s">
        <v>495</v>
      </c>
      <c r="B362">
        <v>4</v>
      </c>
      <c r="C362" t="str">
        <f t="shared" si="43"/>
        <v>test.ImageData_4_</v>
      </c>
      <c r="D362">
        <v>6</v>
      </c>
      <c r="E362" s="4">
        <v>0.64338235294117652</v>
      </c>
      <c r="F362" s="4">
        <v>0.21643938446140373</v>
      </c>
      <c r="G362" s="4" t="str">
        <f t="shared" si="44"/>
        <v/>
      </c>
      <c r="H362" s="4">
        <f t="shared" si="45"/>
        <v>0.64338235294117652</v>
      </c>
      <c r="I362" s="4" t="str">
        <f t="shared" si="46"/>
        <v/>
      </c>
      <c r="J362" s="4" t="str">
        <f t="shared" si="47"/>
        <v/>
      </c>
      <c r="K362" s="4" t="str">
        <f t="shared" si="48"/>
        <v/>
      </c>
      <c r="L362" s="4" t="str">
        <f t="shared" si="49"/>
        <v/>
      </c>
      <c r="M362" s="4"/>
      <c r="N362" s="4"/>
      <c r="O362" s="4"/>
      <c r="P362" s="4"/>
      <c r="Q362" s="4"/>
      <c r="R362" s="4"/>
      <c r="S362" s="4"/>
      <c r="T362" s="4"/>
      <c r="U362" s="4"/>
    </row>
    <row r="363" spans="1:21">
      <c r="A363" t="s">
        <v>495</v>
      </c>
      <c r="B363">
        <v>4</v>
      </c>
      <c r="C363" t="str">
        <f t="shared" si="43"/>
        <v>test.ImageData_4_</v>
      </c>
      <c r="D363">
        <v>7</v>
      </c>
      <c r="E363" s="4">
        <v>0.74264705882352944</v>
      </c>
      <c r="F363" s="4">
        <v>0.2411485049418241</v>
      </c>
      <c r="G363" s="4" t="str">
        <f t="shared" si="44"/>
        <v/>
      </c>
      <c r="H363" s="4">
        <f t="shared" si="45"/>
        <v>0.74264705882352944</v>
      </c>
      <c r="I363" s="4" t="str">
        <f t="shared" si="46"/>
        <v/>
      </c>
      <c r="J363" s="4" t="str">
        <f t="shared" si="47"/>
        <v/>
      </c>
      <c r="K363" s="4" t="str">
        <f t="shared" si="48"/>
        <v/>
      </c>
      <c r="L363" s="4" t="str">
        <f t="shared" si="49"/>
        <v/>
      </c>
      <c r="M363" s="4"/>
      <c r="N363" s="4"/>
      <c r="O363" s="4"/>
      <c r="P363" s="4"/>
      <c r="Q363" s="4"/>
      <c r="R363" s="4"/>
      <c r="S363" s="4"/>
      <c r="T363" s="4"/>
      <c r="U363" s="4"/>
    </row>
    <row r="364" spans="1:21">
      <c r="A364" t="s">
        <v>495</v>
      </c>
      <c r="B364">
        <v>4</v>
      </c>
      <c r="C364" t="str">
        <f t="shared" si="43"/>
        <v>test.ImageData_4_</v>
      </c>
      <c r="D364">
        <v>8</v>
      </c>
      <c r="E364" s="4">
        <v>0.86029411764705888</v>
      </c>
      <c r="F364" s="4">
        <v>0.2505629926185412</v>
      </c>
      <c r="G364" s="4" t="str">
        <f t="shared" si="44"/>
        <v/>
      </c>
      <c r="H364" s="4">
        <f t="shared" si="45"/>
        <v>0.86029411764705888</v>
      </c>
      <c r="I364" s="4" t="str">
        <f t="shared" si="46"/>
        <v/>
      </c>
      <c r="J364" s="4" t="str">
        <f t="shared" si="47"/>
        <v/>
      </c>
      <c r="K364" s="4" t="str">
        <f t="shared" si="48"/>
        <v/>
      </c>
      <c r="L364" s="4" t="str">
        <f t="shared" si="49"/>
        <v/>
      </c>
      <c r="M364" s="4"/>
      <c r="N364" s="4"/>
      <c r="O364" s="4"/>
      <c r="P364" s="4"/>
      <c r="Q364" s="4"/>
      <c r="R364" s="4"/>
      <c r="S364" s="4"/>
      <c r="T364" s="4"/>
      <c r="U364" s="4"/>
    </row>
    <row r="365" spans="1:21">
      <c r="A365" t="s">
        <v>495</v>
      </c>
      <c r="B365">
        <v>4</v>
      </c>
      <c r="C365" t="str">
        <f t="shared" si="43"/>
        <v>test.ImageData_4_</v>
      </c>
      <c r="D365">
        <v>9</v>
      </c>
      <c r="E365" s="4">
        <v>1</v>
      </c>
      <c r="F365" s="4">
        <v>0.27186288002001752</v>
      </c>
      <c r="G365" s="4" t="str">
        <f t="shared" si="44"/>
        <v/>
      </c>
      <c r="H365" s="4">
        <f t="shared" si="45"/>
        <v>1</v>
      </c>
      <c r="I365" s="4" t="str">
        <f t="shared" si="46"/>
        <v/>
      </c>
      <c r="J365" s="4" t="str">
        <f t="shared" si="47"/>
        <v/>
      </c>
      <c r="K365" s="4" t="str">
        <f t="shared" si="48"/>
        <v/>
      </c>
      <c r="L365" s="4" t="str">
        <f t="shared" si="49"/>
        <v/>
      </c>
      <c r="M365" s="4"/>
      <c r="N365" s="4"/>
      <c r="O365" s="4"/>
      <c r="P365" s="4"/>
      <c r="Q365" s="4"/>
      <c r="R365" s="4"/>
      <c r="S365" s="4"/>
      <c r="T365" s="4"/>
      <c r="U365" s="4"/>
    </row>
    <row r="366" spans="1:21">
      <c r="A366" t="s">
        <v>495</v>
      </c>
      <c r="B366">
        <v>5</v>
      </c>
      <c r="C366" t="str">
        <f t="shared" si="43"/>
        <v>test.ImageData_5_</v>
      </c>
      <c r="D366">
        <v>1</v>
      </c>
      <c r="E366" s="4">
        <v>0.36363636363636365</v>
      </c>
      <c r="F366" s="4">
        <v>0.50817995910020453</v>
      </c>
      <c r="G366" s="4" t="str">
        <f t="shared" si="44"/>
        <v/>
      </c>
      <c r="H366" s="4" t="str">
        <f t="shared" si="45"/>
        <v/>
      </c>
      <c r="I366" s="4">
        <f t="shared" si="46"/>
        <v>0.36363636363636365</v>
      </c>
      <c r="J366" s="4" t="str">
        <f t="shared" si="47"/>
        <v/>
      </c>
      <c r="K366" s="4" t="str">
        <f t="shared" si="48"/>
        <v/>
      </c>
      <c r="L366" s="4" t="str">
        <f t="shared" si="49"/>
        <v/>
      </c>
      <c r="M366" s="4"/>
      <c r="N366" s="4"/>
      <c r="O366" s="4"/>
      <c r="P366" s="4"/>
      <c r="Q366" s="4"/>
      <c r="R366" s="4"/>
      <c r="S366" s="4"/>
      <c r="T366" s="4"/>
      <c r="U366" s="4"/>
    </row>
    <row r="367" spans="1:21">
      <c r="A367" t="s">
        <v>495</v>
      </c>
      <c r="B367">
        <v>5</v>
      </c>
      <c r="C367" t="str">
        <f t="shared" si="43"/>
        <v>test.ImageData_5_</v>
      </c>
      <c r="D367">
        <v>2</v>
      </c>
      <c r="E367" s="4">
        <v>0.54545454545454541</v>
      </c>
      <c r="F367" s="4">
        <v>0.71983640081799594</v>
      </c>
      <c r="G367" s="4" t="str">
        <f t="shared" si="44"/>
        <v/>
      </c>
      <c r="H367" s="4" t="str">
        <f t="shared" si="45"/>
        <v/>
      </c>
      <c r="I367" s="4" t="str">
        <f t="shared" si="46"/>
        <v/>
      </c>
      <c r="J367" s="4">
        <f t="shared" si="47"/>
        <v>0.54545454545454541</v>
      </c>
      <c r="K367" s="4" t="str">
        <f t="shared" si="48"/>
        <v/>
      </c>
      <c r="L367" s="4" t="str">
        <f t="shared" si="49"/>
        <v/>
      </c>
      <c r="M367" s="4"/>
      <c r="N367" s="4"/>
      <c r="O367" s="4"/>
      <c r="P367" s="4"/>
      <c r="Q367" s="4"/>
      <c r="R367" s="4"/>
      <c r="S367" s="4"/>
      <c r="T367" s="4"/>
      <c r="U367" s="4"/>
    </row>
    <row r="368" spans="1:21">
      <c r="A368" t="s">
        <v>495</v>
      </c>
      <c r="B368">
        <v>5</v>
      </c>
      <c r="C368" t="str">
        <f t="shared" si="43"/>
        <v>test.ImageData_5_</v>
      </c>
      <c r="D368">
        <v>3</v>
      </c>
      <c r="E368" s="4">
        <v>0.72727272727272729</v>
      </c>
      <c r="F368" s="4">
        <v>0.92331288343558282</v>
      </c>
      <c r="G368" s="4" t="str">
        <f t="shared" si="44"/>
        <v/>
      </c>
      <c r="H368" s="4" t="str">
        <f t="shared" si="45"/>
        <v/>
      </c>
      <c r="I368" s="4" t="str">
        <f t="shared" si="46"/>
        <v/>
      </c>
      <c r="J368" s="4" t="str">
        <f t="shared" si="47"/>
        <v/>
      </c>
      <c r="K368" s="4">
        <f t="shared" si="48"/>
        <v>0.72727272727272729</v>
      </c>
      <c r="L368" s="4" t="str">
        <f t="shared" si="49"/>
        <v/>
      </c>
      <c r="M368" s="4"/>
      <c r="N368" s="4"/>
      <c r="O368" s="4"/>
      <c r="P368" s="4"/>
      <c r="Q368" s="4"/>
      <c r="R368" s="4"/>
      <c r="S368" s="4"/>
      <c r="T368" s="4"/>
      <c r="U368" s="4"/>
    </row>
    <row r="369" spans="1:21">
      <c r="A369" t="s">
        <v>495</v>
      </c>
      <c r="B369">
        <v>5</v>
      </c>
      <c r="C369" t="str">
        <f t="shared" si="43"/>
        <v>test.ImageData_5_</v>
      </c>
      <c r="D369">
        <v>4</v>
      </c>
      <c r="E369" s="4">
        <v>0.77272727272727271</v>
      </c>
      <c r="F369" s="4">
        <v>0.99795501022494892</v>
      </c>
      <c r="G369" s="4" t="str">
        <f t="shared" si="44"/>
        <v/>
      </c>
      <c r="H369" s="4" t="str">
        <f t="shared" si="45"/>
        <v/>
      </c>
      <c r="I369" s="4" t="str">
        <f t="shared" si="46"/>
        <v/>
      </c>
      <c r="J369" s="4" t="str">
        <f t="shared" si="47"/>
        <v/>
      </c>
      <c r="K369" s="4">
        <f t="shared" si="48"/>
        <v>0.77272727272727271</v>
      </c>
      <c r="L369" s="4" t="str">
        <f t="shared" si="49"/>
        <v/>
      </c>
      <c r="M369" s="4"/>
      <c r="N369" s="4"/>
      <c r="O369" s="4"/>
      <c r="P369" s="4"/>
      <c r="Q369" s="4"/>
      <c r="R369" s="4"/>
      <c r="S369" s="4"/>
      <c r="T369" s="4"/>
      <c r="U369" s="4"/>
    </row>
    <row r="370" spans="1:21">
      <c r="A370" t="s">
        <v>495</v>
      </c>
      <c r="B370">
        <v>5</v>
      </c>
      <c r="C370" t="str">
        <f t="shared" si="43"/>
        <v>test.ImageData_5_</v>
      </c>
      <c r="D370">
        <v>5</v>
      </c>
      <c r="E370" s="4">
        <v>0.86363636363636365</v>
      </c>
      <c r="F370" s="4">
        <v>1.0623721881390593</v>
      </c>
      <c r="G370" s="4" t="str">
        <f t="shared" si="44"/>
        <v/>
      </c>
      <c r="H370" s="4" t="str">
        <f t="shared" si="45"/>
        <v/>
      </c>
      <c r="I370" s="4" t="str">
        <f t="shared" si="46"/>
        <v/>
      </c>
      <c r="J370" s="4" t="str">
        <f t="shared" si="47"/>
        <v/>
      </c>
      <c r="K370" s="4">
        <f t="shared" si="48"/>
        <v>0.86363636363636365</v>
      </c>
      <c r="L370" s="4" t="str">
        <f t="shared" si="49"/>
        <v/>
      </c>
      <c r="M370" s="4"/>
      <c r="N370" s="4"/>
      <c r="O370" s="4"/>
      <c r="P370" s="4"/>
      <c r="Q370" s="4"/>
      <c r="R370" s="4"/>
      <c r="S370" s="4"/>
      <c r="T370" s="4"/>
      <c r="U370" s="4"/>
    </row>
    <row r="371" spans="1:21">
      <c r="A371" t="s">
        <v>495</v>
      </c>
      <c r="B371">
        <v>5</v>
      </c>
      <c r="C371" t="str">
        <f t="shared" si="43"/>
        <v>test.ImageData_5_</v>
      </c>
      <c r="D371">
        <v>6</v>
      </c>
      <c r="E371" s="4">
        <v>1</v>
      </c>
      <c r="F371" s="4">
        <v>1.0838445807770962</v>
      </c>
      <c r="G371" s="4" t="str">
        <f t="shared" si="44"/>
        <v/>
      </c>
      <c r="H371" s="4" t="str">
        <f t="shared" si="45"/>
        <v/>
      </c>
      <c r="I371" s="4" t="str">
        <f t="shared" si="46"/>
        <v/>
      </c>
      <c r="J371" s="4" t="str">
        <f t="shared" si="47"/>
        <v/>
      </c>
      <c r="K371" s="4">
        <f t="shared" si="48"/>
        <v>1</v>
      </c>
      <c r="L371" s="4" t="str">
        <f t="shared" si="49"/>
        <v/>
      </c>
      <c r="M371" s="4"/>
      <c r="N371" s="4"/>
      <c r="O371" s="4"/>
      <c r="P371" s="4"/>
      <c r="Q371" s="4"/>
      <c r="R371" s="4"/>
      <c r="S371" s="4"/>
      <c r="T371" s="4"/>
      <c r="U371" s="4"/>
    </row>
    <row r="372" spans="1:21">
      <c r="A372" t="s">
        <v>495</v>
      </c>
      <c r="B372">
        <v>6</v>
      </c>
      <c r="C372" t="str">
        <f t="shared" si="43"/>
        <v>test.ImageData_6_</v>
      </c>
      <c r="D372">
        <v>1</v>
      </c>
      <c r="E372" s="4">
        <v>0.2857142857142857</v>
      </c>
      <c r="F372" s="4">
        <v>0.11976047904191617</v>
      </c>
      <c r="G372" s="4">
        <f t="shared" si="44"/>
        <v>0.2857142857142857</v>
      </c>
      <c r="H372" s="4" t="str">
        <f t="shared" si="45"/>
        <v/>
      </c>
      <c r="I372" s="4" t="str">
        <f t="shared" si="46"/>
        <v/>
      </c>
      <c r="J372" s="4" t="str">
        <f t="shared" si="47"/>
        <v/>
      </c>
      <c r="K372" s="4" t="str">
        <f t="shared" si="48"/>
        <v/>
      </c>
      <c r="L372" s="4" t="str">
        <f t="shared" si="49"/>
        <v/>
      </c>
      <c r="M372" s="4"/>
      <c r="N372" s="4"/>
      <c r="O372" s="4"/>
      <c r="P372" s="4"/>
      <c r="Q372" s="4"/>
      <c r="R372" s="4"/>
      <c r="S372" s="4"/>
      <c r="T372" s="4"/>
      <c r="U372" s="4"/>
    </row>
    <row r="373" spans="1:21">
      <c r="A373" t="s">
        <v>495</v>
      </c>
      <c r="B373">
        <v>6</v>
      </c>
      <c r="C373" t="str">
        <f t="shared" si="43"/>
        <v>test.ImageData_6_</v>
      </c>
      <c r="D373">
        <v>2</v>
      </c>
      <c r="E373" s="4">
        <v>0.47619047619047616</v>
      </c>
      <c r="F373" s="4">
        <v>0.3616101131071191</v>
      </c>
      <c r="G373" s="4" t="str">
        <f t="shared" si="44"/>
        <v/>
      </c>
      <c r="H373" s="4">
        <f t="shared" si="45"/>
        <v>0.47619047619047616</v>
      </c>
      <c r="I373" s="4" t="str">
        <f t="shared" si="46"/>
        <v/>
      </c>
      <c r="J373" s="4" t="str">
        <f t="shared" si="47"/>
        <v/>
      </c>
      <c r="K373" s="4" t="str">
        <f t="shared" si="48"/>
        <v/>
      </c>
      <c r="L373" s="4" t="str">
        <f t="shared" si="49"/>
        <v/>
      </c>
      <c r="M373" s="4"/>
      <c r="N373" s="4"/>
      <c r="O373" s="4"/>
      <c r="P373" s="4"/>
      <c r="Q373" s="4"/>
      <c r="R373" s="4"/>
      <c r="S373" s="4"/>
      <c r="T373" s="4"/>
      <c r="U373" s="4"/>
    </row>
    <row r="374" spans="1:21">
      <c r="A374" t="s">
        <v>495</v>
      </c>
      <c r="B374">
        <v>6</v>
      </c>
      <c r="C374" t="str">
        <f t="shared" si="43"/>
        <v>test.ImageData_6_</v>
      </c>
      <c r="D374">
        <v>3</v>
      </c>
      <c r="E374" s="4">
        <v>0.47619047619047616</v>
      </c>
      <c r="F374" s="4">
        <v>0.48636061210911508</v>
      </c>
      <c r="G374" s="4" t="str">
        <f t="shared" si="44"/>
        <v/>
      </c>
      <c r="H374" s="4" t="str">
        <f t="shared" si="45"/>
        <v/>
      </c>
      <c r="I374" s="4">
        <f t="shared" si="46"/>
        <v>0.47619047619047616</v>
      </c>
      <c r="J374" s="4" t="str">
        <f t="shared" si="47"/>
        <v/>
      </c>
      <c r="K374" s="4" t="str">
        <f t="shared" si="48"/>
        <v/>
      </c>
      <c r="L374" s="4" t="str">
        <f t="shared" si="49"/>
        <v/>
      </c>
      <c r="M374" s="4"/>
      <c r="N374" s="4"/>
      <c r="O374" s="4"/>
      <c r="P374" s="4"/>
      <c r="Q374" s="4"/>
      <c r="R374" s="4"/>
      <c r="S374" s="4"/>
      <c r="T374" s="4"/>
      <c r="U374" s="4"/>
    </row>
    <row r="375" spans="1:21">
      <c r="A375" t="s">
        <v>495</v>
      </c>
      <c r="B375">
        <v>6</v>
      </c>
      <c r="C375" t="str">
        <f t="shared" si="43"/>
        <v>test.ImageData_6_</v>
      </c>
      <c r="D375">
        <v>4</v>
      </c>
      <c r="E375" s="4">
        <v>0.76190476190476186</v>
      </c>
      <c r="F375" s="4">
        <v>0.62075848303393211</v>
      </c>
      <c r="G375" s="4" t="str">
        <f t="shared" si="44"/>
        <v/>
      </c>
      <c r="H375" s="4" t="str">
        <f t="shared" si="45"/>
        <v/>
      </c>
      <c r="I375" s="4" t="str">
        <f t="shared" si="46"/>
        <v/>
      </c>
      <c r="J375" s="4">
        <f t="shared" si="47"/>
        <v>0.76190476190476186</v>
      </c>
      <c r="K375" s="4" t="str">
        <f t="shared" si="48"/>
        <v/>
      </c>
      <c r="L375" s="4" t="str">
        <f t="shared" si="49"/>
        <v/>
      </c>
      <c r="M375" s="4"/>
      <c r="N375" s="4"/>
      <c r="O375" s="4"/>
      <c r="P375" s="4"/>
      <c r="Q375" s="4"/>
      <c r="R375" s="4"/>
      <c r="S375" s="4"/>
      <c r="T375" s="4"/>
      <c r="U375" s="4"/>
    </row>
    <row r="376" spans="1:21">
      <c r="A376" t="s">
        <v>495</v>
      </c>
      <c r="B376">
        <v>6</v>
      </c>
      <c r="C376" t="str">
        <f t="shared" si="43"/>
        <v>test.ImageData_6_</v>
      </c>
      <c r="D376">
        <v>5</v>
      </c>
      <c r="E376" s="4">
        <v>0.8571428571428571</v>
      </c>
      <c r="F376" s="4">
        <v>0.64970059880239517</v>
      </c>
      <c r="G376" s="4" t="str">
        <f t="shared" si="44"/>
        <v/>
      </c>
      <c r="H376" s="4" t="str">
        <f t="shared" si="45"/>
        <v/>
      </c>
      <c r="I376" s="4" t="str">
        <f t="shared" si="46"/>
        <v/>
      </c>
      <c r="J376" s="4">
        <f t="shared" si="47"/>
        <v>0.8571428571428571</v>
      </c>
      <c r="K376" s="4" t="str">
        <f t="shared" si="48"/>
        <v/>
      </c>
      <c r="L376" s="4" t="str">
        <f t="shared" si="49"/>
        <v/>
      </c>
      <c r="M376" s="4"/>
      <c r="N376" s="4"/>
      <c r="O376" s="4"/>
      <c r="P376" s="4"/>
      <c r="Q376" s="4"/>
      <c r="R376" s="4"/>
      <c r="S376" s="4"/>
      <c r="T376" s="4"/>
      <c r="U376" s="4"/>
    </row>
    <row r="377" spans="1:21">
      <c r="A377" t="s">
        <v>495</v>
      </c>
      <c r="B377">
        <v>6</v>
      </c>
      <c r="C377" t="str">
        <f t="shared" si="43"/>
        <v>test.ImageData_6_</v>
      </c>
      <c r="D377">
        <v>6</v>
      </c>
      <c r="E377" s="4">
        <v>0.8571428571428571</v>
      </c>
      <c r="F377" s="4">
        <v>0.67398536260811714</v>
      </c>
      <c r="G377" s="4" t="str">
        <f t="shared" si="44"/>
        <v/>
      </c>
      <c r="H377" s="4" t="str">
        <f t="shared" si="45"/>
        <v/>
      </c>
      <c r="I377" s="4" t="str">
        <f t="shared" si="46"/>
        <v/>
      </c>
      <c r="J377" s="4">
        <f t="shared" si="47"/>
        <v>0.8571428571428571</v>
      </c>
      <c r="K377" s="4" t="str">
        <f t="shared" si="48"/>
        <v/>
      </c>
      <c r="L377" s="4" t="str">
        <f t="shared" si="49"/>
        <v/>
      </c>
      <c r="M377" s="4"/>
      <c r="N377" s="4"/>
      <c r="O377" s="4"/>
      <c r="P377" s="4"/>
      <c r="Q377" s="4"/>
      <c r="R377" s="4"/>
      <c r="S377" s="4"/>
      <c r="T377" s="4"/>
      <c r="U377" s="4"/>
    </row>
    <row r="378" spans="1:21">
      <c r="A378" t="s">
        <v>495</v>
      </c>
      <c r="B378">
        <v>6</v>
      </c>
      <c r="C378" t="str">
        <f t="shared" si="43"/>
        <v>test.ImageData_6_</v>
      </c>
      <c r="D378">
        <v>7</v>
      </c>
      <c r="E378" s="4">
        <v>1</v>
      </c>
      <c r="F378" s="4">
        <v>0.71623419827012647</v>
      </c>
      <c r="G378" s="4" t="str">
        <f t="shared" si="44"/>
        <v/>
      </c>
      <c r="H378" s="4" t="str">
        <f t="shared" si="45"/>
        <v/>
      </c>
      <c r="I378" s="4" t="str">
        <f t="shared" si="46"/>
        <v/>
      </c>
      <c r="J378" s="4">
        <f t="shared" si="47"/>
        <v>1</v>
      </c>
      <c r="K378" s="4" t="str">
        <f t="shared" si="48"/>
        <v/>
      </c>
      <c r="L378" s="4" t="str">
        <f t="shared" si="49"/>
        <v/>
      </c>
      <c r="M378" s="4"/>
      <c r="N378" s="4"/>
      <c r="O378" s="4"/>
      <c r="P378" s="4"/>
      <c r="Q378" s="4"/>
      <c r="R378" s="4"/>
      <c r="S378" s="4"/>
      <c r="T378" s="4"/>
      <c r="U378" s="4"/>
    </row>
    <row r="379" spans="1:21">
      <c r="A379" t="s">
        <v>495</v>
      </c>
      <c r="B379">
        <v>6</v>
      </c>
      <c r="C379" t="str">
        <f t="shared" si="43"/>
        <v>test.ImageData_6_</v>
      </c>
      <c r="D379">
        <v>8</v>
      </c>
      <c r="E379" s="4">
        <v>1</v>
      </c>
      <c r="F379" s="4">
        <v>0.77312042581503659</v>
      </c>
      <c r="G379" s="4" t="str">
        <f t="shared" si="44"/>
        <v/>
      </c>
      <c r="H379" s="4" t="str">
        <f t="shared" si="45"/>
        <v/>
      </c>
      <c r="I379" s="4" t="str">
        <f t="shared" si="46"/>
        <v/>
      </c>
      <c r="J379" s="4">
        <f t="shared" si="47"/>
        <v>1</v>
      </c>
      <c r="K379" s="4" t="str">
        <f t="shared" si="48"/>
        <v/>
      </c>
      <c r="L379" s="4" t="str">
        <f t="shared" si="49"/>
        <v/>
      </c>
      <c r="M379" s="4"/>
      <c r="N379" s="4"/>
      <c r="O379" s="4"/>
      <c r="P379" s="4"/>
      <c r="Q379" s="4"/>
      <c r="R379" s="4"/>
      <c r="S379" s="4"/>
      <c r="T379" s="4"/>
      <c r="U379" s="4"/>
    </row>
    <row r="380" spans="1:21">
      <c r="A380" t="s">
        <v>495</v>
      </c>
      <c r="B380">
        <v>6</v>
      </c>
      <c r="C380" t="str">
        <f t="shared" si="43"/>
        <v>test.ImageData_6_</v>
      </c>
      <c r="D380">
        <v>9</v>
      </c>
      <c r="E380" s="4">
        <v>1</v>
      </c>
      <c r="F380" s="4">
        <v>0.86660013306719896</v>
      </c>
      <c r="G380" s="4" t="str">
        <f t="shared" si="44"/>
        <v/>
      </c>
      <c r="H380" s="4" t="str">
        <f t="shared" si="45"/>
        <v/>
      </c>
      <c r="I380" s="4" t="str">
        <f t="shared" si="46"/>
        <v/>
      </c>
      <c r="J380" s="4" t="str">
        <f t="shared" si="47"/>
        <v/>
      </c>
      <c r="K380" s="4">
        <f t="shared" si="48"/>
        <v>1</v>
      </c>
      <c r="L380" s="4" t="str">
        <f t="shared" si="49"/>
        <v/>
      </c>
      <c r="M380" s="4"/>
      <c r="N380" s="4"/>
      <c r="O380" s="4"/>
      <c r="P380" s="4"/>
      <c r="Q380" s="4"/>
      <c r="R380" s="4"/>
      <c r="S380" s="4"/>
      <c r="T380" s="4"/>
      <c r="U380" s="4"/>
    </row>
    <row r="381" spans="1:21">
      <c r="A381" t="s">
        <v>495</v>
      </c>
      <c r="B381">
        <v>6</v>
      </c>
      <c r="C381" t="str">
        <f t="shared" si="43"/>
        <v>test.ImageData_6_</v>
      </c>
      <c r="D381">
        <v>10</v>
      </c>
      <c r="E381" s="4">
        <v>1</v>
      </c>
      <c r="F381" s="4">
        <v>0.98536260811709908</v>
      </c>
      <c r="G381" s="4" t="str">
        <f t="shared" si="44"/>
        <v/>
      </c>
      <c r="H381" s="4" t="str">
        <f t="shared" si="45"/>
        <v/>
      </c>
      <c r="I381" s="4" t="str">
        <f t="shared" si="46"/>
        <v/>
      </c>
      <c r="J381" s="4" t="str">
        <f t="shared" si="47"/>
        <v/>
      </c>
      <c r="K381" s="4">
        <f t="shared" si="48"/>
        <v>1</v>
      </c>
      <c r="L381" s="4" t="str">
        <f t="shared" si="49"/>
        <v/>
      </c>
      <c r="M381" s="4"/>
      <c r="N381" s="4"/>
      <c r="O381" s="4"/>
      <c r="P381" s="4"/>
      <c r="Q381" s="4"/>
      <c r="R381" s="4"/>
      <c r="S381" s="4"/>
      <c r="T381" s="4"/>
      <c r="U381" s="4"/>
    </row>
    <row r="382" spans="1:21">
      <c r="A382" t="s">
        <v>495</v>
      </c>
      <c r="B382">
        <v>7</v>
      </c>
      <c r="C382" t="str">
        <f t="shared" si="43"/>
        <v>test.ImageData_7_</v>
      </c>
      <c r="D382">
        <v>1</v>
      </c>
      <c r="E382" s="4">
        <v>0.2</v>
      </c>
      <c r="F382" s="4">
        <v>0.27934698108318218</v>
      </c>
      <c r="G382" s="4" t="str">
        <f t="shared" si="44"/>
        <v/>
      </c>
      <c r="H382" s="4">
        <f t="shared" si="45"/>
        <v>0.2</v>
      </c>
      <c r="I382" s="4" t="str">
        <f t="shared" si="46"/>
        <v/>
      </c>
      <c r="J382" s="4" t="str">
        <f t="shared" si="47"/>
        <v/>
      </c>
      <c r="K382" s="4" t="str">
        <f t="shared" si="48"/>
        <v/>
      </c>
      <c r="L382" s="4" t="str">
        <f t="shared" si="49"/>
        <v/>
      </c>
      <c r="M382" s="4"/>
      <c r="N382" s="4"/>
      <c r="O382" s="4"/>
      <c r="P382" s="4"/>
      <c r="Q382" s="4"/>
      <c r="R382" s="4"/>
      <c r="S382" s="4"/>
      <c r="T382" s="4"/>
      <c r="U382" s="4"/>
    </row>
    <row r="383" spans="1:21">
      <c r="A383" t="s">
        <v>495</v>
      </c>
      <c r="B383">
        <v>7</v>
      </c>
      <c r="C383" t="str">
        <f t="shared" si="43"/>
        <v>test.ImageData_7_</v>
      </c>
      <c r="D383">
        <v>2</v>
      </c>
      <c r="E383" s="4">
        <v>0.29166666666666669</v>
      </c>
      <c r="F383" s="4">
        <v>0.29359937807722208</v>
      </c>
      <c r="G383" s="4" t="str">
        <f t="shared" si="44"/>
        <v/>
      </c>
      <c r="H383" s="4">
        <f t="shared" si="45"/>
        <v>0.29166666666666669</v>
      </c>
      <c r="I383" s="4" t="str">
        <f t="shared" si="46"/>
        <v/>
      </c>
      <c r="J383" s="4" t="str">
        <f t="shared" si="47"/>
        <v/>
      </c>
      <c r="K383" s="4" t="str">
        <f t="shared" si="48"/>
        <v/>
      </c>
      <c r="L383" s="4" t="str">
        <f t="shared" si="49"/>
        <v/>
      </c>
      <c r="M383" s="4"/>
      <c r="N383" s="4"/>
      <c r="O383" s="4"/>
      <c r="P383" s="4"/>
      <c r="Q383" s="4"/>
      <c r="R383" s="4"/>
      <c r="S383" s="4"/>
      <c r="T383" s="4"/>
      <c r="U383" s="4"/>
    </row>
    <row r="384" spans="1:21">
      <c r="A384" t="s">
        <v>495</v>
      </c>
      <c r="B384">
        <v>7</v>
      </c>
      <c r="C384" t="str">
        <f t="shared" si="43"/>
        <v>test.ImageData_7_</v>
      </c>
      <c r="D384">
        <v>3</v>
      </c>
      <c r="E384" s="4">
        <v>0.32500000000000001</v>
      </c>
      <c r="F384" s="4">
        <v>0.29437678154962427</v>
      </c>
      <c r="G384" s="4" t="str">
        <f t="shared" si="44"/>
        <v/>
      </c>
      <c r="H384" s="4">
        <f t="shared" si="45"/>
        <v>0.32500000000000001</v>
      </c>
      <c r="I384" s="4" t="str">
        <f t="shared" si="46"/>
        <v/>
      </c>
      <c r="J384" s="4" t="str">
        <f t="shared" si="47"/>
        <v/>
      </c>
      <c r="K384" s="4" t="str">
        <f t="shared" si="48"/>
        <v/>
      </c>
      <c r="L384" s="4" t="str">
        <f t="shared" si="49"/>
        <v/>
      </c>
      <c r="M384" s="4"/>
      <c r="N384" s="4"/>
      <c r="O384" s="4"/>
      <c r="P384" s="4"/>
      <c r="Q384" s="4"/>
      <c r="R384" s="4"/>
      <c r="S384" s="4"/>
      <c r="T384" s="4"/>
      <c r="U384" s="4"/>
    </row>
    <row r="385" spans="1:21">
      <c r="A385" t="s">
        <v>495</v>
      </c>
      <c r="B385">
        <v>7</v>
      </c>
      <c r="C385" t="str">
        <f t="shared" si="43"/>
        <v>test.ImageData_7_</v>
      </c>
      <c r="D385">
        <v>4</v>
      </c>
      <c r="E385" s="4">
        <v>0.43333333333333335</v>
      </c>
      <c r="F385" s="4">
        <v>0.29722726094843221</v>
      </c>
      <c r="G385" s="4" t="str">
        <f t="shared" si="44"/>
        <v/>
      </c>
      <c r="H385" s="4">
        <f t="shared" si="45"/>
        <v>0.43333333333333335</v>
      </c>
      <c r="I385" s="4" t="str">
        <f t="shared" si="46"/>
        <v/>
      </c>
      <c r="J385" s="4" t="str">
        <f t="shared" si="47"/>
        <v/>
      </c>
      <c r="K385" s="4" t="str">
        <f t="shared" si="48"/>
        <v/>
      </c>
      <c r="L385" s="4" t="str">
        <f t="shared" si="49"/>
        <v/>
      </c>
      <c r="M385" s="4"/>
      <c r="N385" s="4"/>
      <c r="O385" s="4"/>
      <c r="P385" s="4"/>
      <c r="Q385" s="4"/>
      <c r="R385" s="4"/>
      <c r="S385" s="4"/>
      <c r="T385" s="4"/>
      <c r="U385" s="4"/>
    </row>
    <row r="386" spans="1:21">
      <c r="A386" t="s">
        <v>495</v>
      </c>
      <c r="B386">
        <v>7</v>
      </c>
      <c r="C386" t="str">
        <f t="shared" si="43"/>
        <v>test.ImageData_7_</v>
      </c>
      <c r="D386">
        <v>5</v>
      </c>
      <c r="E386" s="4">
        <v>0.56666666666666665</v>
      </c>
      <c r="F386" s="4">
        <v>0.29774552993003367</v>
      </c>
      <c r="G386" s="4" t="str">
        <f t="shared" si="44"/>
        <v/>
      </c>
      <c r="H386" s="4">
        <f t="shared" si="45"/>
        <v>0.56666666666666665</v>
      </c>
      <c r="I386" s="4" t="str">
        <f t="shared" si="46"/>
        <v/>
      </c>
      <c r="J386" s="4" t="str">
        <f t="shared" si="47"/>
        <v/>
      </c>
      <c r="K386" s="4" t="str">
        <f t="shared" si="48"/>
        <v/>
      </c>
      <c r="L386" s="4" t="str">
        <f t="shared" si="49"/>
        <v/>
      </c>
      <c r="M386" s="4"/>
      <c r="N386" s="4"/>
      <c r="O386" s="4"/>
      <c r="P386" s="4"/>
      <c r="Q386" s="4"/>
      <c r="R386" s="4"/>
      <c r="S386" s="4"/>
      <c r="T386" s="4"/>
      <c r="U386" s="4"/>
    </row>
    <row r="387" spans="1:21">
      <c r="A387" t="s">
        <v>495</v>
      </c>
      <c r="B387">
        <v>7</v>
      </c>
      <c r="C387" t="str">
        <f t="shared" ref="C387:C446" si="50">CONCATENATE(A387, "_",B387,"_")</f>
        <v>test.ImageData_7_</v>
      </c>
      <c r="D387">
        <v>6</v>
      </c>
      <c r="E387" s="4">
        <v>0.59166666666666667</v>
      </c>
      <c r="F387" s="4">
        <v>0.30240995076444677</v>
      </c>
      <c r="G387" s="4" t="str">
        <f t="shared" ref="G387:G446" si="51">IF(F387 &lt;= 0.2,E387,"")</f>
        <v/>
      </c>
      <c r="H387" s="4">
        <f t="shared" ref="H387:H446" si="52">IF(AND($F387 &gt; 0.2,$F387 &lt;= 0.4),$E387,"")</f>
        <v>0.59166666666666667</v>
      </c>
      <c r="I387" s="4" t="str">
        <f t="shared" ref="I387:I446" si="53">IF(AND($F387 &gt; 0.4,$F387 &lt;= 0.6),$E387,"")</f>
        <v/>
      </c>
      <c r="J387" s="4" t="str">
        <f t="shared" ref="J387:J446" si="54">IF(AND($F387 &gt; 0.6,$F387 &lt;= 0.8),$E387,"")</f>
        <v/>
      </c>
      <c r="K387" s="4" t="str">
        <f t="shared" ref="K387:K446" si="55">IF(AND($F387 &gt; 0.8, $F387 &lt;=1.1),$E387,"")</f>
        <v/>
      </c>
      <c r="L387" s="4" t="str">
        <f t="shared" ref="L387:L446" si="56">IF(AND($F387 &gt; 1.1),$E387,"")</f>
        <v/>
      </c>
      <c r="M387" s="4"/>
      <c r="N387" s="4"/>
      <c r="O387" s="4"/>
      <c r="P387" s="4"/>
      <c r="Q387" s="4"/>
      <c r="R387" s="4"/>
      <c r="S387" s="4"/>
      <c r="T387" s="4"/>
      <c r="U387" s="4"/>
    </row>
    <row r="388" spans="1:21">
      <c r="A388" t="s">
        <v>495</v>
      </c>
      <c r="B388">
        <v>7</v>
      </c>
      <c r="C388" t="str">
        <f t="shared" si="50"/>
        <v>test.ImageData_7_</v>
      </c>
      <c r="D388">
        <v>7</v>
      </c>
      <c r="E388" s="4">
        <v>0.65</v>
      </c>
      <c r="F388" s="4">
        <v>0.31433013734128012</v>
      </c>
      <c r="G388" s="4" t="str">
        <f t="shared" si="51"/>
        <v/>
      </c>
      <c r="H388" s="4">
        <f t="shared" si="52"/>
        <v>0.65</v>
      </c>
      <c r="I388" s="4" t="str">
        <f t="shared" si="53"/>
        <v/>
      </c>
      <c r="J388" s="4" t="str">
        <f t="shared" si="54"/>
        <v/>
      </c>
      <c r="K388" s="4" t="str">
        <f t="shared" si="55"/>
        <v/>
      </c>
      <c r="L388" s="4" t="str">
        <f t="shared" si="56"/>
        <v/>
      </c>
      <c r="M388" s="4"/>
      <c r="N388" s="4"/>
      <c r="O388" s="4"/>
      <c r="P388" s="4"/>
      <c r="Q388" s="4"/>
      <c r="R388" s="4"/>
      <c r="S388" s="4"/>
      <c r="T388" s="4"/>
      <c r="U388" s="4"/>
    </row>
    <row r="389" spans="1:21">
      <c r="A389" t="s">
        <v>495</v>
      </c>
      <c r="B389">
        <v>7</v>
      </c>
      <c r="C389" t="str">
        <f t="shared" si="50"/>
        <v>test.ImageData_7_</v>
      </c>
      <c r="D389">
        <v>8</v>
      </c>
      <c r="E389" s="4">
        <v>0.73333333333333328</v>
      </c>
      <c r="F389" s="4">
        <v>0.33091474475252658</v>
      </c>
      <c r="G389" s="4" t="str">
        <f t="shared" si="51"/>
        <v/>
      </c>
      <c r="H389" s="4">
        <f t="shared" si="52"/>
        <v>0.73333333333333328</v>
      </c>
      <c r="I389" s="4" t="str">
        <f t="shared" si="53"/>
        <v/>
      </c>
      <c r="J389" s="4" t="str">
        <f t="shared" si="54"/>
        <v/>
      </c>
      <c r="K389" s="4" t="str">
        <f t="shared" si="55"/>
        <v/>
      </c>
      <c r="L389" s="4" t="str">
        <f t="shared" si="56"/>
        <v/>
      </c>
      <c r="M389" s="4"/>
      <c r="N389" s="4"/>
      <c r="O389" s="4"/>
      <c r="P389" s="4"/>
      <c r="Q389" s="4"/>
      <c r="R389" s="4"/>
      <c r="S389" s="4"/>
      <c r="T389" s="4"/>
      <c r="U389" s="4"/>
    </row>
    <row r="390" spans="1:21">
      <c r="A390" t="s">
        <v>495</v>
      </c>
      <c r="B390">
        <v>7</v>
      </c>
      <c r="C390" t="str">
        <f t="shared" si="50"/>
        <v>test.ImageData_7_</v>
      </c>
      <c r="D390">
        <v>9</v>
      </c>
      <c r="E390" s="4">
        <v>0.85</v>
      </c>
      <c r="F390" s="4">
        <v>0.41098730240995074</v>
      </c>
      <c r="G390" s="4" t="str">
        <f t="shared" si="51"/>
        <v/>
      </c>
      <c r="H390" s="4" t="str">
        <f t="shared" si="52"/>
        <v/>
      </c>
      <c r="I390" s="4">
        <f t="shared" si="53"/>
        <v>0.85</v>
      </c>
      <c r="J390" s="4" t="str">
        <f t="shared" si="54"/>
        <v/>
      </c>
      <c r="K390" s="4" t="str">
        <f t="shared" si="55"/>
        <v/>
      </c>
      <c r="L390" s="4" t="str">
        <f t="shared" si="56"/>
        <v/>
      </c>
      <c r="M390" s="4"/>
      <c r="N390" s="4"/>
      <c r="O390" s="4"/>
      <c r="P390" s="4"/>
      <c r="Q390" s="4"/>
      <c r="R390" s="4"/>
      <c r="S390" s="4"/>
      <c r="T390" s="4"/>
      <c r="U390" s="4"/>
    </row>
    <row r="391" spans="1:21">
      <c r="A391" t="s">
        <v>495</v>
      </c>
      <c r="B391">
        <v>7</v>
      </c>
      <c r="C391" t="str">
        <f t="shared" si="50"/>
        <v>test.ImageData_7_</v>
      </c>
      <c r="D391">
        <v>10</v>
      </c>
      <c r="E391" s="4">
        <v>1</v>
      </c>
      <c r="F391" s="4">
        <v>0.42031614407877688</v>
      </c>
      <c r="G391" s="4" t="str">
        <f t="shared" si="51"/>
        <v/>
      </c>
      <c r="H391" s="4" t="str">
        <f t="shared" si="52"/>
        <v/>
      </c>
      <c r="I391" s="4">
        <f t="shared" si="53"/>
        <v>1</v>
      </c>
      <c r="J391" s="4" t="str">
        <f t="shared" si="54"/>
        <v/>
      </c>
      <c r="K391" s="4" t="str">
        <f t="shared" si="55"/>
        <v/>
      </c>
      <c r="L391" s="4" t="str">
        <f t="shared" si="56"/>
        <v/>
      </c>
      <c r="M391" s="4"/>
      <c r="N391" s="4"/>
      <c r="O391" s="4"/>
      <c r="P391" s="4"/>
      <c r="Q391" s="4"/>
      <c r="R391" s="4"/>
      <c r="S391" s="4"/>
      <c r="T391" s="4"/>
      <c r="U391" s="4"/>
    </row>
    <row r="392" spans="1:21">
      <c r="A392" t="s">
        <v>495</v>
      </c>
      <c r="B392">
        <v>8</v>
      </c>
      <c r="C392" t="str">
        <f t="shared" si="50"/>
        <v>test.ImageData_8_</v>
      </c>
      <c r="D392">
        <v>1</v>
      </c>
      <c r="E392" s="4">
        <v>0.11728395061728394</v>
      </c>
      <c r="F392" s="4">
        <v>6.18201737225135E-2</v>
      </c>
      <c r="G392" s="4">
        <f t="shared" si="51"/>
        <v>0.11728395061728394</v>
      </c>
      <c r="H392" s="4" t="str">
        <f t="shared" si="52"/>
        <v/>
      </c>
      <c r="I392" s="4" t="str">
        <f t="shared" si="53"/>
        <v/>
      </c>
      <c r="J392" s="4" t="str">
        <f t="shared" si="54"/>
        <v/>
      </c>
      <c r="K392" s="4" t="str">
        <f t="shared" si="55"/>
        <v/>
      </c>
      <c r="L392" s="4" t="str">
        <f t="shared" si="56"/>
        <v/>
      </c>
      <c r="M392" s="4"/>
      <c r="N392" s="4"/>
      <c r="O392" s="4"/>
      <c r="P392" s="4"/>
      <c r="Q392" s="4"/>
      <c r="R392" s="4"/>
      <c r="S392" s="4"/>
      <c r="T392" s="4"/>
      <c r="U392" s="4"/>
    </row>
    <row r="393" spans="1:21">
      <c r="A393" t="s">
        <v>495</v>
      </c>
      <c r="B393">
        <v>8</v>
      </c>
      <c r="C393" t="str">
        <f t="shared" si="50"/>
        <v>test.ImageData_8_</v>
      </c>
      <c r="D393">
        <v>2</v>
      </c>
      <c r="E393" s="4">
        <v>0.1728395061728395</v>
      </c>
      <c r="F393" s="4">
        <v>9.9616558416151496E-2</v>
      </c>
      <c r="G393" s="4">
        <f t="shared" si="51"/>
        <v>0.1728395061728395</v>
      </c>
      <c r="H393" s="4" t="str">
        <f t="shared" si="52"/>
        <v/>
      </c>
      <c r="I393" s="4" t="str">
        <f t="shared" si="53"/>
        <v/>
      </c>
      <c r="J393" s="4" t="str">
        <f t="shared" si="54"/>
        <v/>
      </c>
      <c r="K393" s="4" t="str">
        <f t="shared" si="55"/>
        <v/>
      </c>
      <c r="L393" s="4" t="str">
        <f t="shared" si="56"/>
        <v/>
      </c>
      <c r="M393" s="4"/>
      <c r="N393" s="4"/>
      <c r="O393" s="4"/>
      <c r="P393" s="4"/>
      <c r="Q393" s="4"/>
      <c r="R393" s="4"/>
      <c r="S393" s="4"/>
      <c r="T393" s="4"/>
      <c r="U393" s="4"/>
    </row>
    <row r="394" spans="1:21">
      <c r="A394" t="s">
        <v>495</v>
      </c>
      <c r="B394">
        <v>8</v>
      </c>
      <c r="C394" t="str">
        <f t="shared" si="50"/>
        <v>test.ImageData_8_</v>
      </c>
      <c r="D394">
        <v>3</v>
      </c>
      <c r="E394" s="4">
        <v>0.3888888888888889</v>
      </c>
      <c r="F394" s="4">
        <v>0.19445966038031146</v>
      </c>
      <c r="G394" s="4">
        <f t="shared" si="51"/>
        <v>0.3888888888888889</v>
      </c>
      <c r="H394" s="4" t="str">
        <f t="shared" si="52"/>
        <v/>
      </c>
      <c r="I394" s="4" t="str">
        <f t="shared" si="53"/>
        <v/>
      </c>
      <c r="J394" s="4" t="str">
        <f t="shared" si="54"/>
        <v/>
      </c>
      <c r="K394" s="4" t="str">
        <f t="shared" si="55"/>
        <v/>
      </c>
      <c r="L394" s="4" t="str">
        <f t="shared" si="56"/>
        <v/>
      </c>
      <c r="M394" s="4"/>
      <c r="N394" s="4"/>
      <c r="O394" s="4"/>
      <c r="P394" s="4"/>
      <c r="Q394" s="4"/>
      <c r="R394" s="4"/>
      <c r="S394" s="4"/>
      <c r="T394" s="4"/>
      <c r="U394" s="4"/>
    </row>
    <row r="395" spans="1:21">
      <c r="A395" t="s">
        <v>495</v>
      </c>
      <c r="B395">
        <v>8</v>
      </c>
      <c r="C395" t="str">
        <f t="shared" si="50"/>
        <v>test.ImageData_8_</v>
      </c>
      <c r="D395">
        <v>4</v>
      </c>
      <c r="E395" s="4">
        <v>0.66049382716049387</v>
      </c>
      <c r="F395" s="4">
        <v>0.21511855387745521</v>
      </c>
      <c r="G395" s="4" t="str">
        <f t="shared" si="51"/>
        <v/>
      </c>
      <c r="H395" s="4">
        <f t="shared" si="52"/>
        <v>0.66049382716049387</v>
      </c>
      <c r="I395" s="4" t="str">
        <f t="shared" si="53"/>
        <v/>
      </c>
      <c r="J395" s="4" t="str">
        <f t="shared" si="54"/>
        <v/>
      </c>
      <c r="K395" s="4" t="str">
        <f t="shared" si="55"/>
        <v/>
      </c>
      <c r="L395" s="4" t="str">
        <f t="shared" si="56"/>
        <v/>
      </c>
      <c r="M395" s="4"/>
      <c r="N395" s="4"/>
      <c r="O395" s="4"/>
      <c r="P395" s="4"/>
      <c r="Q395" s="4"/>
      <c r="R395" s="4"/>
      <c r="S395" s="4"/>
      <c r="T395" s="4"/>
      <c r="U395" s="4"/>
    </row>
    <row r="396" spans="1:21">
      <c r="A396" t="s">
        <v>495</v>
      </c>
      <c r="B396">
        <v>8</v>
      </c>
      <c r="C396" t="str">
        <f t="shared" si="50"/>
        <v>test.ImageData_8_</v>
      </c>
      <c r="D396">
        <v>5</v>
      </c>
      <c r="E396" s="4">
        <v>0.86419753086419748</v>
      </c>
      <c r="F396" s="4">
        <v>0.41450817747867597</v>
      </c>
      <c r="G396" s="4" t="str">
        <f t="shared" si="51"/>
        <v/>
      </c>
      <c r="H396" s="4" t="str">
        <f t="shared" si="52"/>
        <v/>
      </c>
      <c r="I396" s="4">
        <f t="shared" si="53"/>
        <v>0.86419753086419748</v>
      </c>
      <c r="J396" s="4" t="str">
        <f t="shared" si="54"/>
        <v/>
      </c>
      <c r="K396" s="4" t="str">
        <f t="shared" si="55"/>
        <v/>
      </c>
      <c r="L396" s="4" t="str">
        <f t="shared" si="56"/>
        <v/>
      </c>
      <c r="M396" s="4"/>
      <c r="N396" s="4"/>
      <c r="O396" s="4"/>
      <c r="P396" s="4"/>
      <c r="Q396" s="4"/>
      <c r="R396" s="4"/>
      <c r="S396" s="4"/>
      <c r="T396" s="4"/>
      <c r="U396" s="4"/>
    </row>
    <row r="397" spans="1:21">
      <c r="A397" t="s">
        <v>495</v>
      </c>
      <c r="B397">
        <v>8</v>
      </c>
      <c r="C397" t="str">
        <f t="shared" si="50"/>
        <v>test.ImageData_8_</v>
      </c>
      <c r="D397">
        <v>6</v>
      </c>
      <c r="E397" s="4">
        <v>1</v>
      </c>
      <c r="F397" s="4">
        <v>0.49041396040378749</v>
      </c>
      <c r="G397" s="4" t="str">
        <f t="shared" si="51"/>
        <v/>
      </c>
      <c r="H397" s="4" t="str">
        <f t="shared" si="52"/>
        <v/>
      </c>
      <c r="I397" s="4">
        <f t="shared" si="53"/>
        <v>1</v>
      </c>
      <c r="J397" s="4" t="str">
        <f t="shared" si="54"/>
        <v/>
      </c>
      <c r="K397" s="4" t="str">
        <f t="shared" si="55"/>
        <v/>
      </c>
      <c r="L397" s="4" t="str">
        <f t="shared" si="56"/>
        <v/>
      </c>
      <c r="M397" s="4"/>
      <c r="N397" s="4"/>
      <c r="O397" s="4"/>
      <c r="P397" s="4"/>
      <c r="Q397" s="4"/>
      <c r="R397" s="4"/>
      <c r="S397" s="4"/>
      <c r="T397" s="4"/>
      <c r="U397" s="4"/>
    </row>
    <row r="398" spans="1:21">
      <c r="A398" t="s">
        <v>495</v>
      </c>
      <c r="B398">
        <v>9</v>
      </c>
      <c r="C398" t="str">
        <f t="shared" si="50"/>
        <v>test.ImageData_9_</v>
      </c>
      <c r="D398">
        <v>1</v>
      </c>
      <c r="E398" s="4">
        <v>7.3643410852713184E-2</v>
      </c>
      <c r="F398" s="4">
        <v>2.4346473649578274E-2</v>
      </c>
      <c r="G398" s="4">
        <f t="shared" si="51"/>
        <v>7.3643410852713184E-2</v>
      </c>
      <c r="H398" s="4" t="str">
        <f t="shared" si="52"/>
        <v/>
      </c>
      <c r="I398" s="4" t="str">
        <f t="shared" si="53"/>
        <v/>
      </c>
      <c r="J398" s="4" t="str">
        <f t="shared" si="54"/>
        <v/>
      </c>
      <c r="K398" s="4" t="str">
        <f t="shared" si="55"/>
        <v/>
      </c>
      <c r="L398" s="4" t="str">
        <f t="shared" si="56"/>
        <v/>
      </c>
      <c r="M398" s="4"/>
      <c r="N398" s="4"/>
      <c r="O398" s="4"/>
      <c r="P398" s="4"/>
      <c r="Q398" s="4"/>
      <c r="R398" s="4"/>
      <c r="S398" s="4"/>
      <c r="T398" s="4"/>
      <c r="U398" s="4"/>
    </row>
    <row r="399" spans="1:21">
      <c r="A399" t="s">
        <v>495</v>
      </c>
      <c r="B399">
        <v>9</v>
      </c>
      <c r="C399" t="str">
        <f t="shared" si="50"/>
        <v>test.ImageData_9_</v>
      </c>
      <c r="D399">
        <v>2</v>
      </c>
      <c r="E399" s="4">
        <v>0.12015503875968993</v>
      </c>
      <c r="F399" s="4">
        <v>4.7047915295806667E-2</v>
      </c>
      <c r="G399" s="4">
        <f t="shared" si="51"/>
        <v>0.12015503875968993</v>
      </c>
      <c r="H399" s="4" t="str">
        <f t="shared" si="52"/>
        <v/>
      </c>
      <c r="I399" s="4" t="str">
        <f t="shared" si="53"/>
        <v/>
      </c>
      <c r="J399" s="4" t="str">
        <f t="shared" si="54"/>
        <v/>
      </c>
      <c r="K399" s="4" t="str">
        <f t="shared" si="55"/>
        <v/>
      </c>
      <c r="L399" s="4" t="str">
        <f t="shared" si="56"/>
        <v/>
      </c>
      <c r="M399" s="4"/>
      <c r="N399" s="4"/>
      <c r="O399" s="4"/>
      <c r="P399" s="4"/>
      <c r="Q399" s="4"/>
      <c r="R399" s="4"/>
      <c r="S399" s="4"/>
      <c r="T399" s="4"/>
      <c r="U399" s="4"/>
    </row>
    <row r="400" spans="1:21">
      <c r="A400" t="s">
        <v>495</v>
      </c>
      <c r="B400">
        <v>9</v>
      </c>
      <c r="C400" t="str">
        <f t="shared" si="50"/>
        <v>test.ImageData_9_</v>
      </c>
      <c r="D400">
        <v>3</v>
      </c>
      <c r="E400" s="4">
        <v>0.2558139534883721</v>
      </c>
      <c r="F400" s="4">
        <v>7.4594723933720158E-2</v>
      </c>
      <c r="G400" s="4">
        <f t="shared" si="51"/>
        <v>0.2558139534883721</v>
      </c>
      <c r="H400" s="4" t="str">
        <f t="shared" si="52"/>
        <v/>
      </c>
      <c r="I400" s="4" t="str">
        <f t="shared" si="53"/>
        <v/>
      </c>
      <c r="J400" s="4" t="str">
        <f t="shared" si="54"/>
        <v/>
      </c>
      <c r="K400" s="4" t="str">
        <f t="shared" si="55"/>
        <v/>
      </c>
      <c r="L400" s="4" t="str">
        <f t="shared" si="56"/>
        <v/>
      </c>
      <c r="M400" s="4"/>
      <c r="N400" s="4"/>
      <c r="O400" s="4"/>
      <c r="P400" s="4"/>
      <c r="Q400" s="4"/>
      <c r="R400" s="4"/>
      <c r="S400" s="4"/>
      <c r="T400" s="4"/>
      <c r="U400" s="4"/>
    </row>
    <row r="401" spans="1:21">
      <c r="A401" t="s">
        <v>495</v>
      </c>
      <c r="B401">
        <v>9</v>
      </c>
      <c r="C401" t="str">
        <f t="shared" si="50"/>
        <v>test.ImageData_9_</v>
      </c>
      <c r="D401">
        <v>4</v>
      </c>
      <c r="E401" s="4">
        <v>0.4263565891472868</v>
      </c>
      <c r="F401" s="4">
        <v>0.10262008733624454</v>
      </c>
      <c r="G401" s="4">
        <f t="shared" si="51"/>
        <v>0.4263565891472868</v>
      </c>
      <c r="H401" s="4" t="str">
        <f t="shared" si="52"/>
        <v/>
      </c>
      <c r="I401" s="4" t="str">
        <f t="shared" si="53"/>
        <v/>
      </c>
      <c r="J401" s="4" t="str">
        <f t="shared" si="54"/>
        <v/>
      </c>
      <c r="K401" s="4" t="str">
        <f t="shared" si="55"/>
        <v/>
      </c>
      <c r="L401" s="4" t="str">
        <f t="shared" si="56"/>
        <v/>
      </c>
      <c r="M401" s="4"/>
      <c r="N401" s="4"/>
      <c r="O401" s="4"/>
      <c r="P401" s="4"/>
      <c r="Q401" s="4"/>
      <c r="R401" s="4"/>
      <c r="S401" s="4"/>
      <c r="T401" s="4"/>
      <c r="U401" s="4"/>
    </row>
    <row r="402" spans="1:21">
      <c r="A402" t="s">
        <v>495</v>
      </c>
      <c r="B402">
        <v>9</v>
      </c>
      <c r="C402" t="str">
        <f t="shared" si="50"/>
        <v>test.ImageData_9_</v>
      </c>
      <c r="D402">
        <v>5</v>
      </c>
      <c r="E402" s="4">
        <v>0.55426356589147285</v>
      </c>
      <c r="F402" s="4">
        <v>0.13985762995752826</v>
      </c>
      <c r="G402" s="4">
        <f t="shared" si="51"/>
        <v>0.55426356589147285</v>
      </c>
      <c r="H402" s="4" t="str">
        <f t="shared" si="52"/>
        <v/>
      </c>
      <c r="I402" s="4" t="str">
        <f t="shared" si="53"/>
        <v/>
      </c>
      <c r="J402" s="4" t="str">
        <f t="shared" si="54"/>
        <v/>
      </c>
      <c r="K402" s="4" t="str">
        <f t="shared" si="55"/>
        <v/>
      </c>
      <c r="L402" s="4" t="str">
        <f t="shared" si="56"/>
        <v/>
      </c>
      <c r="M402" s="4"/>
      <c r="N402" s="4"/>
      <c r="O402" s="4"/>
      <c r="P402" s="4"/>
      <c r="Q402" s="4"/>
      <c r="R402" s="4"/>
      <c r="S402" s="4"/>
      <c r="T402" s="4"/>
      <c r="U402" s="4"/>
    </row>
    <row r="403" spans="1:21">
      <c r="A403" t="s">
        <v>495</v>
      </c>
      <c r="B403">
        <v>9</v>
      </c>
      <c r="C403" t="str">
        <f t="shared" si="50"/>
        <v>test.ImageData_9_</v>
      </c>
      <c r="D403">
        <v>6</v>
      </c>
      <c r="E403" s="4">
        <v>0.63953488372093026</v>
      </c>
      <c r="F403" s="4">
        <v>0.187085003290064</v>
      </c>
      <c r="G403" s="4">
        <f t="shared" si="51"/>
        <v>0.63953488372093026</v>
      </c>
      <c r="H403" s="4" t="str">
        <f t="shared" si="52"/>
        <v/>
      </c>
      <c r="I403" s="4" t="str">
        <f t="shared" si="53"/>
        <v/>
      </c>
      <c r="J403" s="4" t="str">
        <f t="shared" si="54"/>
        <v/>
      </c>
      <c r="K403" s="4" t="str">
        <f t="shared" si="55"/>
        <v/>
      </c>
      <c r="L403" s="4" t="str">
        <f t="shared" si="56"/>
        <v/>
      </c>
      <c r="M403" s="4"/>
      <c r="N403" s="4"/>
      <c r="O403" s="4"/>
      <c r="P403" s="4"/>
      <c r="Q403" s="4"/>
      <c r="R403" s="4"/>
      <c r="S403" s="4"/>
      <c r="T403" s="4"/>
      <c r="U403" s="4"/>
    </row>
    <row r="404" spans="1:21">
      <c r="A404" t="s">
        <v>495</v>
      </c>
      <c r="B404">
        <v>9</v>
      </c>
      <c r="C404" t="str">
        <f t="shared" si="50"/>
        <v>test.ImageData_9_</v>
      </c>
      <c r="D404">
        <v>7</v>
      </c>
      <c r="E404" s="4">
        <v>0.7441860465116279</v>
      </c>
      <c r="F404" s="4">
        <v>0.22088293354070707</v>
      </c>
      <c r="G404" s="4" t="str">
        <f t="shared" si="51"/>
        <v/>
      </c>
      <c r="H404" s="4">
        <f t="shared" si="52"/>
        <v>0.7441860465116279</v>
      </c>
      <c r="I404" s="4" t="str">
        <f t="shared" si="53"/>
        <v/>
      </c>
      <c r="J404" s="4" t="str">
        <f t="shared" si="54"/>
        <v/>
      </c>
      <c r="K404" s="4" t="str">
        <f t="shared" si="55"/>
        <v/>
      </c>
      <c r="L404" s="4" t="str">
        <f t="shared" si="56"/>
        <v/>
      </c>
      <c r="M404" s="4"/>
      <c r="N404" s="4"/>
      <c r="O404" s="4"/>
      <c r="P404" s="4"/>
      <c r="Q404" s="4"/>
      <c r="R404" s="4"/>
      <c r="S404" s="4"/>
      <c r="T404" s="4"/>
      <c r="U404" s="4"/>
    </row>
    <row r="405" spans="1:21">
      <c r="A405" t="s">
        <v>495</v>
      </c>
      <c r="B405">
        <v>9</v>
      </c>
      <c r="C405" t="str">
        <f t="shared" si="50"/>
        <v>test.ImageData_9_</v>
      </c>
      <c r="D405">
        <v>8</v>
      </c>
      <c r="E405" s="4">
        <v>0.86434108527131781</v>
      </c>
      <c r="F405" s="4">
        <v>0.24430220733385177</v>
      </c>
      <c r="G405" s="4" t="str">
        <f t="shared" si="51"/>
        <v/>
      </c>
      <c r="H405" s="4">
        <f t="shared" si="52"/>
        <v>0.86434108527131781</v>
      </c>
      <c r="I405" s="4" t="str">
        <f t="shared" si="53"/>
        <v/>
      </c>
      <c r="J405" s="4" t="str">
        <f t="shared" si="54"/>
        <v/>
      </c>
      <c r="K405" s="4" t="str">
        <f t="shared" si="55"/>
        <v/>
      </c>
      <c r="L405" s="4" t="str">
        <f t="shared" si="56"/>
        <v/>
      </c>
      <c r="M405" s="4"/>
      <c r="N405" s="4"/>
      <c r="O405" s="4"/>
      <c r="P405" s="4"/>
      <c r="Q405" s="4"/>
      <c r="R405" s="4"/>
      <c r="S405" s="4"/>
      <c r="T405" s="4"/>
      <c r="U405" s="4"/>
    </row>
    <row r="406" spans="1:21">
      <c r="A406" t="s">
        <v>495</v>
      </c>
      <c r="B406">
        <v>9</v>
      </c>
      <c r="C406" t="str">
        <f t="shared" si="50"/>
        <v>test.ImageData_9_</v>
      </c>
      <c r="D406">
        <v>9</v>
      </c>
      <c r="E406" s="4">
        <v>1</v>
      </c>
      <c r="F406" s="4">
        <v>0.26625590716037567</v>
      </c>
      <c r="G406" s="4" t="str">
        <f t="shared" si="51"/>
        <v/>
      </c>
      <c r="H406" s="4">
        <f t="shared" si="52"/>
        <v>1</v>
      </c>
      <c r="I406" s="4" t="str">
        <f t="shared" si="53"/>
        <v/>
      </c>
      <c r="J406" s="4" t="str">
        <f t="shared" si="54"/>
        <v/>
      </c>
      <c r="K406" s="4" t="str">
        <f t="shared" si="55"/>
        <v/>
      </c>
      <c r="L406" s="4" t="str">
        <f t="shared" si="56"/>
        <v/>
      </c>
      <c r="M406" s="4"/>
      <c r="N406" s="4"/>
      <c r="O406" s="4"/>
      <c r="P406" s="4"/>
      <c r="Q406" s="4"/>
      <c r="R406" s="4"/>
      <c r="S406" s="4"/>
      <c r="T406" s="4"/>
      <c r="U406" s="4"/>
    </row>
    <row r="407" spans="1:21">
      <c r="A407" t="s">
        <v>495</v>
      </c>
      <c r="B407">
        <v>11</v>
      </c>
      <c r="C407" t="str">
        <f t="shared" si="50"/>
        <v>test.ImageData_11_</v>
      </c>
      <c r="D407">
        <v>1</v>
      </c>
      <c r="E407" s="4">
        <v>0.33962264150943394</v>
      </c>
      <c r="F407" s="4">
        <v>4.495732660175502E-2</v>
      </c>
      <c r="G407" s="4">
        <f t="shared" si="51"/>
        <v>0.33962264150943394</v>
      </c>
      <c r="H407" s="4" t="str">
        <f t="shared" si="52"/>
        <v/>
      </c>
      <c r="I407" s="4" t="str">
        <f t="shared" si="53"/>
        <v/>
      </c>
      <c r="J407" s="4" t="str">
        <f t="shared" si="54"/>
        <v/>
      </c>
      <c r="K407" s="4" t="str">
        <f t="shared" si="55"/>
        <v/>
      </c>
      <c r="L407" s="4" t="str">
        <f t="shared" si="56"/>
        <v/>
      </c>
      <c r="M407" s="4"/>
      <c r="N407" s="4"/>
      <c r="O407" s="4"/>
      <c r="P407" s="4"/>
      <c r="Q407" s="4"/>
      <c r="R407" s="4"/>
      <c r="S407" s="4"/>
      <c r="T407" s="4"/>
      <c r="U407" s="4"/>
    </row>
    <row r="408" spans="1:21">
      <c r="A408" t="s">
        <v>495</v>
      </c>
      <c r="B408">
        <v>11</v>
      </c>
      <c r="C408" t="str">
        <f t="shared" si="50"/>
        <v>test.ImageData_11_</v>
      </c>
      <c r="D408">
        <v>2</v>
      </c>
      <c r="E408" s="4">
        <v>1</v>
      </c>
      <c r="F408" s="4">
        <v>0.96874624353888683</v>
      </c>
      <c r="G408" s="4" t="str">
        <f t="shared" si="51"/>
        <v/>
      </c>
      <c r="H408" s="4" t="str">
        <f t="shared" si="52"/>
        <v/>
      </c>
      <c r="I408" s="4" t="str">
        <f t="shared" si="53"/>
        <v/>
      </c>
      <c r="J408" s="4" t="str">
        <f t="shared" si="54"/>
        <v/>
      </c>
      <c r="K408" s="4">
        <f t="shared" si="55"/>
        <v>1</v>
      </c>
      <c r="L408" s="4" t="str">
        <f t="shared" si="56"/>
        <v/>
      </c>
      <c r="M408" s="4"/>
      <c r="N408" s="4"/>
      <c r="O408" s="4"/>
      <c r="P408" s="4"/>
      <c r="Q408" s="4"/>
      <c r="R408" s="4"/>
      <c r="S408" s="4"/>
      <c r="T408" s="4"/>
      <c r="U408" s="4"/>
    </row>
    <row r="409" spans="1:21">
      <c r="A409" t="s">
        <v>495</v>
      </c>
      <c r="B409">
        <v>13</v>
      </c>
      <c r="C409" t="str">
        <f t="shared" si="50"/>
        <v>test.ImageData_13_</v>
      </c>
      <c r="D409">
        <v>1</v>
      </c>
      <c r="E409" s="4">
        <v>1.3568521031207597E-3</v>
      </c>
      <c r="F409" s="4">
        <v>5.3726429212810539E-2</v>
      </c>
      <c r="G409" s="4">
        <f t="shared" si="51"/>
        <v>1.3568521031207597E-3</v>
      </c>
      <c r="H409" s="4" t="str">
        <f t="shared" si="52"/>
        <v/>
      </c>
      <c r="I409" s="4" t="str">
        <f t="shared" si="53"/>
        <v/>
      </c>
      <c r="J409" s="4" t="str">
        <f t="shared" si="54"/>
        <v/>
      </c>
      <c r="K409" s="4" t="str">
        <f t="shared" si="55"/>
        <v/>
      </c>
      <c r="L409" s="4" t="str">
        <f t="shared" si="56"/>
        <v/>
      </c>
      <c r="M409" s="4"/>
      <c r="N409" s="4"/>
      <c r="O409" s="4"/>
      <c r="P409" s="4"/>
      <c r="Q409" s="4"/>
      <c r="R409" s="4"/>
      <c r="S409" s="4"/>
      <c r="T409" s="4"/>
      <c r="U409" s="4"/>
    </row>
    <row r="410" spans="1:21">
      <c r="A410" t="s">
        <v>495</v>
      </c>
      <c r="B410">
        <v>13</v>
      </c>
      <c r="C410" t="str">
        <f t="shared" si="50"/>
        <v>test.ImageData_13_</v>
      </c>
      <c r="D410">
        <v>2</v>
      </c>
      <c r="E410" s="4">
        <v>4.0705563093622792E-3</v>
      </c>
      <c r="F410" s="4">
        <v>5.4137982639928167E-2</v>
      </c>
      <c r="G410" s="4">
        <f t="shared" si="51"/>
        <v>4.0705563093622792E-3</v>
      </c>
      <c r="H410" s="4" t="str">
        <f t="shared" si="52"/>
        <v/>
      </c>
      <c r="I410" s="4" t="str">
        <f t="shared" si="53"/>
        <v/>
      </c>
      <c r="J410" s="4" t="str">
        <f t="shared" si="54"/>
        <v/>
      </c>
      <c r="K410" s="4" t="str">
        <f t="shared" si="55"/>
        <v/>
      </c>
      <c r="L410" s="4" t="str">
        <f t="shared" si="56"/>
        <v/>
      </c>
      <c r="M410" s="4"/>
      <c r="N410" s="4"/>
      <c r="O410" s="4"/>
      <c r="P410" s="4"/>
      <c r="Q410" s="4"/>
      <c r="R410" s="4"/>
      <c r="S410" s="4"/>
      <c r="T410" s="4"/>
      <c r="U410" s="4"/>
    </row>
    <row r="411" spans="1:21">
      <c r="A411" t="s">
        <v>495</v>
      </c>
      <c r="B411">
        <v>13</v>
      </c>
      <c r="C411" t="str">
        <f t="shared" si="50"/>
        <v>test.ImageData_13_</v>
      </c>
      <c r="D411">
        <v>3</v>
      </c>
      <c r="E411" s="4">
        <v>6.7842605156037995E-3</v>
      </c>
      <c r="F411" s="4">
        <v>5.9787488775815627E-2</v>
      </c>
      <c r="G411" s="4">
        <f t="shared" si="51"/>
        <v>6.7842605156037995E-3</v>
      </c>
      <c r="H411" s="4" t="str">
        <f t="shared" si="52"/>
        <v/>
      </c>
      <c r="I411" s="4" t="str">
        <f t="shared" si="53"/>
        <v/>
      </c>
      <c r="J411" s="4" t="str">
        <f t="shared" si="54"/>
        <v/>
      </c>
      <c r="K411" s="4" t="str">
        <f t="shared" si="55"/>
        <v/>
      </c>
      <c r="L411" s="4" t="str">
        <f t="shared" si="56"/>
        <v/>
      </c>
      <c r="M411" s="4"/>
      <c r="N411" s="4"/>
      <c r="O411" s="4"/>
      <c r="P411" s="4"/>
      <c r="Q411" s="4"/>
      <c r="R411" s="4"/>
      <c r="S411" s="4"/>
      <c r="T411" s="4"/>
      <c r="U411" s="4"/>
    </row>
    <row r="412" spans="1:21">
      <c r="A412" t="s">
        <v>495</v>
      </c>
      <c r="B412">
        <v>13</v>
      </c>
      <c r="C412" t="str">
        <f t="shared" si="50"/>
        <v>test.ImageData_13_</v>
      </c>
      <c r="D412">
        <v>4</v>
      </c>
      <c r="E412" s="4">
        <v>1</v>
      </c>
      <c r="F412" s="4">
        <v>1.013020053876085</v>
      </c>
      <c r="G412" s="4" t="str">
        <f t="shared" si="51"/>
        <v/>
      </c>
      <c r="H412" s="4" t="str">
        <f t="shared" si="52"/>
        <v/>
      </c>
      <c r="I412" s="4" t="str">
        <f t="shared" si="53"/>
        <v/>
      </c>
      <c r="J412" s="4" t="str">
        <f t="shared" si="54"/>
        <v/>
      </c>
      <c r="K412" s="4">
        <f t="shared" si="55"/>
        <v>1</v>
      </c>
      <c r="L412" s="4" t="str">
        <f t="shared" si="56"/>
        <v/>
      </c>
      <c r="M412" s="4"/>
      <c r="N412" s="4"/>
      <c r="O412" s="4"/>
      <c r="P412" s="4"/>
      <c r="Q412" s="4"/>
      <c r="R412" s="4"/>
      <c r="S412" s="4"/>
      <c r="T412" s="4"/>
      <c r="U412" s="4"/>
    </row>
    <row r="413" spans="1:21">
      <c r="A413" t="s">
        <v>495</v>
      </c>
      <c r="B413">
        <v>15</v>
      </c>
      <c r="C413" t="str">
        <f t="shared" si="50"/>
        <v>test.ImageData_15_</v>
      </c>
      <c r="D413">
        <v>1</v>
      </c>
      <c r="E413" s="4">
        <v>2.1052631578947368E-3</v>
      </c>
      <c r="F413" s="4">
        <v>4.2488924687877565E-2</v>
      </c>
      <c r="G413" s="4">
        <f t="shared" si="51"/>
        <v>2.1052631578947368E-3</v>
      </c>
      <c r="H413" s="4" t="str">
        <f t="shared" si="52"/>
        <v/>
      </c>
      <c r="I413" s="4" t="str">
        <f t="shared" si="53"/>
        <v/>
      </c>
      <c r="J413" s="4" t="str">
        <f t="shared" si="54"/>
        <v/>
      </c>
      <c r="K413" s="4" t="str">
        <f t="shared" si="55"/>
        <v/>
      </c>
      <c r="L413" s="4" t="str">
        <f t="shared" si="56"/>
        <v/>
      </c>
      <c r="M413" s="4"/>
      <c r="N413" s="4"/>
      <c r="O413" s="4"/>
      <c r="P413" s="4"/>
      <c r="Q413" s="4"/>
      <c r="R413" s="4"/>
      <c r="S413" s="4"/>
      <c r="T413" s="4"/>
      <c r="U413" s="4"/>
    </row>
    <row r="414" spans="1:21">
      <c r="A414" t="s">
        <v>495</v>
      </c>
      <c r="B414">
        <v>15</v>
      </c>
      <c r="C414" t="str">
        <f t="shared" si="50"/>
        <v>test.ImageData_15_</v>
      </c>
      <c r="D414">
        <v>2</v>
      </c>
      <c r="E414" s="4">
        <v>2.1052631578947368E-3</v>
      </c>
      <c r="F414" s="4">
        <v>4.5962545308095043E-2</v>
      </c>
      <c r="G414" s="4">
        <f t="shared" si="51"/>
        <v>2.1052631578947368E-3</v>
      </c>
      <c r="H414" s="4" t="str">
        <f t="shared" si="52"/>
        <v/>
      </c>
      <c r="I414" s="4" t="str">
        <f t="shared" si="53"/>
        <v/>
      </c>
      <c r="J414" s="4" t="str">
        <f t="shared" si="54"/>
        <v/>
      </c>
      <c r="K414" s="4" t="str">
        <f t="shared" si="55"/>
        <v/>
      </c>
      <c r="L414" s="4" t="str">
        <f t="shared" si="56"/>
        <v/>
      </c>
      <c r="M414" s="4"/>
      <c r="N414" s="4"/>
      <c r="O414" s="4"/>
      <c r="P414" s="4"/>
      <c r="Q414" s="4"/>
      <c r="R414" s="4"/>
      <c r="S414" s="4"/>
      <c r="T414" s="4"/>
      <c r="U414" s="4"/>
    </row>
    <row r="415" spans="1:21">
      <c r="A415" t="s">
        <v>495</v>
      </c>
      <c r="B415">
        <v>15</v>
      </c>
      <c r="C415" t="str">
        <f t="shared" si="50"/>
        <v>test.ImageData_15_</v>
      </c>
      <c r="D415">
        <v>3</v>
      </c>
      <c r="E415" s="4">
        <v>8.4210526315789472E-3</v>
      </c>
      <c r="F415" s="4">
        <v>5.0040273862263389E-2</v>
      </c>
      <c r="G415" s="4">
        <f t="shared" si="51"/>
        <v>8.4210526315789472E-3</v>
      </c>
      <c r="H415" s="4" t="str">
        <f t="shared" si="52"/>
        <v/>
      </c>
      <c r="I415" s="4" t="str">
        <f t="shared" si="53"/>
        <v/>
      </c>
      <c r="J415" s="4" t="str">
        <f t="shared" si="54"/>
        <v/>
      </c>
      <c r="K415" s="4" t="str">
        <f t="shared" si="55"/>
        <v/>
      </c>
      <c r="L415" s="4" t="str">
        <f t="shared" si="56"/>
        <v/>
      </c>
      <c r="M415" s="4"/>
      <c r="N415" s="4"/>
      <c r="O415" s="4"/>
      <c r="P415" s="4"/>
      <c r="Q415" s="4"/>
      <c r="R415" s="4"/>
      <c r="S415" s="4"/>
      <c r="T415" s="4"/>
      <c r="U415" s="4"/>
    </row>
    <row r="416" spans="1:21">
      <c r="A416" t="s">
        <v>495</v>
      </c>
      <c r="B416">
        <v>15</v>
      </c>
      <c r="C416" t="str">
        <f t="shared" si="50"/>
        <v>test.ImageData_15_</v>
      </c>
      <c r="D416">
        <v>4</v>
      </c>
      <c r="E416" s="4">
        <v>1</v>
      </c>
      <c r="F416" s="4">
        <v>0.98086991542488922</v>
      </c>
      <c r="G416" s="4" t="str">
        <f t="shared" si="51"/>
        <v/>
      </c>
      <c r="H416" s="4" t="str">
        <f t="shared" si="52"/>
        <v/>
      </c>
      <c r="I416" s="4" t="str">
        <f t="shared" si="53"/>
        <v/>
      </c>
      <c r="J416" s="4" t="str">
        <f t="shared" si="54"/>
        <v/>
      </c>
      <c r="K416" s="4">
        <f t="shared" si="55"/>
        <v>1</v>
      </c>
      <c r="L416" s="4" t="str">
        <f t="shared" si="56"/>
        <v/>
      </c>
      <c r="M416" s="4"/>
      <c r="N416" s="4"/>
      <c r="O416" s="4"/>
      <c r="P416" s="4"/>
      <c r="Q416" s="4"/>
      <c r="R416" s="4"/>
      <c r="S416" s="4"/>
      <c r="T416" s="4"/>
      <c r="U416" s="4"/>
    </row>
    <row r="417" spans="1:21">
      <c r="A417" t="s">
        <v>495</v>
      </c>
      <c r="B417">
        <v>16</v>
      </c>
      <c r="C417" t="str">
        <f t="shared" si="50"/>
        <v>test.ImageData_16_</v>
      </c>
      <c r="D417">
        <v>1</v>
      </c>
      <c r="E417" s="4">
        <v>1.6474464579901153E-3</v>
      </c>
      <c r="F417" s="4">
        <v>2.712067883550244E-2</v>
      </c>
      <c r="G417" s="4">
        <f t="shared" si="51"/>
        <v>1.6474464579901153E-3</v>
      </c>
      <c r="H417" s="4" t="str">
        <f t="shared" si="52"/>
        <v/>
      </c>
      <c r="I417" s="4" t="str">
        <f t="shared" si="53"/>
        <v/>
      </c>
      <c r="J417" s="4" t="str">
        <f t="shared" si="54"/>
        <v/>
      </c>
      <c r="K417" s="4" t="str">
        <f t="shared" si="55"/>
        <v/>
      </c>
      <c r="L417" s="4" t="str">
        <f t="shared" si="56"/>
        <v/>
      </c>
      <c r="M417" s="4"/>
      <c r="N417" s="4"/>
      <c r="O417" s="4"/>
      <c r="P417" s="4"/>
      <c r="Q417" s="4"/>
      <c r="R417" s="4"/>
      <c r="S417" s="4"/>
      <c r="T417" s="4"/>
      <c r="U417" s="4"/>
    </row>
    <row r="418" spans="1:21">
      <c r="A418" t="s">
        <v>495</v>
      </c>
      <c r="B418">
        <v>16</v>
      </c>
      <c r="C418" t="str">
        <f t="shared" si="50"/>
        <v>test.ImageData_16_</v>
      </c>
      <c r="D418">
        <v>2</v>
      </c>
      <c r="E418" s="4">
        <v>4.9423393739703456E-3</v>
      </c>
      <c r="F418" s="4">
        <v>3.0613080134239176E-2</v>
      </c>
      <c r="G418" s="4">
        <f t="shared" si="51"/>
        <v>4.9423393739703456E-3</v>
      </c>
      <c r="H418" s="4" t="str">
        <f t="shared" si="52"/>
        <v/>
      </c>
      <c r="I418" s="4" t="str">
        <f t="shared" si="53"/>
        <v/>
      </c>
      <c r="J418" s="4" t="str">
        <f t="shared" si="54"/>
        <v/>
      </c>
      <c r="K418" s="4" t="str">
        <f t="shared" si="55"/>
        <v/>
      </c>
      <c r="L418" s="4" t="str">
        <f t="shared" si="56"/>
        <v/>
      </c>
      <c r="M418" s="4"/>
      <c r="N418" s="4"/>
      <c r="O418" s="4"/>
      <c r="P418" s="4"/>
      <c r="Q418" s="4"/>
      <c r="R418" s="4"/>
      <c r="S418" s="4"/>
      <c r="T418" s="4"/>
      <c r="U418" s="4"/>
    </row>
    <row r="419" spans="1:21">
      <c r="A419" t="s">
        <v>495</v>
      </c>
      <c r="B419">
        <v>16</v>
      </c>
      <c r="C419" t="str">
        <f t="shared" si="50"/>
        <v>test.ImageData_16_</v>
      </c>
      <c r="D419">
        <v>3</v>
      </c>
      <c r="E419" s="4">
        <v>8.2372322899505763E-3</v>
      </c>
      <c r="F419" s="4">
        <v>3.1431611688630595E-2</v>
      </c>
      <c r="G419" s="4">
        <f t="shared" si="51"/>
        <v>8.2372322899505763E-3</v>
      </c>
      <c r="H419" s="4" t="str">
        <f t="shared" si="52"/>
        <v/>
      </c>
      <c r="I419" s="4" t="str">
        <f t="shared" si="53"/>
        <v/>
      </c>
      <c r="J419" s="4" t="str">
        <f t="shared" si="54"/>
        <v/>
      </c>
      <c r="K419" s="4" t="str">
        <f t="shared" si="55"/>
        <v/>
      </c>
      <c r="L419" s="4" t="str">
        <f t="shared" si="56"/>
        <v/>
      </c>
      <c r="M419" s="4"/>
      <c r="N419" s="4"/>
      <c r="O419" s="4"/>
      <c r="P419" s="4"/>
      <c r="Q419" s="4"/>
      <c r="R419" s="4"/>
      <c r="S419" s="4"/>
      <c r="T419" s="4"/>
      <c r="U419" s="4"/>
    </row>
    <row r="420" spans="1:21">
      <c r="A420" t="s">
        <v>495</v>
      </c>
      <c r="B420">
        <v>16</v>
      </c>
      <c r="C420" t="str">
        <f t="shared" si="50"/>
        <v>test.ImageData_16_</v>
      </c>
      <c r="D420">
        <v>4</v>
      </c>
      <c r="E420" s="4">
        <v>1</v>
      </c>
      <c r="F420" s="4">
        <v>0.98008239884314208</v>
      </c>
      <c r="G420" s="4" t="str">
        <f t="shared" si="51"/>
        <v/>
      </c>
      <c r="H420" s="4" t="str">
        <f t="shared" si="52"/>
        <v/>
      </c>
      <c r="I420" s="4" t="str">
        <f t="shared" si="53"/>
        <v/>
      </c>
      <c r="J420" s="4" t="str">
        <f t="shared" si="54"/>
        <v/>
      </c>
      <c r="K420" s="4">
        <f t="shared" si="55"/>
        <v>1</v>
      </c>
      <c r="L420" s="4" t="str">
        <f t="shared" si="56"/>
        <v/>
      </c>
      <c r="M420" s="4"/>
      <c r="N420" s="4"/>
      <c r="O420" s="4"/>
      <c r="P420" s="4"/>
      <c r="Q420" s="4"/>
      <c r="R420" s="4"/>
      <c r="S420" s="4"/>
      <c r="T420" s="4"/>
      <c r="U420" s="4"/>
    </row>
    <row r="421" spans="1:21">
      <c r="A421" t="s">
        <v>495</v>
      </c>
      <c r="B421">
        <v>20</v>
      </c>
      <c r="C421" t="str">
        <f t="shared" si="50"/>
        <v>test.ImageData_20_</v>
      </c>
      <c r="D421">
        <v>1</v>
      </c>
      <c r="E421" s="4">
        <v>0.59259259259259256</v>
      </c>
      <c r="F421" s="4">
        <v>0.53751600512163888</v>
      </c>
      <c r="G421" s="4" t="str">
        <f t="shared" si="51"/>
        <v/>
      </c>
      <c r="H421" s="4" t="str">
        <f t="shared" si="52"/>
        <v/>
      </c>
      <c r="I421" s="4">
        <f t="shared" si="53"/>
        <v>0.59259259259259256</v>
      </c>
      <c r="J421" s="4" t="str">
        <f t="shared" si="54"/>
        <v/>
      </c>
      <c r="K421" s="4" t="str">
        <f t="shared" si="55"/>
        <v/>
      </c>
      <c r="L421" s="4" t="str">
        <f t="shared" si="56"/>
        <v/>
      </c>
      <c r="M421" s="4"/>
      <c r="N421" s="4"/>
      <c r="O421" s="4"/>
      <c r="P421" s="4"/>
      <c r="Q421" s="4"/>
      <c r="R421" s="4"/>
      <c r="S421" s="4"/>
      <c r="T421" s="4"/>
      <c r="U421" s="4"/>
    </row>
    <row r="422" spans="1:21">
      <c r="A422" t="s">
        <v>495</v>
      </c>
      <c r="B422">
        <v>20</v>
      </c>
      <c r="C422" t="str">
        <f t="shared" si="50"/>
        <v>test.ImageData_20_</v>
      </c>
      <c r="D422">
        <v>2</v>
      </c>
      <c r="E422" s="4">
        <v>1</v>
      </c>
      <c r="F422" s="4">
        <v>0.5551856594110115</v>
      </c>
      <c r="G422" s="4" t="str">
        <f t="shared" si="51"/>
        <v/>
      </c>
      <c r="H422" s="4" t="str">
        <f t="shared" si="52"/>
        <v/>
      </c>
      <c r="I422" s="4">
        <f t="shared" si="53"/>
        <v>1</v>
      </c>
      <c r="J422" s="4" t="str">
        <f t="shared" si="54"/>
        <v/>
      </c>
      <c r="K422" s="4" t="str">
        <f t="shared" si="55"/>
        <v/>
      </c>
      <c r="L422" s="4" t="str">
        <f t="shared" si="56"/>
        <v/>
      </c>
      <c r="M422" s="4"/>
      <c r="N422" s="4"/>
      <c r="O422" s="4"/>
      <c r="P422" s="4"/>
      <c r="Q422" s="4"/>
      <c r="R422" s="4"/>
      <c r="S422" s="4"/>
      <c r="T422" s="4"/>
      <c r="U422" s="4"/>
    </row>
    <row r="423" spans="1:21">
      <c r="A423" t="s">
        <v>495</v>
      </c>
      <c r="B423">
        <v>21</v>
      </c>
      <c r="C423" t="str">
        <f t="shared" si="50"/>
        <v>test.ImageData_21_</v>
      </c>
      <c r="D423">
        <v>1</v>
      </c>
      <c r="E423" s="4">
        <v>0.54385964912280704</v>
      </c>
      <c r="F423" s="4">
        <v>0.51263838228706726</v>
      </c>
      <c r="G423" s="4" t="str">
        <f t="shared" si="51"/>
        <v/>
      </c>
      <c r="H423" s="4" t="str">
        <f t="shared" si="52"/>
        <v/>
      </c>
      <c r="I423" s="4">
        <f t="shared" si="53"/>
        <v>0.54385964912280704</v>
      </c>
      <c r="J423" s="4" t="str">
        <f t="shared" si="54"/>
        <v/>
      </c>
      <c r="K423" s="4" t="str">
        <f t="shared" si="55"/>
        <v/>
      </c>
      <c r="L423" s="4" t="str">
        <f t="shared" si="56"/>
        <v/>
      </c>
      <c r="M423" s="4"/>
      <c r="N423" s="4"/>
      <c r="O423" s="4"/>
      <c r="P423" s="4"/>
      <c r="Q423" s="4"/>
      <c r="R423" s="4"/>
      <c r="S423" s="4"/>
      <c r="T423" s="4"/>
      <c r="U423" s="4"/>
    </row>
    <row r="424" spans="1:21">
      <c r="A424" t="s">
        <v>495</v>
      </c>
      <c r="B424">
        <v>21</v>
      </c>
      <c r="C424" t="str">
        <f t="shared" si="50"/>
        <v>test.ImageData_21_</v>
      </c>
      <c r="D424">
        <v>2</v>
      </c>
      <c r="E424" s="4">
        <v>1</v>
      </c>
      <c r="F424" s="4">
        <v>0.5155180136942471</v>
      </c>
      <c r="G424" s="4" t="str">
        <f t="shared" si="51"/>
        <v/>
      </c>
      <c r="H424" s="4" t="str">
        <f t="shared" si="52"/>
        <v/>
      </c>
      <c r="I424" s="4">
        <f t="shared" si="53"/>
        <v>1</v>
      </c>
      <c r="J424" s="4" t="str">
        <f t="shared" si="54"/>
        <v/>
      </c>
      <c r="K424" s="4" t="str">
        <f t="shared" si="55"/>
        <v/>
      </c>
      <c r="L424" s="4" t="str">
        <f t="shared" si="56"/>
        <v/>
      </c>
      <c r="M424" s="4"/>
      <c r="N424" s="4"/>
      <c r="O424" s="4"/>
      <c r="P424" s="4"/>
      <c r="Q424" s="4"/>
      <c r="R424" s="4"/>
      <c r="S424" s="4"/>
      <c r="T424" s="4"/>
      <c r="U424" s="4"/>
    </row>
    <row r="425" spans="1:21">
      <c r="A425" t="s">
        <v>496</v>
      </c>
      <c r="B425">
        <v>2</v>
      </c>
      <c r="C425" t="str">
        <f t="shared" si="50"/>
        <v>test.MapViewer_2_</v>
      </c>
      <c r="D425">
        <v>1</v>
      </c>
      <c r="E425" s="4">
        <v>0.74603174603174605</v>
      </c>
      <c r="F425" s="4">
        <v>0.58735824074607101</v>
      </c>
      <c r="G425" s="4" t="str">
        <f t="shared" si="51"/>
        <v/>
      </c>
      <c r="H425" s="4" t="str">
        <f t="shared" si="52"/>
        <v/>
      </c>
      <c r="I425" s="4">
        <f t="shared" si="53"/>
        <v>0.74603174603174605</v>
      </c>
      <c r="J425" s="4" t="str">
        <f t="shared" si="54"/>
        <v/>
      </c>
      <c r="K425" s="4" t="str">
        <f t="shared" si="55"/>
        <v/>
      </c>
      <c r="L425" s="4" t="str">
        <f t="shared" si="56"/>
        <v/>
      </c>
      <c r="M425" s="4"/>
      <c r="N425" s="4"/>
      <c r="O425" s="4"/>
      <c r="P425" s="4"/>
      <c r="Q425" s="4"/>
      <c r="R425" s="4"/>
      <c r="S425" s="4"/>
      <c r="T425" s="4"/>
      <c r="U425" s="4"/>
    </row>
    <row r="426" spans="1:21">
      <c r="A426" t="s">
        <v>496</v>
      </c>
      <c r="B426">
        <v>3</v>
      </c>
      <c r="C426" t="str">
        <f t="shared" si="50"/>
        <v>test.MapViewer_3_</v>
      </c>
      <c r="D426">
        <v>2</v>
      </c>
      <c r="E426" s="4">
        <v>0.20408163265306123</v>
      </c>
      <c r="F426" s="4">
        <v>0.14488621900931631</v>
      </c>
      <c r="G426" s="4">
        <f t="shared" si="51"/>
        <v>0.20408163265306123</v>
      </c>
      <c r="H426" s="4" t="str">
        <f t="shared" si="52"/>
        <v/>
      </c>
      <c r="I426" s="4" t="str">
        <f t="shared" si="53"/>
        <v/>
      </c>
      <c r="J426" s="4" t="str">
        <f t="shared" si="54"/>
        <v/>
      </c>
      <c r="K426" s="4" t="str">
        <f t="shared" si="55"/>
        <v/>
      </c>
      <c r="L426" s="4" t="str">
        <f t="shared" si="56"/>
        <v/>
      </c>
      <c r="M426" s="4"/>
      <c r="N426" s="4"/>
      <c r="O426" s="4"/>
      <c r="P426" s="4"/>
      <c r="Q426" s="4"/>
      <c r="R426" s="4"/>
      <c r="S426" s="4"/>
      <c r="T426" s="4"/>
      <c r="U426" s="4"/>
    </row>
    <row r="427" spans="1:21">
      <c r="A427" t="s">
        <v>496</v>
      </c>
      <c r="B427">
        <v>3</v>
      </c>
      <c r="C427" t="str">
        <f t="shared" si="50"/>
        <v>test.MapViewer_3_</v>
      </c>
      <c r="D427">
        <v>3</v>
      </c>
      <c r="E427" s="4">
        <v>0.30612244897959184</v>
      </c>
      <c r="F427" s="4">
        <v>0.20549305095962939</v>
      </c>
      <c r="G427" s="4" t="str">
        <f t="shared" si="51"/>
        <v/>
      </c>
      <c r="H427" s="4">
        <f t="shared" si="52"/>
        <v>0.30612244897959184</v>
      </c>
      <c r="I427" s="4" t="str">
        <f t="shared" si="53"/>
        <v/>
      </c>
      <c r="J427" s="4" t="str">
        <f t="shared" si="54"/>
        <v/>
      </c>
      <c r="K427" s="4" t="str">
        <f t="shared" si="55"/>
        <v/>
      </c>
      <c r="L427" s="4" t="str">
        <f t="shared" si="56"/>
        <v/>
      </c>
      <c r="M427" s="4"/>
      <c r="N427" s="4"/>
      <c r="O427" s="4"/>
      <c r="P427" s="4"/>
      <c r="Q427" s="4"/>
      <c r="R427" s="4"/>
      <c r="S427" s="4"/>
      <c r="T427" s="4"/>
      <c r="U427" s="4"/>
    </row>
    <row r="428" spans="1:21">
      <c r="A428" t="s">
        <v>496</v>
      </c>
      <c r="B428">
        <v>3</v>
      </c>
      <c r="C428" t="str">
        <f t="shared" si="50"/>
        <v>test.MapViewer_3_</v>
      </c>
      <c r="D428">
        <v>4</v>
      </c>
      <c r="E428" s="4">
        <v>0.34693877551020408</v>
      </c>
      <c r="F428" s="4">
        <v>0.261849004734511</v>
      </c>
      <c r="G428" s="4" t="str">
        <f t="shared" si="51"/>
        <v/>
      </c>
      <c r="H428" s="4">
        <f t="shared" si="52"/>
        <v>0.34693877551020408</v>
      </c>
      <c r="I428" s="4" t="str">
        <f t="shared" si="53"/>
        <v/>
      </c>
      <c r="J428" s="4" t="str">
        <f t="shared" si="54"/>
        <v/>
      </c>
      <c r="K428" s="4" t="str">
        <f t="shared" si="55"/>
        <v/>
      </c>
      <c r="L428" s="4" t="str">
        <f t="shared" si="56"/>
        <v/>
      </c>
      <c r="M428" s="4"/>
      <c r="N428" s="4"/>
      <c r="O428" s="4"/>
      <c r="P428" s="4"/>
      <c r="Q428" s="4"/>
      <c r="R428" s="4"/>
      <c r="S428" s="4"/>
      <c r="T428" s="4"/>
      <c r="U428" s="4"/>
    </row>
    <row r="429" spans="1:21">
      <c r="A429" t="s">
        <v>496</v>
      </c>
      <c r="B429">
        <v>3</v>
      </c>
      <c r="C429" t="str">
        <f t="shared" si="50"/>
        <v>test.MapViewer_3_</v>
      </c>
      <c r="D429">
        <v>5</v>
      </c>
      <c r="E429" s="4">
        <v>1</v>
      </c>
      <c r="F429" s="4">
        <v>0.92442600417451515</v>
      </c>
      <c r="G429" s="4" t="str">
        <f t="shared" si="51"/>
        <v/>
      </c>
      <c r="H429" s="4" t="str">
        <f t="shared" si="52"/>
        <v/>
      </c>
      <c r="I429" s="4" t="str">
        <f t="shared" si="53"/>
        <v/>
      </c>
      <c r="J429" s="4" t="str">
        <f t="shared" si="54"/>
        <v/>
      </c>
      <c r="K429" s="4">
        <f t="shared" si="55"/>
        <v>1</v>
      </c>
      <c r="L429" s="4" t="str">
        <f t="shared" si="56"/>
        <v/>
      </c>
      <c r="M429" s="4"/>
      <c r="N429" s="4"/>
      <c r="O429" s="4"/>
      <c r="P429" s="4"/>
      <c r="Q429" s="4"/>
      <c r="R429" s="4"/>
      <c r="S429" s="4"/>
      <c r="T429" s="4"/>
      <c r="U429" s="4"/>
    </row>
    <row r="430" spans="1:21">
      <c r="A430" t="s">
        <v>496</v>
      </c>
      <c r="B430">
        <v>3</v>
      </c>
      <c r="C430" t="str">
        <f t="shared" si="50"/>
        <v>test.MapViewer_3_</v>
      </c>
      <c r="D430">
        <v>6</v>
      </c>
      <c r="E430" s="4">
        <v>1</v>
      </c>
      <c r="F430" s="4">
        <v>1.0061854095606577</v>
      </c>
      <c r="G430" s="4" t="str">
        <f t="shared" si="51"/>
        <v/>
      </c>
      <c r="H430" s="4" t="str">
        <f t="shared" si="52"/>
        <v/>
      </c>
      <c r="I430" s="4" t="str">
        <f t="shared" si="53"/>
        <v/>
      </c>
      <c r="J430" s="4" t="str">
        <f t="shared" si="54"/>
        <v/>
      </c>
      <c r="K430" s="4">
        <f t="shared" si="55"/>
        <v>1</v>
      </c>
      <c r="L430" s="4" t="str">
        <f t="shared" si="56"/>
        <v/>
      </c>
      <c r="M430" s="4"/>
      <c r="N430" s="4"/>
      <c r="O430" s="4"/>
      <c r="P430" s="4"/>
      <c r="Q430" s="4"/>
      <c r="R430" s="4"/>
      <c r="S430" s="4"/>
      <c r="T430" s="4"/>
      <c r="U430" s="4"/>
    </row>
    <row r="431" spans="1:21">
      <c r="A431" t="s">
        <v>497</v>
      </c>
      <c r="B431">
        <v>0</v>
      </c>
      <c r="C431" t="str">
        <f t="shared" si="50"/>
        <v>test.QRCodeDataBlockReader_0_</v>
      </c>
      <c r="D431">
        <v>1</v>
      </c>
      <c r="E431" s="4">
        <v>0.1</v>
      </c>
      <c r="F431" s="4">
        <v>0.52747252747252749</v>
      </c>
      <c r="G431" s="4" t="str">
        <f t="shared" si="51"/>
        <v/>
      </c>
      <c r="H431" s="4" t="str">
        <f t="shared" si="52"/>
        <v/>
      </c>
      <c r="I431" s="4">
        <f t="shared" si="53"/>
        <v>0.1</v>
      </c>
      <c r="J431" s="4" t="str">
        <f t="shared" si="54"/>
        <v/>
      </c>
      <c r="K431" s="4" t="str">
        <f t="shared" si="55"/>
        <v/>
      </c>
      <c r="L431" s="4" t="str">
        <f t="shared" si="56"/>
        <v/>
      </c>
      <c r="M431" s="4"/>
      <c r="N431" s="4"/>
      <c r="O431" s="4"/>
      <c r="P431" s="4"/>
      <c r="Q431" s="4"/>
      <c r="R431" s="4"/>
      <c r="S431" s="4"/>
      <c r="T431" s="4"/>
      <c r="U431" s="4"/>
    </row>
    <row r="432" spans="1:21">
      <c r="A432" t="s">
        <v>497</v>
      </c>
      <c r="B432">
        <v>0</v>
      </c>
      <c r="C432" t="str">
        <f t="shared" si="50"/>
        <v>test.QRCodeDataBlockReader_0_</v>
      </c>
      <c r="D432">
        <v>2</v>
      </c>
      <c r="E432" s="4">
        <v>0.4</v>
      </c>
      <c r="F432" s="4">
        <v>0.73076923076923073</v>
      </c>
      <c r="G432" s="4" t="str">
        <f t="shared" si="51"/>
        <v/>
      </c>
      <c r="H432" s="4" t="str">
        <f t="shared" si="52"/>
        <v/>
      </c>
      <c r="I432" s="4" t="str">
        <f t="shared" si="53"/>
        <v/>
      </c>
      <c r="J432" s="4">
        <f t="shared" si="54"/>
        <v>0.4</v>
      </c>
      <c r="K432" s="4" t="str">
        <f t="shared" si="55"/>
        <v/>
      </c>
      <c r="L432" s="4" t="str">
        <f t="shared" si="56"/>
        <v/>
      </c>
      <c r="M432" s="4"/>
      <c r="N432" s="4"/>
      <c r="O432" s="4"/>
      <c r="P432" s="4"/>
      <c r="Q432" s="4"/>
      <c r="R432" s="4"/>
      <c r="S432" s="4"/>
      <c r="T432" s="4"/>
      <c r="U432" s="4"/>
    </row>
    <row r="433" spans="1:21">
      <c r="A433" t="s">
        <v>497</v>
      </c>
      <c r="B433">
        <v>0</v>
      </c>
      <c r="C433" t="str">
        <f t="shared" si="50"/>
        <v>test.QRCodeDataBlockReader_0_</v>
      </c>
      <c r="D433">
        <v>3</v>
      </c>
      <c r="E433" s="4">
        <v>0.6</v>
      </c>
      <c r="F433" s="4">
        <v>0.78021978021978022</v>
      </c>
      <c r="G433" s="4" t="str">
        <f t="shared" si="51"/>
        <v/>
      </c>
      <c r="H433" s="4" t="str">
        <f t="shared" si="52"/>
        <v/>
      </c>
      <c r="I433" s="4" t="str">
        <f t="shared" si="53"/>
        <v/>
      </c>
      <c r="J433" s="4">
        <f t="shared" si="54"/>
        <v>0.6</v>
      </c>
      <c r="K433" s="4" t="str">
        <f t="shared" si="55"/>
        <v/>
      </c>
      <c r="L433" s="4" t="str">
        <f t="shared" si="56"/>
        <v/>
      </c>
      <c r="M433" s="4"/>
      <c r="N433" s="4"/>
      <c r="O433" s="4"/>
      <c r="P433" s="4"/>
      <c r="Q433" s="4"/>
      <c r="R433" s="4"/>
      <c r="S433" s="4"/>
      <c r="T433" s="4"/>
      <c r="U433" s="4"/>
    </row>
    <row r="434" spans="1:21">
      <c r="A434" t="s">
        <v>497</v>
      </c>
      <c r="B434">
        <v>0</v>
      </c>
      <c r="C434" t="str">
        <f t="shared" si="50"/>
        <v>test.QRCodeDataBlockReader_0_</v>
      </c>
      <c r="D434">
        <v>4</v>
      </c>
      <c r="E434" s="4">
        <v>1</v>
      </c>
      <c r="F434" s="4">
        <v>0.99450549450549453</v>
      </c>
      <c r="G434" s="4" t="str">
        <f t="shared" si="51"/>
        <v/>
      </c>
      <c r="H434" s="4" t="str">
        <f t="shared" si="52"/>
        <v/>
      </c>
      <c r="I434" s="4" t="str">
        <f t="shared" si="53"/>
        <v/>
      </c>
      <c r="J434" s="4" t="str">
        <f t="shared" si="54"/>
        <v/>
      </c>
      <c r="K434" s="4">
        <f t="shared" si="55"/>
        <v>1</v>
      </c>
      <c r="L434" s="4" t="str">
        <f t="shared" si="56"/>
        <v/>
      </c>
      <c r="M434" s="4"/>
      <c r="N434" s="4"/>
      <c r="O434" s="4"/>
      <c r="P434" s="4"/>
      <c r="Q434" s="4"/>
      <c r="R434" s="4"/>
      <c r="S434" s="4"/>
      <c r="T434" s="4"/>
      <c r="U434" s="4"/>
    </row>
    <row r="435" spans="1:21">
      <c r="A435" t="s">
        <v>497</v>
      </c>
      <c r="B435">
        <v>1</v>
      </c>
      <c r="C435" t="str">
        <f t="shared" si="50"/>
        <v>test.QRCodeDataBlockReader_1_</v>
      </c>
      <c r="D435">
        <v>1</v>
      </c>
      <c r="E435" s="4">
        <v>9.7345132743362831E-2</v>
      </c>
      <c r="F435" s="4">
        <v>8.318789994182664E-2</v>
      </c>
      <c r="G435" s="4">
        <f t="shared" si="51"/>
        <v>9.7345132743362831E-2</v>
      </c>
      <c r="H435" s="4" t="str">
        <f t="shared" si="52"/>
        <v/>
      </c>
      <c r="I435" s="4" t="str">
        <f t="shared" si="53"/>
        <v/>
      </c>
      <c r="J435" s="4" t="str">
        <f t="shared" si="54"/>
        <v/>
      </c>
      <c r="K435" s="4" t="str">
        <f t="shared" si="55"/>
        <v/>
      </c>
      <c r="L435" s="4" t="str">
        <f t="shared" si="56"/>
        <v/>
      </c>
      <c r="M435" s="4"/>
      <c r="N435" s="4"/>
      <c r="O435" s="4"/>
      <c r="P435" s="4"/>
      <c r="Q435" s="4"/>
      <c r="R435" s="4"/>
      <c r="S435" s="4"/>
      <c r="T435" s="4"/>
      <c r="U435" s="4"/>
    </row>
    <row r="436" spans="1:21">
      <c r="A436" t="s">
        <v>497</v>
      </c>
      <c r="B436">
        <v>1</v>
      </c>
      <c r="C436" t="str">
        <f t="shared" si="50"/>
        <v>test.QRCodeDataBlockReader_1_</v>
      </c>
      <c r="D436">
        <v>2</v>
      </c>
      <c r="E436" s="4">
        <v>0.26548672566371684</v>
      </c>
      <c r="F436" s="4">
        <v>0.19740159007174715</v>
      </c>
      <c r="G436" s="4">
        <f t="shared" si="51"/>
        <v>0.26548672566371684</v>
      </c>
      <c r="H436" s="4" t="str">
        <f t="shared" si="52"/>
        <v/>
      </c>
      <c r="I436" s="4" t="str">
        <f t="shared" si="53"/>
        <v/>
      </c>
      <c r="J436" s="4" t="str">
        <f t="shared" si="54"/>
        <v/>
      </c>
      <c r="K436" s="4" t="str">
        <f t="shared" si="55"/>
        <v/>
      </c>
      <c r="L436" s="4" t="str">
        <f t="shared" si="56"/>
        <v/>
      </c>
      <c r="M436" s="4"/>
      <c r="N436" s="4"/>
      <c r="O436" s="4"/>
      <c r="P436" s="4"/>
      <c r="Q436" s="4"/>
      <c r="R436" s="4"/>
      <c r="S436" s="4"/>
      <c r="T436" s="4"/>
      <c r="U436" s="4"/>
    </row>
    <row r="437" spans="1:21">
      <c r="A437" t="s">
        <v>497</v>
      </c>
      <c r="B437">
        <v>1</v>
      </c>
      <c r="C437" t="str">
        <f t="shared" si="50"/>
        <v>test.QRCodeDataBlockReader_1_</v>
      </c>
      <c r="D437">
        <v>3</v>
      </c>
      <c r="E437" s="4">
        <v>0.51327433628318586</v>
      </c>
      <c r="F437" s="4">
        <v>0.28233469071165407</v>
      </c>
      <c r="G437" s="4" t="str">
        <f t="shared" si="51"/>
        <v/>
      </c>
      <c r="H437" s="4">
        <f t="shared" si="52"/>
        <v>0.51327433628318586</v>
      </c>
      <c r="I437" s="4" t="str">
        <f t="shared" si="53"/>
        <v/>
      </c>
      <c r="J437" s="4" t="str">
        <f t="shared" si="54"/>
        <v/>
      </c>
      <c r="K437" s="4" t="str">
        <f t="shared" si="55"/>
        <v/>
      </c>
      <c r="L437" s="4" t="str">
        <f t="shared" si="56"/>
        <v/>
      </c>
      <c r="M437" s="4"/>
      <c r="N437" s="4"/>
      <c r="O437" s="4"/>
      <c r="P437" s="4"/>
      <c r="Q437" s="4"/>
      <c r="R437" s="4"/>
      <c r="S437" s="4"/>
      <c r="T437" s="4"/>
      <c r="U437" s="4"/>
    </row>
    <row r="438" spans="1:21">
      <c r="A438" t="s">
        <v>497</v>
      </c>
      <c r="B438">
        <v>1</v>
      </c>
      <c r="C438" t="str">
        <f t="shared" si="50"/>
        <v>test.QRCodeDataBlockReader_1_</v>
      </c>
      <c r="D438">
        <v>4</v>
      </c>
      <c r="E438" s="4">
        <v>1</v>
      </c>
      <c r="F438" s="4">
        <v>0.59773123909249559</v>
      </c>
      <c r="G438" s="4" t="str">
        <f t="shared" si="51"/>
        <v/>
      </c>
      <c r="H438" s="4" t="str">
        <f t="shared" si="52"/>
        <v/>
      </c>
      <c r="I438" s="4">
        <f t="shared" si="53"/>
        <v>1</v>
      </c>
      <c r="J438" s="4" t="str">
        <f t="shared" si="54"/>
        <v/>
      </c>
      <c r="K438" s="4" t="str">
        <f t="shared" si="55"/>
        <v/>
      </c>
      <c r="L438" s="4" t="str">
        <f t="shared" si="56"/>
        <v/>
      </c>
      <c r="M438" s="4"/>
      <c r="N438" s="4"/>
      <c r="O438" s="4"/>
      <c r="P438" s="4"/>
      <c r="Q438" s="4"/>
      <c r="R438" s="4"/>
      <c r="S438" s="4"/>
      <c r="T438" s="4"/>
      <c r="U438" s="4"/>
    </row>
    <row r="439" spans="1:21">
      <c r="A439" t="s">
        <v>498</v>
      </c>
      <c r="B439">
        <v>1</v>
      </c>
      <c r="C439" t="str">
        <f t="shared" si="50"/>
        <v>test.StructurePanel_1_</v>
      </c>
      <c r="D439">
        <v>1</v>
      </c>
      <c r="E439" s="4">
        <v>0.10638297872340426</v>
      </c>
      <c r="F439" s="4">
        <v>0.10911548860563924</v>
      </c>
      <c r="G439" s="4">
        <f t="shared" si="51"/>
        <v>0.10638297872340426</v>
      </c>
      <c r="H439" s="4" t="str">
        <f t="shared" si="52"/>
        <v/>
      </c>
      <c r="I439" s="4" t="str">
        <f t="shared" si="53"/>
        <v/>
      </c>
      <c r="J439" s="4" t="str">
        <f t="shared" si="54"/>
        <v/>
      </c>
      <c r="K439" s="4" t="str">
        <f t="shared" si="55"/>
        <v/>
      </c>
      <c r="L439" s="4" t="str">
        <f t="shared" si="56"/>
        <v/>
      </c>
      <c r="M439" s="4"/>
      <c r="N439" s="4"/>
      <c r="O439" s="4"/>
      <c r="P439" s="4"/>
      <c r="Q439" s="4"/>
      <c r="R439" s="4"/>
      <c r="S439" s="4"/>
      <c r="T439" s="4"/>
      <c r="U439" s="4"/>
    </row>
    <row r="440" spans="1:21">
      <c r="A440" t="s">
        <v>498</v>
      </c>
      <c r="B440">
        <v>1</v>
      </c>
      <c r="C440" t="str">
        <f t="shared" si="50"/>
        <v>test.StructurePanel_1_</v>
      </c>
      <c r="D440">
        <v>2</v>
      </c>
      <c r="E440" s="4">
        <v>0.18085106382978725</v>
      </c>
      <c r="F440" s="4">
        <v>0.1096948628814214</v>
      </c>
      <c r="G440" s="4">
        <f t="shared" si="51"/>
        <v>0.18085106382978725</v>
      </c>
      <c r="H440" s="4" t="str">
        <f t="shared" si="52"/>
        <v/>
      </c>
      <c r="I440" s="4" t="str">
        <f t="shared" si="53"/>
        <v/>
      </c>
      <c r="J440" s="4" t="str">
        <f t="shared" si="54"/>
        <v/>
      </c>
      <c r="K440" s="4" t="str">
        <f t="shared" si="55"/>
        <v/>
      </c>
      <c r="L440" s="4" t="str">
        <f t="shared" si="56"/>
        <v/>
      </c>
      <c r="M440" s="4"/>
      <c r="N440" s="4"/>
      <c r="O440" s="4"/>
      <c r="P440" s="4"/>
      <c r="Q440" s="4"/>
      <c r="R440" s="4"/>
      <c r="S440" s="4"/>
      <c r="T440" s="4"/>
      <c r="U440" s="4"/>
    </row>
    <row r="441" spans="1:21">
      <c r="A441" t="s">
        <v>498</v>
      </c>
      <c r="B441">
        <v>1</v>
      </c>
      <c r="C441" t="str">
        <f t="shared" si="50"/>
        <v>test.StructurePanel_1_</v>
      </c>
      <c r="D441">
        <v>3</v>
      </c>
      <c r="E441" s="4">
        <v>0.2978723404255319</v>
      </c>
      <c r="F441" s="4">
        <v>0.22286597141753572</v>
      </c>
      <c r="G441" s="4" t="str">
        <f t="shared" si="51"/>
        <v/>
      </c>
      <c r="H441" s="4">
        <f t="shared" si="52"/>
        <v>0.2978723404255319</v>
      </c>
      <c r="I441" s="4" t="str">
        <f t="shared" si="53"/>
        <v/>
      </c>
      <c r="J441" s="4" t="str">
        <f t="shared" si="54"/>
        <v/>
      </c>
      <c r="K441" s="4" t="str">
        <f t="shared" si="55"/>
        <v/>
      </c>
      <c r="L441" s="4" t="str">
        <f t="shared" si="56"/>
        <v/>
      </c>
      <c r="M441" s="4"/>
      <c r="N441" s="4"/>
      <c r="O441" s="4"/>
      <c r="P441" s="4"/>
      <c r="Q441" s="4"/>
      <c r="R441" s="4"/>
      <c r="S441" s="4"/>
      <c r="T441" s="4"/>
      <c r="U441" s="4"/>
    </row>
    <row r="442" spans="1:21">
      <c r="A442" t="s">
        <v>498</v>
      </c>
      <c r="B442">
        <v>1</v>
      </c>
      <c r="C442" t="str">
        <f t="shared" si="50"/>
        <v>test.StructurePanel_1_</v>
      </c>
      <c r="D442">
        <v>4</v>
      </c>
      <c r="E442" s="4">
        <v>0.43617021276595747</v>
      </c>
      <c r="F442" s="4">
        <v>0.22537659327925841</v>
      </c>
      <c r="G442" s="4" t="str">
        <f t="shared" si="51"/>
        <v/>
      </c>
      <c r="H442" s="4">
        <f t="shared" si="52"/>
        <v>0.43617021276595747</v>
      </c>
      <c r="I442" s="4" t="str">
        <f t="shared" si="53"/>
        <v/>
      </c>
      <c r="J442" s="4" t="str">
        <f t="shared" si="54"/>
        <v/>
      </c>
      <c r="K442" s="4" t="str">
        <f t="shared" si="55"/>
        <v/>
      </c>
      <c r="L442" s="4" t="str">
        <f t="shared" si="56"/>
        <v/>
      </c>
      <c r="M442" s="4"/>
      <c r="N442" s="4"/>
      <c r="O442" s="4"/>
      <c r="P442" s="4"/>
      <c r="Q442" s="4"/>
      <c r="R442" s="4"/>
      <c r="S442" s="4"/>
      <c r="T442" s="4"/>
      <c r="U442" s="4"/>
    </row>
    <row r="443" spans="1:21">
      <c r="A443" t="s">
        <v>498</v>
      </c>
      <c r="B443">
        <v>1</v>
      </c>
      <c r="C443" t="str">
        <f t="shared" si="50"/>
        <v>test.StructurePanel_1_</v>
      </c>
      <c r="D443">
        <v>5</v>
      </c>
      <c r="E443" s="4">
        <v>0.56382978723404253</v>
      </c>
      <c r="F443" s="4">
        <v>0.23677095403630746</v>
      </c>
      <c r="G443" s="4" t="str">
        <f t="shared" si="51"/>
        <v/>
      </c>
      <c r="H443" s="4">
        <f t="shared" si="52"/>
        <v>0.56382978723404253</v>
      </c>
      <c r="I443" s="4" t="str">
        <f t="shared" si="53"/>
        <v/>
      </c>
      <c r="J443" s="4" t="str">
        <f t="shared" si="54"/>
        <v/>
      </c>
      <c r="K443" s="4" t="str">
        <f t="shared" si="55"/>
        <v/>
      </c>
      <c r="L443" s="4" t="str">
        <f t="shared" si="56"/>
        <v/>
      </c>
      <c r="M443" s="4"/>
      <c r="N443" s="4"/>
      <c r="O443" s="4"/>
      <c r="P443" s="4"/>
      <c r="Q443" s="4"/>
      <c r="R443" s="4"/>
      <c r="S443" s="4"/>
      <c r="T443" s="4"/>
      <c r="U443" s="4"/>
    </row>
    <row r="444" spans="1:21">
      <c r="A444" t="s">
        <v>498</v>
      </c>
      <c r="B444">
        <v>1</v>
      </c>
      <c r="C444" t="str">
        <f t="shared" si="50"/>
        <v>test.StructurePanel_1_</v>
      </c>
      <c r="D444">
        <v>6</v>
      </c>
      <c r="E444" s="4">
        <v>0.69148936170212771</v>
      </c>
      <c r="F444" s="4">
        <v>0.23908845113943608</v>
      </c>
      <c r="G444" s="4" t="str">
        <f t="shared" si="51"/>
        <v/>
      </c>
      <c r="H444" s="4">
        <f t="shared" si="52"/>
        <v>0.69148936170212771</v>
      </c>
      <c r="I444" s="4" t="str">
        <f t="shared" si="53"/>
        <v/>
      </c>
      <c r="J444" s="4" t="str">
        <f t="shared" si="54"/>
        <v/>
      </c>
      <c r="K444" s="4" t="str">
        <f t="shared" si="55"/>
        <v/>
      </c>
      <c r="L444" s="4" t="str">
        <f t="shared" si="56"/>
        <v/>
      </c>
      <c r="M444" s="4"/>
      <c r="N444" s="4"/>
      <c r="O444" s="4"/>
      <c r="P444" s="4"/>
      <c r="Q444" s="4"/>
      <c r="R444" s="4"/>
      <c r="S444" s="4"/>
      <c r="T444" s="4"/>
      <c r="U444" s="4"/>
    </row>
    <row r="445" spans="1:21">
      <c r="A445" t="s">
        <v>498</v>
      </c>
      <c r="B445">
        <v>1</v>
      </c>
      <c r="C445" t="str">
        <f t="shared" si="50"/>
        <v>test.StructurePanel_1_</v>
      </c>
      <c r="D445">
        <v>7</v>
      </c>
      <c r="E445" s="4">
        <v>0.85106382978723405</v>
      </c>
      <c r="F445" s="4">
        <v>0.24488219389725763</v>
      </c>
      <c r="G445" s="4" t="str">
        <f t="shared" si="51"/>
        <v/>
      </c>
      <c r="H445" s="4">
        <f t="shared" si="52"/>
        <v>0.85106382978723405</v>
      </c>
      <c r="I445" s="4" t="str">
        <f t="shared" si="53"/>
        <v/>
      </c>
      <c r="J445" s="4" t="str">
        <f t="shared" si="54"/>
        <v/>
      </c>
      <c r="K445" s="4" t="str">
        <f t="shared" si="55"/>
        <v/>
      </c>
      <c r="L445" s="4" t="str">
        <f t="shared" si="56"/>
        <v/>
      </c>
      <c r="M445" s="4"/>
      <c r="N445" s="4"/>
      <c r="O445" s="4"/>
      <c r="P445" s="4"/>
      <c r="Q445" s="4"/>
      <c r="R445" s="4"/>
      <c r="S445" s="4"/>
      <c r="T445" s="4"/>
      <c r="U445" s="4"/>
    </row>
    <row r="446" spans="1:21">
      <c r="A446" t="s">
        <v>498</v>
      </c>
      <c r="B446">
        <v>1</v>
      </c>
      <c r="C446" t="str">
        <f t="shared" si="50"/>
        <v>test.StructurePanel_1_</v>
      </c>
      <c r="D446">
        <v>8</v>
      </c>
      <c r="E446" s="4">
        <v>1</v>
      </c>
      <c r="F446" s="4">
        <v>0.30030899961375046</v>
      </c>
      <c r="G446" s="4" t="str">
        <f t="shared" si="51"/>
        <v/>
      </c>
      <c r="H446" s="4">
        <f t="shared" si="52"/>
        <v>1</v>
      </c>
      <c r="I446" s="4" t="str">
        <f t="shared" si="53"/>
        <v/>
      </c>
      <c r="J446" s="4" t="str">
        <f t="shared" si="54"/>
        <v/>
      </c>
      <c r="K446" s="4" t="str">
        <f t="shared" si="55"/>
        <v/>
      </c>
      <c r="L446" s="4" t="str">
        <f t="shared" si="56"/>
        <v/>
      </c>
      <c r="M446" s="4"/>
      <c r="N446" s="4"/>
      <c r="O446" s="4"/>
      <c r="P446" s="4"/>
      <c r="Q446" s="4"/>
      <c r="R446" s="4"/>
      <c r="S446" s="4"/>
      <c r="T446" s="4"/>
      <c r="U446" s="4"/>
    </row>
    <row r="447" spans="1:21">
      <c r="A447" t="s">
        <v>499</v>
      </c>
      <c r="B447">
        <v>3</v>
      </c>
      <c r="C447" t="str">
        <f t="shared" ref="C447:C510" si="57">CONCATENATE(A447, "_",B447,"_")</f>
        <v>test.TileRenderor_3_</v>
      </c>
      <c r="D447">
        <v>1</v>
      </c>
      <c r="E447" s="4">
        <v>0.95718654434250761</v>
      </c>
      <c r="F447" s="4">
        <v>0.87494612499002311</v>
      </c>
      <c r="G447" s="4" t="str">
        <f t="shared" ref="G447:G510" si="58">IF(F447 &lt;= 0.2,E447,"")</f>
        <v/>
      </c>
      <c r="H447" s="4" t="str">
        <f t="shared" ref="H447:H510" si="59">IF(AND($F447 &gt; 0.2,$F447 &lt;= 0.4),$E447,"")</f>
        <v/>
      </c>
      <c r="I447" s="4" t="str">
        <f t="shared" ref="I447:I510" si="60">IF(AND($F447 &gt; 0.4,$F447 &lt;= 0.6),$E447,"")</f>
        <v/>
      </c>
      <c r="J447" s="4" t="str">
        <f t="shared" ref="J447:J510" si="61">IF(AND($F447 &gt; 0.6,$F447 &lt;= 0.8),$E447,"")</f>
        <v/>
      </c>
      <c r="K447" s="4">
        <f t="shared" ref="K447:K510" si="62">IF(AND($F447 &gt; 0.8, $F447 &lt;=1.1),$E447,"")</f>
        <v>0.95718654434250761</v>
      </c>
      <c r="L447" s="4" t="str">
        <f t="shared" ref="L447:L510" si="63">IF(AND($F447 &gt; 1.1),$E447,"")</f>
        <v/>
      </c>
      <c r="M447" s="4"/>
      <c r="N447" s="4"/>
      <c r="O447" s="4"/>
      <c r="P447" s="4"/>
      <c r="Q447" s="4"/>
      <c r="R447" s="4"/>
      <c r="S447" s="4"/>
      <c r="T447" s="4"/>
      <c r="U447" s="4"/>
    </row>
    <row r="448" spans="1:21">
      <c r="A448" t="s">
        <v>499</v>
      </c>
      <c r="B448">
        <v>3</v>
      </c>
      <c r="C448" t="str">
        <f t="shared" si="57"/>
        <v>test.TileRenderor_3_</v>
      </c>
      <c r="D448">
        <v>2</v>
      </c>
      <c r="E448" s="4">
        <v>1</v>
      </c>
      <c r="F448" s="4">
        <v>0.88768457179343918</v>
      </c>
      <c r="G448" s="4" t="str">
        <f t="shared" si="58"/>
        <v/>
      </c>
      <c r="H448" s="4" t="str">
        <f t="shared" si="59"/>
        <v/>
      </c>
      <c r="I448" s="4" t="str">
        <f t="shared" si="60"/>
        <v/>
      </c>
      <c r="J448" s="4" t="str">
        <f t="shared" si="61"/>
        <v/>
      </c>
      <c r="K448" s="4">
        <f t="shared" si="62"/>
        <v>1</v>
      </c>
      <c r="L448" s="4" t="str">
        <f t="shared" si="63"/>
        <v/>
      </c>
      <c r="M448" s="4"/>
      <c r="N448" s="4"/>
      <c r="O448" s="4"/>
      <c r="P448" s="4"/>
      <c r="Q448" s="4"/>
      <c r="R448" s="4"/>
      <c r="S448" s="4"/>
      <c r="T448" s="4"/>
      <c r="U448" s="4"/>
    </row>
    <row r="449" spans="1:21">
      <c r="A449" t="s">
        <v>500</v>
      </c>
      <c r="B449">
        <v>1</v>
      </c>
      <c r="C449" t="str">
        <f t="shared" si="57"/>
        <v>test.WorldController_1_</v>
      </c>
      <c r="D449">
        <v>1</v>
      </c>
      <c r="E449" s="4">
        <v>0.21301775147928995</v>
      </c>
      <c r="F449" s="4">
        <v>0.21003238186615494</v>
      </c>
      <c r="G449" s="4" t="str">
        <f t="shared" si="58"/>
        <v/>
      </c>
      <c r="H449" s="4">
        <f t="shared" si="59"/>
        <v>0.21301775147928995</v>
      </c>
      <c r="I449" s="4" t="str">
        <f t="shared" si="60"/>
        <v/>
      </c>
      <c r="J449" s="4" t="str">
        <f t="shared" si="61"/>
        <v/>
      </c>
      <c r="K449" s="4" t="str">
        <f t="shared" si="62"/>
        <v/>
      </c>
      <c r="L449" s="4" t="str">
        <f t="shared" si="63"/>
        <v/>
      </c>
      <c r="M449" s="4"/>
      <c r="N449" s="4"/>
      <c r="O449" s="4"/>
      <c r="P449" s="4"/>
      <c r="Q449" s="4"/>
      <c r="R449" s="4"/>
      <c r="S449" s="4"/>
      <c r="T449" s="4"/>
      <c r="U449" s="4"/>
    </row>
    <row r="450" spans="1:21">
      <c r="A450" t="s">
        <v>500</v>
      </c>
      <c r="B450">
        <v>1</v>
      </c>
      <c r="C450" t="str">
        <f t="shared" si="57"/>
        <v>test.WorldController_1_</v>
      </c>
      <c r="D450">
        <v>2</v>
      </c>
      <c r="E450" s="4">
        <v>0.40828402366863903</v>
      </c>
      <c r="F450" s="4">
        <v>0.23998560805948668</v>
      </c>
      <c r="G450" s="4" t="str">
        <f t="shared" si="58"/>
        <v/>
      </c>
      <c r="H450" s="4">
        <f t="shared" si="59"/>
        <v>0.40828402366863903</v>
      </c>
      <c r="I450" s="4" t="str">
        <f t="shared" si="60"/>
        <v/>
      </c>
      <c r="J450" s="4" t="str">
        <f t="shared" si="61"/>
        <v/>
      </c>
      <c r="K450" s="4" t="str">
        <f t="shared" si="62"/>
        <v/>
      </c>
      <c r="L450" s="4" t="str">
        <f t="shared" si="63"/>
        <v/>
      </c>
      <c r="M450" s="4"/>
      <c r="N450" s="4"/>
      <c r="O450" s="4"/>
      <c r="P450" s="4"/>
      <c r="Q450" s="4"/>
      <c r="R450" s="4"/>
      <c r="S450" s="4"/>
      <c r="T450" s="4"/>
      <c r="U450" s="4"/>
    </row>
    <row r="451" spans="1:21">
      <c r="A451" t="s">
        <v>500</v>
      </c>
      <c r="B451">
        <v>1</v>
      </c>
      <c r="C451" t="str">
        <f t="shared" si="57"/>
        <v>test.WorldController_1_</v>
      </c>
      <c r="D451">
        <v>3</v>
      </c>
      <c r="E451" s="4">
        <v>0.60355029585798814</v>
      </c>
      <c r="F451" s="4">
        <v>0.25494722955145116</v>
      </c>
      <c r="G451" s="4" t="str">
        <f t="shared" si="58"/>
        <v/>
      </c>
      <c r="H451" s="4">
        <f t="shared" si="59"/>
        <v>0.60355029585798814</v>
      </c>
      <c r="I451" s="4" t="str">
        <f t="shared" si="60"/>
        <v/>
      </c>
      <c r="J451" s="4" t="str">
        <f t="shared" si="61"/>
        <v/>
      </c>
      <c r="K451" s="4" t="str">
        <f t="shared" si="62"/>
        <v/>
      </c>
      <c r="L451" s="4" t="str">
        <f t="shared" si="63"/>
        <v/>
      </c>
      <c r="M451" s="4"/>
      <c r="N451" s="4"/>
      <c r="O451" s="4"/>
      <c r="P451" s="4"/>
      <c r="Q451" s="4"/>
      <c r="R451" s="4"/>
      <c r="S451" s="4"/>
      <c r="T451" s="4"/>
      <c r="U451" s="4"/>
    </row>
    <row r="452" spans="1:21">
      <c r="A452" t="s">
        <v>500</v>
      </c>
      <c r="B452">
        <v>1</v>
      </c>
      <c r="C452" t="str">
        <f t="shared" si="57"/>
        <v>test.WorldController_1_</v>
      </c>
      <c r="D452">
        <v>4</v>
      </c>
      <c r="E452" s="4">
        <v>0.79881656804733725</v>
      </c>
      <c r="F452" s="4">
        <v>0.28565003597985128</v>
      </c>
      <c r="G452" s="4" t="str">
        <f t="shared" si="58"/>
        <v/>
      </c>
      <c r="H452" s="4">
        <f t="shared" si="59"/>
        <v>0.79881656804733725</v>
      </c>
      <c r="I452" s="4" t="str">
        <f t="shared" si="60"/>
        <v/>
      </c>
      <c r="J452" s="4" t="str">
        <f t="shared" si="61"/>
        <v/>
      </c>
      <c r="K452" s="4" t="str">
        <f t="shared" si="62"/>
        <v/>
      </c>
      <c r="L452" s="4" t="str">
        <f t="shared" si="63"/>
        <v/>
      </c>
      <c r="M452" s="4"/>
      <c r="N452" s="4"/>
      <c r="O452" s="4"/>
      <c r="P452" s="4"/>
      <c r="Q452" s="4"/>
      <c r="R452" s="4"/>
      <c r="S452" s="4"/>
      <c r="T452" s="4"/>
      <c r="U452" s="4"/>
    </row>
    <row r="453" spans="1:21">
      <c r="A453" t="s">
        <v>500</v>
      </c>
      <c r="B453">
        <v>1</v>
      </c>
      <c r="C453" t="str">
        <f t="shared" si="57"/>
        <v>test.WorldController_1_</v>
      </c>
      <c r="D453">
        <v>5</v>
      </c>
      <c r="E453" s="4">
        <v>1</v>
      </c>
      <c r="F453" s="4">
        <v>0.30067162389062124</v>
      </c>
      <c r="G453" s="4" t="str">
        <f t="shared" si="58"/>
        <v/>
      </c>
      <c r="H453" s="4">
        <f t="shared" si="59"/>
        <v>1</v>
      </c>
      <c r="I453" s="4" t="str">
        <f t="shared" si="60"/>
        <v/>
      </c>
      <c r="J453" s="4" t="str">
        <f t="shared" si="61"/>
        <v/>
      </c>
      <c r="K453" s="4" t="str">
        <f t="shared" si="62"/>
        <v/>
      </c>
      <c r="L453" s="4" t="str">
        <f t="shared" si="63"/>
        <v/>
      </c>
      <c r="M453" s="4"/>
      <c r="N453" s="4"/>
      <c r="O453" s="4"/>
      <c r="P453" s="4"/>
      <c r="Q453" s="4"/>
      <c r="R453" s="4"/>
      <c r="S453" s="4"/>
      <c r="T453" s="4"/>
      <c r="U453" s="4"/>
    </row>
    <row r="454" spans="1:21">
      <c r="A454" t="s">
        <v>501</v>
      </c>
      <c r="B454">
        <v>4</v>
      </c>
      <c r="C454" t="str">
        <f t="shared" si="57"/>
        <v>test.TIFFFaxDecoder_4_</v>
      </c>
      <c r="D454">
        <v>1</v>
      </c>
      <c r="E454" s="4">
        <v>0.1095890410958904</v>
      </c>
      <c r="F454" s="4">
        <v>1.1935824127019375E-2</v>
      </c>
      <c r="G454" s="4">
        <f t="shared" si="58"/>
        <v>0.1095890410958904</v>
      </c>
      <c r="H454" s="4" t="str">
        <f t="shared" si="59"/>
        <v/>
      </c>
      <c r="I454" s="4" t="str">
        <f t="shared" si="60"/>
        <v/>
      </c>
      <c r="J454" s="4" t="str">
        <f t="shared" si="61"/>
        <v/>
      </c>
      <c r="K454" s="4" t="str">
        <f t="shared" si="62"/>
        <v/>
      </c>
      <c r="L454" s="4" t="str">
        <f t="shared" si="63"/>
        <v/>
      </c>
      <c r="M454" s="4"/>
      <c r="N454" s="4"/>
      <c r="O454" s="4"/>
      <c r="P454" s="4"/>
      <c r="Q454" s="4"/>
      <c r="R454" s="4"/>
      <c r="S454" s="4"/>
      <c r="T454" s="4"/>
      <c r="U454" s="4"/>
    </row>
    <row r="455" spans="1:21">
      <c r="A455" t="s">
        <v>501</v>
      </c>
      <c r="B455">
        <v>4</v>
      </c>
      <c r="C455" t="str">
        <f t="shared" si="57"/>
        <v>test.TIFFFaxDecoder_4_</v>
      </c>
      <c r="D455">
        <v>2</v>
      </c>
      <c r="E455" s="4">
        <v>0.27397260273972601</v>
      </c>
      <c r="F455" s="4">
        <v>0.11497251984677732</v>
      </c>
      <c r="G455" s="4">
        <f t="shared" si="58"/>
        <v>0.27397260273972601</v>
      </c>
      <c r="H455" s="4" t="str">
        <f t="shared" si="59"/>
        <v/>
      </c>
      <c r="I455" s="4" t="str">
        <f t="shared" si="60"/>
        <v/>
      </c>
      <c r="J455" s="4" t="str">
        <f t="shared" si="61"/>
        <v/>
      </c>
      <c r="K455" s="4" t="str">
        <f t="shared" si="62"/>
        <v/>
      </c>
      <c r="L455" s="4" t="str">
        <f t="shared" si="63"/>
        <v/>
      </c>
      <c r="M455" s="4"/>
      <c r="N455" s="4"/>
      <c r="O455" s="4"/>
      <c r="P455" s="4"/>
      <c r="Q455" s="4"/>
      <c r="R455" s="4"/>
      <c r="S455" s="4"/>
      <c r="T455" s="4"/>
      <c r="U455" s="4"/>
    </row>
    <row r="456" spans="1:21">
      <c r="A456" t="s">
        <v>501</v>
      </c>
      <c r="B456">
        <v>4</v>
      </c>
      <c r="C456" t="str">
        <f t="shared" si="57"/>
        <v>test.TIFFFaxDecoder_4_</v>
      </c>
      <c r="D456">
        <v>3</v>
      </c>
      <c r="E456" s="4">
        <v>0.56164383561643838</v>
      </c>
      <c r="F456" s="4">
        <v>0.31238549936157217</v>
      </c>
      <c r="G456" s="4" t="str">
        <f t="shared" si="58"/>
        <v/>
      </c>
      <c r="H456" s="4">
        <f t="shared" si="59"/>
        <v>0.56164383561643838</v>
      </c>
      <c r="I456" s="4" t="str">
        <f t="shared" si="60"/>
        <v/>
      </c>
      <c r="J456" s="4" t="str">
        <f t="shared" si="61"/>
        <v/>
      </c>
      <c r="K456" s="4" t="str">
        <f t="shared" si="62"/>
        <v/>
      </c>
      <c r="L456" s="4" t="str">
        <f t="shared" si="63"/>
        <v/>
      </c>
      <c r="M456" s="4"/>
      <c r="N456" s="4"/>
      <c r="O456" s="4"/>
      <c r="P456" s="4"/>
      <c r="Q456" s="4"/>
      <c r="R456" s="4"/>
      <c r="S456" s="4"/>
      <c r="T456" s="4"/>
      <c r="U456" s="4"/>
    </row>
    <row r="457" spans="1:21">
      <c r="A457" t="s">
        <v>501</v>
      </c>
      <c r="B457">
        <v>4</v>
      </c>
      <c r="C457" t="str">
        <f t="shared" si="57"/>
        <v>test.TIFFFaxDecoder_4_</v>
      </c>
      <c r="D457">
        <v>4</v>
      </c>
      <c r="E457" s="4">
        <v>0.58904109589041098</v>
      </c>
      <c r="F457" s="4">
        <v>0.31321823127741077</v>
      </c>
      <c r="G457" s="4" t="str">
        <f t="shared" si="58"/>
        <v/>
      </c>
      <c r="H457" s="4">
        <f t="shared" si="59"/>
        <v>0.58904109589041098</v>
      </c>
      <c r="I457" s="4" t="str">
        <f t="shared" si="60"/>
        <v/>
      </c>
      <c r="J457" s="4" t="str">
        <f t="shared" si="61"/>
        <v/>
      </c>
      <c r="K457" s="4" t="str">
        <f t="shared" si="62"/>
        <v/>
      </c>
      <c r="L457" s="4" t="str">
        <f t="shared" si="63"/>
        <v/>
      </c>
      <c r="M457" s="4"/>
      <c r="N457" s="4"/>
      <c r="O457" s="4"/>
      <c r="P457" s="4"/>
      <c r="Q457" s="4"/>
      <c r="R457" s="4"/>
      <c r="S457" s="4"/>
      <c r="T457" s="4"/>
      <c r="U457" s="4"/>
    </row>
    <row r="458" spans="1:21">
      <c r="A458" t="s">
        <v>501</v>
      </c>
      <c r="B458">
        <v>4</v>
      </c>
      <c r="C458" t="str">
        <f t="shared" si="57"/>
        <v>test.TIFFFaxDecoder_4_</v>
      </c>
      <c r="D458">
        <v>5</v>
      </c>
      <c r="E458" s="4">
        <v>0.65753424657534243</v>
      </c>
      <c r="F458" s="4">
        <v>0.32842946760672848</v>
      </c>
      <c r="G458" s="4" t="str">
        <f t="shared" si="58"/>
        <v/>
      </c>
      <c r="H458" s="4">
        <f t="shared" si="59"/>
        <v>0.65753424657534243</v>
      </c>
      <c r="I458" s="4" t="str">
        <f t="shared" si="60"/>
        <v/>
      </c>
      <c r="J458" s="4" t="str">
        <f t="shared" si="61"/>
        <v/>
      </c>
      <c r="K458" s="4" t="str">
        <f t="shared" si="62"/>
        <v/>
      </c>
      <c r="L458" s="4" t="str">
        <f t="shared" si="63"/>
        <v/>
      </c>
      <c r="M458" s="4"/>
      <c r="N458" s="4"/>
      <c r="O458" s="4"/>
      <c r="P458" s="4"/>
      <c r="Q458" s="4"/>
      <c r="R458" s="4"/>
      <c r="S458" s="4"/>
      <c r="T458" s="4"/>
      <c r="U458" s="4"/>
    </row>
    <row r="459" spans="1:21">
      <c r="A459" t="s">
        <v>501</v>
      </c>
      <c r="B459">
        <v>4</v>
      </c>
      <c r="C459" t="str">
        <f t="shared" si="57"/>
        <v>test.TIFFFaxDecoder_4_</v>
      </c>
      <c r="D459">
        <v>6</v>
      </c>
      <c r="E459" s="4">
        <v>0.78082191780821919</v>
      </c>
      <c r="F459" s="4">
        <v>0.48625992338866375</v>
      </c>
      <c r="G459" s="4" t="str">
        <f t="shared" si="58"/>
        <v/>
      </c>
      <c r="H459" s="4" t="str">
        <f t="shared" si="59"/>
        <v/>
      </c>
      <c r="I459" s="4">
        <f t="shared" si="60"/>
        <v>0.78082191780821919</v>
      </c>
      <c r="J459" s="4" t="str">
        <f t="shared" si="61"/>
        <v/>
      </c>
      <c r="K459" s="4" t="str">
        <f t="shared" si="62"/>
        <v/>
      </c>
      <c r="L459" s="4" t="str">
        <f t="shared" si="63"/>
        <v/>
      </c>
      <c r="M459" s="4"/>
      <c r="N459" s="4"/>
      <c r="O459" s="4"/>
      <c r="P459" s="4"/>
      <c r="Q459" s="4"/>
      <c r="R459" s="4"/>
      <c r="S459" s="4"/>
      <c r="T459" s="4"/>
      <c r="U459" s="4"/>
    </row>
    <row r="460" spans="1:21">
      <c r="A460" t="s">
        <v>501</v>
      </c>
      <c r="B460">
        <v>4</v>
      </c>
      <c r="C460" t="str">
        <f t="shared" si="57"/>
        <v>test.TIFFFaxDecoder_4_</v>
      </c>
      <c r="D460">
        <v>7</v>
      </c>
      <c r="E460" s="4">
        <v>1</v>
      </c>
      <c r="F460" s="4">
        <v>0.78071392882917889</v>
      </c>
      <c r="G460" s="4" t="str">
        <f t="shared" si="58"/>
        <v/>
      </c>
      <c r="H460" s="4" t="str">
        <f t="shared" si="59"/>
        <v/>
      </c>
      <c r="I460" s="4" t="str">
        <f t="shared" si="60"/>
        <v/>
      </c>
      <c r="J460" s="4">
        <f t="shared" si="61"/>
        <v>1</v>
      </c>
      <c r="K460" s="4" t="str">
        <f t="shared" si="62"/>
        <v/>
      </c>
      <c r="L460" s="4" t="str">
        <f t="shared" si="63"/>
        <v/>
      </c>
      <c r="M460" s="4"/>
      <c r="N460" s="4"/>
      <c r="O460" s="4"/>
      <c r="P460" s="4"/>
      <c r="Q460" s="4"/>
      <c r="R460" s="4"/>
      <c r="S460" s="4"/>
      <c r="T460" s="4"/>
      <c r="U460" s="4"/>
    </row>
    <row r="461" spans="1:21">
      <c r="A461" t="s">
        <v>501</v>
      </c>
      <c r="B461">
        <v>5</v>
      </c>
      <c r="C461" t="str">
        <f t="shared" si="57"/>
        <v>test.TIFFFaxDecoder_5_</v>
      </c>
      <c r="D461">
        <v>1</v>
      </c>
      <c r="E461" s="4">
        <v>0.31707317073170732</v>
      </c>
      <c r="F461" s="4">
        <v>0.19977346278317151</v>
      </c>
      <c r="G461" s="4">
        <f t="shared" si="58"/>
        <v>0.31707317073170732</v>
      </c>
      <c r="H461" s="4" t="str">
        <f t="shared" si="59"/>
        <v/>
      </c>
      <c r="I461" s="4" t="str">
        <f t="shared" si="60"/>
        <v/>
      </c>
      <c r="J461" s="4" t="str">
        <f t="shared" si="61"/>
        <v/>
      </c>
      <c r="K461" s="4" t="str">
        <f t="shared" si="62"/>
        <v/>
      </c>
      <c r="L461" s="4" t="str">
        <f t="shared" si="63"/>
        <v/>
      </c>
      <c r="M461" s="4"/>
      <c r="N461" s="4"/>
      <c r="O461" s="4"/>
      <c r="P461" s="4"/>
      <c r="Q461" s="4"/>
      <c r="R461" s="4"/>
      <c r="S461" s="4"/>
      <c r="T461" s="4"/>
      <c r="U461" s="4"/>
    </row>
    <row r="462" spans="1:21">
      <c r="A462" t="s">
        <v>501</v>
      </c>
      <c r="B462">
        <v>5</v>
      </c>
      <c r="C462" t="str">
        <f t="shared" si="57"/>
        <v>test.TIFFFaxDecoder_5_</v>
      </c>
      <c r="D462">
        <v>2</v>
      </c>
      <c r="E462" s="4">
        <v>0.35772357723577236</v>
      </c>
      <c r="F462" s="4">
        <v>0.20398058252427184</v>
      </c>
      <c r="G462" s="4" t="str">
        <f t="shared" si="58"/>
        <v/>
      </c>
      <c r="H462" s="4">
        <f t="shared" si="59"/>
        <v>0.35772357723577236</v>
      </c>
      <c r="I462" s="4" t="str">
        <f t="shared" si="60"/>
        <v/>
      </c>
      <c r="J462" s="4" t="str">
        <f t="shared" si="61"/>
        <v/>
      </c>
      <c r="K462" s="4" t="str">
        <f t="shared" si="62"/>
        <v/>
      </c>
      <c r="L462" s="4" t="str">
        <f t="shared" si="63"/>
        <v/>
      </c>
      <c r="M462" s="4"/>
      <c r="N462" s="4"/>
      <c r="O462" s="4"/>
      <c r="P462" s="4"/>
      <c r="Q462" s="4"/>
      <c r="R462" s="4"/>
      <c r="S462" s="4"/>
      <c r="T462" s="4"/>
      <c r="U462" s="4"/>
    </row>
    <row r="463" spans="1:21">
      <c r="A463" t="s">
        <v>501</v>
      </c>
      <c r="B463">
        <v>5</v>
      </c>
      <c r="C463" t="str">
        <f t="shared" si="57"/>
        <v>test.TIFFFaxDecoder_5_</v>
      </c>
      <c r="D463">
        <v>3</v>
      </c>
      <c r="E463" s="4">
        <v>0.44715447154471544</v>
      </c>
      <c r="F463" s="4">
        <v>0.30171521035598703</v>
      </c>
      <c r="G463" s="4" t="str">
        <f t="shared" si="58"/>
        <v/>
      </c>
      <c r="H463" s="4">
        <f t="shared" si="59"/>
        <v>0.44715447154471544</v>
      </c>
      <c r="I463" s="4" t="str">
        <f t="shared" si="60"/>
        <v/>
      </c>
      <c r="J463" s="4" t="str">
        <f t="shared" si="61"/>
        <v/>
      </c>
      <c r="K463" s="4" t="str">
        <f t="shared" si="62"/>
        <v/>
      </c>
      <c r="L463" s="4" t="str">
        <f t="shared" si="63"/>
        <v/>
      </c>
      <c r="M463" s="4"/>
      <c r="N463" s="4"/>
      <c r="O463" s="4"/>
      <c r="P463" s="4"/>
      <c r="Q463" s="4"/>
      <c r="R463" s="4"/>
      <c r="S463" s="4"/>
      <c r="T463" s="4"/>
      <c r="U463" s="4"/>
    </row>
    <row r="464" spans="1:21">
      <c r="A464" t="s">
        <v>501</v>
      </c>
      <c r="B464">
        <v>5</v>
      </c>
      <c r="C464" t="str">
        <f t="shared" si="57"/>
        <v>test.TIFFFaxDecoder_5_</v>
      </c>
      <c r="D464">
        <v>4</v>
      </c>
      <c r="E464" s="4">
        <v>0.57723577235772361</v>
      </c>
      <c r="F464" s="4">
        <v>0.48702265372168285</v>
      </c>
      <c r="G464" s="4" t="str">
        <f t="shared" si="58"/>
        <v/>
      </c>
      <c r="H464" s="4" t="str">
        <f t="shared" si="59"/>
        <v/>
      </c>
      <c r="I464" s="4">
        <f t="shared" si="60"/>
        <v>0.57723577235772361</v>
      </c>
      <c r="J464" s="4" t="str">
        <f t="shared" si="61"/>
        <v/>
      </c>
      <c r="K464" s="4" t="str">
        <f t="shared" si="62"/>
        <v/>
      </c>
      <c r="L464" s="4" t="str">
        <f t="shared" si="63"/>
        <v/>
      </c>
      <c r="M464" s="4"/>
      <c r="N464" s="4"/>
      <c r="O464" s="4"/>
      <c r="P464" s="4"/>
      <c r="Q464" s="4"/>
      <c r="R464" s="4"/>
      <c r="S464" s="4"/>
      <c r="T464" s="4"/>
      <c r="U464" s="4"/>
    </row>
    <row r="465" spans="1:21">
      <c r="A465" t="s">
        <v>501</v>
      </c>
      <c r="B465">
        <v>5</v>
      </c>
      <c r="C465" t="str">
        <f t="shared" si="57"/>
        <v>test.TIFFFaxDecoder_5_</v>
      </c>
      <c r="D465">
        <v>5</v>
      </c>
      <c r="E465" s="4">
        <v>1</v>
      </c>
      <c r="F465" s="4">
        <v>0.66660194174757281</v>
      </c>
      <c r="G465" s="4" t="str">
        <f t="shared" si="58"/>
        <v/>
      </c>
      <c r="H465" s="4" t="str">
        <f t="shared" si="59"/>
        <v/>
      </c>
      <c r="I465" s="4" t="str">
        <f t="shared" si="60"/>
        <v/>
      </c>
      <c r="J465" s="4">
        <f t="shared" si="61"/>
        <v>1</v>
      </c>
      <c r="K465" s="4" t="str">
        <f t="shared" si="62"/>
        <v/>
      </c>
      <c r="L465" s="4" t="str">
        <f t="shared" si="63"/>
        <v/>
      </c>
      <c r="M465" s="4"/>
      <c r="N465" s="4"/>
      <c r="O465" s="4"/>
      <c r="P465" s="4"/>
      <c r="Q465" s="4"/>
      <c r="R465" s="4"/>
      <c r="S465" s="4"/>
      <c r="T465" s="4"/>
      <c r="U465" s="4"/>
    </row>
    <row r="466" spans="1:21">
      <c r="A466" t="s">
        <v>501</v>
      </c>
      <c r="B466">
        <v>7</v>
      </c>
      <c r="C466" t="str">
        <f t="shared" si="57"/>
        <v>test.TIFFFaxDecoder_7_</v>
      </c>
      <c r="D466">
        <v>1</v>
      </c>
      <c r="E466" s="4">
        <v>0.30303030303030304</v>
      </c>
      <c r="F466" s="4">
        <v>0.28118811881188122</v>
      </c>
      <c r="G466" s="4" t="str">
        <f t="shared" si="58"/>
        <v/>
      </c>
      <c r="H466" s="4">
        <f t="shared" si="59"/>
        <v>0.30303030303030304</v>
      </c>
      <c r="I466" s="4" t="str">
        <f t="shared" si="60"/>
        <v/>
      </c>
      <c r="J466" s="4" t="str">
        <f t="shared" si="61"/>
        <v/>
      </c>
      <c r="K466" s="4" t="str">
        <f t="shared" si="62"/>
        <v/>
      </c>
      <c r="L466" s="4" t="str">
        <f t="shared" si="63"/>
        <v/>
      </c>
      <c r="M466" s="4"/>
      <c r="N466" s="4"/>
      <c r="O466" s="4"/>
      <c r="P466" s="4"/>
      <c r="Q466" s="4"/>
      <c r="R466" s="4"/>
      <c r="S466" s="4"/>
      <c r="T466" s="4"/>
      <c r="U466" s="4"/>
    </row>
    <row r="467" spans="1:21">
      <c r="A467" t="s">
        <v>501</v>
      </c>
      <c r="B467">
        <v>7</v>
      </c>
      <c r="C467" t="str">
        <f t="shared" si="57"/>
        <v>test.TIFFFaxDecoder_7_</v>
      </c>
      <c r="D467">
        <v>2</v>
      </c>
      <c r="E467" s="4">
        <v>0.66666666666666663</v>
      </c>
      <c r="F467" s="4">
        <v>0.51485148514851486</v>
      </c>
      <c r="G467" s="4" t="str">
        <f t="shared" si="58"/>
        <v/>
      </c>
      <c r="H467" s="4" t="str">
        <f t="shared" si="59"/>
        <v/>
      </c>
      <c r="I467" s="4">
        <f t="shared" si="60"/>
        <v>0.66666666666666663</v>
      </c>
      <c r="J467" s="4" t="str">
        <f t="shared" si="61"/>
        <v/>
      </c>
      <c r="K467" s="4" t="str">
        <f t="shared" si="62"/>
        <v/>
      </c>
      <c r="L467" s="4" t="str">
        <f t="shared" si="63"/>
        <v/>
      </c>
      <c r="M467" s="4"/>
      <c r="N467" s="4"/>
      <c r="O467" s="4"/>
      <c r="P467" s="4"/>
      <c r="Q467" s="4"/>
      <c r="R467" s="4"/>
      <c r="S467" s="4"/>
      <c r="T467" s="4"/>
      <c r="U467" s="4"/>
    </row>
    <row r="468" spans="1:21">
      <c r="A468" t="s">
        <v>501</v>
      </c>
      <c r="B468">
        <v>7</v>
      </c>
      <c r="C468" t="str">
        <f t="shared" si="57"/>
        <v>test.TIFFFaxDecoder_7_</v>
      </c>
      <c r="D468">
        <v>3</v>
      </c>
      <c r="E468" s="4">
        <v>1</v>
      </c>
      <c r="F468" s="4">
        <v>0.87425742574257426</v>
      </c>
      <c r="G468" s="4" t="str">
        <f t="shared" si="58"/>
        <v/>
      </c>
      <c r="H468" s="4" t="str">
        <f t="shared" si="59"/>
        <v/>
      </c>
      <c r="I468" s="4" t="str">
        <f t="shared" si="60"/>
        <v/>
      </c>
      <c r="J468" s="4" t="str">
        <f t="shared" si="61"/>
        <v/>
      </c>
      <c r="K468" s="4">
        <f t="shared" si="62"/>
        <v>1</v>
      </c>
      <c r="L468" s="4" t="str">
        <f t="shared" si="63"/>
        <v/>
      </c>
      <c r="M468" s="4"/>
      <c r="N468" s="4"/>
      <c r="O468" s="4"/>
      <c r="P468" s="4"/>
      <c r="Q468" s="4"/>
      <c r="R468" s="4"/>
      <c r="S468" s="4"/>
      <c r="T468" s="4"/>
      <c r="U468" s="4"/>
    </row>
    <row r="469" spans="1:21">
      <c r="A469" t="s">
        <v>501</v>
      </c>
      <c r="B469">
        <v>8</v>
      </c>
      <c r="C469" t="str">
        <f t="shared" si="57"/>
        <v>test.TIFFFaxDecoder_8_</v>
      </c>
      <c r="D469">
        <v>1</v>
      </c>
      <c r="E469" s="4">
        <v>0.38</v>
      </c>
      <c r="F469" s="4">
        <v>0.29706115965051627</v>
      </c>
      <c r="G469" s="4" t="str">
        <f t="shared" si="58"/>
        <v/>
      </c>
      <c r="H469" s="4">
        <f t="shared" si="59"/>
        <v>0.38</v>
      </c>
      <c r="I469" s="4" t="str">
        <f t="shared" si="60"/>
        <v/>
      </c>
      <c r="J469" s="4" t="str">
        <f t="shared" si="61"/>
        <v/>
      </c>
      <c r="K469" s="4" t="str">
        <f t="shared" si="62"/>
        <v/>
      </c>
      <c r="L469" s="4" t="str">
        <f t="shared" si="63"/>
        <v/>
      </c>
      <c r="M469" s="4"/>
      <c r="N469" s="4"/>
      <c r="O469" s="4"/>
      <c r="P469" s="4"/>
      <c r="Q469" s="4"/>
      <c r="R469" s="4"/>
      <c r="S469" s="4"/>
      <c r="T469" s="4"/>
      <c r="U469" s="4"/>
    </row>
    <row r="470" spans="1:21">
      <c r="A470" t="s">
        <v>501</v>
      </c>
      <c r="B470">
        <v>8</v>
      </c>
      <c r="C470" t="str">
        <f t="shared" si="57"/>
        <v>test.TIFFFaxDecoder_8_</v>
      </c>
      <c r="D470">
        <v>2</v>
      </c>
      <c r="E470" s="4">
        <v>0.56000000000000005</v>
      </c>
      <c r="F470" s="4">
        <v>0.49960285941223193</v>
      </c>
      <c r="G470" s="4" t="str">
        <f t="shared" si="58"/>
        <v/>
      </c>
      <c r="H470" s="4" t="str">
        <f t="shared" si="59"/>
        <v/>
      </c>
      <c r="I470" s="4">
        <f t="shared" si="60"/>
        <v>0.56000000000000005</v>
      </c>
      <c r="J470" s="4" t="str">
        <f t="shared" si="61"/>
        <v/>
      </c>
      <c r="K470" s="4" t="str">
        <f t="shared" si="62"/>
        <v/>
      </c>
      <c r="L470" s="4" t="str">
        <f t="shared" si="63"/>
        <v/>
      </c>
      <c r="M470" s="4"/>
      <c r="N470" s="4"/>
      <c r="O470" s="4"/>
      <c r="P470" s="4"/>
      <c r="Q470" s="4"/>
      <c r="R470" s="4"/>
      <c r="S470" s="4"/>
      <c r="T470" s="4"/>
      <c r="U470" s="4"/>
    </row>
    <row r="471" spans="1:21">
      <c r="A471" t="s">
        <v>501</v>
      </c>
      <c r="B471">
        <v>8</v>
      </c>
      <c r="C471" t="str">
        <f t="shared" si="57"/>
        <v>test.TIFFFaxDecoder_8_</v>
      </c>
      <c r="D471">
        <v>3</v>
      </c>
      <c r="E471" s="4">
        <v>0.68</v>
      </c>
      <c r="F471" s="4">
        <v>0.5289912629070691</v>
      </c>
      <c r="G471" s="4" t="str">
        <f t="shared" si="58"/>
        <v/>
      </c>
      <c r="H471" s="4" t="str">
        <f t="shared" si="59"/>
        <v/>
      </c>
      <c r="I471" s="4">
        <f t="shared" si="60"/>
        <v>0.68</v>
      </c>
      <c r="J471" s="4" t="str">
        <f t="shared" si="61"/>
        <v/>
      </c>
      <c r="K471" s="4" t="str">
        <f t="shared" si="62"/>
        <v/>
      </c>
      <c r="L471" s="4" t="str">
        <f t="shared" si="63"/>
        <v/>
      </c>
      <c r="M471" s="4"/>
      <c r="N471" s="4"/>
      <c r="O471" s="4"/>
      <c r="P471" s="4"/>
      <c r="Q471" s="4"/>
      <c r="R471" s="4"/>
      <c r="S471" s="4"/>
      <c r="T471" s="4"/>
      <c r="U471" s="4"/>
    </row>
    <row r="472" spans="1:21">
      <c r="A472" t="s">
        <v>501</v>
      </c>
      <c r="B472">
        <v>8</v>
      </c>
      <c r="C472" t="str">
        <f t="shared" si="57"/>
        <v>test.TIFFFaxDecoder_8_</v>
      </c>
      <c r="D472">
        <v>4</v>
      </c>
      <c r="E472" s="4">
        <v>0.88</v>
      </c>
      <c r="F472" s="4">
        <v>0.52978554408260525</v>
      </c>
      <c r="G472" s="4" t="str">
        <f t="shared" si="58"/>
        <v/>
      </c>
      <c r="H472" s="4" t="str">
        <f t="shared" si="59"/>
        <v/>
      </c>
      <c r="I472" s="4">
        <f t="shared" si="60"/>
        <v>0.88</v>
      </c>
      <c r="J472" s="4" t="str">
        <f t="shared" si="61"/>
        <v/>
      </c>
      <c r="K472" s="4" t="str">
        <f t="shared" si="62"/>
        <v/>
      </c>
      <c r="L472" s="4" t="str">
        <f t="shared" si="63"/>
        <v/>
      </c>
      <c r="M472" s="4"/>
      <c r="N472" s="4"/>
      <c r="O472" s="4"/>
      <c r="P472" s="4"/>
      <c r="Q472" s="4"/>
      <c r="R472" s="4"/>
      <c r="S472" s="4"/>
      <c r="T472" s="4"/>
      <c r="U472" s="4"/>
    </row>
    <row r="473" spans="1:21">
      <c r="A473" t="s">
        <v>501</v>
      </c>
      <c r="B473">
        <v>8</v>
      </c>
      <c r="C473" t="str">
        <f t="shared" si="57"/>
        <v>test.TIFFFaxDecoder_8_</v>
      </c>
      <c r="D473">
        <v>5</v>
      </c>
      <c r="E473" s="4">
        <v>1</v>
      </c>
      <c r="F473" s="4">
        <v>0.73073868149324861</v>
      </c>
      <c r="G473" s="4" t="str">
        <f t="shared" si="58"/>
        <v/>
      </c>
      <c r="H473" s="4" t="str">
        <f t="shared" si="59"/>
        <v/>
      </c>
      <c r="I473" s="4" t="str">
        <f t="shared" si="60"/>
        <v/>
      </c>
      <c r="J473" s="4">
        <f t="shared" si="61"/>
        <v>1</v>
      </c>
      <c r="K473" s="4" t="str">
        <f t="shared" si="62"/>
        <v/>
      </c>
      <c r="L473" s="4" t="str">
        <f t="shared" si="63"/>
        <v/>
      </c>
      <c r="M473" s="4"/>
      <c r="N473" s="4"/>
      <c r="O473" s="4"/>
      <c r="P473" s="4"/>
      <c r="Q473" s="4"/>
      <c r="R473" s="4"/>
      <c r="S473" s="4"/>
      <c r="T473" s="4"/>
      <c r="U473" s="4"/>
    </row>
    <row r="474" spans="1:21">
      <c r="A474" t="s">
        <v>501</v>
      </c>
      <c r="B474">
        <v>9</v>
      </c>
      <c r="C474" t="str">
        <f t="shared" si="57"/>
        <v>test.TIFFFaxDecoder_9_</v>
      </c>
      <c r="D474">
        <v>1</v>
      </c>
      <c r="E474" s="4">
        <v>0.19444444444444445</v>
      </c>
      <c r="F474" s="4">
        <v>0.23406193078324225</v>
      </c>
      <c r="G474" s="4" t="str">
        <f t="shared" si="58"/>
        <v/>
      </c>
      <c r="H474" s="4">
        <f t="shared" si="59"/>
        <v>0.19444444444444445</v>
      </c>
      <c r="I474" s="4" t="str">
        <f t="shared" si="60"/>
        <v/>
      </c>
      <c r="J474" s="4" t="str">
        <f t="shared" si="61"/>
        <v/>
      </c>
      <c r="K474" s="4" t="str">
        <f t="shared" si="62"/>
        <v/>
      </c>
      <c r="L474" s="4" t="str">
        <f t="shared" si="63"/>
        <v/>
      </c>
      <c r="M474" s="4"/>
      <c r="N474" s="4"/>
      <c r="O474" s="4"/>
      <c r="P474" s="4"/>
      <c r="Q474" s="4"/>
      <c r="R474" s="4"/>
      <c r="S474" s="4"/>
      <c r="T474" s="4"/>
      <c r="U474" s="4"/>
    </row>
    <row r="475" spans="1:21">
      <c r="A475" t="s">
        <v>501</v>
      </c>
      <c r="B475">
        <v>9</v>
      </c>
      <c r="C475" t="str">
        <f t="shared" si="57"/>
        <v>test.TIFFFaxDecoder_9_</v>
      </c>
      <c r="D475">
        <v>2</v>
      </c>
      <c r="E475" s="4">
        <v>0.22222222222222221</v>
      </c>
      <c r="F475" s="4">
        <v>0.24225865209471767</v>
      </c>
      <c r="G475" s="4" t="str">
        <f t="shared" si="58"/>
        <v/>
      </c>
      <c r="H475" s="4">
        <f t="shared" si="59"/>
        <v>0.22222222222222221</v>
      </c>
      <c r="I475" s="4" t="str">
        <f t="shared" si="60"/>
        <v/>
      </c>
      <c r="J475" s="4" t="str">
        <f t="shared" si="61"/>
        <v/>
      </c>
      <c r="K475" s="4" t="str">
        <f t="shared" si="62"/>
        <v/>
      </c>
      <c r="L475" s="4" t="str">
        <f t="shared" si="63"/>
        <v/>
      </c>
      <c r="M475" s="4"/>
      <c r="N475" s="4"/>
      <c r="O475" s="4"/>
      <c r="P475" s="4"/>
      <c r="Q475" s="4"/>
      <c r="R475" s="4"/>
      <c r="S475" s="4"/>
      <c r="T475" s="4"/>
      <c r="U475" s="4"/>
    </row>
    <row r="476" spans="1:21">
      <c r="A476" t="s">
        <v>501</v>
      </c>
      <c r="B476">
        <v>9</v>
      </c>
      <c r="C476" t="str">
        <f t="shared" si="57"/>
        <v>test.TIFFFaxDecoder_9_</v>
      </c>
      <c r="D476">
        <v>3</v>
      </c>
      <c r="E476" s="4">
        <v>0.33333333333333331</v>
      </c>
      <c r="F476" s="4">
        <v>0.24954462659380691</v>
      </c>
      <c r="G476" s="4" t="str">
        <f t="shared" si="58"/>
        <v/>
      </c>
      <c r="H476" s="4">
        <f t="shared" si="59"/>
        <v>0.33333333333333331</v>
      </c>
      <c r="I476" s="4" t="str">
        <f t="shared" si="60"/>
        <v/>
      </c>
      <c r="J476" s="4" t="str">
        <f t="shared" si="61"/>
        <v/>
      </c>
      <c r="K476" s="4" t="str">
        <f t="shared" si="62"/>
        <v/>
      </c>
      <c r="L476" s="4" t="str">
        <f t="shared" si="63"/>
        <v/>
      </c>
      <c r="M476" s="4"/>
      <c r="N476" s="4"/>
      <c r="O476" s="4"/>
      <c r="P476" s="4"/>
      <c r="Q476" s="4"/>
      <c r="R476" s="4"/>
      <c r="S476" s="4"/>
      <c r="T476" s="4"/>
      <c r="U476" s="4"/>
    </row>
    <row r="477" spans="1:21">
      <c r="A477" t="s">
        <v>501</v>
      </c>
      <c r="B477">
        <v>9</v>
      </c>
      <c r="C477" t="str">
        <f t="shared" si="57"/>
        <v>test.TIFFFaxDecoder_9_</v>
      </c>
      <c r="D477">
        <v>4</v>
      </c>
      <c r="E477" s="4">
        <v>0.47222222222222221</v>
      </c>
      <c r="F477" s="4">
        <v>0.27322404371584702</v>
      </c>
      <c r="G477" s="4" t="str">
        <f t="shared" si="58"/>
        <v/>
      </c>
      <c r="H477" s="4">
        <f t="shared" si="59"/>
        <v>0.47222222222222221</v>
      </c>
      <c r="I477" s="4" t="str">
        <f t="shared" si="60"/>
        <v/>
      </c>
      <c r="J477" s="4" t="str">
        <f t="shared" si="61"/>
        <v/>
      </c>
      <c r="K477" s="4" t="str">
        <f t="shared" si="62"/>
        <v/>
      </c>
      <c r="L477" s="4" t="str">
        <f t="shared" si="63"/>
        <v/>
      </c>
      <c r="M477" s="4"/>
      <c r="N477" s="4"/>
      <c r="O477" s="4"/>
      <c r="P477" s="4"/>
      <c r="Q477" s="4"/>
      <c r="R477" s="4"/>
      <c r="S477" s="4"/>
      <c r="T477" s="4"/>
      <c r="U477" s="4"/>
    </row>
    <row r="478" spans="1:21">
      <c r="A478" t="s">
        <v>501</v>
      </c>
      <c r="B478">
        <v>9</v>
      </c>
      <c r="C478" t="str">
        <f t="shared" si="57"/>
        <v>test.TIFFFaxDecoder_9_</v>
      </c>
      <c r="D478">
        <v>5</v>
      </c>
      <c r="E478" s="4">
        <v>0.52777777777777779</v>
      </c>
      <c r="F478" s="4">
        <v>0.30236794171220399</v>
      </c>
      <c r="G478" s="4" t="str">
        <f t="shared" si="58"/>
        <v/>
      </c>
      <c r="H478" s="4">
        <f t="shared" si="59"/>
        <v>0.52777777777777779</v>
      </c>
      <c r="I478" s="4" t="str">
        <f t="shared" si="60"/>
        <v/>
      </c>
      <c r="J478" s="4" t="str">
        <f t="shared" si="61"/>
        <v/>
      </c>
      <c r="K478" s="4" t="str">
        <f t="shared" si="62"/>
        <v/>
      </c>
      <c r="L478" s="4" t="str">
        <f t="shared" si="63"/>
        <v/>
      </c>
      <c r="M478" s="4"/>
      <c r="N478" s="4"/>
      <c r="O478" s="4"/>
      <c r="P478" s="4"/>
      <c r="Q478" s="4"/>
      <c r="R478" s="4"/>
      <c r="S478" s="4"/>
      <c r="T478" s="4"/>
      <c r="U478" s="4"/>
    </row>
    <row r="479" spans="1:21">
      <c r="A479" t="s">
        <v>501</v>
      </c>
      <c r="B479">
        <v>9</v>
      </c>
      <c r="C479" t="str">
        <f t="shared" si="57"/>
        <v>test.TIFFFaxDecoder_9_</v>
      </c>
      <c r="D479">
        <v>6</v>
      </c>
      <c r="E479" s="4">
        <v>0.55555555555555558</v>
      </c>
      <c r="F479" s="4">
        <v>0.30965391621129323</v>
      </c>
      <c r="G479" s="4" t="str">
        <f t="shared" si="58"/>
        <v/>
      </c>
      <c r="H479" s="4">
        <f t="shared" si="59"/>
        <v>0.55555555555555558</v>
      </c>
      <c r="I479" s="4" t="str">
        <f t="shared" si="60"/>
        <v/>
      </c>
      <c r="J479" s="4" t="str">
        <f t="shared" si="61"/>
        <v/>
      </c>
      <c r="K479" s="4" t="str">
        <f t="shared" si="62"/>
        <v/>
      </c>
      <c r="L479" s="4" t="str">
        <f t="shared" si="63"/>
        <v/>
      </c>
      <c r="M479" s="4"/>
      <c r="N479" s="4"/>
      <c r="O479" s="4"/>
      <c r="P479" s="4"/>
      <c r="Q479" s="4"/>
      <c r="R479" s="4"/>
      <c r="S479" s="4"/>
      <c r="T479" s="4"/>
      <c r="U479" s="4"/>
    </row>
    <row r="480" spans="1:21">
      <c r="A480" t="s">
        <v>501</v>
      </c>
      <c r="B480">
        <v>9</v>
      </c>
      <c r="C480" t="str">
        <f t="shared" si="57"/>
        <v>test.TIFFFaxDecoder_9_</v>
      </c>
      <c r="D480">
        <v>7</v>
      </c>
      <c r="E480" s="4">
        <v>0.63888888888888884</v>
      </c>
      <c r="F480" s="4">
        <v>0.31056466302367941</v>
      </c>
      <c r="G480" s="4" t="str">
        <f t="shared" si="58"/>
        <v/>
      </c>
      <c r="H480" s="4">
        <f t="shared" si="59"/>
        <v>0.63888888888888884</v>
      </c>
      <c r="I480" s="4" t="str">
        <f t="shared" si="60"/>
        <v/>
      </c>
      <c r="J480" s="4" t="str">
        <f t="shared" si="61"/>
        <v/>
      </c>
      <c r="K480" s="4" t="str">
        <f t="shared" si="62"/>
        <v/>
      </c>
      <c r="L480" s="4" t="str">
        <f t="shared" si="63"/>
        <v/>
      </c>
      <c r="M480" s="4"/>
      <c r="N480" s="4"/>
      <c r="O480" s="4"/>
      <c r="P480" s="4"/>
      <c r="Q480" s="4"/>
      <c r="R480" s="4"/>
      <c r="S480" s="4"/>
      <c r="T480" s="4"/>
      <c r="U480" s="4"/>
    </row>
    <row r="481" spans="1:21">
      <c r="A481" t="s">
        <v>501</v>
      </c>
      <c r="B481">
        <v>9</v>
      </c>
      <c r="C481" t="str">
        <f t="shared" si="57"/>
        <v>test.TIFFFaxDecoder_9_</v>
      </c>
      <c r="D481">
        <v>8</v>
      </c>
      <c r="E481" s="4">
        <v>0.66666666666666663</v>
      </c>
      <c r="F481" s="4">
        <v>0.31329690346083788</v>
      </c>
      <c r="G481" s="4" t="str">
        <f t="shared" si="58"/>
        <v/>
      </c>
      <c r="H481" s="4">
        <f t="shared" si="59"/>
        <v>0.66666666666666663</v>
      </c>
      <c r="I481" s="4" t="str">
        <f t="shared" si="60"/>
        <v/>
      </c>
      <c r="J481" s="4" t="str">
        <f t="shared" si="61"/>
        <v/>
      </c>
      <c r="K481" s="4" t="str">
        <f t="shared" si="62"/>
        <v/>
      </c>
      <c r="L481" s="4" t="str">
        <f t="shared" si="63"/>
        <v/>
      </c>
      <c r="M481" s="4"/>
      <c r="N481" s="4"/>
      <c r="O481" s="4"/>
      <c r="P481" s="4"/>
      <c r="Q481" s="4"/>
      <c r="R481" s="4"/>
      <c r="S481" s="4"/>
      <c r="T481" s="4"/>
      <c r="U481" s="4"/>
    </row>
    <row r="482" spans="1:21">
      <c r="A482" t="s">
        <v>501</v>
      </c>
      <c r="B482">
        <v>9</v>
      </c>
      <c r="C482" t="str">
        <f t="shared" si="57"/>
        <v>test.TIFFFaxDecoder_9_</v>
      </c>
      <c r="D482">
        <v>9</v>
      </c>
      <c r="E482" s="4">
        <v>0.66666666666666663</v>
      </c>
      <c r="F482" s="4">
        <v>0.31602914389799636</v>
      </c>
      <c r="G482" s="4" t="str">
        <f t="shared" si="58"/>
        <v/>
      </c>
      <c r="H482" s="4">
        <f t="shared" si="59"/>
        <v>0.66666666666666663</v>
      </c>
      <c r="I482" s="4" t="str">
        <f t="shared" si="60"/>
        <v/>
      </c>
      <c r="J482" s="4" t="str">
        <f t="shared" si="61"/>
        <v/>
      </c>
      <c r="K482" s="4" t="str">
        <f t="shared" si="62"/>
        <v/>
      </c>
      <c r="L482" s="4" t="str">
        <f t="shared" si="63"/>
        <v/>
      </c>
      <c r="M482" s="4"/>
      <c r="N482" s="4"/>
      <c r="O482" s="4"/>
      <c r="P482" s="4"/>
      <c r="Q482" s="4"/>
      <c r="R482" s="4"/>
      <c r="S482" s="4"/>
      <c r="T482" s="4"/>
      <c r="U482" s="4"/>
    </row>
    <row r="483" spans="1:21">
      <c r="A483" t="s">
        <v>501</v>
      </c>
      <c r="B483">
        <v>9</v>
      </c>
      <c r="C483" t="str">
        <f t="shared" si="57"/>
        <v>test.TIFFFaxDecoder_9_</v>
      </c>
      <c r="D483">
        <v>10</v>
      </c>
      <c r="E483" s="4">
        <v>0.66666666666666663</v>
      </c>
      <c r="F483" s="4">
        <v>0.31785063752276865</v>
      </c>
      <c r="G483" s="4" t="str">
        <f t="shared" si="58"/>
        <v/>
      </c>
      <c r="H483" s="4">
        <f t="shared" si="59"/>
        <v>0.66666666666666663</v>
      </c>
      <c r="I483" s="4" t="str">
        <f t="shared" si="60"/>
        <v/>
      </c>
      <c r="J483" s="4" t="str">
        <f t="shared" si="61"/>
        <v/>
      </c>
      <c r="K483" s="4" t="str">
        <f t="shared" si="62"/>
        <v/>
      </c>
      <c r="L483" s="4" t="str">
        <f t="shared" si="63"/>
        <v/>
      </c>
      <c r="M483" s="4"/>
      <c r="N483" s="4"/>
      <c r="O483" s="4"/>
      <c r="P483" s="4"/>
      <c r="Q483" s="4"/>
      <c r="R483" s="4"/>
      <c r="S483" s="4"/>
      <c r="T483" s="4"/>
      <c r="U483" s="4"/>
    </row>
    <row r="484" spans="1:21">
      <c r="A484" t="s">
        <v>501</v>
      </c>
      <c r="B484">
        <v>9</v>
      </c>
      <c r="C484" t="str">
        <f t="shared" si="57"/>
        <v>test.TIFFFaxDecoder_9_</v>
      </c>
      <c r="D484">
        <v>11</v>
      </c>
      <c r="E484" s="4">
        <v>0.66666666666666663</v>
      </c>
      <c r="F484" s="4">
        <v>0.3214936247723133</v>
      </c>
      <c r="G484" s="4" t="str">
        <f t="shared" si="58"/>
        <v/>
      </c>
      <c r="H484" s="4">
        <f t="shared" si="59"/>
        <v>0.66666666666666663</v>
      </c>
      <c r="I484" s="4" t="str">
        <f t="shared" si="60"/>
        <v/>
      </c>
      <c r="J484" s="4" t="str">
        <f t="shared" si="61"/>
        <v/>
      </c>
      <c r="K484" s="4" t="str">
        <f t="shared" si="62"/>
        <v/>
      </c>
      <c r="L484" s="4" t="str">
        <f t="shared" si="63"/>
        <v/>
      </c>
      <c r="M484" s="4"/>
      <c r="N484" s="4"/>
      <c r="O484" s="4"/>
      <c r="P484" s="4"/>
      <c r="Q484" s="4"/>
      <c r="R484" s="4"/>
      <c r="S484" s="4"/>
      <c r="T484" s="4"/>
      <c r="U484" s="4"/>
    </row>
    <row r="485" spans="1:21">
      <c r="A485" t="s">
        <v>501</v>
      </c>
      <c r="B485">
        <v>9</v>
      </c>
      <c r="C485" t="str">
        <f t="shared" si="57"/>
        <v>test.TIFFFaxDecoder_9_</v>
      </c>
      <c r="D485">
        <v>12</v>
      </c>
      <c r="E485" s="4">
        <v>0.66666666666666663</v>
      </c>
      <c r="F485" s="4">
        <v>0.38069216757741348</v>
      </c>
      <c r="G485" s="4" t="str">
        <f t="shared" si="58"/>
        <v/>
      </c>
      <c r="H485" s="4">
        <f t="shared" si="59"/>
        <v>0.66666666666666663</v>
      </c>
      <c r="I485" s="4" t="str">
        <f t="shared" si="60"/>
        <v/>
      </c>
      <c r="J485" s="4" t="str">
        <f t="shared" si="61"/>
        <v/>
      </c>
      <c r="K485" s="4" t="str">
        <f t="shared" si="62"/>
        <v/>
      </c>
      <c r="L485" s="4" t="str">
        <f t="shared" si="63"/>
        <v/>
      </c>
      <c r="M485" s="4"/>
      <c r="N485" s="4"/>
      <c r="O485" s="4"/>
      <c r="P485" s="4"/>
      <c r="Q485" s="4"/>
      <c r="R485" s="4"/>
      <c r="S485" s="4"/>
      <c r="T485" s="4"/>
      <c r="U485" s="4"/>
    </row>
    <row r="486" spans="1:21">
      <c r="A486" t="s">
        <v>501</v>
      </c>
      <c r="B486">
        <v>9</v>
      </c>
      <c r="C486" t="str">
        <f t="shared" si="57"/>
        <v>test.TIFFFaxDecoder_9_</v>
      </c>
      <c r="D486">
        <v>13</v>
      </c>
      <c r="E486" s="4">
        <v>0.66666666666666663</v>
      </c>
      <c r="F486" s="4">
        <v>0.40346083788706738</v>
      </c>
      <c r="G486" s="4" t="str">
        <f t="shared" si="58"/>
        <v/>
      </c>
      <c r="H486" s="4" t="str">
        <f t="shared" si="59"/>
        <v/>
      </c>
      <c r="I486" s="4">
        <f t="shared" si="60"/>
        <v>0.66666666666666663</v>
      </c>
      <c r="J486" s="4" t="str">
        <f t="shared" si="61"/>
        <v/>
      </c>
      <c r="K486" s="4" t="str">
        <f t="shared" si="62"/>
        <v/>
      </c>
      <c r="L486" s="4" t="str">
        <f t="shared" si="63"/>
        <v/>
      </c>
      <c r="M486" s="4"/>
      <c r="N486" s="4"/>
      <c r="O486" s="4"/>
      <c r="P486" s="4"/>
      <c r="Q486" s="4"/>
      <c r="R486" s="4"/>
      <c r="S486" s="4"/>
      <c r="T486" s="4"/>
      <c r="U486" s="4"/>
    </row>
    <row r="487" spans="1:21">
      <c r="A487" t="s">
        <v>501</v>
      </c>
      <c r="B487">
        <v>9</v>
      </c>
      <c r="C487" t="str">
        <f t="shared" si="57"/>
        <v>test.TIFFFaxDecoder_9_</v>
      </c>
      <c r="D487">
        <v>14</v>
      </c>
      <c r="E487" s="4">
        <v>0.77777777777777779</v>
      </c>
      <c r="F487" s="4">
        <v>0.44171220400728595</v>
      </c>
      <c r="G487" s="4" t="str">
        <f t="shared" si="58"/>
        <v/>
      </c>
      <c r="H487" s="4" t="str">
        <f t="shared" si="59"/>
        <v/>
      </c>
      <c r="I487" s="4">
        <f t="shared" si="60"/>
        <v>0.77777777777777779</v>
      </c>
      <c r="J487" s="4" t="str">
        <f t="shared" si="61"/>
        <v/>
      </c>
      <c r="K487" s="4" t="str">
        <f t="shared" si="62"/>
        <v/>
      </c>
      <c r="L487" s="4" t="str">
        <f t="shared" si="63"/>
        <v/>
      </c>
      <c r="M487" s="4"/>
      <c r="N487" s="4"/>
      <c r="O487" s="4"/>
      <c r="P487" s="4"/>
      <c r="Q487" s="4"/>
      <c r="R487" s="4"/>
      <c r="S487" s="4"/>
      <c r="T487" s="4"/>
      <c r="U487" s="4"/>
    </row>
    <row r="488" spans="1:21">
      <c r="A488" t="s">
        <v>501</v>
      </c>
      <c r="B488">
        <v>9</v>
      </c>
      <c r="C488" t="str">
        <f t="shared" si="57"/>
        <v>test.TIFFFaxDecoder_9_</v>
      </c>
      <c r="D488">
        <v>15</v>
      </c>
      <c r="E488" s="4">
        <v>0.97222222222222221</v>
      </c>
      <c r="F488" s="4">
        <v>0.60382513661202186</v>
      </c>
      <c r="G488" s="4" t="str">
        <f t="shared" si="58"/>
        <v/>
      </c>
      <c r="H488" s="4" t="str">
        <f t="shared" si="59"/>
        <v/>
      </c>
      <c r="I488" s="4" t="str">
        <f t="shared" si="60"/>
        <v/>
      </c>
      <c r="J488" s="4">
        <f t="shared" si="61"/>
        <v>0.97222222222222221</v>
      </c>
      <c r="K488" s="4" t="str">
        <f t="shared" si="62"/>
        <v/>
      </c>
      <c r="L488" s="4" t="str">
        <f t="shared" si="63"/>
        <v/>
      </c>
      <c r="M488" s="4"/>
      <c r="N488" s="4"/>
      <c r="O488" s="4"/>
      <c r="P488" s="4"/>
      <c r="Q488" s="4"/>
      <c r="R488" s="4"/>
      <c r="S488" s="4"/>
      <c r="T488" s="4"/>
      <c r="U488" s="4"/>
    </row>
    <row r="489" spans="1:21">
      <c r="A489" t="s">
        <v>501</v>
      </c>
      <c r="B489">
        <v>9</v>
      </c>
      <c r="C489" t="str">
        <f t="shared" si="57"/>
        <v>test.TIFFFaxDecoder_9_</v>
      </c>
      <c r="D489">
        <v>16</v>
      </c>
      <c r="E489" s="4">
        <v>0.97222222222222221</v>
      </c>
      <c r="F489" s="4">
        <v>0.63479052823315119</v>
      </c>
      <c r="G489" s="4" t="str">
        <f t="shared" si="58"/>
        <v/>
      </c>
      <c r="H489" s="4" t="str">
        <f t="shared" si="59"/>
        <v/>
      </c>
      <c r="I489" s="4" t="str">
        <f t="shared" si="60"/>
        <v/>
      </c>
      <c r="J489" s="4">
        <f t="shared" si="61"/>
        <v>0.97222222222222221</v>
      </c>
      <c r="K489" s="4" t="str">
        <f t="shared" si="62"/>
        <v/>
      </c>
      <c r="L489" s="4" t="str">
        <f t="shared" si="63"/>
        <v/>
      </c>
      <c r="M489" s="4"/>
      <c r="N489" s="4"/>
      <c r="O489" s="4"/>
      <c r="P489" s="4"/>
      <c r="Q489" s="4"/>
      <c r="R489" s="4"/>
      <c r="S489" s="4"/>
      <c r="T489" s="4"/>
      <c r="U489" s="4"/>
    </row>
    <row r="490" spans="1:21">
      <c r="A490" t="s">
        <v>501</v>
      </c>
      <c r="B490">
        <v>9</v>
      </c>
      <c r="C490" t="str">
        <f t="shared" si="57"/>
        <v>test.TIFFFaxDecoder_9_</v>
      </c>
      <c r="D490">
        <v>17</v>
      </c>
      <c r="E490" s="4">
        <v>1</v>
      </c>
      <c r="F490" s="4">
        <v>0.67486338797814205</v>
      </c>
      <c r="G490" s="4" t="str">
        <f t="shared" si="58"/>
        <v/>
      </c>
      <c r="H490" s="4" t="str">
        <f t="shared" si="59"/>
        <v/>
      </c>
      <c r="I490" s="4" t="str">
        <f t="shared" si="60"/>
        <v/>
      </c>
      <c r="J490" s="4">
        <f t="shared" si="61"/>
        <v>1</v>
      </c>
      <c r="K490" s="4" t="str">
        <f t="shared" si="62"/>
        <v/>
      </c>
      <c r="L490" s="4" t="str">
        <f t="shared" si="63"/>
        <v/>
      </c>
      <c r="M490" s="4"/>
      <c r="N490" s="4"/>
      <c r="O490" s="4"/>
      <c r="P490" s="4"/>
      <c r="Q490" s="4"/>
      <c r="R490" s="4"/>
      <c r="S490" s="4"/>
      <c r="T490" s="4"/>
      <c r="U490" s="4"/>
    </row>
    <row r="491" spans="1:21">
      <c r="A491" t="s">
        <v>501</v>
      </c>
      <c r="B491">
        <v>9</v>
      </c>
      <c r="C491" t="str">
        <f t="shared" si="57"/>
        <v>test.TIFFFaxDecoder_9_</v>
      </c>
      <c r="D491">
        <v>18</v>
      </c>
      <c r="E491" s="4">
        <v>1</v>
      </c>
      <c r="F491" s="4">
        <v>0.68670309653916206</v>
      </c>
      <c r="G491" s="4" t="str">
        <f t="shared" si="58"/>
        <v/>
      </c>
      <c r="H491" s="4" t="str">
        <f t="shared" si="59"/>
        <v/>
      </c>
      <c r="I491" s="4" t="str">
        <f t="shared" si="60"/>
        <v/>
      </c>
      <c r="J491" s="4">
        <f t="shared" si="61"/>
        <v>1</v>
      </c>
      <c r="K491" s="4" t="str">
        <f t="shared" si="62"/>
        <v/>
      </c>
      <c r="L491" s="4" t="str">
        <f t="shared" si="63"/>
        <v/>
      </c>
      <c r="M491" s="4"/>
      <c r="N491" s="4"/>
      <c r="O491" s="4"/>
      <c r="P491" s="4"/>
      <c r="Q491" s="4"/>
      <c r="R491" s="4"/>
      <c r="S491" s="4"/>
      <c r="T491" s="4"/>
      <c r="U491" s="4"/>
    </row>
    <row r="492" spans="1:21">
      <c r="A492" t="s">
        <v>501</v>
      </c>
      <c r="B492">
        <v>10</v>
      </c>
      <c r="C492" t="str">
        <f t="shared" si="57"/>
        <v>test.TIFFFaxDecoder_10_</v>
      </c>
      <c r="D492">
        <v>1</v>
      </c>
      <c r="E492" s="4">
        <v>0.9</v>
      </c>
      <c r="F492" s="4">
        <v>0.93979671618451921</v>
      </c>
      <c r="G492" s="4" t="str">
        <f t="shared" si="58"/>
        <v/>
      </c>
      <c r="H492" s="4" t="str">
        <f t="shared" si="59"/>
        <v/>
      </c>
      <c r="I492" s="4" t="str">
        <f t="shared" si="60"/>
        <v/>
      </c>
      <c r="J492" s="4" t="str">
        <f t="shared" si="61"/>
        <v/>
      </c>
      <c r="K492" s="4">
        <f t="shared" si="62"/>
        <v>0.9</v>
      </c>
      <c r="L492" s="4" t="str">
        <f t="shared" si="63"/>
        <v/>
      </c>
      <c r="M492" s="4"/>
      <c r="N492" s="4"/>
      <c r="O492" s="4"/>
      <c r="P492" s="4"/>
      <c r="Q492" s="4"/>
      <c r="R492" s="4"/>
      <c r="S492" s="4"/>
      <c r="T492" s="4"/>
      <c r="U492" s="4"/>
    </row>
    <row r="493" spans="1:21">
      <c r="A493" t="s">
        <v>501</v>
      </c>
      <c r="B493">
        <v>10</v>
      </c>
      <c r="C493" t="str">
        <f t="shared" si="57"/>
        <v>test.TIFFFaxDecoder_10_</v>
      </c>
      <c r="D493">
        <v>2</v>
      </c>
      <c r="E493" s="4">
        <v>1</v>
      </c>
      <c r="F493" s="4">
        <v>0.94370602032838158</v>
      </c>
      <c r="G493" s="4" t="str">
        <f t="shared" si="58"/>
        <v/>
      </c>
      <c r="H493" s="4" t="str">
        <f t="shared" si="59"/>
        <v/>
      </c>
      <c r="I493" s="4" t="str">
        <f t="shared" si="60"/>
        <v/>
      </c>
      <c r="J493" s="4" t="str">
        <f t="shared" si="61"/>
        <v/>
      </c>
      <c r="K493" s="4">
        <f t="shared" si="62"/>
        <v>1</v>
      </c>
      <c r="L493" s="4" t="str">
        <f t="shared" si="63"/>
        <v/>
      </c>
      <c r="M493" s="4"/>
      <c r="N493" s="4"/>
      <c r="O493" s="4"/>
      <c r="P493" s="4"/>
      <c r="Q493" s="4"/>
      <c r="R493" s="4"/>
      <c r="S493" s="4"/>
      <c r="T493" s="4"/>
      <c r="U493" s="4"/>
    </row>
    <row r="494" spans="1:21">
      <c r="A494" t="s">
        <v>501</v>
      </c>
      <c r="B494">
        <v>10</v>
      </c>
      <c r="C494" t="str">
        <f t="shared" si="57"/>
        <v>test.TIFFFaxDecoder_10_</v>
      </c>
      <c r="D494">
        <v>3</v>
      </c>
      <c r="E494" s="4">
        <v>1</v>
      </c>
      <c r="F494" s="4">
        <v>0.94605160281469902</v>
      </c>
      <c r="G494" s="4" t="str">
        <f t="shared" si="58"/>
        <v/>
      </c>
      <c r="H494" s="4" t="str">
        <f t="shared" si="59"/>
        <v/>
      </c>
      <c r="I494" s="4" t="str">
        <f t="shared" si="60"/>
        <v/>
      </c>
      <c r="J494" s="4" t="str">
        <f t="shared" si="61"/>
        <v/>
      </c>
      <c r="K494" s="4">
        <f t="shared" si="62"/>
        <v>1</v>
      </c>
      <c r="L494" s="4" t="str">
        <f t="shared" si="63"/>
        <v/>
      </c>
      <c r="M494" s="4"/>
      <c r="N494" s="4"/>
      <c r="O494" s="4"/>
      <c r="P494" s="4"/>
      <c r="Q494" s="4"/>
      <c r="R494" s="4"/>
      <c r="S494" s="4"/>
      <c r="T494" s="4"/>
      <c r="U494" s="4"/>
    </row>
    <row r="495" spans="1:21">
      <c r="A495" t="s">
        <v>501</v>
      </c>
      <c r="B495">
        <v>10</v>
      </c>
      <c r="C495" t="str">
        <f t="shared" si="57"/>
        <v>test.TIFFFaxDecoder_10_</v>
      </c>
      <c r="D495">
        <v>4</v>
      </c>
      <c r="E495" s="4">
        <v>1</v>
      </c>
      <c r="F495" s="4">
        <v>0.96403440187646594</v>
      </c>
      <c r="G495" s="4" t="str">
        <f t="shared" si="58"/>
        <v/>
      </c>
      <c r="H495" s="4" t="str">
        <f t="shared" si="59"/>
        <v/>
      </c>
      <c r="I495" s="4" t="str">
        <f t="shared" si="60"/>
        <v/>
      </c>
      <c r="J495" s="4" t="str">
        <f t="shared" si="61"/>
        <v/>
      </c>
      <c r="K495" s="4">
        <f t="shared" si="62"/>
        <v>1</v>
      </c>
      <c r="L495" s="4" t="str">
        <f t="shared" si="63"/>
        <v/>
      </c>
      <c r="M495" s="4"/>
      <c r="N495" s="4"/>
      <c r="O495" s="4"/>
      <c r="P495" s="4"/>
      <c r="Q495" s="4"/>
      <c r="R495" s="4"/>
      <c r="S495" s="4"/>
      <c r="T495" s="4"/>
      <c r="U495" s="4"/>
    </row>
    <row r="496" spans="1:21">
      <c r="A496" t="s">
        <v>501</v>
      </c>
      <c r="B496">
        <v>11</v>
      </c>
      <c r="C496" t="str">
        <f t="shared" si="57"/>
        <v>test.TIFFFaxDecoder_11_</v>
      </c>
      <c r="D496">
        <v>1</v>
      </c>
      <c r="E496" s="4">
        <v>7.9545454545454544E-2</v>
      </c>
      <c r="F496" s="4">
        <v>0.11727559765448804</v>
      </c>
      <c r="G496" s="4">
        <f t="shared" si="58"/>
        <v>7.9545454545454544E-2</v>
      </c>
      <c r="H496" s="4" t="str">
        <f t="shared" si="59"/>
        <v/>
      </c>
      <c r="I496" s="4" t="str">
        <f t="shared" si="60"/>
        <v/>
      </c>
      <c r="J496" s="4" t="str">
        <f t="shared" si="61"/>
        <v/>
      </c>
      <c r="K496" s="4" t="str">
        <f t="shared" si="62"/>
        <v/>
      </c>
      <c r="L496" s="4" t="str">
        <f t="shared" si="63"/>
        <v/>
      </c>
      <c r="M496" s="4"/>
      <c r="N496" s="4"/>
      <c r="O496" s="4"/>
      <c r="P496" s="4"/>
      <c r="Q496" s="4"/>
      <c r="R496" s="4"/>
      <c r="S496" s="4"/>
      <c r="T496" s="4"/>
      <c r="U496" s="4"/>
    </row>
    <row r="497" spans="1:21">
      <c r="A497" t="s">
        <v>501</v>
      </c>
      <c r="B497">
        <v>11</v>
      </c>
      <c r="C497" t="str">
        <f t="shared" si="57"/>
        <v>test.TIFFFaxDecoder_11_</v>
      </c>
      <c r="D497">
        <v>2</v>
      </c>
      <c r="E497" s="4">
        <v>0.38636363636363635</v>
      </c>
      <c r="F497" s="4">
        <v>0.4316644113667118</v>
      </c>
      <c r="G497" s="4" t="str">
        <f t="shared" si="58"/>
        <v/>
      </c>
      <c r="H497" s="4" t="str">
        <f t="shared" si="59"/>
        <v/>
      </c>
      <c r="I497" s="4">
        <f t="shared" si="60"/>
        <v>0.38636363636363635</v>
      </c>
      <c r="J497" s="4" t="str">
        <f t="shared" si="61"/>
        <v/>
      </c>
      <c r="K497" s="4" t="str">
        <f t="shared" si="62"/>
        <v/>
      </c>
      <c r="L497" s="4" t="str">
        <f t="shared" si="63"/>
        <v/>
      </c>
      <c r="M497" s="4"/>
      <c r="N497" s="4"/>
      <c r="O497" s="4"/>
      <c r="P497" s="4"/>
      <c r="Q497" s="4"/>
      <c r="R497" s="4"/>
      <c r="S497" s="4"/>
      <c r="T497" s="4"/>
      <c r="U497" s="4"/>
    </row>
    <row r="498" spans="1:21">
      <c r="A498" t="s">
        <v>501</v>
      </c>
      <c r="B498">
        <v>11</v>
      </c>
      <c r="C498" t="str">
        <f t="shared" si="57"/>
        <v>test.TIFFFaxDecoder_11_</v>
      </c>
      <c r="D498">
        <v>3</v>
      </c>
      <c r="E498" s="4">
        <v>0.48863636363636365</v>
      </c>
      <c r="F498" s="4">
        <v>0.4654939106901218</v>
      </c>
      <c r="G498" s="4" t="str">
        <f t="shared" si="58"/>
        <v/>
      </c>
      <c r="H498" s="4" t="str">
        <f t="shared" si="59"/>
        <v/>
      </c>
      <c r="I498" s="4">
        <f t="shared" si="60"/>
        <v>0.48863636363636365</v>
      </c>
      <c r="J498" s="4" t="str">
        <f t="shared" si="61"/>
        <v/>
      </c>
      <c r="K498" s="4" t="str">
        <f t="shared" si="62"/>
        <v/>
      </c>
      <c r="L498" s="4" t="str">
        <f t="shared" si="63"/>
        <v/>
      </c>
      <c r="M498" s="4"/>
      <c r="N498" s="4"/>
      <c r="O498" s="4"/>
      <c r="P498" s="4"/>
      <c r="Q498" s="4"/>
      <c r="R498" s="4"/>
      <c r="S498" s="4"/>
      <c r="T498" s="4"/>
      <c r="U498" s="4"/>
    </row>
    <row r="499" spans="1:21">
      <c r="A499" t="s">
        <v>501</v>
      </c>
      <c r="B499">
        <v>11</v>
      </c>
      <c r="C499" t="str">
        <f t="shared" si="57"/>
        <v>test.TIFFFaxDecoder_11_</v>
      </c>
      <c r="D499">
        <v>4</v>
      </c>
      <c r="E499" s="4">
        <v>0.52272727272727271</v>
      </c>
      <c r="F499" s="4">
        <v>0.46639603067207941</v>
      </c>
      <c r="G499" s="4" t="str">
        <f t="shared" si="58"/>
        <v/>
      </c>
      <c r="H499" s="4" t="str">
        <f t="shared" si="59"/>
        <v/>
      </c>
      <c r="I499" s="4">
        <f t="shared" si="60"/>
        <v>0.52272727272727271</v>
      </c>
      <c r="J499" s="4" t="str">
        <f t="shared" si="61"/>
        <v/>
      </c>
      <c r="K499" s="4" t="str">
        <f t="shared" si="62"/>
        <v/>
      </c>
      <c r="L499" s="4" t="str">
        <f t="shared" si="63"/>
        <v/>
      </c>
      <c r="M499" s="4"/>
      <c r="N499" s="4"/>
      <c r="O499" s="4"/>
      <c r="P499" s="4"/>
      <c r="Q499" s="4"/>
      <c r="R499" s="4"/>
      <c r="S499" s="4"/>
      <c r="T499" s="4"/>
      <c r="U499" s="4"/>
    </row>
    <row r="500" spans="1:21">
      <c r="A500" t="s">
        <v>501</v>
      </c>
      <c r="B500">
        <v>11</v>
      </c>
      <c r="C500" t="str">
        <f t="shared" si="57"/>
        <v>test.TIFFFaxDecoder_11_</v>
      </c>
      <c r="D500">
        <v>5</v>
      </c>
      <c r="E500" s="4">
        <v>0.61363636363636365</v>
      </c>
      <c r="F500" s="4">
        <v>0.47135769057284621</v>
      </c>
      <c r="G500" s="4" t="str">
        <f t="shared" si="58"/>
        <v/>
      </c>
      <c r="H500" s="4" t="str">
        <f t="shared" si="59"/>
        <v/>
      </c>
      <c r="I500" s="4">
        <f t="shared" si="60"/>
        <v>0.61363636363636365</v>
      </c>
      <c r="J500" s="4" t="str">
        <f t="shared" si="61"/>
        <v/>
      </c>
      <c r="K500" s="4" t="str">
        <f t="shared" si="62"/>
        <v/>
      </c>
      <c r="L500" s="4" t="str">
        <f t="shared" si="63"/>
        <v/>
      </c>
      <c r="M500" s="4"/>
      <c r="N500" s="4"/>
      <c r="O500" s="4"/>
      <c r="P500" s="4"/>
      <c r="Q500" s="4"/>
      <c r="R500" s="4"/>
      <c r="S500" s="4"/>
      <c r="T500" s="4"/>
      <c r="U500" s="4"/>
    </row>
    <row r="501" spans="1:21">
      <c r="A501" t="s">
        <v>501</v>
      </c>
      <c r="B501">
        <v>11</v>
      </c>
      <c r="C501" t="str">
        <f t="shared" si="57"/>
        <v>test.TIFFFaxDecoder_11_</v>
      </c>
      <c r="D501">
        <v>6</v>
      </c>
      <c r="E501" s="4">
        <v>0.61363636363636365</v>
      </c>
      <c r="F501" s="4">
        <v>0.48624267027514662</v>
      </c>
      <c r="G501" s="4" t="str">
        <f t="shared" si="58"/>
        <v/>
      </c>
      <c r="H501" s="4" t="str">
        <f t="shared" si="59"/>
        <v/>
      </c>
      <c r="I501" s="4">
        <f t="shared" si="60"/>
        <v>0.61363636363636365</v>
      </c>
      <c r="J501" s="4" t="str">
        <f t="shared" si="61"/>
        <v/>
      </c>
      <c r="K501" s="4" t="str">
        <f t="shared" si="62"/>
        <v/>
      </c>
      <c r="L501" s="4" t="str">
        <f t="shared" si="63"/>
        <v/>
      </c>
      <c r="M501" s="4"/>
      <c r="N501" s="4"/>
      <c r="O501" s="4"/>
      <c r="P501" s="4"/>
      <c r="Q501" s="4"/>
      <c r="R501" s="4"/>
      <c r="S501" s="4"/>
      <c r="T501" s="4"/>
      <c r="U501" s="4"/>
    </row>
    <row r="502" spans="1:21">
      <c r="A502" t="s">
        <v>501</v>
      </c>
      <c r="B502">
        <v>11</v>
      </c>
      <c r="C502" t="str">
        <f t="shared" si="57"/>
        <v>test.TIFFFaxDecoder_11_</v>
      </c>
      <c r="D502">
        <v>7</v>
      </c>
      <c r="E502" s="4">
        <v>0.61363636363636365</v>
      </c>
      <c r="F502" s="4">
        <v>0.48894903022101938</v>
      </c>
      <c r="G502" s="4" t="str">
        <f t="shared" si="58"/>
        <v/>
      </c>
      <c r="H502" s="4" t="str">
        <f t="shared" si="59"/>
        <v/>
      </c>
      <c r="I502" s="4">
        <f t="shared" si="60"/>
        <v>0.61363636363636365</v>
      </c>
      <c r="J502" s="4" t="str">
        <f t="shared" si="61"/>
        <v/>
      </c>
      <c r="K502" s="4" t="str">
        <f t="shared" si="62"/>
        <v/>
      </c>
      <c r="L502" s="4" t="str">
        <f t="shared" si="63"/>
        <v/>
      </c>
      <c r="M502" s="4"/>
      <c r="N502" s="4"/>
      <c r="O502" s="4"/>
      <c r="P502" s="4"/>
      <c r="Q502" s="4"/>
      <c r="R502" s="4"/>
      <c r="S502" s="4"/>
      <c r="T502" s="4"/>
      <c r="U502" s="4"/>
    </row>
    <row r="503" spans="1:21">
      <c r="A503" t="s">
        <v>501</v>
      </c>
      <c r="B503">
        <v>11</v>
      </c>
      <c r="C503" t="str">
        <f t="shared" si="57"/>
        <v>test.TIFFFaxDecoder_11_</v>
      </c>
      <c r="D503">
        <v>8</v>
      </c>
      <c r="E503" s="4">
        <v>0.70454545454545459</v>
      </c>
      <c r="F503" s="4">
        <v>0.54262516914749659</v>
      </c>
      <c r="G503" s="4" t="str">
        <f t="shared" si="58"/>
        <v/>
      </c>
      <c r="H503" s="4" t="str">
        <f t="shared" si="59"/>
        <v/>
      </c>
      <c r="I503" s="4">
        <f t="shared" si="60"/>
        <v>0.70454545454545459</v>
      </c>
      <c r="J503" s="4" t="str">
        <f t="shared" si="61"/>
        <v/>
      </c>
      <c r="K503" s="4" t="str">
        <f t="shared" si="62"/>
        <v/>
      </c>
      <c r="L503" s="4" t="str">
        <f t="shared" si="63"/>
        <v/>
      </c>
      <c r="M503" s="4"/>
      <c r="N503" s="4"/>
      <c r="O503" s="4"/>
      <c r="P503" s="4"/>
      <c r="Q503" s="4"/>
      <c r="R503" s="4"/>
      <c r="S503" s="4"/>
      <c r="T503" s="4"/>
      <c r="U503" s="4"/>
    </row>
    <row r="504" spans="1:21">
      <c r="A504" t="s">
        <v>501</v>
      </c>
      <c r="B504">
        <v>11</v>
      </c>
      <c r="C504" t="str">
        <f t="shared" si="57"/>
        <v>test.TIFFFaxDecoder_11_</v>
      </c>
      <c r="D504">
        <v>9</v>
      </c>
      <c r="E504" s="4">
        <v>0.77272727272727271</v>
      </c>
      <c r="F504" s="4">
        <v>0.54352728912945425</v>
      </c>
      <c r="G504" s="4" t="str">
        <f t="shared" si="58"/>
        <v/>
      </c>
      <c r="H504" s="4" t="str">
        <f t="shared" si="59"/>
        <v/>
      </c>
      <c r="I504" s="4">
        <f t="shared" si="60"/>
        <v>0.77272727272727271</v>
      </c>
      <c r="J504" s="4" t="str">
        <f t="shared" si="61"/>
        <v/>
      </c>
      <c r="K504" s="4" t="str">
        <f t="shared" si="62"/>
        <v/>
      </c>
      <c r="L504" s="4" t="str">
        <f t="shared" si="63"/>
        <v/>
      </c>
      <c r="M504" s="4"/>
      <c r="N504" s="4"/>
      <c r="O504" s="4"/>
      <c r="P504" s="4"/>
      <c r="Q504" s="4"/>
      <c r="R504" s="4"/>
      <c r="S504" s="4"/>
      <c r="T504" s="4"/>
      <c r="U504" s="4"/>
    </row>
    <row r="505" spans="1:21">
      <c r="A505" t="s">
        <v>501</v>
      </c>
      <c r="B505">
        <v>11</v>
      </c>
      <c r="C505" t="str">
        <f t="shared" si="57"/>
        <v>test.TIFFFaxDecoder_11_</v>
      </c>
      <c r="D505">
        <v>10</v>
      </c>
      <c r="E505" s="4">
        <v>0.77272727272727271</v>
      </c>
      <c r="F505" s="4">
        <v>0.54848894903022105</v>
      </c>
      <c r="G505" s="4" t="str">
        <f t="shared" si="58"/>
        <v/>
      </c>
      <c r="H505" s="4" t="str">
        <f t="shared" si="59"/>
        <v/>
      </c>
      <c r="I505" s="4">
        <f t="shared" si="60"/>
        <v>0.77272727272727271</v>
      </c>
      <c r="J505" s="4" t="str">
        <f t="shared" si="61"/>
        <v/>
      </c>
      <c r="K505" s="4" t="str">
        <f t="shared" si="62"/>
        <v/>
      </c>
      <c r="L505" s="4" t="str">
        <f t="shared" si="63"/>
        <v/>
      </c>
      <c r="M505" s="4"/>
      <c r="N505" s="4"/>
      <c r="O505" s="4"/>
      <c r="P505" s="4"/>
      <c r="Q505" s="4"/>
      <c r="R505" s="4"/>
      <c r="S505" s="4"/>
      <c r="T505" s="4"/>
      <c r="U505" s="4"/>
    </row>
    <row r="506" spans="1:21">
      <c r="A506" t="s">
        <v>501</v>
      </c>
      <c r="B506">
        <v>11</v>
      </c>
      <c r="C506" t="str">
        <f t="shared" si="57"/>
        <v>test.TIFFFaxDecoder_11_</v>
      </c>
      <c r="D506">
        <v>11</v>
      </c>
      <c r="E506" s="4">
        <v>0.77272727272727271</v>
      </c>
      <c r="F506" s="4">
        <v>0.55615696887686061</v>
      </c>
      <c r="G506" s="4" t="str">
        <f t="shared" si="58"/>
        <v/>
      </c>
      <c r="H506" s="4" t="str">
        <f t="shared" si="59"/>
        <v/>
      </c>
      <c r="I506" s="4">
        <f t="shared" si="60"/>
        <v>0.77272727272727271</v>
      </c>
      <c r="J506" s="4" t="str">
        <f t="shared" si="61"/>
        <v/>
      </c>
      <c r="K506" s="4" t="str">
        <f t="shared" si="62"/>
        <v/>
      </c>
      <c r="L506" s="4" t="str">
        <f t="shared" si="63"/>
        <v/>
      </c>
      <c r="M506" s="4"/>
      <c r="N506" s="4"/>
      <c r="O506" s="4"/>
      <c r="P506" s="4"/>
      <c r="Q506" s="4"/>
      <c r="R506" s="4"/>
      <c r="S506" s="4"/>
      <c r="T506" s="4"/>
      <c r="U506" s="4"/>
    </row>
    <row r="507" spans="1:21">
      <c r="A507" t="s">
        <v>501</v>
      </c>
      <c r="B507">
        <v>11</v>
      </c>
      <c r="C507" t="str">
        <f t="shared" si="57"/>
        <v>test.TIFFFaxDecoder_11_</v>
      </c>
      <c r="D507">
        <v>12</v>
      </c>
      <c r="E507" s="4">
        <v>0.77272727272727271</v>
      </c>
      <c r="F507" s="4">
        <v>0.56608028867839422</v>
      </c>
      <c r="G507" s="4" t="str">
        <f t="shared" si="58"/>
        <v/>
      </c>
      <c r="H507" s="4" t="str">
        <f t="shared" si="59"/>
        <v/>
      </c>
      <c r="I507" s="4">
        <f t="shared" si="60"/>
        <v>0.77272727272727271</v>
      </c>
      <c r="J507" s="4" t="str">
        <f t="shared" si="61"/>
        <v/>
      </c>
      <c r="K507" s="4" t="str">
        <f t="shared" si="62"/>
        <v/>
      </c>
      <c r="L507" s="4" t="str">
        <f t="shared" si="63"/>
        <v/>
      </c>
      <c r="M507" s="4"/>
      <c r="N507" s="4"/>
      <c r="O507" s="4"/>
      <c r="P507" s="4"/>
      <c r="Q507" s="4"/>
      <c r="R507" s="4"/>
      <c r="S507" s="4"/>
      <c r="T507" s="4"/>
      <c r="U507" s="4"/>
    </row>
    <row r="508" spans="1:21">
      <c r="A508" t="s">
        <v>501</v>
      </c>
      <c r="B508">
        <v>11</v>
      </c>
      <c r="C508" t="str">
        <f t="shared" si="57"/>
        <v>test.TIFFFaxDecoder_11_</v>
      </c>
      <c r="D508">
        <v>13</v>
      </c>
      <c r="E508" s="4">
        <v>0.88636363636363635</v>
      </c>
      <c r="F508" s="4">
        <v>0.57194406856111868</v>
      </c>
      <c r="G508" s="4" t="str">
        <f t="shared" si="58"/>
        <v/>
      </c>
      <c r="H508" s="4" t="str">
        <f t="shared" si="59"/>
        <v/>
      </c>
      <c r="I508" s="4">
        <f t="shared" si="60"/>
        <v>0.88636363636363635</v>
      </c>
      <c r="J508" s="4" t="str">
        <f t="shared" si="61"/>
        <v/>
      </c>
      <c r="K508" s="4" t="str">
        <f t="shared" si="62"/>
        <v/>
      </c>
      <c r="L508" s="4" t="str">
        <f t="shared" si="63"/>
        <v/>
      </c>
      <c r="M508" s="4"/>
      <c r="N508" s="4"/>
      <c r="O508" s="4"/>
      <c r="P508" s="4"/>
      <c r="Q508" s="4"/>
      <c r="R508" s="4"/>
      <c r="S508" s="4"/>
      <c r="T508" s="4"/>
      <c r="U508" s="4"/>
    </row>
    <row r="509" spans="1:21">
      <c r="A509" t="s">
        <v>501</v>
      </c>
      <c r="B509">
        <v>11</v>
      </c>
      <c r="C509" t="str">
        <f t="shared" si="57"/>
        <v>test.TIFFFaxDecoder_11_</v>
      </c>
      <c r="D509">
        <v>14</v>
      </c>
      <c r="E509" s="4">
        <v>0.88636363636363635</v>
      </c>
      <c r="F509" s="4">
        <v>0.58051420838971579</v>
      </c>
      <c r="G509" s="4" t="str">
        <f t="shared" si="58"/>
        <v/>
      </c>
      <c r="H509" s="4" t="str">
        <f t="shared" si="59"/>
        <v/>
      </c>
      <c r="I509" s="4">
        <f t="shared" si="60"/>
        <v>0.88636363636363635</v>
      </c>
      <c r="J509" s="4" t="str">
        <f t="shared" si="61"/>
        <v/>
      </c>
      <c r="K509" s="4" t="str">
        <f t="shared" si="62"/>
        <v/>
      </c>
      <c r="L509" s="4" t="str">
        <f t="shared" si="63"/>
        <v/>
      </c>
      <c r="M509" s="4"/>
      <c r="N509" s="4"/>
      <c r="O509" s="4"/>
      <c r="P509" s="4"/>
      <c r="Q509" s="4"/>
      <c r="R509" s="4"/>
      <c r="S509" s="4"/>
      <c r="T509" s="4"/>
      <c r="U509" s="4"/>
    </row>
    <row r="510" spans="1:21">
      <c r="A510" t="s">
        <v>501</v>
      </c>
      <c r="B510">
        <v>11</v>
      </c>
      <c r="C510" t="str">
        <f t="shared" si="57"/>
        <v>test.TIFFFaxDecoder_11_</v>
      </c>
      <c r="D510">
        <v>15</v>
      </c>
      <c r="E510" s="4">
        <v>1</v>
      </c>
      <c r="F510" s="4">
        <v>0.58096526838069462</v>
      </c>
      <c r="G510" s="4" t="str">
        <f t="shared" si="58"/>
        <v/>
      </c>
      <c r="H510" s="4" t="str">
        <f t="shared" si="59"/>
        <v/>
      </c>
      <c r="I510" s="4">
        <f t="shared" si="60"/>
        <v>1</v>
      </c>
      <c r="J510" s="4" t="str">
        <f t="shared" si="61"/>
        <v/>
      </c>
      <c r="K510" s="4" t="str">
        <f t="shared" si="62"/>
        <v/>
      </c>
      <c r="L510" s="4" t="str">
        <f t="shared" si="63"/>
        <v/>
      </c>
      <c r="M510" s="4"/>
      <c r="N510" s="4"/>
      <c r="O510" s="4"/>
      <c r="P510" s="4"/>
      <c r="Q510" s="4"/>
      <c r="R510" s="4"/>
      <c r="S510" s="4"/>
      <c r="T510" s="4"/>
      <c r="U510" s="4"/>
    </row>
    <row r="511" spans="1:21">
      <c r="A511" t="s">
        <v>501</v>
      </c>
      <c r="B511">
        <v>11</v>
      </c>
      <c r="C511" t="str">
        <f t="shared" ref="C511:C540" si="64">CONCATENATE(A511, "_",B511,"_")</f>
        <v>test.TIFFFaxDecoder_11_</v>
      </c>
      <c r="D511">
        <v>16</v>
      </c>
      <c r="E511" s="4">
        <v>1</v>
      </c>
      <c r="F511" s="4">
        <v>0.58953540820929184</v>
      </c>
      <c r="G511" s="4" t="str">
        <f t="shared" ref="G511:G540" si="65">IF(F511 &lt;= 0.2,E511,"")</f>
        <v/>
      </c>
      <c r="H511" s="4" t="str">
        <f t="shared" ref="H511:H540" si="66">IF(AND($F511 &gt; 0.2,$F511 &lt;= 0.4),$E511,"")</f>
        <v/>
      </c>
      <c r="I511" s="4">
        <f t="shared" ref="I511:I540" si="67">IF(AND($F511 &gt; 0.4,$F511 &lt;= 0.6),$E511,"")</f>
        <v>1</v>
      </c>
      <c r="J511" s="4" t="str">
        <f t="shared" ref="J511:J540" si="68">IF(AND($F511 &gt; 0.6,$F511 &lt;= 0.8),$E511,"")</f>
        <v/>
      </c>
      <c r="K511" s="4" t="str">
        <f t="shared" ref="K511:K540" si="69">IF(AND($F511 &gt; 0.8, $F511 &lt;=1.1),$E511,"")</f>
        <v/>
      </c>
      <c r="L511" s="4" t="str">
        <f t="shared" ref="L511:L540" si="70">IF(AND($F511 &gt; 1.1),$E511,"")</f>
        <v/>
      </c>
      <c r="M511" s="4"/>
      <c r="N511" s="4"/>
      <c r="O511" s="4"/>
      <c r="P511" s="4"/>
      <c r="Q511" s="4"/>
      <c r="R511" s="4"/>
      <c r="S511" s="4"/>
      <c r="T511" s="4"/>
      <c r="U511" s="4"/>
    </row>
    <row r="512" spans="1:21">
      <c r="A512" t="s">
        <v>501</v>
      </c>
      <c r="B512">
        <v>11</v>
      </c>
      <c r="C512" t="str">
        <f t="shared" si="64"/>
        <v>test.TIFFFaxDecoder_11_</v>
      </c>
      <c r="D512">
        <v>17</v>
      </c>
      <c r="E512" s="4">
        <v>1</v>
      </c>
      <c r="F512" s="4">
        <v>0.600360847992783</v>
      </c>
      <c r="G512" s="4" t="str">
        <f t="shared" si="65"/>
        <v/>
      </c>
      <c r="H512" s="4" t="str">
        <f t="shared" si="66"/>
        <v/>
      </c>
      <c r="I512" s="4" t="str">
        <f t="shared" si="67"/>
        <v/>
      </c>
      <c r="J512" s="4">
        <f t="shared" si="68"/>
        <v>1</v>
      </c>
      <c r="K512" s="4" t="str">
        <f t="shared" si="69"/>
        <v/>
      </c>
      <c r="L512" s="4" t="str">
        <f t="shared" si="70"/>
        <v/>
      </c>
      <c r="M512" s="4"/>
      <c r="N512" s="4"/>
      <c r="O512" s="4"/>
      <c r="P512" s="4"/>
      <c r="Q512" s="4"/>
      <c r="R512" s="4"/>
      <c r="S512" s="4"/>
      <c r="T512" s="4"/>
      <c r="U512" s="4"/>
    </row>
    <row r="513" spans="1:21">
      <c r="A513" t="s">
        <v>501</v>
      </c>
      <c r="B513">
        <v>11</v>
      </c>
      <c r="C513" t="str">
        <f t="shared" si="64"/>
        <v>test.TIFFFaxDecoder_11_</v>
      </c>
      <c r="D513">
        <v>18</v>
      </c>
      <c r="E513" s="4">
        <v>1</v>
      </c>
      <c r="F513" s="4">
        <v>0.61705006765899861</v>
      </c>
      <c r="G513" s="4" t="str">
        <f t="shared" si="65"/>
        <v/>
      </c>
      <c r="H513" s="4" t="str">
        <f t="shared" si="66"/>
        <v/>
      </c>
      <c r="I513" s="4" t="str">
        <f t="shared" si="67"/>
        <v/>
      </c>
      <c r="J513" s="4">
        <f t="shared" si="68"/>
        <v>1</v>
      </c>
      <c r="K513" s="4" t="str">
        <f t="shared" si="69"/>
        <v/>
      </c>
      <c r="L513" s="4" t="str">
        <f t="shared" si="70"/>
        <v/>
      </c>
      <c r="M513" s="4"/>
      <c r="N513" s="4"/>
      <c r="O513" s="4"/>
      <c r="P513" s="4"/>
      <c r="Q513" s="4"/>
      <c r="R513" s="4"/>
      <c r="S513" s="4"/>
      <c r="T513" s="4"/>
      <c r="U513" s="4"/>
    </row>
    <row r="514" spans="1:21">
      <c r="A514" t="s">
        <v>501</v>
      </c>
      <c r="B514">
        <v>11</v>
      </c>
      <c r="C514" t="str">
        <f t="shared" si="64"/>
        <v>test.TIFFFaxDecoder_11_</v>
      </c>
      <c r="D514">
        <v>19</v>
      </c>
      <c r="E514" s="4">
        <v>1</v>
      </c>
      <c r="F514" s="4">
        <v>0.61930536761389265</v>
      </c>
      <c r="G514" s="4" t="str">
        <f t="shared" si="65"/>
        <v/>
      </c>
      <c r="H514" s="4" t="str">
        <f t="shared" si="66"/>
        <v/>
      </c>
      <c r="I514" s="4" t="str">
        <f t="shared" si="67"/>
        <v/>
      </c>
      <c r="J514" s="4">
        <f t="shared" si="68"/>
        <v>1</v>
      </c>
      <c r="K514" s="4" t="str">
        <f t="shared" si="69"/>
        <v/>
      </c>
      <c r="L514" s="4" t="str">
        <f t="shared" si="70"/>
        <v/>
      </c>
      <c r="M514" s="4"/>
      <c r="N514" s="4"/>
      <c r="O514" s="4"/>
      <c r="P514" s="4"/>
      <c r="Q514" s="4"/>
      <c r="R514" s="4"/>
      <c r="S514" s="4"/>
      <c r="T514" s="4"/>
      <c r="U514" s="4"/>
    </row>
    <row r="515" spans="1:21">
      <c r="A515" t="s">
        <v>501</v>
      </c>
      <c r="B515">
        <v>12</v>
      </c>
      <c r="C515" t="str">
        <f t="shared" si="64"/>
        <v>test.TIFFFaxDecoder_12_</v>
      </c>
      <c r="D515">
        <v>1</v>
      </c>
      <c r="E515" s="4">
        <v>0.125</v>
      </c>
      <c r="F515" s="4">
        <v>0.17660550458715596</v>
      </c>
      <c r="G515" s="4">
        <f t="shared" si="65"/>
        <v>0.125</v>
      </c>
      <c r="H515" s="4" t="str">
        <f t="shared" si="66"/>
        <v/>
      </c>
      <c r="I515" s="4" t="str">
        <f t="shared" si="67"/>
        <v/>
      </c>
      <c r="J515" s="4" t="str">
        <f t="shared" si="68"/>
        <v/>
      </c>
      <c r="K515" s="4" t="str">
        <f t="shared" si="69"/>
        <v/>
      </c>
      <c r="L515" s="4" t="str">
        <f t="shared" si="70"/>
        <v/>
      </c>
      <c r="M515" s="4"/>
      <c r="N515" s="4"/>
      <c r="O515" s="4"/>
      <c r="P515" s="4"/>
      <c r="Q515" s="4"/>
      <c r="R515" s="4"/>
      <c r="S515" s="4"/>
      <c r="T515" s="4"/>
      <c r="U515" s="4"/>
    </row>
    <row r="516" spans="1:21">
      <c r="A516" t="s">
        <v>501</v>
      </c>
      <c r="B516">
        <v>12</v>
      </c>
      <c r="C516" t="str">
        <f t="shared" si="64"/>
        <v>test.TIFFFaxDecoder_12_</v>
      </c>
      <c r="D516">
        <v>2</v>
      </c>
      <c r="E516" s="4">
        <v>0.5178571428571429</v>
      </c>
      <c r="F516" s="4">
        <v>0.57951070336391441</v>
      </c>
      <c r="G516" s="4" t="str">
        <f t="shared" si="65"/>
        <v/>
      </c>
      <c r="H516" s="4" t="str">
        <f t="shared" si="66"/>
        <v/>
      </c>
      <c r="I516" s="4">
        <f t="shared" si="67"/>
        <v>0.5178571428571429</v>
      </c>
      <c r="J516" s="4" t="str">
        <f t="shared" si="68"/>
        <v/>
      </c>
      <c r="K516" s="4" t="str">
        <f t="shared" si="69"/>
        <v/>
      </c>
      <c r="L516" s="4" t="str">
        <f t="shared" si="70"/>
        <v/>
      </c>
      <c r="M516" s="4"/>
      <c r="N516" s="4"/>
      <c r="O516" s="4"/>
      <c r="P516" s="4"/>
      <c r="Q516" s="4"/>
      <c r="R516" s="4"/>
      <c r="S516" s="4"/>
      <c r="T516" s="4"/>
      <c r="U516" s="4"/>
    </row>
    <row r="517" spans="1:21">
      <c r="A517" t="s">
        <v>501</v>
      </c>
      <c r="B517">
        <v>12</v>
      </c>
      <c r="C517" t="str">
        <f t="shared" si="64"/>
        <v>test.TIFFFaxDecoder_12_</v>
      </c>
      <c r="D517">
        <v>3</v>
      </c>
      <c r="E517" s="4">
        <v>0.5714285714285714</v>
      </c>
      <c r="F517" s="4">
        <v>0.58103975535168195</v>
      </c>
      <c r="G517" s="4" t="str">
        <f t="shared" si="65"/>
        <v/>
      </c>
      <c r="H517" s="4" t="str">
        <f t="shared" si="66"/>
        <v/>
      </c>
      <c r="I517" s="4">
        <f t="shared" si="67"/>
        <v>0.5714285714285714</v>
      </c>
      <c r="J517" s="4" t="str">
        <f t="shared" si="68"/>
        <v/>
      </c>
      <c r="K517" s="4" t="str">
        <f t="shared" si="69"/>
        <v/>
      </c>
      <c r="L517" s="4" t="str">
        <f t="shared" si="70"/>
        <v/>
      </c>
      <c r="M517" s="4"/>
      <c r="N517" s="4"/>
      <c r="O517" s="4"/>
      <c r="P517" s="4"/>
      <c r="Q517" s="4"/>
      <c r="R517" s="4"/>
      <c r="S517" s="4"/>
      <c r="T517" s="4"/>
      <c r="U517" s="4"/>
    </row>
    <row r="518" spans="1:21">
      <c r="A518" t="s">
        <v>501</v>
      </c>
      <c r="B518">
        <v>12</v>
      </c>
      <c r="C518" t="str">
        <f t="shared" si="64"/>
        <v>test.TIFFFaxDecoder_12_</v>
      </c>
      <c r="D518">
        <v>4</v>
      </c>
      <c r="E518" s="4">
        <v>0.7678571428571429</v>
      </c>
      <c r="F518" s="4">
        <v>0.59785932721712542</v>
      </c>
      <c r="G518" s="4" t="str">
        <f t="shared" si="65"/>
        <v/>
      </c>
      <c r="H518" s="4" t="str">
        <f t="shared" si="66"/>
        <v/>
      </c>
      <c r="I518" s="4">
        <f t="shared" si="67"/>
        <v>0.7678571428571429</v>
      </c>
      <c r="J518" s="4" t="str">
        <f t="shared" si="68"/>
        <v/>
      </c>
      <c r="K518" s="4" t="str">
        <f t="shared" si="69"/>
        <v/>
      </c>
      <c r="L518" s="4" t="str">
        <f t="shared" si="70"/>
        <v/>
      </c>
      <c r="M518" s="4"/>
      <c r="N518" s="4"/>
      <c r="O518" s="4"/>
      <c r="P518" s="4"/>
      <c r="Q518" s="4"/>
      <c r="R518" s="4"/>
      <c r="S518" s="4"/>
      <c r="T518" s="4"/>
      <c r="U518" s="4"/>
    </row>
    <row r="519" spans="1:21">
      <c r="A519" t="s">
        <v>501</v>
      </c>
      <c r="B519">
        <v>12</v>
      </c>
      <c r="C519" t="str">
        <f t="shared" si="64"/>
        <v>test.TIFFFaxDecoder_12_</v>
      </c>
      <c r="D519">
        <v>5</v>
      </c>
      <c r="E519" s="4">
        <v>0.7678571428571429</v>
      </c>
      <c r="F519" s="4">
        <v>0.61238532110091748</v>
      </c>
      <c r="G519" s="4" t="str">
        <f t="shared" si="65"/>
        <v/>
      </c>
      <c r="H519" s="4" t="str">
        <f t="shared" si="66"/>
        <v/>
      </c>
      <c r="I519" s="4" t="str">
        <f t="shared" si="67"/>
        <v/>
      </c>
      <c r="J519" s="4">
        <f t="shared" si="68"/>
        <v>0.7678571428571429</v>
      </c>
      <c r="K519" s="4" t="str">
        <f t="shared" si="69"/>
        <v/>
      </c>
      <c r="L519" s="4" t="str">
        <f t="shared" si="70"/>
        <v/>
      </c>
      <c r="M519" s="4"/>
      <c r="N519" s="4"/>
      <c r="O519" s="4"/>
      <c r="P519" s="4"/>
      <c r="Q519" s="4"/>
      <c r="R519" s="4"/>
      <c r="S519" s="4"/>
      <c r="T519" s="4"/>
      <c r="U519" s="4"/>
    </row>
    <row r="520" spans="1:21">
      <c r="A520" t="s">
        <v>501</v>
      </c>
      <c r="B520">
        <v>12</v>
      </c>
      <c r="C520" t="str">
        <f t="shared" si="64"/>
        <v>test.TIFFFaxDecoder_12_</v>
      </c>
      <c r="D520">
        <v>6</v>
      </c>
      <c r="E520" s="4">
        <v>0.9464285714285714</v>
      </c>
      <c r="F520" s="4">
        <v>0.62920489296636084</v>
      </c>
      <c r="G520" s="4" t="str">
        <f t="shared" si="65"/>
        <v/>
      </c>
      <c r="H520" s="4" t="str">
        <f t="shared" si="66"/>
        <v/>
      </c>
      <c r="I520" s="4" t="str">
        <f t="shared" si="67"/>
        <v/>
      </c>
      <c r="J520" s="4">
        <f t="shared" si="68"/>
        <v>0.9464285714285714</v>
      </c>
      <c r="K520" s="4" t="str">
        <f t="shared" si="69"/>
        <v/>
      </c>
      <c r="L520" s="4" t="str">
        <f t="shared" si="70"/>
        <v/>
      </c>
      <c r="M520" s="4"/>
      <c r="N520" s="4"/>
      <c r="O520" s="4"/>
      <c r="P520" s="4"/>
      <c r="Q520" s="4"/>
      <c r="R520" s="4"/>
      <c r="S520" s="4"/>
      <c r="T520" s="4"/>
      <c r="U520" s="4"/>
    </row>
    <row r="521" spans="1:21">
      <c r="A521" t="s">
        <v>501</v>
      </c>
      <c r="B521">
        <v>12</v>
      </c>
      <c r="C521" t="str">
        <f t="shared" si="64"/>
        <v>test.TIFFFaxDecoder_12_</v>
      </c>
      <c r="D521">
        <v>7</v>
      </c>
      <c r="E521" s="4">
        <v>1</v>
      </c>
      <c r="F521" s="4">
        <v>0.64678899082568808</v>
      </c>
      <c r="G521" s="4" t="str">
        <f t="shared" si="65"/>
        <v/>
      </c>
      <c r="H521" s="4" t="str">
        <f t="shared" si="66"/>
        <v/>
      </c>
      <c r="I521" s="4" t="str">
        <f t="shared" si="67"/>
        <v/>
      </c>
      <c r="J521" s="4">
        <f t="shared" si="68"/>
        <v>1</v>
      </c>
      <c r="K521" s="4" t="str">
        <f t="shared" si="69"/>
        <v/>
      </c>
      <c r="L521" s="4" t="str">
        <f t="shared" si="70"/>
        <v/>
      </c>
      <c r="M521" s="4"/>
      <c r="N521" s="4"/>
      <c r="O521" s="4"/>
      <c r="P521" s="4"/>
      <c r="Q521" s="4"/>
      <c r="R521" s="4"/>
      <c r="S521" s="4"/>
      <c r="T521" s="4"/>
      <c r="U521" s="4"/>
    </row>
    <row r="522" spans="1:21">
      <c r="A522" t="s">
        <v>501</v>
      </c>
      <c r="B522">
        <v>12</v>
      </c>
      <c r="C522" t="str">
        <f t="shared" si="64"/>
        <v>test.TIFFFaxDecoder_12_</v>
      </c>
      <c r="D522">
        <v>8</v>
      </c>
      <c r="E522" s="4">
        <v>1</v>
      </c>
      <c r="F522" s="4">
        <v>0.65596330275229353</v>
      </c>
      <c r="G522" s="4" t="str">
        <f t="shared" si="65"/>
        <v/>
      </c>
      <c r="H522" s="4" t="str">
        <f t="shared" si="66"/>
        <v/>
      </c>
      <c r="I522" s="4" t="str">
        <f t="shared" si="67"/>
        <v/>
      </c>
      <c r="J522" s="4">
        <f t="shared" si="68"/>
        <v>1</v>
      </c>
      <c r="K522" s="4" t="str">
        <f t="shared" si="69"/>
        <v/>
      </c>
      <c r="L522" s="4" t="str">
        <f t="shared" si="70"/>
        <v/>
      </c>
      <c r="M522" s="4"/>
      <c r="N522" s="4"/>
      <c r="O522" s="4"/>
      <c r="P522" s="4"/>
      <c r="Q522" s="4"/>
      <c r="R522" s="4"/>
      <c r="S522" s="4"/>
      <c r="T522" s="4"/>
      <c r="U522" s="4"/>
    </row>
    <row r="523" spans="1:21">
      <c r="A523" t="s">
        <v>501</v>
      </c>
      <c r="B523">
        <v>12</v>
      </c>
      <c r="C523" t="str">
        <f t="shared" si="64"/>
        <v>test.TIFFFaxDecoder_12_</v>
      </c>
      <c r="D523">
        <v>9</v>
      </c>
      <c r="E523" s="4">
        <v>1</v>
      </c>
      <c r="F523" s="4">
        <v>0.67966360856269115</v>
      </c>
      <c r="G523" s="4" t="str">
        <f t="shared" si="65"/>
        <v/>
      </c>
      <c r="H523" s="4" t="str">
        <f t="shared" si="66"/>
        <v/>
      </c>
      <c r="I523" s="4" t="str">
        <f t="shared" si="67"/>
        <v/>
      </c>
      <c r="J523" s="4">
        <f t="shared" si="68"/>
        <v>1</v>
      </c>
      <c r="K523" s="4" t="str">
        <f t="shared" si="69"/>
        <v/>
      </c>
      <c r="L523" s="4" t="str">
        <f t="shared" si="70"/>
        <v/>
      </c>
      <c r="M523" s="4"/>
      <c r="N523" s="4"/>
      <c r="O523" s="4"/>
      <c r="P523" s="4"/>
      <c r="Q523" s="4"/>
      <c r="R523" s="4"/>
      <c r="S523" s="4"/>
      <c r="T523" s="4"/>
      <c r="U523" s="4"/>
    </row>
    <row r="524" spans="1:21">
      <c r="A524" t="s">
        <v>501</v>
      </c>
      <c r="B524">
        <v>13</v>
      </c>
      <c r="C524" t="str">
        <f t="shared" si="64"/>
        <v>test.TIFFFaxDecoder_13_</v>
      </c>
      <c r="D524">
        <v>1</v>
      </c>
      <c r="E524" s="4">
        <v>0.42857142857142855</v>
      </c>
      <c r="F524" s="4">
        <v>0.65020576131687247</v>
      </c>
      <c r="G524" s="4" t="str">
        <f t="shared" si="65"/>
        <v/>
      </c>
      <c r="H524" s="4" t="str">
        <f t="shared" si="66"/>
        <v/>
      </c>
      <c r="I524" s="4" t="str">
        <f t="shared" si="67"/>
        <v/>
      </c>
      <c r="J524" s="4">
        <f t="shared" si="68"/>
        <v>0.42857142857142855</v>
      </c>
      <c r="K524" s="4" t="str">
        <f t="shared" si="69"/>
        <v/>
      </c>
      <c r="L524" s="4" t="str">
        <f t="shared" si="70"/>
        <v/>
      </c>
      <c r="M524" s="4"/>
      <c r="N524" s="4"/>
      <c r="O524" s="4"/>
      <c r="P524" s="4"/>
      <c r="Q524" s="4"/>
      <c r="R524" s="4"/>
      <c r="S524" s="4"/>
      <c r="T524" s="4"/>
      <c r="U524" s="4"/>
    </row>
    <row r="525" spans="1:21">
      <c r="A525" t="s">
        <v>501</v>
      </c>
      <c r="B525">
        <v>13</v>
      </c>
      <c r="C525" t="str">
        <f t="shared" si="64"/>
        <v>test.TIFFFaxDecoder_13_</v>
      </c>
      <c r="D525">
        <v>2</v>
      </c>
      <c r="E525" s="4">
        <v>1</v>
      </c>
      <c r="F525" s="4">
        <v>0.94650205761316875</v>
      </c>
      <c r="G525" s="4" t="str">
        <f t="shared" si="65"/>
        <v/>
      </c>
      <c r="H525" s="4" t="str">
        <f t="shared" si="66"/>
        <v/>
      </c>
      <c r="I525" s="4" t="str">
        <f t="shared" si="67"/>
        <v/>
      </c>
      <c r="J525" s="4" t="str">
        <f t="shared" si="68"/>
        <v/>
      </c>
      <c r="K525" s="4">
        <f t="shared" si="69"/>
        <v>1</v>
      </c>
      <c r="L525" s="4" t="str">
        <f t="shared" si="70"/>
        <v/>
      </c>
      <c r="M525" s="4"/>
      <c r="N525" s="4"/>
      <c r="O525" s="4"/>
      <c r="P525" s="4"/>
      <c r="Q525" s="4"/>
      <c r="R525" s="4"/>
      <c r="S525" s="4"/>
      <c r="T525" s="4"/>
      <c r="U525" s="4"/>
    </row>
    <row r="526" spans="1:21">
      <c r="A526" t="s">
        <v>880</v>
      </c>
      <c r="B526">
        <v>2</v>
      </c>
      <c r="C526" t="str">
        <f t="shared" si="64"/>
        <v>test.TIFFFaxEncoder_2_</v>
      </c>
      <c r="D526">
        <v>1</v>
      </c>
      <c r="E526" s="4">
        <v>0.352112676056338</v>
      </c>
      <c r="F526" s="4">
        <v>0.31107011070110702</v>
      </c>
      <c r="G526" s="4" t="str">
        <f t="shared" si="65"/>
        <v/>
      </c>
      <c r="H526" s="4">
        <f t="shared" si="66"/>
        <v>0.352112676056338</v>
      </c>
      <c r="I526" s="4" t="str">
        <f t="shared" si="67"/>
        <v/>
      </c>
      <c r="J526" s="4" t="str">
        <f t="shared" si="68"/>
        <v/>
      </c>
      <c r="K526" s="4" t="str">
        <f t="shared" si="69"/>
        <v/>
      </c>
      <c r="L526" s="4" t="str">
        <f t="shared" si="70"/>
        <v/>
      </c>
      <c r="M526" s="4"/>
      <c r="N526" s="4"/>
      <c r="O526" s="4"/>
      <c r="P526" s="4"/>
      <c r="Q526" s="4"/>
      <c r="R526" s="4"/>
      <c r="S526" s="4"/>
      <c r="T526" s="4"/>
      <c r="U526" s="4"/>
    </row>
    <row r="527" spans="1:21">
      <c r="A527" t="s">
        <v>880</v>
      </c>
      <c r="B527">
        <v>2</v>
      </c>
      <c r="C527" t="str">
        <f t="shared" si="64"/>
        <v>test.TIFFFaxEncoder_2_</v>
      </c>
      <c r="D527">
        <v>2</v>
      </c>
      <c r="E527" s="4">
        <v>0.70422535211267601</v>
      </c>
      <c r="F527" s="4">
        <v>0.45719557195571958</v>
      </c>
      <c r="G527" s="4" t="str">
        <f t="shared" si="65"/>
        <v/>
      </c>
      <c r="H527" s="4" t="str">
        <f t="shared" si="66"/>
        <v/>
      </c>
      <c r="I527" s="4">
        <f t="shared" si="67"/>
        <v>0.70422535211267601</v>
      </c>
      <c r="J527" s="4" t="str">
        <f t="shared" si="68"/>
        <v/>
      </c>
      <c r="K527" s="4" t="str">
        <f t="shared" si="69"/>
        <v/>
      </c>
      <c r="L527" s="4" t="str">
        <f t="shared" si="70"/>
        <v/>
      </c>
      <c r="M527" s="4"/>
      <c r="N527" s="4"/>
      <c r="O527" s="4"/>
      <c r="P527" s="4"/>
      <c r="Q527" s="4"/>
      <c r="R527" s="4"/>
      <c r="S527" s="4"/>
      <c r="T527" s="4"/>
      <c r="U527" s="4"/>
    </row>
    <row r="528" spans="1:21">
      <c r="A528" t="s">
        <v>880</v>
      </c>
      <c r="B528">
        <v>2</v>
      </c>
      <c r="C528" t="str">
        <f t="shared" si="64"/>
        <v>test.TIFFFaxEncoder_2_</v>
      </c>
      <c r="D528">
        <v>3</v>
      </c>
      <c r="E528" s="4">
        <v>1</v>
      </c>
      <c r="F528" s="4">
        <v>0.65867158671586712</v>
      </c>
      <c r="G528" s="4" t="str">
        <f t="shared" si="65"/>
        <v/>
      </c>
      <c r="H528" s="4" t="str">
        <f t="shared" si="66"/>
        <v/>
      </c>
      <c r="I528" s="4" t="str">
        <f t="shared" si="67"/>
        <v/>
      </c>
      <c r="J528" s="4">
        <f t="shared" si="68"/>
        <v>1</v>
      </c>
      <c r="K528" s="4" t="str">
        <f t="shared" si="69"/>
        <v/>
      </c>
      <c r="L528" s="4" t="str">
        <f t="shared" si="70"/>
        <v/>
      </c>
      <c r="M528" s="4"/>
      <c r="N528" s="4"/>
      <c r="O528" s="4"/>
      <c r="P528" s="4"/>
      <c r="Q528" s="4"/>
      <c r="R528" s="4"/>
      <c r="S528" s="4"/>
      <c r="T528" s="4"/>
      <c r="U528" s="4"/>
    </row>
    <row r="529" spans="1:21">
      <c r="A529" t="s">
        <v>880</v>
      </c>
      <c r="B529">
        <v>6</v>
      </c>
      <c r="C529" t="str">
        <f t="shared" si="64"/>
        <v>test.TIFFFaxEncoder_6_</v>
      </c>
      <c r="D529">
        <v>1</v>
      </c>
      <c r="E529" s="4">
        <v>0.67741935483870963</v>
      </c>
      <c r="F529" s="4">
        <v>0.76618705035971224</v>
      </c>
      <c r="G529" s="4" t="str">
        <f t="shared" si="65"/>
        <v/>
      </c>
      <c r="H529" s="4" t="str">
        <f t="shared" si="66"/>
        <v/>
      </c>
      <c r="I529" s="4" t="str">
        <f t="shared" si="67"/>
        <v/>
      </c>
      <c r="J529" s="4">
        <f t="shared" si="68"/>
        <v>0.67741935483870963</v>
      </c>
      <c r="K529" s="4" t="str">
        <f t="shared" si="69"/>
        <v/>
      </c>
      <c r="L529" s="4" t="str">
        <f t="shared" si="70"/>
        <v/>
      </c>
      <c r="M529" s="4"/>
      <c r="N529" s="4"/>
      <c r="O529" s="4"/>
      <c r="P529" s="4"/>
      <c r="Q529" s="4"/>
      <c r="R529" s="4"/>
      <c r="S529" s="4"/>
      <c r="T529" s="4"/>
      <c r="U529" s="4"/>
    </row>
    <row r="530" spans="1:21">
      <c r="A530" t="s">
        <v>880</v>
      </c>
      <c r="B530">
        <v>6</v>
      </c>
      <c r="C530" t="str">
        <f t="shared" si="64"/>
        <v>test.TIFFFaxEncoder_6_</v>
      </c>
      <c r="D530">
        <v>2</v>
      </c>
      <c r="E530" s="4">
        <v>0.74193548387096775</v>
      </c>
      <c r="F530" s="4">
        <v>0.77248201438848918</v>
      </c>
      <c r="G530" s="4" t="str">
        <f t="shared" si="65"/>
        <v/>
      </c>
      <c r="H530" s="4" t="str">
        <f t="shared" si="66"/>
        <v/>
      </c>
      <c r="I530" s="4" t="str">
        <f t="shared" si="67"/>
        <v/>
      </c>
      <c r="J530" s="4">
        <f t="shared" si="68"/>
        <v>0.74193548387096775</v>
      </c>
      <c r="K530" s="4" t="str">
        <f t="shared" si="69"/>
        <v/>
      </c>
      <c r="L530" s="4" t="str">
        <f t="shared" si="70"/>
        <v/>
      </c>
      <c r="M530" s="4"/>
      <c r="N530" s="4"/>
      <c r="O530" s="4"/>
      <c r="P530" s="4"/>
      <c r="Q530" s="4"/>
      <c r="R530" s="4"/>
      <c r="S530" s="4"/>
      <c r="T530" s="4"/>
      <c r="U530" s="4"/>
    </row>
    <row r="531" spans="1:21">
      <c r="A531" t="s">
        <v>880</v>
      </c>
      <c r="B531">
        <v>6</v>
      </c>
      <c r="C531" t="str">
        <f t="shared" si="64"/>
        <v>test.TIFFFaxEncoder_6_</v>
      </c>
      <c r="D531">
        <v>3</v>
      </c>
      <c r="E531" s="4">
        <v>0.967741935483871</v>
      </c>
      <c r="F531" s="4">
        <v>0.87320143884892087</v>
      </c>
      <c r="G531" s="4" t="str">
        <f t="shared" si="65"/>
        <v/>
      </c>
      <c r="H531" s="4" t="str">
        <f t="shared" si="66"/>
        <v/>
      </c>
      <c r="I531" s="4" t="str">
        <f t="shared" si="67"/>
        <v/>
      </c>
      <c r="J531" s="4" t="str">
        <f t="shared" si="68"/>
        <v/>
      </c>
      <c r="K531" s="4">
        <f t="shared" si="69"/>
        <v>0.967741935483871</v>
      </c>
      <c r="L531" s="4" t="str">
        <f t="shared" si="70"/>
        <v/>
      </c>
      <c r="M531" s="4"/>
      <c r="N531" s="4"/>
      <c r="O531" s="4"/>
      <c r="P531" s="4"/>
      <c r="Q531" s="4"/>
      <c r="R531" s="4"/>
      <c r="S531" s="4"/>
      <c r="T531" s="4"/>
      <c r="U531" s="4"/>
    </row>
    <row r="532" spans="1:21">
      <c r="A532" t="s">
        <v>880</v>
      </c>
      <c r="B532">
        <v>6</v>
      </c>
      <c r="C532" t="str">
        <f t="shared" si="64"/>
        <v>test.TIFFFaxEncoder_6_</v>
      </c>
      <c r="D532">
        <v>4</v>
      </c>
      <c r="E532" s="4">
        <v>1</v>
      </c>
      <c r="F532" s="4">
        <v>0.87769784172661869</v>
      </c>
      <c r="G532" s="4" t="str">
        <f t="shared" si="65"/>
        <v/>
      </c>
      <c r="H532" s="4" t="str">
        <f t="shared" si="66"/>
        <v/>
      </c>
      <c r="I532" s="4" t="str">
        <f t="shared" si="67"/>
        <v/>
      </c>
      <c r="J532" s="4" t="str">
        <f t="shared" si="68"/>
        <v/>
      </c>
      <c r="K532" s="4">
        <f t="shared" si="69"/>
        <v>1</v>
      </c>
      <c r="L532" s="4" t="str">
        <f t="shared" si="70"/>
        <v/>
      </c>
      <c r="M532" s="4"/>
      <c r="N532" s="4"/>
      <c r="O532" s="4"/>
      <c r="P532" s="4"/>
      <c r="Q532" s="4"/>
      <c r="R532" s="4"/>
      <c r="S532" s="4"/>
      <c r="T532" s="4"/>
      <c r="U532" s="4"/>
    </row>
    <row r="533" spans="1:21">
      <c r="A533" t="s">
        <v>880</v>
      </c>
      <c r="B533">
        <v>6</v>
      </c>
      <c r="C533" t="str">
        <f t="shared" si="64"/>
        <v>test.TIFFFaxEncoder_6_</v>
      </c>
      <c r="D533">
        <v>5</v>
      </c>
      <c r="E533" s="4">
        <v>1</v>
      </c>
      <c r="F533" s="4">
        <v>0.88399280575539574</v>
      </c>
      <c r="G533" s="4" t="str">
        <f t="shared" si="65"/>
        <v/>
      </c>
      <c r="H533" s="4" t="str">
        <f t="shared" si="66"/>
        <v/>
      </c>
      <c r="I533" s="4" t="str">
        <f t="shared" si="67"/>
        <v/>
      </c>
      <c r="J533" s="4" t="str">
        <f t="shared" si="68"/>
        <v/>
      </c>
      <c r="K533" s="4">
        <f t="shared" si="69"/>
        <v>1</v>
      </c>
      <c r="L533" s="4" t="str">
        <f t="shared" si="70"/>
        <v/>
      </c>
      <c r="M533" s="4"/>
      <c r="N533" s="4"/>
      <c r="O533" s="4"/>
      <c r="P533" s="4"/>
      <c r="Q533" s="4"/>
      <c r="R533" s="4"/>
      <c r="S533" s="4"/>
      <c r="T533" s="4"/>
      <c r="U533" s="4"/>
    </row>
    <row r="534" spans="1:21">
      <c r="A534" t="s">
        <v>880</v>
      </c>
      <c r="B534">
        <v>6</v>
      </c>
      <c r="C534" t="str">
        <f t="shared" si="64"/>
        <v>test.TIFFFaxEncoder_6_</v>
      </c>
      <c r="D534">
        <v>6</v>
      </c>
      <c r="E534" s="4">
        <v>1</v>
      </c>
      <c r="F534" s="4">
        <v>0.88579136690647486</v>
      </c>
      <c r="G534" s="4" t="str">
        <f t="shared" si="65"/>
        <v/>
      </c>
      <c r="H534" s="4" t="str">
        <f t="shared" si="66"/>
        <v/>
      </c>
      <c r="I534" s="4" t="str">
        <f t="shared" si="67"/>
        <v/>
      </c>
      <c r="J534" s="4" t="str">
        <f t="shared" si="68"/>
        <v/>
      </c>
      <c r="K534" s="4">
        <f t="shared" si="69"/>
        <v>1</v>
      </c>
      <c r="L534" s="4" t="str">
        <f t="shared" si="70"/>
        <v/>
      </c>
      <c r="M534" s="4"/>
      <c r="N534" s="4"/>
      <c r="O534" s="4"/>
      <c r="P534" s="4"/>
      <c r="Q534" s="4"/>
      <c r="R534" s="4"/>
      <c r="S534" s="4"/>
      <c r="T534" s="4"/>
      <c r="U534" s="4"/>
    </row>
    <row r="535" spans="1:21">
      <c r="A535" t="s">
        <v>880</v>
      </c>
      <c r="B535">
        <v>8</v>
      </c>
      <c r="C535" t="str">
        <f t="shared" si="64"/>
        <v>test.TIFFFaxEncoder_8_</v>
      </c>
      <c r="D535">
        <v>1</v>
      </c>
      <c r="E535" s="4">
        <v>0.89655172413793105</v>
      </c>
      <c r="F535" s="4">
        <v>0.92384615384615387</v>
      </c>
      <c r="G535" s="4" t="str">
        <f t="shared" si="65"/>
        <v/>
      </c>
      <c r="H535" s="4" t="str">
        <f t="shared" si="66"/>
        <v/>
      </c>
      <c r="I535" s="4" t="str">
        <f t="shared" si="67"/>
        <v/>
      </c>
      <c r="J535" s="4" t="str">
        <f t="shared" si="68"/>
        <v/>
      </c>
      <c r="K535" s="4">
        <f t="shared" si="69"/>
        <v>0.89655172413793105</v>
      </c>
      <c r="L535" s="4" t="str">
        <f t="shared" si="70"/>
        <v/>
      </c>
      <c r="M535" s="4"/>
      <c r="N535" s="4"/>
      <c r="O535" s="4"/>
      <c r="P535" s="4"/>
      <c r="Q535" s="4"/>
      <c r="R535" s="4"/>
      <c r="S535" s="4"/>
      <c r="T535" s="4"/>
      <c r="U535" s="4"/>
    </row>
    <row r="536" spans="1:21">
      <c r="A536" t="s">
        <v>880</v>
      </c>
      <c r="B536">
        <v>8</v>
      </c>
      <c r="C536" t="str">
        <f t="shared" si="64"/>
        <v>test.TIFFFaxEncoder_8_</v>
      </c>
      <c r="D536">
        <v>2</v>
      </c>
      <c r="E536" s="4">
        <v>1</v>
      </c>
      <c r="F536" s="4">
        <v>0.94384615384615389</v>
      </c>
      <c r="G536" s="4" t="str">
        <f t="shared" si="65"/>
        <v/>
      </c>
      <c r="H536" s="4" t="str">
        <f t="shared" si="66"/>
        <v/>
      </c>
      <c r="I536" s="4" t="str">
        <f t="shared" si="67"/>
        <v/>
      </c>
      <c r="J536" s="4" t="str">
        <f t="shared" si="68"/>
        <v/>
      </c>
      <c r="K536" s="4">
        <f t="shared" si="69"/>
        <v>1</v>
      </c>
      <c r="L536" s="4" t="str">
        <f t="shared" si="70"/>
        <v/>
      </c>
      <c r="M536" s="4"/>
      <c r="N536" s="4"/>
      <c r="O536" s="4"/>
      <c r="P536" s="4"/>
      <c r="Q536" s="4"/>
      <c r="R536" s="4"/>
      <c r="S536" s="4"/>
      <c r="T536" s="4"/>
      <c r="U536" s="4"/>
    </row>
    <row r="537" spans="1:21">
      <c r="A537" t="s">
        <v>880</v>
      </c>
      <c r="B537">
        <v>11</v>
      </c>
      <c r="C537" t="str">
        <f t="shared" si="64"/>
        <v>test.TIFFFaxEncoder_11_</v>
      </c>
      <c r="D537">
        <v>1</v>
      </c>
      <c r="E537" s="4">
        <v>0.81739130434782614</v>
      </c>
      <c r="F537" s="4">
        <v>0.80502085338466478</v>
      </c>
      <c r="G537" s="4" t="str">
        <f t="shared" si="65"/>
        <v/>
      </c>
      <c r="H537" s="4" t="str">
        <f t="shared" si="66"/>
        <v/>
      </c>
      <c r="I537" s="4" t="str">
        <f t="shared" si="67"/>
        <v/>
      </c>
      <c r="J537" s="4" t="str">
        <f t="shared" si="68"/>
        <v/>
      </c>
      <c r="K537" s="4">
        <f t="shared" si="69"/>
        <v>0.81739130434782614</v>
      </c>
      <c r="L537" s="4" t="str">
        <f t="shared" si="70"/>
        <v/>
      </c>
      <c r="M537" s="4"/>
      <c r="N537" s="4"/>
      <c r="O537" s="4"/>
      <c r="P537" s="4"/>
      <c r="Q537" s="4"/>
      <c r="R537" s="4"/>
      <c r="S537" s="4"/>
      <c r="T537" s="4"/>
      <c r="U537" s="4"/>
    </row>
    <row r="538" spans="1:21">
      <c r="A538" t="s">
        <v>880</v>
      </c>
      <c r="B538">
        <v>11</v>
      </c>
      <c r="C538" t="str">
        <f t="shared" si="64"/>
        <v>test.TIFFFaxEncoder_11_</v>
      </c>
      <c r="D538">
        <v>2</v>
      </c>
      <c r="E538" s="4">
        <v>0.89565217391304353</v>
      </c>
      <c r="F538" s="4">
        <v>0.87712544112929103</v>
      </c>
      <c r="G538" s="4" t="str">
        <f t="shared" si="65"/>
        <v/>
      </c>
      <c r="H538" s="4" t="str">
        <f t="shared" si="66"/>
        <v/>
      </c>
      <c r="I538" s="4" t="str">
        <f t="shared" si="67"/>
        <v/>
      </c>
      <c r="J538" s="4" t="str">
        <f t="shared" si="68"/>
        <v/>
      </c>
      <c r="K538" s="4">
        <f t="shared" si="69"/>
        <v>0.89565217391304353</v>
      </c>
      <c r="L538" s="4" t="str">
        <f t="shared" si="70"/>
        <v/>
      </c>
      <c r="M538" s="4"/>
      <c r="N538" s="4"/>
      <c r="O538" s="4"/>
      <c r="P538" s="4"/>
      <c r="Q538" s="4"/>
      <c r="R538" s="4"/>
      <c r="S538" s="4"/>
      <c r="T538" s="4"/>
      <c r="U538" s="4"/>
    </row>
    <row r="539" spans="1:21">
      <c r="A539" t="s">
        <v>880</v>
      </c>
      <c r="B539">
        <v>11</v>
      </c>
      <c r="C539" t="str">
        <f t="shared" si="64"/>
        <v>test.TIFFFaxEncoder_11_</v>
      </c>
      <c r="D539">
        <v>3</v>
      </c>
      <c r="E539" s="4">
        <v>0.99130434782608701</v>
      </c>
      <c r="F539" s="4">
        <v>0.92420596727622717</v>
      </c>
      <c r="G539" s="4" t="str">
        <f t="shared" si="65"/>
        <v/>
      </c>
      <c r="H539" s="4" t="str">
        <f t="shared" si="66"/>
        <v/>
      </c>
      <c r="I539" s="4" t="str">
        <f t="shared" si="67"/>
        <v/>
      </c>
      <c r="J539" s="4" t="str">
        <f t="shared" si="68"/>
        <v/>
      </c>
      <c r="K539" s="4">
        <f t="shared" si="69"/>
        <v>0.99130434782608701</v>
      </c>
      <c r="L539" s="4" t="str">
        <f t="shared" si="70"/>
        <v/>
      </c>
      <c r="M539" s="4"/>
      <c r="N539" s="4"/>
      <c r="O539" s="4"/>
      <c r="P539" s="4"/>
      <c r="Q539" s="4"/>
      <c r="R539" s="4"/>
      <c r="S539" s="4"/>
      <c r="T539" s="4"/>
      <c r="U539" s="4"/>
    </row>
    <row r="540" spans="1:21">
      <c r="A540" t="s">
        <v>880</v>
      </c>
      <c r="B540">
        <v>11</v>
      </c>
      <c r="C540" t="str">
        <f t="shared" si="64"/>
        <v>test.TIFFFaxEncoder_11_</v>
      </c>
      <c r="D540">
        <v>4</v>
      </c>
      <c r="E540" s="4">
        <v>1</v>
      </c>
      <c r="F540" s="4">
        <v>0.94000641642605065</v>
      </c>
      <c r="G540" s="4" t="str">
        <f t="shared" si="65"/>
        <v/>
      </c>
      <c r="H540" s="4" t="str">
        <f t="shared" si="66"/>
        <v/>
      </c>
      <c r="I540" s="4" t="str">
        <f t="shared" si="67"/>
        <v/>
      </c>
      <c r="J540" s="4" t="str">
        <f t="shared" si="68"/>
        <v/>
      </c>
      <c r="K540" s="4">
        <f t="shared" si="69"/>
        <v>1</v>
      </c>
      <c r="L540" s="4" t="str">
        <f t="shared" si="70"/>
        <v/>
      </c>
      <c r="M540" s="4"/>
      <c r="N540" s="4"/>
      <c r="O540" s="4"/>
      <c r="P540" s="4"/>
      <c r="Q540" s="4"/>
      <c r="R540" s="4"/>
      <c r="S540" s="4"/>
      <c r="T540" s="4"/>
      <c r="U540" s="4"/>
    </row>
  </sheetData>
  <pageMargins left="0.75" right="0.75" top="1" bottom="1" header="0.5" footer="0.5"/>
  <pageSetup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"/>
  <sheetData/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time</vt:lpstr>
      <vt:lpstr>Sheet2</vt:lpstr>
      <vt:lpstr>cleanedData</vt:lpstr>
      <vt:lpstr>TestPathData</vt:lpstr>
      <vt:lpstr>Time Data Test</vt:lpstr>
      <vt:lpstr>SatUnsatData Test</vt:lpstr>
      <vt:lpstr>Compare Test</vt:lpstr>
      <vt:lpstr>Time Data Full</vt:lpstr>
      <vt:lpstr>SatUnsatData Full</vt:lpstr>
      <vt:lpstr>Compare</vt:lpstr>
      <vt:lpstr>Sheet3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2017-05-04T20:20:18Z</dcterms:modified>
</cp:coreProperties>
</file>