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-20" yWindow="0" windowWidth="33340" windowHeight="15660" tabRatio="576" firstSheet="5" activeTab="11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Sheet6" sheetId="12" r:id="rId11"/>
    <sheet name="Compare" sheetId="11" r:id="rId12"/>
    <sheet name="Sheet3" sheetId="13" r:id="rId13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8" i="11" l="1"/>
  <c r="N4" i="11"/>
  <c r="N5" i="11"/>
  <c r="N6" i="11"/>
  <c r="N7" i="11"/>
  <c r="N3" i="11"/>
  <c r="Y3" i="11"/>
  <c r="Y4" i="11"/>
  <c r="Z3" i="11"/>
  <c r="Z4" i="11"/>
  <c r="AA3" i="11"/>
  <c r="AA4" i="11"/>
  <c r="AB3" i="11"/>
  <c r="AB4" i="11"/>
  <c r="AC3" i="11"/>
  <c r="AC4" i="11"/>
  <c r="AD3" i="11"/>
  <c r="AD4" i="11"/>
  <c r="AE3" i="11"/>
  <c r="AE4" i="11"/>
  <c r="AF3" i="11"/>
  <c r="AF4" i="11"/>
  <c r="AG3" i="11"/>
  <c r="AG4" i="11"/>
  <c r="AH3" i="11"/>
  <c r="AH4" i="11"/>
  <c r="AI3" i="11"/>
  <c r="AI4" i="11"/>
  <c r="AJ3" i="11"/>
  <c r="AJ4" i="11"/>
  <c r="AK3" i="11"/>
  <c r="AK4" i="11"/>
  <c r="AL3" i="11"/>
  <c r="AL4" i="11"/>
  <c r="AM3" i="11"/>
  <c r="AM4" i="11"/>
  <c r="AN3" i="11"/>
  <c r="AN4" i="11"/>
  <c r="AO3" i="11"/>
  <c r="AO4" i="11"/>
  <c r="AP3" i="11"/>
  <c r="AP4" i="11"/>
  <c r="AQ3" i="11"/>
  <c r="AQ4" i="11"/>
  <c r="AR3" i="11"/>
  <c r="AR4" i="11"/>
  <c r="AS3" i="11"/>
  <c r="AS4" i="11"/>
  <c r="AT3" i="11"/>
  <c r="AT4" i="11"/>
  <c r="AU3" i="11"/>
  <c r="AU4" i="11"/>
  <c r="AV3" i="11"/>
  <c r="AV4" i="11"/>
  <c r="AW3" i="11"/>
  <c r="AW4" i="11"/>
  <c r="AX3" i="11"/>
  <c r="AX4" i="11"/>
  <c r="AY3" i="11"/>
  <c r="AY4" i="11"/>
  <c r="AZ3" i="11"/>
  <c r="AZ4" i="11"/>
  <c r="BA3" i="11"/>
  <c r="BA4" i="11"/>
  <c r="BB3" i="11"/>
  <c r="BB4" i="11"/>
  <c r="BC3" i="11"/>
  <c r="BC4" i="11"/>
  <c r="BD3" i="11"/>
  <c r="BD4" i="11"/>
  <c r="BE3" i="11"/>
  <c r="BE4" i="11"/>
  <c r="BF3" i="11"/>
  <c r="BF4" i="11"/>
  <c r="BG3" i="11"/>
  <c r="BG4" i="11"/>
  <c r="BH3" i="11"/>
  <c r="BH4" i="11"/>
  <c r="BI3" i="11"/>
  <c r="BI4" i="11"/>
  <c r="BJ3" i="11"/>
  <c r="BJ4" i="11"/>
  <c r="BK3" i="11"/>
  <c r="BK4" i="11"/>
  <c r="BL3" i="11"/>
  <c r="BL4" i="11"/>
  <c r="BM3" i="11"/>
  <c r="BM4" i="11"/>
  <c r="BN3" i="11"/>
  <c r="BN4" i="11"/>
  <c r="BO3" i="11"/>
  <c r="BO4" i="11"/>
  <c r="BP3" i="11"/>
  <c r="BP4" i="11"/>
  <c r="BQ3" i="11"/>
  <c r="BQ4" i="11"/>
  <c r="BR3" i="11"/>
  <c r="BR4" i="11"/>
  <c r="BS3" i="11"/>
  <c r="BS4" i="11"/>
  <c r="BT3" i="11"/>
  <c r="BT4" i="11"/>
  <c r="BU3" i="11"/>
  <c r="BU4" i="11"/>
  <c r="BV3" i="11"/>
  <c r="BV4" i="11"/>
  <c r="BW3" i="11"/>
  <c r="BW4" i="11"/>
  <c r="BX3" i="11"/>
  <c r="BX4" i="11"/>
  <c r="BY3" i="11"/>
  <c r="BY4" i="11"/>
  <c r="BZ3" i="11"/>
  <c r="BZ4" i="11"/>
  <c r="CA3" i="11"/>
  <c r="CA4" i="11"/>
  <c r="CB3" i="11"/>
  <c r="CB4" i="11"/>
  <c r="CC3" i="11"/>
  <c r="CC4" i="11"/>
  <c r="CD3" i="11"/>
  <c r="CD4" i="11"/>
  <c r="CE3" i="11"/>
  <c r="CE4" i="11"/>
  <c r="CF3" i="11"/>
  <c r="CF4" i="11"/>
  <c r="CG3" i="11"/>
  <c r="CG4" i="11"/>
  <c r="CH3" i="11"/>
  <c r="CH4" i="11"/>
  <c r="CI3" i="11"/>
  <c r="CI4" i="11"/>
  <c r="V4" i="11"/>
  <c r="Y5" i="11"/>
  <c r="Z5" i="11"/>
  <c r="AA5" i="11"/>
  <c r="AB5" i="11"/>
  <c r="AC5" i="11"/>
  <c r="AD5" i="11"/>
  <c r="AE5" i="11"/>
  <c r="AF5" i="11"/>
  <c r="AG5" i="11"/>
  <c r="AH5" i="11"/>
  <c r="AI5" i="11"/>
  <c r="AJ5" i="11"/>
  <c r="AK5" i="11"/>
  <c r="AL5" i="11"/>
  <c r="AM5" i="11"/>
  <c r="AN5" i="11"/>
  <c r="AO5" i="11"/>
  <c r="AP5" i="11"/>
  <c r="AQ5" i="11"/>
  <c r="AR5" i="11"/>
  <c r="AS5" i="11"/>
  <c r="AT5" i="11"/>
  <c r="AU5" i="11"/>
  <c r="AV5" i="11"/>
  <c r="AW5" i="11"/>
  <c r="AX5" i="11"/>
  <c r="AY5" i="11"/>
  <c r="AZ5" i="11"/>
  <c r="BA5" i="11"/>
  <c r="BB5" i="11"/>
  <c r="BC5" i="11"/>
  <c r="BD5" i="11"/>
  <c r="BE5" i="11"/>
  <c r="BF5" i="11"/>
  <c r="BG5" i="11"/>
  <c r="BH5" i="11"/>
  <c r="BI5" i="11"/>
  <c r="BJ5" i="11"/>
  <c r="BK5" i="11"/>
  <c r="BL5" i="11"/>
  <c r="BM5" i="11"/>
  <c r="BN5" i="11"/>
  <c r="BO5" i="11"/>
  <c r="BP5" i="11"/>
  <c r="BQ5" i="11"/>
  <c r="BR5" i="11"/>
  <c r="BS5" i="11"/>
  <c r="BT5" i="11"/>
  <c r="BU5" i="11"/>
  <c r="BV5" i="11"/>
  <c r="BW5" i="11"/>
  <c r="BX5" i="11"/>
  <c r="BY5" i="11"/>
  <c r="BZ5" i="11"/>
  <c r="CA5" i="11"/>
  <c r="CB5" i="11"/>
  <c r="CC5" i="11"/>
  <c r="CD5" i="11"/>
  <c r="CE5" i="11"/>
  <c r="CF5" i="11"/>
  <c r="CG5" i="11"/>
  <c r="CH5" i="11"/>
  <c r="CI5" i="11"/>
  <c r="V5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V6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B7" i="11"/>
  <c r="BC7" i="11"/>
  <c r="BD7" i="11"/>
  <c r="BE7" i="11"/>
  <c r="BF7" i="11"/>
  <c r="BG7" i="11"/>
  <c r="BH7" i="11"/>
  <c r="BI7" i="11"/>
  <c r="BJ7" i="11"/>
  <c r="BK7" i="11"/>
  <c r="BL7" i="11"/>
  <c r="BM7" i="11"/>
  <c r="BN7" i="11"/>
  <c r="BO7" i="11"/>
  <c r="BP7" i="11"/>
  <c r="BQ7" i="11"/>
  <c r="BR7" i="11"/>
  <c r="BS7" i="11"/>
  <c r="BT7" i="11"/>
  <c r="BU7" i="11"/>
  <c r="BV7" i="11"/>
  <c r="BW7" i="11"/>
  <c r="BX7" i="11"/>
  <c r="BY7" i="11"/>
  <c r="BZ7" i="11"/>
  <c r="CA7" i="11"/>
  <c r="CB7" i="11"/>
  <c r="CC7" i="11"/>
  <c r="CD7" i="11"/>
  <c r="CE7" i="11"/>
  <c r="CF7" i="11"/>
  <c r="CG7" i="11"/>
  <c r="CH7" i="11"/>
  <c r="CI7" i="11"/>
  <c r="V7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V8" i="11"/>
  <c r="AW8" i="11"/>
  <c r="AX8" i="11"/>
  <c r="AY8" i="11"/>
  <c r="AZ8" i="11"/>
  <c r="BA8" i="11"/>
  <c r="BB8" i="11"/>
  <c r="BC8" i="11"/>
  <c r="BD8" i="11"/>
  <c r="BE8" i="11"/>
  <c r="BF8" i="11"/>
  <c r="BG8" i="11"/>
  <c r="BH8" i="11"/>
  <c r="BI8" i="11"/>
  <c r="BJ8" i="11"/>
  <c r="BK8" i="11"/>
  <c r="BL8" i="11"/>
  <c r="BM8" i="11"/>
  <c r="BN8" i="11"/>
  <c r="BO8" i="11"/>
  <c r="BP8" i="11"/>
  <c r="BQ8" i="11"/>
  <c r="BR8" i="11"/>
  <c r="BS8" i="11"/>
  <c r="BT8" i="11"/>
  <c r="BU8" i="11"/>
  <c r="BV8" i="11"/>
  <c r="BW8" i="11"/>
  <c r="BX8" i="11"/>
  <c r="BY8" i="11"/>
  <c r="BZ8" i="11"/>
  <c r="CA8" i="11"/>
  <c r="CB8" i="11"/>
  <c r="CC8" i="11"/>
  <c r="CD8" i="11"/>
  <c r="CE8" i="11"/>
  <c r="CF8" i="11"/>
  <c r="CG8" i="11"/>
  <c r="CH8" i="11"/>
  <c r="CI8" i="11"/>
  <c r="V8" i="11"/>
  <c r="V3" i="11"/>
  <c r="U4" i="11"/>
  <c r="U5" i="11"/>
  <c r="U6" i="11"/>
  <c r="U7" i="11"/>
  <c r="U8" i="11"/>
  <c r="U3" i="11"/>
  <c r="T4" i="11"/>
  <c r="T5" i="11"/>
  <c r="T6" i="11"/>
  <c r="T7" i="11"/>
  <c r="T8" i="11"/>
  <c r="T3" i="11"/>
  <c r="S4" i="11"/>
  <c r="S5" i="11"/>
  <c r="S6" i="11"/>
  <c r="S7" i="11"/>
  <c r="S8" i="11"/>
  <c r="S3" i="11"/>
  <c r="R4" i="11"/>
  <c r="R5" i="11"/>
  <c r="R6" i="11"/>
  <c r="R7" i="11"/>
  <c r="R8" i="11"/>
  <c r="R3" i="11"/>
  <c r="Q4" i="11"/>
  <c r="Q5" i="11"/>
  <c r="Q6" i="11"/>
  <c r="Q7" i="11"/>
  <c r="Q8" i="11"/>
  <c r="Q3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66" i="11"/>
  <c r="K367" i="11"/>
  <c r="K368" i="11"/>
  <c r="K369" i="11"/>
  <c r="K370" i="11"/>
  <c r="K371" i="11"/>
  <c r="K372" i="11"/>
  <c r="K373" i="11"/>
  <c r="K374" i="11"/>
  <c r="K375" i="11"/>
  <c r="K376" i="11"/>
  <c r="K377" i="11"/>
  <c r="K378" i="11"/>
  <c r="K379" i="11"/>
  <c r="K380" i="11"/>
  <c r="K381" i="11"/>
  <c r="K382" i="11"/>
  <c r="K383" i="11"/>
  <c r="K384" i="11"/>
  <c r="K385" i="11"/>
  <c r="K386" i="11"/>
  <c r="K387" i="11"/>
  <c r="K388" i="11"/>
  <c r="K389" i="11"/>
  <c r="K390" i="11"/>
  <c r="K391" i="11"/>
  <c r="K392" i="11"/>
  <c r="K393" i="11"/>
  <c r="K394" i="11"/>
  <c r="K395" i="11"/>
  <c r="K396" i="11"/>
  <c r="K397" i="11"/>
  <c r="K398" i="11"/>
  <c r="K399" i="11"/>
  <c r="K400" i="11"/>
  <c r="K401" i="11"/>
  <c r="K402" i="11"/>
  <c r="K403" i="11"/>
  <c r="K404" i="11"/>
  <c r="K405" i="11"/>
  <c r="K406" i="11"/>
  <c r="K407" i="11"/>
  <c r="K408" i="11"/>
  <c r="K409" i="11"/>
  <c r="K410" i="11"/>
  <c r="K411" i="11"/>
  <c r="K412" i="11"/>
  <c r="K413" i="11"/>
  <c r="K414" i="11"/>
  <c r="K415" i="11"/>
  <c r="K416" i="11"/>
  <c r="K417" i="11"/>
  <c r="K418" i="11"/>
  <c r="K419" i="11"/>
  <c r="K420" i="11"/>
  <c r="K421" i="11"/>
  <c r="K422" i="11"/>
  <c r="K423" i="11"/>
  <c r="K424" i="11"/>
  <c r="K425" i="11"/>
  <c r="K426" i="11"/>
  <c r="K427" i="11"/>
  <c r="K428" i="11"/>
  <c r="K429" i="11"/>
  <c r="K430" i="11"/>
  <c r="K431" i="11"/>
  <c r="K432" i="11"/>
  <c r="K433" i="11"/>
  <c r="K434" i="11"/>
  <c r="K435" i="11"/>
  <c r="K436" i="11"/>
  <c r="K437" i="11"/>
  <c r="K438" i="11"/>
  <c r="K439" i="11"/>
  <c r="K440" i="11"/>
  <c r="K441" i="11"/>
  <c r="K442" i="11"/>
  <c r="K443" i="11"/>
  <c r="K444" i="11"/>
  <c r="K445" i="11"/>
  <c r="K446" i="11"/>
  <c r="K447" i="11"/>
  <c r="K448" i="11"/>
  <c r="K449" i="11"/>
  <c r="K450" i="11"/>
  <c r="K451" i="11"/>
  <c r="K452" i="11"/>
  <c r="K453" i="11"/>
  <c r="K454" i="11"/>
  <c r="K455" i="11"/>
  <c r="K456" i="11"/>
  <c r="K457" i="11"/>
  <c r="K458" i="11"/>
  <c r="K459" i="11"/>
  <c r="K460" i="11"/>
  <c r="K461" i="11"/>
  <c r="K462" i="11"/>
  <c r="K463" i="11"/>
  <c r="K464" i="11"/>
  <c r="K465" i="11"/>
  <c r="K466" i="11"/>
  <c r="K467" i="11"/>
  <c r="K468" i="11"/>
  <c r="K469" i="11"/>
  <c r="K470" i="11"/>
  <c r="K471" i="11"/>
  <c r="K472" i="11"/>
  <c r="K473" i="11"/>
  <c r="K474" i="11"/>
  <c r="K475" i="11"/>
  <c r="K476" i="11"/>
  <c r="K477" i="11"/>
  <c r="K478" i="11"/>
  <c r="K479" i="11"/>
  <c r="K480" i="11"/>
  <c r="K481" i="11"/>
  <c r="K482" i="11"/>
  <c r="K483" i="11"/>
  <c r="K484" i="11"/>
  <c r="K485" i="11"/>
  <c r="K486" i="11"/>
  <c r="K487" i="11"/>
  <c r="K488" i="11"/>
  <c r="K489" i="11"/>
  <c r="K490" i="11"/>
  <c r="K491" i="11"/>
  <c r="K492" i="11"/>
  <c r="K493" i="11"/>
  <c r="K494" i="11"/>
  <c r="K495" i="11"/>
  <c r="K496" i="11"/>
  <c r="K497" i="11"/>
  <c r="K498" i="11"/>
  <c r="K499" i="11"/>
  <c r="K500" i="11"/>
  <c r="K501" i="11"/>
  <c r="K502" i="11"/>
  <c r="K503" i="11"/>
  <c r="K504" i="11"/>
  <c r="K505" i="11"/>
  <c r="K506" i="11"/>
  <c r="K507" i="11"/>
  <c r="K508" i="11"/>
  <c r="K509" i="11"/>
  <c r="K510" i="11"/>
  <c r="K511" i="11"/>
  <c r="K512" i="11"/>
  <c r="K513" i="11"/>
  <c r="K514" i="11"/>
  <c r="K515" i="11"/>
  <c r="K516" i="11"/>
  <c r="K517" i="11"/>
  <c r="K518" i="11"/>
  <c r="K519" i="11"/>
  <c r="K520" i="11"/>
  <c r="K521" i="11"/>
  <c r="K522" i="11"/>
  <c r="K523" i="11"/>
  <c r="K524" i="11"/>
  <c r="K525" i="11"/>
  <c r="K526" i="11"/>
  <c r="K527" i="11"/>
  <c r="K528" i="11"/>
  <c r="K529" i="11"/>
  <c r="K530" i="11"/>
  <c r="K531" i="11"/>
  <c r="K532" i="11"/>
  <c r="K533" i="11"/>
  <c r="K534" i="11"/>
  <c r="K535" i="11"/>
  <c r="K536" i="11"/>
  <c r="K537" i="11"/>
  <c r="K538" i="11"/>
  <c r="K539" i="11"/>
  <c r="K540" i="11"/>
  <c r="K541" i="11"/>
  <c r="K542" i="11"/>
  <c r="K543" i="11"/>
  <c r="K544" i="11"/>
  <c r="K2" i="11"/>
  <c r="X3" i="11"/>
  <c r="X4" i="11"/>
  <c r="X5" i="11"/>
  <c r="X6" i="11"/>
  <c r="X7" i="11"/>
  <c r="X8" i="11"/>
  <c r="O4" i="11"/>
  <c r="O5" i="11"/>
  <c r="O6" i="11"/>
  <c r="O7" i="11"/>
  <c r="O3" i="11"/>
  <c r="C2" i="11"/>
  <c r="G2" i="11"/>
  <c r="C3" i="11"/>
  <c r="G3" i="11"/>
  <c r="H2" i="11"/>
  <c r="I2" i="11"/>
  <c r="J2" i="11"/>
  <c r="H3" i="11"/>
  <c r="I3" i="11"/>
  <c r="J3" i="11"/>
  <c r="C4" i="11"/>
  <c r="G4" i="11"/>
  <c r="H4" i="11"/>
  <c r="I4" i="11"/>
  <c r="J4" i="11"/>
  <c r="C5" i="11"/>
  <c r="G5" i="11"/>
  <c r="H5" i="11"/>
  <c r="I5" i="11"/>
  <c r="J5" i="11"/>
  <c r="C6" i="11"/>
  <c r="G6" i="11"/>
  <c r="H6" i="11"/>
  <c r="I6" i="11"/>
  <c r="J6" i="11"/>
  <c r="C7" i="11"/>
  <c r="G7" i="11"/>
  <c r="H7" i="11"/>
  <c r="I7" i="11"/>
  <c r="J7" i="11"/>
  <c r="C8" i="11"/>
  <c r="G8" i="11"/>
  <c r="H8" i="11"/>
  <c r="I8" i="11"/>
  <c r="J8" i="11"/>
  <c r="C9" i="11"/>
  <c r="G9" i="11"/>
  <c r="H9" i="11"/>
  <c r="I9" i="11"/>
  <c r="J9" i="11"/>
  <c r="C10" i="11"/>
  <c r="G10" i="11"/>
  <c r="H10" i="11"/>
  <c r="I10" i="11"/>
  <c r="J10" i="11"/>
  <c r="C11" i="11"/>
  <c r="G11" i="11"/>
  <c r="H11" i="11"/>
  <c r="I11" i="11"/>
  <c r="J11" i="11"/>
  <c r="C12" i="11"/>
  <c r="G12" i="11"/>
  <c r="H12" i="11"/>
  <c r="I12" i="11"/>
  <c r="J12" i="11"/>
  <c r="C13" i="11"/>
  <c r="G13" i="11"/>
  <c r="H13" i="11"/>
  <c r="I13" i="11"/>
  <c r="J13" i="11"/>
  <c r="C14" i="11"/>
  <c r="G14" i="11"/>
  <c r="H14" i="11"/>
  <c r="I14" i="11"/>
  <c r="J14" i="11"/>
  <c r="C15" i="11"/>
  <c r="G15" i="11"/>
  <c r="H15" i="11"/>
  <c r="I15" i="11"/>
  <c r="J15" i="11"/>
  <c r="C16" i="11"/>
  <c r="G16" i="11"/>
  <c r="H16" i="11"/>
  <c r="I16" i="11"/>
  <c r="J16" i="11"/>
  <c r="C17" i="11"/>
  <c r="G17" i="11"/>
  <c r="H17" i="11"/>
  <c r="I17" i="11"/>
  <c r="J17" i="11"/>
  <c r="C18" i="11"/>
  <c r="G18" i="11"/>
  <c r="H18" i="11"/>
  <c r="I18" i="11"/>
  <c r="J18" i="11"/>
  <c r="C19" i="11"/>
  <c r="G19" i="11"/>
  <c r="H19" i="11"/>
  <c r="I19" i="11"/>
  <c r="J19" i="11"/>
  <c r="C20" i="11"/>
  <c r="G20" i="11"/>
  <c r="H20" i="11"/>
  <c r="I20" i="11"/>
  <c r="J20" i="11"/>
  <c r="C21" i="11"/>
  <c r="G21" i="11"/>
  <c r="H21" i="11"/>
  <c r="I21" i="11"/>
  <c r="J21" i="11"/>
  <c r="C22" i="11"/>
  <c r="G22" i="11"/>
  <c r="H22" i="11"/>
  <c r="I22" i="11"/>
  <c r="J22" i="11"/>
  <c r="C23" i="11"/>
  <c r="G23" i="11"/>
  <c r="H23" i="11"/>
  <c r="I23" i="11"/>
  <c r="J23" i="11"/>
  <c r="C24" i="11"/>
  <c r="G24" i="11"/>
  <c r="H24" i="11"/>
  <c r="I24" i="11"/>
  <c r="J24" i="11"/>
  <c r="C25" i="11"/>
  <c r="G25" i="11"/>
  <c r="H25" i="11"/>
  <c r="I25" i="11"/>
  <c r="J25" i="11"/>
  <c r="C26" i="11"/>
  <c r="G26" i="11"/>
  <c r="H26" i="11"/>
  <c r="I26" i="11"/>
  <c r="J26" i="11"/>
  <c r="C27" i="11"/>
  <c r="G27" i="11"/>
  <c r="H27" i="11"/>
  <c r="I27" i="11"/>
  <c r="J27" i="11"/>
  <c r="C28" i="11"/>
  <c r="G28" i="11"/>
  <c r="H28" i="11"/>
  <c r="I28" i="11"/>
  <c r="J28" i="11"/>
  <c r="C29" i="11"/>
  <c r="G29" i="11"/>
  <c r="H29" i="11"/>
  <c r="I29" i="11"/>
  <c r="J29" i="11"/>
  <c r="C30" i="11"/>
  <c r="G30" i="11"/>
  <c r="H30" i="11"/>
  <c r="I30" i="11"/>
  <c r="J30" i="11"/>
  <c r="C31" i="11"/>
  <c r="G31" i="11"/>
  <c r="H31" i="11"/>
  <c r="I31" i="11"/>
  <c r="J31" i="11"/>
  <c r="C32" i="11"/>
  <c r="G32" i="11"/>
  <c r="H32" i="11"/>
  <c r="I32" i="11"/>
  <c r="J32" i="11"/>
  <c r="C33" i="11"/>
  <c r="G33" i="11"/>
  <c r="H33" i="11"/>
  <c r="I33" i="11"/>
  <c r="J33" i="11"/>
  <c r="C34" i="11"/>
  <c r="G34" i="11"/>
  <c r="H34" i="11"/>
  <c r="I34" i="11"/>
  <c r="J34" i="11"/>
  <c r="C35" i="11"/>
  <c r="G35" i="11"/>
  <c r="H35" i="11"/>
  <c r="I35" i="11"/>
  <c r="J35" i="11"/>
  <c r="C36" i="11"/>
  <c r="G36" i="11"/>
  <c r="H36" i="11"/>
  <c r="I36" i="11"/>
  <c r="J36" i="11"/>
  <c r="C37" i="11"/>
  <c r="G37" i="11"/>
  <c r="H37" i="11"/>
  <c r="I37" i="11"/>
  <c r="J37" i="11"/>
  <c r="C38" i="11"/>
  <c r="G38" i="11"/>
  <c r="H38" i="11"/>
  <c r="I38" i="11"/>
  <c r="J38" i="11"/>
  <c r="C39" i="11"/>
  <c r="G39" i="11"/>
  <c r="H39" i="11"/>
  <c r="I39" i="11"/>
  <c r="J39" i="11"/>
  <c r="C40" i="11"/>
  <c r="G40" i="11"/>
  <c r="H40" i="11"/>
  <c r="I40" i="11"/>
  <c r="J40" i="11"/>
  <c r="C41" i="11"/>
  <c r="G41" i="11"/>
  <c r="H41" i="11"/>
  <c r="I41" i="11"/>
  <c r="J41" i="11"/>
  <c r="C42" i="11"/>
  <c r="G42" i="11"/>
  <c r="H42" i="11"/>
  <c r="I42" i="11"/>
  <c r="J42" i="11"/>
  <c r="C43" i="11"/>
  <c r="G43" i="11"/>
  <c r="H43" i="11"/>
  <c r="I43" i="11"/>
  <c r="J43" i="11"/>
  <c r="C44" i="11"/>
  <c r="G44" i="11"/>
  <c r="H44" i="11"/>
  <c r="I44" i="11"/>
  <c r="J44" i="11"/>
  <c r="C45" i="11"/>
  <c r="G45" i="11"/>
  <c r="H45" i="11"/>
  <c r="I45" i="11"/>
  <c r="J45" i="11"/>
  <c r="C46" i="11"/>
  <c r="G46" i="11"/>
  <c r="H46" i="11"/>
  <c r="I46" i="11"/>
  <c r="J46" i="11"/>
  <c r="C47" i="11"/>
  <c r="G47" i="11"/>
  <c r="H47" i="11"/>
  <c r="I47" i="11"/>
  <c r="J47" i="11"/>
  <c r="C48" i="11"/>
  <c r="G48" i="11"/>
  <c r="H48" i="11"/>
  <c r="I48" i="11"/>
  <c r="J48" i="11"/>
  <c r="C49" i="11"/>
  <c r="G49" i="11"/>
  <c r="H49" i="11"/>
  <c r="I49" i="11"/>
  <c r="J49" i="11"/>
  <c r="C50" i="11"/>
  <c r="G50" i="11"/>
  <c r="H50" i="11"/>
  <c r="I50" i="11"/>
  <c r="J50" i="11"/>
  <c r="C51" i="11"/>
  <c r="G51" i="11"/>
  <c r="H51" i="11"/>
  <c r="I51" i="11"/>
  <c r="J51" i="11"/>
  <c r="C52" i="11"/>
  <c r="G52" i="11"/>
  <c r="H52" i="11"/>
  <c r="I52" i="11"/>
  <c r="J52" i="11"/>
  <c r="C53" i="11"/>
  <c r="G53" i="11"/>
  <c r="H53" i="11"/>
  <c r="I53" i="11"/>
  <c r="J53" i="11"/>
  <c r="C54" i="11"/>
  <c r="G54" i="11"/>
  <c r="H54" i="11"/>
  <c r="I54" i="11"/>
  <c r="J54" i="11"/>
  <c r="C55" i="11"/>
  <c r="G55" i="11"/>
  <c r="H55" i="11"/>
  <c r="I55" i="11"/>
  <c r="J55" i="11"/>
  <c r="C56" i="11"/>
  <c r="G56" i="11"/>
  <c r="H56" i="11"/>
  <c r="I56" i="11"/>
  <c r="J56" i="11"/>
  <c r="C57" i="11"/>
  <c r="G57" i="11"/>
  <c r="H57" i="11"/>
  <c r="I57" i="11"/>
  <c r="J57" i="11"/>
  <c r="C58" i="11"/>
  <c r="G58" i="11"/>
  <c r="H58" i="11"/>
  <c r="I58" i="11"/>
  <c r="J58" i="11"/>
  <c r="C59" i="11"/>
  <c r="G59" i="11"/>
  <c r="H59" i="11"/>
  <c r="I59" i="11"/>
  <c r="J59" i="11"/>
  <c r="C60" i="11"/>
  <c r="G60" i="11"/>
  <c r="H60" i="11"/>
  <c r="I60" i="11"/>
  <c r="J60" i="11"/>
  <c r="C61" i="11"/>
  <c r="G61" i="11"/>
  <c r="H61" i="11"/>
  <c r="I61" i="11"/>
  <c r="J61" i="11"/>
  <c r="C62" i="11"/>
  <c r="G62" i="11"/>
  <c r="H62" i="11"/>
  <c r="I62" i="11"/>
  <c r="J62" i="11"/>
  <c r="C63" i="11"/>
  <c r="G63" i="11"/>
  <c r="H63" i="11"/>
  <c r="I63" i="11"/>
  <c r="J63" i="11"/>
  <c r="C64" i="11"/>
  <c r="G64" i="11"/>
  <c r="H64" i="11"/>
  <c r="I64" i="11"/>
  <c r="J64" i="11"/>
  <c r="C65" i="11"/>
  <c r="G65" i="11"/>
  <c r="H65" i="11"/>
  <c r="I65" i="11"/>
  <c r="J65" i="11"/>
  <c r="C66" i="11"/>
  <c r="G66" i="11"/>
  <c r="H66" i="11"/>
  <c r="I66" i="11"/>
  <c r="J66" i="11"/>
  <c r="C67" i="11"/>
  <c r="G67" i="11"/>
  <c r="H67" i="11"/>
  <c r="I67" i="11"/>
  <c r="J67" i="11"/>
  <c r="C68" i="11"/>
  <c r="G68" i="11"/>
  <c r="H68" i="11"/>
  <c r="I68" i="11"/>
  <c r="J68" i="11"/>
  <c r="C69" i="11"/>
  <c r="G69" i="11"/>
  <c r="H69" i="11"/>
  <c r="I69" i="11"/>
  <c r="J69" i="11"/>
  <c r="C70" i="11"/>
  <c r="G70" i="11"/>
  <c r="H70" i="11"/>
  <c r="I70" i="11"/>
  <c r="J70" i="11"/>
  <c r="C71" i="11"/>
  <c r="G71" i="11"/>
  <c r="H71" i="11"/>
  <c r="I71" i="11"/>
  <c r="J71" i="11"/>
  <c r="C72" i="11"/>
  <c r="G72" i="11"/>
  <c r="H72" i="11"/>
  <c r="I72" i="11"/>
  <c r="J72" i="11"/>
  <c r="C73" i="11"/>
  <c r="G73" i="11"/>
  <c r="H73" i="11"/>
  <c r="I73" i="11"/>
  <c r="J73" i="11"/>
  <c r="C74" i="11"/>
  <c r="G74" i="11"/>
  <c r="H74" i="11"/>
  <c r="I74" i="11"/>
  <c r="J74" i="11"/>
  <c r="C75" i="11"/>
  <c r="G75" i="11"/>
  <c r="H75" i="11"/>
  <c r="I75" i="11"/>
  <c r="J75" i="11"/>
  <c r="C76" i="11"/>
  <c r="G76" i="11"/>
  <c r="H76" i="11"/>
  <c r="I76" i="11"/>
  <c r="J76" i="11"/>
  <c r="C77" i="11"/>
  <c r="G77" i="11"/>
  <c r="H77" i="11"/>
  <c r="I77" i="11"/>
  <c r="J77" i="11"/>
  <c r="C78" i="11"/>
  <c r="G78" i="11"/>
  <c r="H78" i="11"/>
  <c r="I78" i="11"/>
  <c r="J78" i="11"/>
  <c r="C79" i="11"/>
  <c r="G79" i="11"/>
  <c r="H79" i="11"/>
  <c r="I79" i="11"/>
  <c r="J79" i="11"/>
  <c r="C80" i="11"/>
  <c r="G80" i="11"/>
  <c r="H80" i="11"/>
  <c r="I80" i="11"/>
  <c r="J80" i="11"/>
  <c r="C81" i="11"/>
  <c r="G81" i="11"/>
  <c r="H81" i="11"/>
  <c r="I81" i="11"/>
  <c r="J81" i="11"/>
  <c r="C82" i="11"/>
  <c r="G82" i="11"/>
  <c r="H82" i="11"/>
  <c r="I82" i="11"/>
  <c r="J82" i="11"/>
  <c r="C83" i="11"/>
  <c r="G83" i="11"/>
  <c r="H83" i="11"/>
  <c r="I83" i="11"/>
  <c r="J83" i="11"/>
  <c r="C84" i="11"/>
  <c r="G84" i="11"/>
  <c r="H84" i="11"/>
  <c r="I84" i="11"/>
  <c r="J84" i="11"/>
  <c r="C85" i="11"/>
  <c r="G85" i="11"/>
  <c r="H85" i="11"/>
  <c r="I85" i="11"/>
  <c r="J85" i="11"/>
  <c r="C86" i="11"/>
  <c r="G86" i="11"/>
  <c r="H86" i="11"/>
  <c r="I86" i="11"/>
  <c r="J86" i="11"/>
  <c r="C87" i="11"/>
  <c r="G87" i="11"/>
  <c r="H87" i="11"/>
  <c r="I87" i="11"/>
  <c r="J87" i="11"/>
  <c r="C88" i="11"/>
  <c r="G88" i="11"/>
  <c r="H88" i="11"/>
  <c r="I88" i="11"/>
  <c r="J88" i="11"/>
  <c r="C89" i="11"/>
  <c r="G89" i="11"/>
  <c r="H89" i="11"/>
  <c r="I89" i="11"/>
  <c r="J89" i="11"/>
  <c r="C90" i="11"/>
  <c r="G90" i="11"/>
  <c r="H90" i="11"/>
  <c r="I90" i="11"/>
  <c r="J90" i="11"/>
  <c r="C91" i="11"/>
  <c r="G91" i="11"/>
  <c r="H91" i="11"/>
  <c r="I91" i="11"/>
  <c r="J91" i="11"/>
  <c r="C92" i="11"/>
  <c r="G92" i="11"/>
  <c r="H92" i="11"/>
  <c r="I92" i="11"/>
  <c r="J92" i="11"/>
  <c r="C93" i="11"/>
  <c r="G93" i="11"/>
  <c r="H93" i="11"/>
  <c r="I93" i="11"/>
  <c r="J93" i="11"/>
  <c r="C94" i="11"/>
  <c r="G94" i="11"/>
  <c r="H94" i="11"/>
  <c r="I94" i="11"/>
  <c r="J94" i="11"/>
  <c r="C95" i="11"/>
  <c r="G95" i="11"/>
  <c r="H95" i="11"/>
  <c r="I95" i="11"/>
  <c r="J95" i="11"/>
  <c r="C96" i="11"/>
  <c r="G96" i="11"/>
  <c r="H96" i="11"/>
  <c r="I96" i="11"/>
  <c r="J96" i="11"/>
  <c r="C97" i="11"/>
  <c r="G97" i="11"/>
  <c r="H97" i="11"/>
  <c r="I97" i="11"/>
  <c r="J97" i="11"/>
  <c r="C98" i="11"/>
  <c r="G98" i="11"/>
  <c r="H98" i="11"/>
  <c r="I98" i="11"/>
  <c r="J98" i="11"/>
  <c r="C99" i="11"/>
  <c r="G99" i="11"/>
  <c r="H99" i="11"/>
  <c r="I99" i="11"/>
  <c r="J99" i="11"/>
  <c r="C100" i="11"/>
  <c r="G100" i="11"/>
  <c r="H100" i="11"/>
  <c r="I100" i="11"/>
  <c r="J100" i="11"/>
  <c r="C101" i="11"/>
  <c r="G101" i="11"/>
  <c r="H101" i="11"/>
  <c r="I101" i="11"/>
  <c r="J101" i="11"/>
  <c r="C102" i="11"/>
  <c r="G102" i="11"/>
  <c r="H102" i="11"/>
  <c r="I102" i="11"/>
  <c r="J102" i="11"/>
  <c r="C103" i="11"/>
  <c r="G103" i="11"/>
  <c r="H103" i="11"/>
  <c r="I103" i="11"/>
  <c r="J103" i="11"/>
  <c r="C104" i="11"/>
  <c r="G104" i="11"/>
  <c r="H104" i="11"/>
  <c r="I104" i="11"/>
  <c r="J104" i="11"/>
  <c r="C105" i="11"/>
  <c r="G105" i="11"/>
  <c r="H105" i="11"/>
  <c r="I105" i="11"/>
  <c r="J105" i="11"/>
  <c r="C106" i="11"/>
  <c r="G106" i="11"/>
  <c r="H106" i="11"/>
  <c r="I106" i="11"/>
  <c r="J106" i="11"/>
  <c r="C107" i="11"/>
  <c r="G107" i="11"/>
  <c r="H107" i="11"/>
  <c r="I107" i="11"/>
  <c r="J107" i="11"/>
  <c r="C108" i="11"/>
  <c r="G108" i="11"/>
  <c r="H108" i="11"/>
  <c r="I108" i="11"/>
  <c r="J108" i="11"/>
  <c r="C109" i="11"/>
  <c r="G109" i="11"/>
  <c r="H109" i="11"/>
  <c r="I109" i="11"/>
  <c r="J109" i="11"/>
  <c r="C110" i="11"/>
  <c r="G110" i="11"/>
  <c r="H110" i="11"/>
  <c r="I110" i="11"/>
  <c r="J110" i="11"/>
  <c r="C111" i="11"/>
  <c r="G111" i="11"/>
  <c r="H111" i="11"/>
  <c r="I111" i="11"/>
  <c r="J111" i="11"/>
  <c r="C112" i="11"/>
  <c r="G112" i="11"/>
  <c r="H112" i="11"/>
  <c r="I112" i="11"/>
  <c r="J112" i="11"/>
  <c r="C113" i="11"/>
  <c r="G113" i="11"/>
  <c r="H113" i="11"/>
  <c r="I113" i="11"/>
  <c r="J113" i="11"/>
  <c r="C114" i="11"/>
  <c r="G114" i="11"/>
  <c r="H114" i="11"/>
  <c r="I114" i="11"/>
  <c r="J114" i="11"/>
  <c r="C115" i="11"/>
  <c r="G115" i="11"/>
  <c r="H115" i="11"/>
  <c r="I115" i="11"/>
  <c r="J115" i="11"/>
  <c r="C116" i="11"/>
  <c r="G116" i="11"/>
  <c r="H116" i="11"/>
  <c r="I116" i="11"/>
  <c r="J116" i="11"/>
  <c r="C117" i="11"/>
  <c r="G117" i="11"/>
  <c r="H117" i="11"/>
  <c r="I117" i="11"/>
  <c r="J117" i="11"/>
  <c r="C118" i="11"/>
  <c r="G118" i="11"/>
  <c r="H118" i="11"/>
  <c r="I118" i="11"/>
  <c r="J118" i="11"/>
  <c r="C119" i="11"/>
  <c r="G119" i="11"/>
  <c r="H119" i="11"/>
  <c r="I119" i="11"/>
  <c r="J119" i="11"/>
  <c r="C120" i="11"/>
  <c r="G120" i="11"/>
  <c r="H120" i="11"/>
  <c r="I120" i="11"/>
  <c r="J120" i="11"/>
  <c r="C121" i="11"/>
  <c r="G121" i="11"/>
  <c r="H121" i="11"/>
  <c r="I121" i="11"/>
  <c r="J121" i="11"/>
  <c r="C122" i="11"/>
  <c r="G122" i="11"/>
  <c r="H122" i="11"/>
  <c r="I122" i="11"/>
  <c r="J122" i="11"/>
  <c r="C123" i="11"/>
  <c r="G123" i="11"/>
  <c r="H123" i="11"/>
  <c r="I123" i="11"/>
  <c r="J123" i="11"/>
  <c r="C124" i="11"/>
  <c r="G124" i="11"/>
  <c r="H124" i="11"/>
  <c r="I124" i="11"/>
  <c r="J124" i="11"/>
  <c r="C125" i="11"/>
  <c r="G125" i="11"/>
  <c r="H125" i="11"/>
  <c r="I125" i="11"/>
  <c r="J125" i="11"/>
  <c r="C126" i="11"/>
  <c r="G126" i="11"/>
  <c r="H126" i="11"/>
  <c r="I126" i="11"/>
  <c r="J126" i="11"/>
  <c r="C127" i="11"/>
  <c r="G127" i="11"/>
  <c r="H127" i="11"/>
  <c r="I127" i="11"/>
  <c r="J127" i="11"/>
  <c r="C128" i="11"/>
  <c r="G128" i="11"/>
  <c r="H128" i="11"/>
  <c r="I128" i="11"/>
  <c r="J128" i="11"/>
  <c r="C129" i="11"/>
  <c r="G129" i="11"/>
  <c r="H129" i="11"/>
  <c r="I129" i="11"/>
  <c r="J129" i="11"/>
  <c r="C130" i="11"/>
  <c r="G130" i="11"/>
  <c r="H130" i="11"/>
  <c r="I130" i="11"/>
  <c r="J130" i="11"/>
  <c r="C131" i="11"/>
  <c r="G131" i="11"/>
  <c r="H131" i="11"/>
  <c r="I131" i="11"/>
  <c r="J131" i="11"/>
  <c r="C132" i="11"/>
  <c r="G132" i="11"/>
  <c r="H132" i="11"/>
  <c r="I132" i="11"/>
  <c r="J132" i="11"/>
  <c r="C133" i="11"/>
  <c r="G133" i="11"/>
  <c r="H133" i="11"/>
  <c r="I133" i="11"/>
  <c r="J133" i="11"/>
  <c r="C134" i="11"/>
  <c r="G134" i="11"/>
  <c r="H134" i="11"/>
  <c r="I134" i="11"/>
  <c r="J134" i="11"/>
  <c r="C135" i="11"/>
  <c r="G135" i="11"/>
  <c r="H135" i="11"/>
  <c r="I135" i="11"/>
  <c r="J135" i="11"/>
  <c r="C136" i="11"/>
  <c r="G136" i="11"/>
  <c r="H136" i="11"/>
  <c r="I136" i="11"/>
  <c r="J136" i="11"/>
  <c r="C137" i="11"/>
  <c r="G137" i="11"/>
  <c r="H137" i="11"/>
  <c r="I137" i="11"/>
  <c r="J137" i="11"/>
  <c r="C138" i="11"/>
  <c r="G138" i="11"/>
  <c r="H138" i="11"/>
  <c r="I138" i="11"/>
  <c r="J138" i="11"/>
  <c r="C139" i="11"/>
  <c r="G139" i="11"/>
  <c r="H139" i="11"/>
  <c r="I139" i="11"/>
  <c r="J139" i="11"/>
  <c r="C140" i="11"/>
  <c r="G140" i="11"/>
  <c r="H140" i="11"/>
  <c r="I140" i="11"/>
  <c r="J140" i="11"/>
  <c r="C141" i="11"/>
  <c r="G141" i="11"/>
  <c r="H141" i="11"/>
  <c r="I141" i="11"/>
  <c r="J141" i="11"/>
  <c r="C142" i="11"/>
  <c r="G142" i="11"/>
  <c r="H142" i="11"/>
  <c r="I142" i="11"/>
  <c r="J142" i="11"/>
  <c r="C143" i="11"/>
  <c r="G143" i="11"/>
  <c r="H143" i="11"/>
  <c r="I143" i="11"/>
  <c r="J143" i="11"/>
  <c r="C144" i="11"/>
  <c r="G144" i="11"/>
  <c r="H144" i="11"/>
  <c r="I144" i="11"/>
  <c r="J144" i="11"/>
  <c r="C145" i="11"/>
  <c r="G145" i="11"/>
  <c r="H145" i="11"/>
  <c r="I145" i="11"/>
  <c r="J145" i="11"/>
  <c r="C146" i="11"/>
  <c r="G146" i="11"/>
  <c r="H146" i="11"/>
  <c r="I146" i="11"/>
  <c r="J146" i="11"/>
  <c r="C147" i="11"/>
  <c r="G147" i="11"/>
  <c r="H147" i="11"/>
  <c r="I147" i="11"/>
  <c r="J147" i="11"/>
  <c r="C148" i="11"/>
  <c r="G148" i="11"/>
  <c r="H148" i="11"/>
  <c r="I148" i="11"/>
  <c r="J148" i="11"/>
  <c r="C149" i="11"/>
  <c r="G149" i="11"/>
  <c r="H149" i="11"/>
  <c r="I149" i="11"/>
  <c r="J149" i="11"/>
  <c r="C150" i="11"/>
  <c r="G150" i="11"/>
  <c r="H150" i="11"/>
  <c r="I150" i="11"/>
  <c r="J150" i="11"/>
  <c r="C151" i="11"/>
  <c r="G151" i="11"/>
  <c r="H151" i="11"/>
  <c r="I151" i="11"/>
  <c r="J151" i="11"/>
  <c r="C152" i="11"/>
  <c r="G152" i="11"/>
  <c r="H152" i="11"/>
  <c r="I152" i="11"/>
  <c r="J152" i="11"/>
  <c r="C153" i="11"/>
  <c r="G153" i="11"/>
  <c r="H153" i="11"/>
  <c r="I153" i="11"/>
  <c r="J153" i="11"/>
  <c r="C154" i="11"/>
  <c r="G154" i="11"/>
  <c r="H154" i="11"/>
  <c r="I154" i="11"/>
  <c r="J154" i="11"/>
  <c r="C155" i="11"/>
  <c r="G155" i="11"/>
  <c r="H155" i="11"/>
  <c r="I155" i="11"/>
  <c r="J155" i="11"/>
  <c r="C156" i="11"/>
  <c r="G156" i="11"/>
  <c r="H156" i="11"/>
  <c r="I156" i="11"/>
  <c r="J156" i="11"/>
  <c r="C157" i="11"/>
  <c r="G157" i="11"/>
  <c r="H157" i="11"/>
  <c r="I157" i="11"/>
  <c r="J157" i="11"/>
  <c r="C158" i="11"/>
  <c r="G158" i="11"/>
  <c r="H158" i="11"/>
  <c r="I158" i="11"/>
  <c r="J158" i="11"/>
  <c r="C159" i="11"/>
  <c r="G159" i="11"/>
  <c r="H159" i="11"/>
  <c r="I159" i="11"/>
  <c r="J159" i="11"/>
  <c r="C160" i="11"/>
  <c r="G160" i="11"/>
  <c r="H160" i="11"/>
  <c r="I160" i="11"/>
  <c r="J160" i="11"/>
  <c r="C161" i="11"/>
  <c r="G161" i="11"/>
  <c r="H161" i="11"/>
  <c r="I161" i="11"/>
  <c r="J161" i="11"/>
  <c r="C162" i="11"/>
  <c r="G162" i="11"/>
  <c r="H162" i="11"/>
  <c r="I162" i="11"/>
  <c r="J162" i="11"/>
  <c r="C163" i="11"/>
  <c r="G163" i="11"/>
  <c r="H163" i="11"/>
  <c r="I163" i="11"/>
  <c r="J163" i="11"/>
  <c r="C164" i="11"/>
  <c r="G164" i="11"/>
  <c r="H164" i="11"/>
  <c r="I164" i="11"/>
  <c r="J164" i="11"/>
  <c r="C165" i="11"/>
  <c r="G165" i="11"/>
  <c r="H165" i="11"/>
  <c r="I165" i="11"/>
  <c r="J165" i="11"/>
  <c r="C166" i="11"/>
  <c r="G166" i="11"/>
  <c r="H166" i="11"/>
  <c r="I166" i="11"/>
  <c r="J166" i="11"/>
  <c r="C167" i="11"/>
  <c r="G167" i="11"/>
  <c r="H167" i="11"/>
  <c r="I167" i="11"/>
  <c r="J167" i="11"/>
  <c r="C168" i="11"/>
  <c r="G168" i="11"/>
  <c r="H168" i="11"/>
  <c r="I168" i="11"/>
  <c r="J168" i="11"/>
  <c r="C169" i="11"/>
  <c r="G169" i="11"/>
  <c r="H169" i="11"/>
  <c r="I169" i="11"/>
  <c r="J169" i="11"/>
  <c r="C170" i="11"/>
  <c r="G170" i="11"/>
  <c r="H170" i="11"/>
  <c r="I170" i="11"/>
  <c r="J170" i="11"/>
  <c r="C171" i="11"/>
  <c r="G171" i="11"/>
  <c r="H171" i="11"/>
  <c r="I171" i="11"/>
  <c r="J171" i="11"/>
  <c r="C172" i="11"/>
  <c r="G172" i="11"/>
  <c r="H172" i="11"/>
  <c r="I172" i="11"/>
  <c r="J172" i="11"/>
  <c r="C173" i="11"/>
  <c r="G173" i="11"/>
  <c r="H173" i="11"/>
  <c r="I173" i="11"/>
  <c r="J173" i="11"/>
  <c r="C174" i="11"/>
  <c r="G174" i="11"/>
  <c r="H174" i="11"/>
  <c r="I174" i="11"/>
  <c r="J174" i="11"/>
  <c r="C175" i="11"/>
  <c r="G175" i="11"/>
  <c r="H175" i="11"/>
  <c r="I175" i="11"/>
  <c r="J175" i="11"/>
  <c r="C176" i="11"/>
  <c r="G176" i="11"/>
  <c r="H176" i="11"/>
  <c r="I176" i="11"/>
  <c r="J176" i="11"/>
  <c r="C177" i="11"/>
  <c r="G177" i="11"/>
  <c r="H177" i="11"/>
  <c r="I177" i="11"/>
  <c r="J177" i="11"/>
  <c r="C178" i="11"/>
  <c r="G178" i="11"/>
  <c r="H178" i="11"/>
  <c r="I178" i="11"/>
  <c r="J178" i="11"/>
  <c r="C179" i="11"/>
  <c r="G179" i="11"/>
  <c r="H179" i="11"/>
  <c r="I179" i="11"/>
  <c r="J179" i="11"/>
  <c r="C180" i="11"/>
  <c r="G180" i="11"/>
  <c r="H180" i="11"/>
  <c r="I180" i="11"/>
  <c r="J180" i="11"/>
  <c r="C181" i="11"/>
  <c r="G181" i="11"/>
  <c r="H181" i="11"/>
  <c r="I181" i="11"/>
  <c r="J181" i="11"/>
  <c r="C182" i="11"/>
  <c r="G182" i="11"/>
  <c r="H182" i="11"/>
  <c r="I182" i="11"/>
  <c r="J182" i="11"/>
  <c r="C183" i="11"/>
  <c r="G183" i="11"/>
  <c r="H183" i="11"/>
  <c r="I183" i="11"/>
  <c r="J183" i="11"/>
  <c r="C184" i="11"/>
  <c r="G184" i="11"/>
  <c r="H184" i="11"/>
  <c r="I184" i="11"/>
  <c r="J184" i="11"/>
  <c r="C185" i="11"/>
  <c r="G185" i="11"/>
  <c r="H185" i="11"/>
  <c r="I185" i="11"/>
  <c r="J185" i="11"/>
  <c r="C186" i="11"/>
  <c r="G186" i="11"/>
  <c r="H186" i="11"/>
  <c r="I186" i="11"/>
  <c r="J186" i="11"/>
  <c r="C187" i="11"/>
  <c r="G187" i="11"/>
  <c r="H187" i="11"/>
  <c r="I187" i="11"/>
  <c r="J187" i="11"/>
  <c r="C188" i="11"/>
  <c r="G188" i="11"/>
  <c r="H188" i="11"/>
  <c r="I188" i="11"/>
  <c r="J188" i="11"/>
  <c r="C189" i="11"/>
  <c r="G189" i="11"/>
  <c r="H189" i="11"/>
  <c r="I189" i="11"/>
  <c r="J189" i="11"/>
  <c r="C190" i="11"/>
  <c r="G190" i="11"/>
  <c r="H190" i="11"/>
  <c r="I190" i="11"/>
  <c r="J190" i="11"/>
  <c r="C191" i="11"/>
  <c r="G191" i="11"/>
  <c r="H191" i="11"/>
  <c r="I191" i="11"/>
  <c r="J191" i="11"/>
  <c r="C192" i="11"/>
  <c r="G192" i="11"/>
  <c r="H192" i="11"/>
  <c r="I192" i="11"/>
  <c r="J192" i="11"/>
  <c r="C193" i="11"/>
  <c r="G193" i="11"/>
  <c r="H193" i="11"/>
  <c r="I193" i="11"/>
  <c r="J193" i="11"/>
  <c r="C194" i="11"/>
  <c r="G194" i="11"/>
  <c r="H194" i="11"/>
  <c r="I194" i="11"/>
  <c r="J194" i="11"/>
  <c r="C195" i="11"/>
  <c r="G195" i="11"/>
  <c r="H195" i="11"/>
  <c r="I195" i="11"/>
  <c r="J195" i="11"/>
  <c r="C196" i="11"/>
  <c r="G196" i="11"/>
  <c r="H196" i="11"/>
  <c r="I196" i="11"/>
  <c r="J196" i="11"/>
  <c r="C197" i="11"/>
  <c r="G197" i="11"/>
  <c r="H197" i="11"/>
  <c r="I197" i="11"/>
  <c r="J197" i="11"/>
  <c r="C198" i="11"/>
  <c r="G198" i="11"/>
  <c r="H198" i="11"/>
  <c r="I198" i="11"/>
  <c r="J198" i="11"/>
  <c r="C199" i="11"/>
  <c r="G199" i="11"/>
  <c r="H199" i="11"/>
  <c r="I199" i="11"/>
  <c r="J199" i="11"/>
  <c r="C200" i="11"/>
  <c r="G200" i="11"/>
  <c r="H200" i="11"/>
  <c r="I200" i="11"/>
  <c r="J200" i="11"/>
  <c r="C201" i="11"/>
  <c r="G201" i="11"/>
  <c r="H201" i="11"/>
  <c r="I201" i="11"/>
  <c r="J201" i="11"/>
  <c r="C202" i="11"/>
  <c r="G202" i="11"/>
  <c r="H202" i="11"/>
  <c r="I202" i="11"/>
  <c r="J202" i="11"/>
  <c r="C203" i="11"/>
  <c r="G203" i="11"/>
  <c r="H203" i="11"/>
  <c r="I203" i="11"/>
  <c r="J203" i="11"/>
  <c r="C204" i="11"/>
  <c r="G204" i="11"/>
  <c r="H204" i="11"/>
  <c r="I204" i="11"/>
  <c r="J204" i="11"/>
  <c r="C205" i="11"/>
  <c r="G205" i="11"/>
  <c r="H205" i="11"/>
  <c r="I205" i="11"/>
  <c r="J205" i="11"/>
  <c r="C206" i="11"/>
  <c r="G206" i="11"/>
  <c r="H206" i="11"/>
  <c r="I206" i="11"/>
  <c r="J206" i="11"/>
  <c r="C207" i="11"/>
  <c r="G207" i="11"/>
  <c r="H207" i="11"/>
  <c r="I207" i="11"/>
  <c r="J207" i="11"/>
  <c r="C208" i="11"/>
  <c r="G208" i="11"/>
  <c r="H208" i="11"/>
  <c r="I208" i="11"/>
  <c r="J208" i="11"/>
  <c r="C209" i="11"/>
  <c r="G209" i="11"/>
  <c r="H209" i="11"/>
  <c r="I209" i="11"/>
  <c r="J209" i="11"/>
  <c r="C210" i="11"/>
  <c r="G210" i="11"/>
  <c r="H210" i="11"/>
  <c r="I210" i="11"/>
  <c r="J210" i="11"/>
  <c r="C211" i="11"/>
  <c r="G211" i="11"/>
  <c r="H211" i="11"/>
  <c r="I211" i="11"/>
  <c r="J211" i="11"/>
  <c r="C212" i="11"/>
  <c r="G212" i="11"/>
  <c r="H212" i="11"/>
  <c r="I212" i="11"/>
  <c r="J212" i="11"/>
  <c r="C213" i="11"/>
  <c r="G213" i="11"/>
  <c r="H213" i="11"/>
  <c r="I213" i="11"/>
  <c r="J213" i="11"/>
  <c r="C214" i="11"/>
  <c r="G214" i="11"/>
  <c r="H214" i="11"/>
  <c r="I214" i="11"/>
  <c r="J214" i="11"/>
  <c r="C215" i="11"/>
  <c r="G215" i="11"/>
  <c r="H215" i="11"/>
  <c r="I215" i="11"/>
  <c r="J215" i="11"/>
  <c r="C216" i="11"/>
  <c r="G216" i="11"/>
  <c r="H216" i="11"/>
  <c r="I216" i="11"/>
  <c r="J216" i="11"/>
  <c r="C217" i="11"/>
  <c r="G217" i="11"/>
  <c r="H217" i="11"/>
  <c r="I217" i="11"/>
  <c r="J217" i="11"/>
  <c r="C218" i="11"/>
  <c r="G218" i="11"/>
  <c r="H218" i="11"/>
  <c r="I218" i="11"/>
  <c r="J218" i="11"/>
  <c r="C219" i="11"/>
  <c r="G219" i="11"/>
  <c r="H219" i="11"/>
  <c r="I219" i="11"/>
  <c r="J219" i="11"/>
  <c r="C220" i="11"/>
  <c r="G220" i="11"/>
  <c r="H220" i="11"/>
  <c r="I220" i="11"/>
  <c r="J220" i="11"/>
  <c r="C221" i="11"/>
  <c r="G221" i="11"/>
  <c r="H221" i="11"/>
  <c r="I221" i="11"/>
  <c r="J221" i="11"/>
  <c r="C222" i="11"/>
  <c r="G222" i="11"/>
  <c r="H222" i="11"/>
  <c r="I222" i="11"/>
  <c r="J222" i="11"/>
  <c r="C223" i="11"/>
  <c r="G223" i="11"/>
  <c r="H223" i="11"/>
  <c r="I223" i="11"/>
  <c r="J223" i="11"/>
  <c r="C224" i="11"/>
  <c r="G224" i="11"/>
  <c r="H224" i="11"/>
  <c r="I224" i="11"/>
  <c r="J224" i="11"/>
  <c r="C225" i="11"/>
  <c r="G225" i="11"/>
  <c r="H225" i="11"/>
  <c r="I225" i="11"/>
  <c r="J225" i="11"/>
  <c r="C226" i="11"/>
  <c r="G226" i="11"/>
  <c r="H226" i="11"/>
  <c r="I226" i="11"/>
  <c r="J226" i="11"/>
  <c r="C227" i="11"/>
  <c r="G227" i="11"/>
  <c r="H227" i="11"/>
  <c r="I227" i="11"/>
  <c r="J227" i="11"/>
  <c r="C228" i="11"/>
  <c r="G228" i="11"/>
  <c r="H228" i="11"/>
  <c r="I228" i="11"/>
  <c r="J228" i="11"/>
  <c r="C229" i="11"/>
  <c r="G229" i="11"/>
  <c r="H229" i="11"/>
  <c r="I229" i="11"/>
  <c r="J229" i="11"/>
  <c r="C230" i="11"/>
  <c r="G230" i="11"/>
  <c r="H230" i="11"/>
  <c r="I230" i="11"/>
  <c r="J230" i="11"/>
  <c r="C231" i="11"/>
  <c r="G231" i="11"/>
  <c r="H231" i="11"/>
  <c r="I231" i="11"/>
  <c r="J231" i="11"/>
  <c r="C232" i="11"/>
  <c r="G232" i="11"/>
  <c r="H232" i="11"/>
  <c r="I232" i="11"/>
  <c r="J232" i="11"/>
  <c r="C233" i="11"/>
  <c r="G233" i="11"/>
  <c r="H233" i="11"/>
  <c r="I233" i="11"/>
  <c r="J233" i="11"/>
  <c r="C234" i="11"/>
  <c r="G234" i="11"/>
  <c r="H234" i="11"/>
  <c r="I234" i="11"/>
  <c r="J234" i="11"/>
  <c r="C235" i="11"/>
  <c r="G235" i="11"/>
  <c r="H235" i="11"/>
  <c r="I235" i="11"/>
  <c r="J235" i="11"/>
  <c r="C236" i="11"/>
  <c r="G236" i="11"/>
  <c r="H236" i="11"/>
  <c r="I236" i="11"/>
  <c r="J236" i="11"/>
  <c r="C237" i="11"/>
  <c r="G237" i="11"/>
  <c r="H237" i="11"/>
  <c r="I237" i="11"/>
  <c r="J237" i="11"/>
  <c r="C238" i="11"/>
  <c r="G238" i="11"/>
  <c r="H238" i="11"/>
  <c r="I238" i="11"/>
  <c r="J238" i="11"/>
  <c r="C239" i="11"/>
  <c r="G239" i="11"/>
  <c r="H239" i="11"/>
  <c r="I239" i="11"/>
  <c r="J239" i="11"/>
  <c r="C240" i="11"/>
  <c r="G240" i="11"/>
  <c r="H240" i="11"/>
  <c r="I240" i="11"/>
  <c r="J240" i="11"/>
  <c r="C241" i="11"/>
  <c r="G241" i="11"/>
  <c r="H241" i="11"/>
  <c r="I241" i="11"/>
  <c r="J241" i="11"/>
  <c r="C242" i="11"/>
  <c r="G242" i="11"/>
  <c r="H242" i="11"/>
  <c r="I242" i="11"/>
  <c r="J242" i="11"/>
  <c r="C243" i="11"/>
  <c r="G243" i="11"/>
  <c r="H243" i="11"/>
  <c r="I243" i="11"/>
  <c r="J243" i="11"/>
  <c r="C244" i="11"/>
  <c r="G244" i="11"/>
  <c r="H244" i="11"/>
  <c r="I244" i="11"/>
  <c r="J244" i="11"/>
  <c r="C245" i="11"/>
  <c r="G245" i="11"/>
  <c r="H245" i="11"/>
  <c r="I245" i="11"/>
  <c r="J245" i="11"/>
  <c r="C246" i="11"/>
  <c r="G246" i="11"/>
  <c r="H246" i="11"/>
  <c r="I246" i="11"/>
  <c r="J246" i="11"/>
  <c r="C247" i="11"/>
  <c r="G247" i="11"/>
  <c r="H247" i="11"/>
  <c r="I247" i="11"/>
  <c r="J247" i="11"/>
  <c r="C248" i="11"/>
  <c r="G248" i="11"/>
  <c r="H248" i="11"/>
  <c r="I248" i="11"/>
  <c r="J248" i="11"/>
  <c r="C249" i="11"/>
  <c r="G249" i="11"/>
  <c r="H249" i="11"/>
  <c r="I249" i="11"/>
  <c r="J249" i="11"/>
  <c r="C250" i="11"/>
  <c r="G250" i="11"/>
  <c r="H250" i="11"/>
  <c r="I250" i="11"/>
  <c r="J250" i="11"/>
  <c r="C251" i="11"/>
  <c r="G251" i="11"/>
  <c r="H251" i="11"/>
  <c r="I251" i="11"/>
  <c r="J251" i="11"/>
  <c r="C252" i="11"/>
  <c r="G252" i="11"/>
  <c r="H252" i="11"/>
  <c r="I252" i="11"/>
  <c r="J252" i="11"/>
  <c r="C253" i="11"/>
  <c r="G253" i="11"/>
  <c r="H253" i="11"/>
  <c r="I253" i="11"/>
  <c r="J253" i="11"/>
  <c r="C254" i="11"/>
  <c r="G254" i="11"/>
  <c r="H254" i="11"/>
  <c r="I254" i="11"/>
  <c r="J254" i="11"/>
  <c r="C255" i="11"/>
  <c r="G255" i="11"/>
  <c r="H255" i="11"/>
  <c r="I255" i="11"/>
  <c r="J255" i="11"/>
  <c r="C256" i="11"/>
  <c r="G256" i="11"/>
  <c r="H256" i="11"/>
  <c r="I256" i="11"/>
  <c r="J256" i="11"/>
  <c r="C257" i="11"/>
  <c r="G257" i="11"/>
  <c r="H257" i="11"/>
  <c r="I257" i="11"/>
  <c r="J257" i="11"/>
  <c r="C258" i="11"/>
  <c r="G258" i="11"/>
  <c r="H258" i="11"/>
  <c r="I258" i="11"/>
  <c r="J258" i="11"/>
  <c r="C259" i="11"/>
  <c r="G259" i="11"/>
  <c r="H259" i="11"/>
  <c r="I259" i="11"/>
  <c r="J259" i="11"/>
  <c r="C260" i="11"/>
  <c r="G260" i="11"/>
  <c r="H260" i="11"/>
  <c r="I260" i="11"/>
  <c r="J260" i="11"/>
  <c r="C261" i="11"/>
  <c r="G261" i="11"/>
  <c r="H261" i="11"/>
  <c r="I261" i="11"/>
  <c r="J261" i="11"/>
  <c r="C262" i="11"/>
  <c r="G262" i="11"/>
  <c r="H262" i="11"/>
  <c r="I262" i="11"/>
  <c r="J262" i="11"/>
  <c r="C263" i="11"/>
  <c r="G263" i="11"/>
  <c r="H263" i="11"/>
  <c r="I263" i="11"/>
  <c r="J263" i="11"/>
  <c r="C264" i="11"/>
  <c r="G264" i="11"/>
  <c r="H264" i="11"/>
  <c r="I264" i="11"/>
  <c r="J264" i="11"/>
  <c r="C265" i="11"/>
  <c r="G265" i="11"/>
  <c r="H265" i="11"/>
  <c r="I265" i="11"/>
  <c r="J265" i="11"/>
  <c r="C266" i="11"/>
  <c r="G266" i="11"/>
  <c r="H266" i="11"/>
  <c r="I266" i="11"/>
  <c r="J266" i="11"/>
  <c r="C267" i="11"/>
  <c r="G267" i="11"/>
  <c r="H267" i="11"/>
  <c r="I267" i="11"/>
  <c r="J267" i="11"/>
  <c r="C268" i="11"/>
  <c r="G268" i="11"/>
  <c r="H268" i="11"/>
  <c r="I268" i="11"/>
  <c r="J268" i="11"/>
  <c r="C269" i="11"/>
  <c r="G269" i="11"/>
  <c r="H269" i="11"/>
  <c r="I269" i="11"/>
  <c r="J269" i="11"/>
  <c r="C270" i="11"/>
  <c r="G270" i="11"/>
  <c r="H270" i="11"/>
  <c r="I270" i="11"/>
  <c r="J270" i="11"/>
  <c r="C271" i="11"/>
  <c r="G271" i="11"/>
  <c r="H271" i="11"/>
  <c r="I271" i="11"/>
  <c r="J271" i="11"/>
  <c r="C272" i="11"/>
  <c r="G272" i="11"/>
  <c r="H272" i="11"/>
  <c r="I272" i="11"/>
  <c r="J272" i="11"/>
  <c r="C273" i="11"/>
  <c r="G273" i="11"/>
  <c r="H273" i="11"/>
  <c r="I273" i="11"/>
  <c r="J273" i="11"/>
  <c r="C274" i="11"/>
  <c r="G274" i="11"/>
  <c r="H274" i="11"/>
  <c r="I274" i="11"/>
  <c r="J274" i="11"/>
  <c r="C275" i="11"/>
  <c r="G275" i="11"/>
  <c r="H275" i="11"/>
  <c r="I275" i="11"/>
  <c r="J275" i="11"/>
  <c r="C276" i="11"/>
  <c r="G276" i="11"/>
  <c r="H276" i="11"/>
  <c r="I276" i="11"/>
  <c r="J276" i="11"/>
  <c r="C277" i="11"/>
  <c r="G277" i="11"/>
  <c r="H277" i="11"/>
  <c r="I277" i="11"/>
  <c r="J277" i="11"/>
  <c r="C278" i="11"/>
  <c r="G278" i="11"/>
  <c r="H278" i="11"/>
  <c r="I278" i="11"/>
  <c r="J278" i="11"/>
  <c r="C279" i="11"/>
  <c r="G279" i="11"/>
  <c r="H279" i="11"/>
  <c r="I279" i="11"/>
  <c r="J279" i="11"/>
  <c r="C280" i="11"/>
  <c r="G280" i="11"/>
  <c r="H280" i="11"/>
  <c r="I280" i="11"/>
  <c r="J280" i="11"/>
  <c r="C281" i="11"/>
  <c r="G281" i="11"/>
  <c r="H281" i="11"/>
  <c r="I281" i="11"/>
  <c r="J281" i="11"/>
  <c r="C282" i="11"/>
  <c r="G282" i="11"/>
  <c r="H282" i="11"/>
  <c r="I282" i="11"/>
  <c r="J282" i="11"/>
  <c r="C283" i="11"/>
  <c r="G283" i="11"/>
  <c r="H283" i="11"/>
  <c r="I283" i="11"/>
  <c r="J283" i="11"/>
  <c r="C284" i="11"/>
  <c r="G284" i="11"/>
  <c r="H284" i="11"/>
  <c r="I284" i="11"/>
  <c r="J284" i="11"/>
  <c r="C285" i="11"/>
  <c r="G285" i="11"/>
  <c r="H285" i="11"/>
  <c r="I285" i="11"/>
  <c r="J285" i="11"/>
  <c r="C286" i="11"/>
  <c r="G286" i="11"/>
  <c r="H286" i="11"/>
  <c r="I286" i="11"/>
  <c r="J286" i="11"/>
  <c r="C287" i="11"/>
  <c r="G287" i="11"/>
  <c r="H287" i="11"/>
  <c r="I287" i="11"/>
  <c r="J287" i="11"/>
  <c r="C288" i="11"/>
  <c r="G288" i="11"/>
  <c r="H288" i="11"/>
  <c r="I288" i="11"/>
  <c r="J288" i="11"/>
  <c r="C289" i="11"/>
  <c r="G289" i="11"/>
  <c r="H289" i="11"/>
  <c r="I289" i="11"/>
  <c r="J289" i="11"/>
  <c r="C290" i="11"/>
  <c r="G290" i="11"/>
  <c r="H290" i="11"/>
  <c r="I290" i="11"/>
  <c r="J290" i="11"/>
  <c r="C291" i="11"/>
  <c r="G291" i="11"/>
  <c r="H291" i="11"/>
  <c r="I291" i="11"/>
  <c r="J291" i="11"/>
  <c r="C292" i="11"/>
  <c r="G292" i="11"/>
  <c r="H292" i="11"/>
  <c r="I292" i="11"/>
  <c r="J292" i="11"/>
  <c r="C293" i="11"/>
  <c r="G293" i="11"/>
  <c r="H293" i="11"/>
  <c r="I293" i="11"/>
  <c r="J293" i="11"/>
  <c r="C294" i="11"/>
  <c r="G294" i="11"/>
  <c r="H294" i="11"/>
  <c r="I294" i="11"/>
  <c r="J294" i="11"/>
  <c r="C295" i="11"/>
  <c r="G295" i="11"/>
  <c r="H295" i="11"/>
  <c r="I295" i="11"/>
  <c r="J295" i="11"/>
  <c r="C296" i="11"/>
  <c r="G296" i="11"/>
  <c r="H296" i="11"/>
  <c r="I296" i="11"/>
  <c r="J296" i="11"/>
  <c r="C297" i="11"/>
  <c r="G297" i="11"/>
  <c r="H297" i="11"/>
  <c r="I297" i="11"/>
  <c r="J297" i="11"/>
  <c r="C298" i="11"/>
  <c r="G298" i="11"/>
  <c r="H298" i="11"/>
  <c r="I298" i="11"/>
  <c r="J298" i="11"/>
  <c r="C299" i="11"/>
  <c r="G299" i="11"/>
  <c r="H299" i="11"/>
  <c r="I299" i="11"/>
  <c r="J299" i="11"/>
  <c r="C300" i="11"/>
  <c r="G300" i="11"/>
  <c r="H300" i="11"/>
  <c r="I300" i="11"/>
  <c r="J300" i="11"/>
  <c r="C301" i="11"/>
  <c r="G301" i="11"/>
  <c r="H301" i="11"/>
  <c r="I301" i="11"/>
  <c r="J301" i="11"/>
  <c r="C302" i="11"/>
  <c r="G302" i="11"/>
  <c r="H302" i="11"/>
  <c r="I302" i="11"/>
  <c r="J302" i="11"/>
  <c r="C303" i="11"/>
  <c r="G303" i="11"/>
  <c r="H303" i="11"/>
  <c r="I303" i="11"/>
  <c r="J303" i="11"/>
  <c r="C304" i="11"/>
  <c r="G304" i="11"/>
  <c r="H304" i="11"/>
  <c r="I304" i="11"/>
  <c r="J304" i="11"/>
  <c r="C305" i="11"/>
  <c r="G305" i="11"/>
  <c r="H305" i="11"/>
  <c r="I305" i="11"/>
  <c r="J305" i="11"/>
  <c r="C306" i="11"/>
  <c r="G306" i="11"/>
  <c r="H306" i="11"/>
  <c r="I306" i="11"/>
  <c r="J306" i="11"/>
  <c r="C307" i="11"/>
  <c r="G307" i="11"/>
  <c r="H307" i="11"/>
  <c r="I307" i="11"/>
  <c r="J307" i="11"/>
  <c r="C308" i="11"/>
  <c r="G308" i="11"/>
  <c r="H308" i="11"/>
  <c r="I308" i="11"/>
  <c r="J308" i="11"/>
  <c r="C309" i="11"/>
  <c r="G309" i="11"/>
  <c r="H309" i="11"/>
  <c r="I309" i="11"/>
  <c r="J309" i="11"/>
  <c r="C310" i="11"/>
  <c r="G310" i="11"/>
  <c r="H310" i="11"/>
  <c r="I310" i="11"/>
  <c r="J310" i="11"/>
  <c r="C311" i="11"/>
  <c r="G311" i="11"/>
  <c r="H311" i="11"/>
  <c r="I311" i="11"/>
  <c r="J311" i="11"/>
  <c r="C312" i="11"/>
  <c r="G312" i="11"/>
  <c r="H312" i="11"/>
  <c r="I312" i="11"/>
  <c r="J312" i="11"/>
  <c r="C313" i="11"/>
  <c r="G313" i="11"/>
  <c r="H313" i="11"/>
  <c r="I313" i="11"/>
  <c r="J313" i="11"/>
  <c r="C314" i="11"/>
  <c r="G314" i="11"/>
  <c r="H314" i="11"/>
  <c r="I314" i="11"/>
  <c r="J314" i="11"/>
  <c r="C315" i="11"/>
  <c r="G315" i="11"/>
  <c r="H315" i="11"/>
  <c r="I315" i="11"/>
  <c r="J315" i="11"/>
  <c r="C316" i="11"/>
  <c r="G316" i="11"/>
  <c r="H316" i="11"/>
  <c r="I316" i="11"/>
  <c r="J316" i="11"/>
  <c r="C317" i="11"/>
  <c r="G317" i="11"/>
  <c r="H317" i="11"/>
  <c r="I317" i="11"/>
  <c r="J317" i="11"/>
  <c r="C318" i="11"/>
  <c r="G318" i="11"/>
  <c r="H318" i="11"/>
  <c r="I318" i="11"/>
  <c r="J318" i="11"/>
  <c r="C319" i="11"/>
  <c r="G319" i="11"/>
  <c r="H319" i="11"/>
  <c r="I319" i="11"/>
  <c r="J319" i="11"/>
  <c r="C320" i="11"/>
  <c r="G320" i="11"/>
  <c r="H320" i="11"/>
  <c r="I320" i="11"/>
  <c r="J320" i="11"/>
  <c r="C321" i="11"/>
  <c r="G321" i="11"/>
  <c r="H321" i="11"/>
  <c r="I321" i="11"/>
  <c r="J321" i="11"/>
  <c r="C322" i="11"/>
  <c r="G322" i="11"/>
  <c r="H322" i="11"/>
  <c r="I322" i="11"/>
  <c r="J322" i="11"/>
  <c r="C323" i="11"/>
  <c r="G323" i="11"/>
  <c r="H323" i="11"/>
  <c r="I323" i="11"/>
  <c r="J323" i="11"/>
  <c r="C324" i="11"/>
  <c r="G324" i="11"/>
  <c r="H324" i="11"/>
  <c r="I324" i="11"/>
  <c r="J324" i="11"/>
  <c r="C325" i="11"/>
  <c r="G325" i="11"/>
  <c r="H325" i="11"/>
  <c r="I325" i="11"/>
  <c r="J325" i="11"/>
  <c r="C326" i="11"/>
  <c r="G326" i="11"/>
  <c r="H326" i="11"/>
  <c r="I326" i="11"/>
  <c r="J326" i="11"/>
  <c r="C327" i="11"/>
  <c r="G327" i="11"/>
  <c r="H327" i="11"/>
  <c r="I327" i="11"/>
  <c r="J327" i="11"/>
  <c r="C328" i="11"/>
  <c r="G328" i="11"/>
  <c r="H328" i="11"/>
  <c r="I328" i="11"/>
  <c r="J328" i="11"/>
  <c r="C329" i="11"/>
  <c r="G329" i="11"/>
  <c r="H329" i="11"/>
  <c r="I329" i="11"/>
  <c r="J329" i="11"/>
  <c r="C330" i="11"/>
  <c r="G330" i="11"/>
  <c r="H330" i="11"/>
  <c r="I330" i="11"/>
  <c r="J330" i="11"/>
  <c r="C331" i="11"/>
  <c r="G331" i="11"/>
  <c r="H331" i="11"/>
  <c r="I331" i="11"/>
  <c r="J331" i="11"/>
  <c r="C332" i="11"/>
  <c r="G332" i="11"/>
  <c r="H332" i="11"/>
  <c r="I332" i="11"/>
  <c r="J332" i="11"/>
  <c r="C333" i="11"/>
  <c r="G333" i="11"/>
  <c r="H333" i="11"/>
  <c r="I333" i="11"/>
  <c r="J333" i="11"/>
  <c r="C334" i="11"/>
  <c r="G334" i="11"/>
  <c r="H334" i="11"/>
  <c r="I334" i="11"/>
  <c r="J334" i="11"/>
  <c r="C335" i="11"/>
  <c r="G335" i="11"/>
  <c r="H335" i="11"/>
  <c r="I335" i="11"/>
  <c r="J335" i="11"/>
  <c r="C336" i="11"/>
  <c r="G336" i="11"/>
  <c r="H336" i="11"/>
  <c r="I336" i="11"/>
  <c r="J336" i="11"/>
  <c r="C337" i="11"/>
  <c r="G337" i="11"/>
  <c r="H337" i="11"/>
  <c r="I337" i="11"/>
  <c r="J337" i="11"/>
  <c r="C338" i="11"/>
  <c r="G338" i="11"/>
  <c r="H338" i="11"/>
  <c r="I338" i="11"/>
  <c r="J338" i="11"/>
  <c r="C339" i="11"/>
  <c r="G339" i="11"/>
  <c r="H339" i="11"/>
  <c r="I339" i="11"/>
  <c r="J339" i="11"/>
  <c r="C340" i="11"/>
  <c r="G340" i="11"/>
  <c r="H340" i="11"/>
  <c r="I340" i="11"/>
  <c r="J340" i="11"/>
  <c r="C341" i="11"/>
  <c r="G341" i="11"/>
  <c r="H341" i="11"/>
  <c r="I341" i="11"/>
  <c r="J341" i="11"/>
  <c r="C342" i="11"/>
  <c r="G342" i="11"/>
  <c r="H342" i="11"/>
  <c r="I342" i="11"/>
  <c r="J342" i="11"/>
  <c r="C343" i="11"/>
  <c r="G343" i="11"/>
  <c r="H343" i="11"/>
  <c r="I343" i="11"/>
  <c r="J343" i="11"/>
  <c r="C344" i="11"/>
  <c r="G344" i="11"/>
  <c r="H344" i="11"/>
  <c r="I344" i="11"/>
  <c r="J344" i="11"/>
  <c r="C345" i="11"/>
  <c r="G345" i="11"/>
  <c r="H345" i="11"/>
  <c r="I345" i="11"/>
  <c r="J345" i="11"/>
  <c r="C346" i="11"/>
  <c r="G346" i="11"/>
  <c r="H346" i="11"/>
  <c r="I346" i="11"/>
  <c r="J346" i="11"/>
  <c r="C347" i="11"/>
  <c r="G347" i="11"/>
  <c r="H347" i="11"/>
  <c r="I347" i="11"/>
  <c r="J347" i="11"/>
  <c r="C348" i="11"/>
  <c r="G348" i="11"/>
  <c r="H348" i="11"/>
  <c r="I348" i="11"/>
  <c r="J348" i="11"/>
  <c r="C349" i="11"/>
  <c r="G349" i="11"/>
  <c r="H349" i="11"/>
  <c r="I349" i="11"/>
  <c r="J349" i="11"/>
  <c r="C350" i="11"/>
  <c r="G350" i="11"/>
  <c r="H350" i="11"/>
  <c r="I350" i="11"/>
  <c r="J350" i="11"/>
  <c r="C351" i="11"/>
  <c r="G351" i="11"/>
  <c r="H351" i="11"/>
  <c r="I351" i="11"/>
  <c r="J351" i="11"/>
  <c r="C352" i="11"/>
  <c r="G352" i="11"/>
  <c r="H352" i="11"/>
  <c r="I352" i="11"/>
  <c r="J352" i="11"/>
  <c r="C353" i="11"/>
  <c r="G353" i="11"/>
  <c r="H353" i="11"/>
  <c r="I353" i="11"/>
  <c r="J353" i="11"/>
  <c r="C354" i="11"/>
  <c r="G354" i="11"/>
  <c r="H354" i="11"/>
  <c r="I354" i="11"/>
  <c r="J354" i="11"/>
  <c r="C355" i="11"/>
  <c r="G355" i="11"/>
  <c r="H355" i="11"/>
  <c r="I355" i="11"/>
  <c r="J355" i="11"/>
  <c r="C356" i="11"/>
  <c r="G356" i="11"/>
  <c r="H356" i="11"/>
  <c r="I356" i="11"/>
  <c r="J356" i="11"/>
  <c r="C357" i="11"/>
  <c r="G357" i="11"/>
  <c r="H357" i="11"/>
  <c r="I357" i="11"/>
  <c r="J357" i="11"/>
  <c r="C358" i="11"/>
  <c r="G358" i="11"/>
  <c r="H358" i="11"/>
  <c r="I358" i="11"/>
  <c r="J358" i="11"/>
  <c r="C359" i="11"/>
  <c r="G359" i="11"/>
  <c r="H359" i="11"/>
  <c r="I359" i="11"/>
  <c r="J359" i="11"/>
  <c r="C360" i="11"/>
  <c r="G360" i="11"/>
  <c r="H360" i="11"/>
  <c r="I360" i="11"/>
  <c r="J360" i="11"/>
  <c r="C361" i="11"/>
  <c r="G361" i="11"/>
  <c r="H361" i="11"/>
  <c r="I361" i="11"/>
  <c r="J361" i="11"/>
  <c r="C362" i="11"/>
  <c r="G362" i="11"/>
  <c r="H362" i="11"/>
  <c r="I362" i="11"/>
  <c r="J362" i="11"/>
  <c r="C363" i="11"/>
  <c r="G363" i="11"/>
  <c r="H363" i="11"/>
  <c r="I363" i="11"/>
  <c r="J363" i="11"/>
  <c r="C364" i="11"/>
  <c r="G364" i="11"/>
  <c r="H364" i="11"/>
  <c r="I364" i="11"/>
  <c r="J364" i="11"/>
  <c r="C365" i="11"/>
  <c r="G365" i="11"/>
  <c r="H365" i="11"/>
  <c r="I365" i="11"/>
  <c r="J365" i="11"/>
  <c r="C366" i="11"/>
  <c r="G366" i="11"/>
  <c r="H366" i="11"/>
  <c r="I366" i="11"/>
  <c r="J366" i="11"/>
  <c r="C367" i="11"/>
  <c r="G367" i="11"/>
  <c r="H367" i="11"/>
  <c r="I367" i="11"/>
  <c r="J367" i="11"/>
  <c r="C368" i="11"/>
  <c r="G368" i="11"/>
  <c r="H368" i="11"/>
  <c r="I368" i="11"/>
  <c r="J368" i="11"/>
  <c r="C369" i="11"/>
  <c r="G369" i="11"/>
  <c r="H369" i="11"/>
  <c r="I369" i="11"/>
  <c r="J369" i="11"/>
  <c r="C370" i="11"/>
  <c r="G370" i="11"/>
  <c r="H370" i="11"/>
  <c r="I370" i="11"/>
  <c r="J370" i="11"/>
  <c r="C371" i="11"/>
  <c r="G371" i="11"/>
  <c r="H371" i="11"/>
  <c r="I371" i="11"/>
  <c r="J371" i="11"/>
  <c r="C372" i="11"/>
  <c r="G372" i="11"/>
  <c r="H372" i="11"/>
  <c r="I372" i="11"/>
  <c r="J372" i="11"/>
  <c r="C373" i="11"/>
  <c r="G373" i="11"/>
  <c r="H373" i="11"/>
  <c r="I373" i="11"/>
  <c r="J373" i="11"/>
  <c r="C374" i="11"/>
  <c r="G374" i="11"/>
  <c r="H374" i="11"/>
  <c r="I374" i="11"/>
  <c r="J374" i="11"/>
  <c r="C375" i="11"/>
  <c r="G375" i="11"/>
  <c r="H375" i="11"/>
  <c r="I375" i="11"/>
  <c r="J375" i="11"/>
  <c r="C376" i="11"/>
  <c r="G376" i="11"/>
  <c r="H376" i="11"/>
  <c r="I376" i="11"/>
  <c r="J376" i="11"/>
  <c r="C377" i="11"/>
  <c r="G377" i="11"/>
  <c r="H377" i="11"/>
  <c r="I377" i="11"/>
  <c r="J377" i="11"/>
  <c r="C378" i="11"/>
  <c r="G378" i="11"/>
  <c r="H378" i="11"/>
  <c r="I378" i="11"/>
  <c r="J378" i="11"/>
  <c r="C379" i="11"/>
  <c r="G379" i="11"/>
  <c r="H379" i="11"/>
  <c r="I379" i="11"/>
  <c r="J379" i="11"/>
  <c r="C380" i="11"/>
  <c r="G380" i="11"/>
  <c r="H380" i="11"/>
  <c r="I380" i="11"/>
  <c r="J380" i="11"/>
  <c r="C381" i="11"/>
  <c r="G381" i="11"/>
  <c r="H381" i="11"/>
  <c r="I381" i="11"/>
  <c r="J381" i="11"/>
  <c r="C382" i="11"/>
  <c r="G382" i="11"/>
  <c r="H382" i="11"/>
  <c r="I382" i="11"/>
  <c r="J382" i="11"/>
  <c r="C383" i="11"/>
  <c r="G383" i="11"/>
  <c r="H383" i="11"/>
  <c r="I383" i="11"/>
  <c r="J383" i="11"/>
  <c r="C384" i="11"/>
  <c r="G384" i="11"/>
  <c r="H384" i="11"/>
  <c r="I384" i="11"/>
  <c r="J384" i="11"/>
  <c r="C385" i="11"/>
  <c r="G385" i="11"/>
  <c r="H385" i="11"/>
  <c r="I385" i="11"/>
  <c r="J385" i="11"/>
  <c r="C386" i="11"/>
  <c r="G386" i="11"/>
  <c r="H386" i="11"/>
  <c r="I386" i="11"/>
  <c r="J386" i="11"/>
  <c r="C387" i="11"/>
  <c r="G387" i="11"/>
  <c r="H387" i="11"/>
  <c r="I387" i="11"/>
  <c r="J387" i="11"/>
  <c r="C388" i="11"/>
  <c r="G388" i="11"/>
  <c r="H388" i="11"/>
  <c r="I388" i="11"/>
  <c r="J388" i="11"/>
  <c r="C389" i="11"/>
  <c r="G389" i="11"/>
  <c r="H389" i="11"/>
  <c r="I389" i="11"/>
  <c r="J389" i="11"/>
  <c r="C390" i="11"/>
  <c r="G390" i="11"/>
  <c r="H390" i="11"/>
  <c r="I390" i="11"/>
  <c r="J390" i="11"/>
  <c r="C391" i="11"/>
  <c r="G391" i="11"/>
  <c r="H391" i="11"/>
  <c r="I391" i="11"/>
  <c r="J391" i="11"/>
  <c r="C392" i="11"/>
  <c r="G392" i="11"/>
  <c r="H392" i="11"/>
  <c r="I392" i="11"/>
  <c r="J392" i="11"/>
  <c r="C393" i="11"/>
  <c r="G393" i="11"/>
  <c r="H393" i="11"/>
  <c r="I393" i="11"/>
  <c r="J393" i="11"/>
  <c r="C394" i="11"/>
  <c r="G394" i="11"/>
  <c r="H394" i="11"/>
  <c r="I394" i="11"/>
  <c r="J394" i="11"/>
  <c r="C395" i="11"/>
  <c r="G395" i="11"/>
  <c r="H395" i="11"/>
  <c r="I395" i="11"/>
  <c r="J395" i="11"/>
  <c r="C396" i="11"/>
  <c r="G396" i="11"/>
  <c r="H396" i="11"/>
  <c r="I396" i="11"/>
  <c r="J396" i="11"/>
  <c r="C397" i="11"/>
  <c r="G397" i="11"/>
  <c r="H397" i="11"/>
  <c r="I397" i="11"/>
  <c r="J397" i="11"/>
  <c r="C398" i="11"/>
  <c r="G398" i="11"/>
  <c r="H398" i="11"/>
  <c r="I398" i="11"/>
  <c r="J398" i="11"/>
  <c r="C399" i="11"/>
  <c r="G399" i="11"/>
  <c r="H399" i="11"/>
  <c r="I399" i="11"/>
  <c r="J399" i="11"/>
  <c r="C400" i="11"/>
  <c r="G400" i="11"/>
  <c r="H400" i="11"/>
  <c r="I400" i="11"/>
  <c r="J400" i="11"/>
  <c r="C401" i="11"/>
  <c r="G401" i="11"/>
  <c r="H401" i="11"/>
  <c r="I401" i="11"/>
  <c r="J401" i="11"/>
  <c r="C402" i="11"/>
  <c r="G402" i="11"/>
  <c r="H402" i="11"/>
  <c r="I402" i="11"/>
  <c r="J402" i="11"/>
  <c r="C403" i="11"/>
  <c r="G403" i="11"/>
  <c r="H403" i="11"/>
  <c r="I403" i="11"/>
  <c r="J403" i="11"/>
  <c r="C404" i="11"/>
  <c r="G404" i="11"/>
  <c r="H404" i="11"/>
  <c r="I404" i="11"/>
  <c r="J404" i="11"/>
  <c r="C405" i="11"/>
  <c r="G405" i="11"/>
  <c r="H405" i="11"/>
  <c r="I405" i="11"/>
  <c r="J405" i="11"/>
  <c r="C406" i="11"/>
  <c r="G406" i="11"/>
  <c r="H406" i="11"/>
  <c r="I406" i="11"/>
  <c r="J406" i="11"/>
  <c r="C407" i="11"/>
  <c r="G407" i="11"/>
  <c r="H407" i="11"/>
  <c r="I407" i="11"/>
  <c r="J407" i="11"/>
  <c r="C408" i="11"/>
  <c r="G408" i="11"/>
  <c r="H408" i="11"/>
  <c r="I408" i="11"/>
  <c r="J408" i="11"/>
  <c r="C409" i="11"/>
  <c r="G409" i="11"/>
  <c r="H409" i="11"/>
  <c r="I409" i="11"/>
  <c r="J409" i="11"/>
  <c r="C410" i="11"/>
  <c r="G410" i="11"/>
  <c r="H410" i="11"/>
  <c r="I410" i="11"/>
  <c r="J410" i="11"/>
  <c r="C411" i="11"/>
  <c r="G411" i="11"/>
  <c r="H411" i="11"/>
  <c r="I411" i="11"/>
  <c r="J411" i="11"/>
  <c r="C412" i="11"/>
  <c r="G412" i="11"/>
  <c r="H412" i="11"/>
  <c r="I412" i="11"/>
  <c r="J412" i="11"/>
  <c r="C413" i="11"/>
  <c r="G413" i="11"/>
  <c r="H413" i="11"/>
  <c r="I413" i="11"/>
  <c r="J413" i="11"/>
  <c r="C414" i="11"/>
  <c r="G414" i="11"/>
  <c r="H414" i="11"/>
  <c r="I414" i="11"/>
  <c r="J414" i="11"/>
  <c r="C415" i="11"/>
  <c r="G415" i="11"/>
  <c r="H415" i="11"/>
  <c r="I415" i="11"/>
  <c r="J415" i="11"/>
  <c r="C416" i="11"/>
  <c r="G416" i="11"/>
  <c r="H416" i="11"/>
  <c r="I416" i="11"/>
  <c r="J416" i="11"/>
  <c r="C417" i="11"/>
  <c r="G417" i="11"/>
  <c r="H417" i="11"/>
  <c r="I417" i="11"/>
  <c r="J417" i="11"/>
  <c r="C418" i="11"/>
  <c r="G418" i="11"/>
  <c r="H418" i="11"/>
  <c r="I418" i="11"/>
  <c r="J418" i="11"/>
  <c r="C419" i="11"/>
  <c r="G419" i="11"/>
  <c r="H419" i="11"/>
  <c r="I419" i="11"/>
  <c r="J419" i="11"/>
  <c r="C420" i="11"/>
  <c r="G420" i="11"/>
  <c r="H420" i="11"/>
  <c r="I420" i="11"/>
  <c r="J420" i="11"/>
  <c r="C421" i="11"/>
  <c r="G421" i="11"/>
  <c r="H421" i="11"/>
  <c r="I421" i="11"/>
  <c r="J421" i="11"/>
  <c r="C422" i="11"/>
  <c r="G422" i="11"/>
  <c r="H422" i="11"/>
  <c r="I422" i="11"/>
  <c r="J422" i="11"/>
  <c r="C423" i="11"/>
  <c r="G423" i="11"/>
  <c r="H423" i="11"/>
  <c r="I423" i="11"/>
  <c r="J423" i="11"/>
  <c r="C424" i="11"/>
  <c r="G424" i="11"/>
  <c r="H424" i="11"/>
  <c r="I424" i="11"/>
  <c r="J424" i="11"/>
  <c r="C425" i="11"/>
  <c r="G425" i="11"/>
  <c r="H425" i="11"/>
  <c r="I425" i="11"/>
  <c r="J425" i="11"/>
  <c r="C426" i="11"/>
  <c r="G426" i="11"/>
  <c r="H426" i="11"/>
  <c r="I426" i="11"/>
  <c r="J426" i="11"/>
  <c r="C427" i="11"/>
  <c r="G427" i="11"/>
  <c r="H427" i="11"/>
  <c r="I427" i="11"/>
  <c r="J427" i="11"/>
  <c r="C428" i="11"/>
  <c r="G428" i="11"/>
  <c r="H428" i="11"/>
  <c r="I428" i="11"/>
  <c r="J428" i="11"/>
  <c r="C429" i="11"/>
  <c r="G429" i="11"/>
  <c r="H429" i="11"/>
  <c r="I429" i="11"/>
  <c r="J429" i="11"/>
  <c r="C430" i="11"/>
  <c r="G430" i="11"/>
  <c r="H430" i="11"/>
  <c r="I430" i="11"/>
  <c r="J430" i="11"/>
  <c r="C431" i="11"/>
  <c r="G431" i="11"/>
  <c r="H431" i="11"/>
  <c r="I431" i="11"/>
  <c r="J431" i="11"/>
  <c r="C432" i="11"/>
  <c r="G432" i="11"/>
  <c r="H432" i="11"/>
  <c r="I432" i="11"/>
  <c r="J432" i="11"/>
  <c r="C433" i="11"/>
  <c r="G433" i="11"/>
  <c r="H433" i="11"/>
  <c r="I433" i="11"/>
  <c r="J433" i="11"/>
  <c r="C434" i="11"/>
  <c r="G434" i="11"/>
  <c r="H434" i="11"/>
  <c r="I434" i="11"/>
  <c r="J434" i="11"/>
  <c r="C435" i="11"/>
  <c r="G435" i="11"/>
  <c r="H435" i="11"/>
  <c r="I435" i="11"/>
  <c r="J435" i="11"/>
  <c r="C436" i="11"/>
  <c r="G436" i="11"/>
  <c r="H436" i="11"/>
  <c r="I436" i="11"/>
  <c r="J436" i="11"/>
  <c r="C437" i="11"/>
  <c r="G437" i="11"/>
  <c r="H437" i="11"/>
  <c r="I437" i="11"/>
  <c r="J437" i="11"/>
  <c r="C438" i="11"/>
  <c r="G438" i="11"/>
  <c r="H438" i="11"/>
  <c r="I438" i="11"/>
  <c r="J438" i="11"/>
  <c r="C439" i="11"/>
  <c r="G439" i="11"/>
  <c r="H439" i="11"/>
  <c r="I439" i="11"/>
  <c r="J439" i="11"/>
  <c r="C440" i="11"/>
  <c r="G440" i="11"/>
  <c r="H440" i="11"/>
  <c r="I440" i="11"/>
  <c r="J440" i="11"/>
  <c r="C441" i="11"/>
  <c r="G441" i="11"/>
  <c r="H441" i="11"/>
  <c r="I441" i="11"/>
  <c r="J441" i="11"/>
  <c r="C442" i="11"/>
  <c r="G442" i="11"/>
  <c r="H442" i="11"/>
  <c r="I442" i="11"/>
  <c r="J442" i="11"/>
  <c r="C443" i="11"/>
  <c r="G443" i="11"/>
  <c r="H443" i="11"/>
  <c r="I443" i="11"/>
  <c r="J443" i="11"/>
  <c r="C444" i="11"/>
  <c r="G444" i="11"/>
  <c r="H444" i="11"/>
  <c r="I444" i="11"/>
  <c r="J444" i="11"/>
  <c r="C445" i="11"/>
  <c r="G445" i="11"/>
  <c r="H445" i="11"/>
  <c r="I445" i="11"/>
  <c r="J445" i="11"/>
  <c r="C446" i="11"/>
  <c r="G446" i="11"/>
  <c r="H446" i="11"/>
  <c r="I446" i="11"/>
  <c r="J446" i="11"/>
  <c r="C447" i="11"/>
  <c r="G447" i="11"/>
  <c r="H447" i="11"/>
  <c r="I447" i="11"/>
  <c r="J447" i="11"/>
  <c r="C448" i="11"/>
  <c r="G448" i="11"/>
  <c r="H448" i="11"/>
  <c r="I448" i="11"/>
  <c r="J448" i="11"/>
  <c r="C449" i="11"/>
  <c r="G449" i="11"/>
  <c r="H449" i="11"/>
  <c r="I449" i="11"/>
  <c r="J449" i="11"/>
  <c r="C450" i="11"/>
  <c r="G450" i="11"/>
  <c r="H450" i="11"/>
  <c r="I450" i="11"/>
  <c r="J450" i="11"/>
  <c r="C451" i="11"/>
  <c r="G451" i="11"/>
  <c r="H451" i="11"/>
  <c r="I451" i="11"/>
  <c r="J451" i="11"/>
  <c r="C452" i="11"/>
  <c r="G452" i="11"/>
  <c r="H452" i="11"/>
  <c r="I452" i="11"/>
  <c r="J452" i="11"/>
  <c r="C453" i="11"/>
  <c r="G453" i="11"/>
  <c r="H453" i="11"/>
  <c r="I453" i="11"/>
  <c r="J453" i="11"/>
  <c r="C454" i="11"/>
  <c r="G454" i="11"/>
  <c r="H454" i="11"/>
  <c r="I454" i="11"/>
  <c r="J454" i="11"/>
  <c r="C455" i="11"/>
  <c r="G455" i="11"/>
  <c r="H455" i="11"/>
  <c r="I455" i="11"/>
  <c r="J455" i="11"/>
  <c r="C456" i="11"/>
  <c r="G456" i="11"/>
  <c r="H456" i="11"/>
  <c r="I456" i="11"/>
  <c r="J456" i="11"/>
  <c r="C457" i="11"/>
  <c r="G457" i="11"/>
  <c r="H457" i="11"/>
  <c r="I457" i="11"/>
  <c r="J457" i="11"/>
  <c r="C458" i="11"/>
  <c r="G458" i="11"/>
  <c r="H458" i="11"/>
  <c r="I458" i="11"/>
  <c r="J458" i="11"/>
  <c r="C459" i="11"/>
  <c r="G459" i="11"/>
  <c r="H459" i="11"/>
  <c r="I459" i="11"/>
  <c r="J459" i="11"/>
  <c r="C460" i="11"/>
  <c r="G460" i="11"/>
  <c r="H460" i="11"/>
  <c r="I460" i="11"/>
  <c r="J460" i="11"/>
  <c r="C461" i="11"/>
  <c r="G461" i="11"/>
  <c r="H461" i="11"/>
  <c r="I461" i="11"/>
  <c r="J461" i="11"/>
  <c r="C462" i="11"/>
  <c r="G462" i="11"/>
  <c r="H462" i="11"/>
  <c r="I462" i="11"/>
  <c r="J462" i="11"/>
  <c r="C463" i="11"/>
  <c r="G463" i="11"/>
  <c r="H463" i="11"/>
  <c r="I463" i="11"/>
  <c r="J463" i="11"/>
  <c r="C464" i="11"/>
  <c r="G464" i="11"/>
  <c r="H464" i="11"/>
  <c r="I464" i="11"/>
  <c r="J464" i="11"/>
  <c r="C465" i="11"/>
  <c r="G465" i="11"/>
  <c r="H465" i="11"/>
  <c r="I465" i="11"/>
  <c r="J465" i="11"/>
  <c r="C466" i="11"/>
  <c r="G466" i="11"/>
  <c r="H466" i="11"/>
  <c r="I466" i="11"/>
  <c r="J466" i="11"/>
  <c r="C467" i="11"/>
  <c r="G467" i="11"/>
  <c r="H467" i="11"/>
  <c r="I467" i="11"/>
  <c r="J467" i="11"/>
  <c r="C468" i="11"/>
  <c r="G468" i="11"/>
  <c r="H468" i="11"/>
  <c r="I468" i="11"/>
  <c r="J468" i="11"/>
  <c r="C469" i="11"/>
  <c r="G469" i="11"/>
  <c r="H469" i="11"/>
  <c r="I469" i="11"/>
  <c r="J469" i="11"/>
  <c r="C470" i="11"/>
  <c r="G470" i="11"/>
  <c r="H470" i="11"/>
  <c r="I470" i="11"/>
  <c r="J470" i="11"/>
  <c r="C471" i="11"/>
  <c r="G471" i="11"/>
  <c r="H471" i="11"/>
  <c r="I471" i="11"/>
  <c r="J471" i="11"/>
  <c r="C472" i="11"/>
  <c r="G472" i="11"/>
  <c r="H472" i="11"/>
  <c r="I472" i="11"/>
  <c r="J472" i="11"/>
  <c r="C473" i="11"/>
  <c r="G473" i="11"/>
  <c r="H473" i="11"/>
  <c r="I473" i="11"/>
  <c r="J473" i="11"/>
  <c r="C474" i="11"/>
  <c r="G474" i="11"/>
  <c r="H474" i="11"/>
  <c r="I474" i="11"/>
  <c r="J474" i="11"/>
  <c r="C475" i="11"/>
  <c r="G475" i="11"/>
  <c r="H475" i="11"/>
  <c r="I475" i="11"/>
  <c r="J475" i="11"/>
  <c r="C476" i="11"/>
  <c r="G476" i="11"/>
  <c r="H476" i="11"/>
  <c r="I476" i="11"/>
  <c r="J476" i="11"/>
  <c r="C477" i="11"/>
  <c r="G477" i="11"/>
  <c r="H477" i="11"/>
  <c r="I477" i="11"/>
  <c r="J477" i="11"/>
  <c r="C478" i="11"/>
  <c r="G478" i="11"/>
  <c r="H478" i="11"/>
  <c r="I478" i="11"/>
  <c r="J478" i="11"/>
  <c r="C479" i="11"/>
  <c r="G479" i="11"/>
  <c r="H479" i="11"/>
  <c r="I479" i="11"/>
  <c r="J479" i="11"/>
  <c r="C480" i="11"/>
  <c r="G480" i="11"/>
  <c r="H480" i="11"/>
  <c r="I480" i="11"/>
  <c r="J480" i="11"/>
  <c r="C481" i="11"/>
  <c r="G481" i="11"/>
  <c r="H481" i="11"/>
  <c r="I481" i="11"/>
  <c r="J481" i="11"/>
  <c r="C482" i="11"/>
  <c r="G482" i="11"/>
  <c r="H482" i="11"/>
  <c r="I482" i="11"/>
  <c r="J482" i="11"/>
  <c r="C483" i="11"/>
  <c r="G483" i="11"/>
  <c r="H483" i="11"/>
  <c r="I483" i="11"/>
  <c r="J483" i="11"/>
  <c r="C484" i="11"/>
  <c r="G484" i="11"/>
  <c r="H484" i="11"/>
  <c r="I484" i="11"/>
  <c r="J484" i="11"/>
  <c r="C485" i="11"/>
  <c r="G485" i="11"/>
  <c r="H485" i="11"/>
  <c r="I485" i="11"/>
  <c r="J485" i="11"/>
  <c r="C486" i="11"/>
  <c r="G486" i="11"/>
  <c r="H486" i="11"/>
  <c r="I486" i="11"/>
  <c r="J486" i="11"/>
  <c r="C487" i="11"/>
  <c r="G487" i="11"/>
  <c r="H487" i="11"/>
  <c r="I487" i="11"/>
  <c r="J487" i="11"/>
  <c r="C488" i="11"/>
  <c r="G488" i="11"/>
  <c r="H488" i="11"/>
  <c r="I488" i="11"/>
  <c r="J488" i="11"/>
  <c r="C489" i="11"/>
  <c r="G489" i="11"/>
  <c r="H489" i="11"/>
  <c r="I489" i="11"/>
  <c r="J489" i="11"/>
  <c r="C490" i="11"/>
  <c r="G490" i="11"/>
  <c r="H490" i="11"/>
  <c r="I490" i="11"/>
  <c r="J490" i="11"/>
  <c r="C491" i="11"/>
  <c r="G491" i="11"/>
  <c r="H491" i="11"/>
  <c r="I491" i="11"/>
  <c r="J491" i="11"/>
  <c r="C492" i="11"/>
  <c r="G492" i="11"/>
  <c r="H492" i="11"/>
  <c r="I492" i="11"/>
  <c r="J492" i="11"/>
  <c r="C493" i="11"/>
  <c r="G493" i="11"/>
  <c r="H493" i="11"/>
  <c r="I493" i="11"/>
  <c r="J493" i="11"/>
  <c r="C494" i="11"/>
  <c r="G494" i="11"/>
  <c r="H494" i="11"/>
  <c r="I494" i="11"/>
  <c r="J494" i="11"/>
  <c r="C495" i="11"/>
  <c r="G495" i="11"/>
  <c r="H495" i="11"/>
  <c r="I495" i="11"/>
  <c r="J495" i="11"/>
  <c r="C496" i="11"/>
  <c r="G496" i="11"/>
  <c r="H496" i="11"/>
  <c r="I496" i="11"/>
  <c r="J496" i="11"/>
  <c r="C497" i="11"/>
  <c r="G497" i="11"/>
  <c r="H497" i="11"/>
  <c r="I497" i="11"/>
  <c r="J497" i="11"/>
  <c r="C498" i="11"/>
  <c r="G498" i="11"/>
  <c r="H498" i="11"/>
  <c r="I498" i="11"/>
  <c r="J498" i="11"/>
  <c r="C499" i="11"/>
  <c r="G499" i="11"/>
  <c r="H499" i="11"/>
  <c r="I499" i="11"/>
  <c r="J499" i="11"/>
  <c r="C500" i="11"/>
  <c r="G500" i="11"/>
  <c r="H500" i="11"/>
  <c r="I500" i="11"/>
  <c r="J500" i="11"/>
  <c r="C501" i="11"/>
  <c r="G501" i="11"/>
  <c r="H501" i="11"/>
  <c r="I501" i="11"/>
  <c r="J501" i="11"/>
  <c r="C502" i="11"/>
  <c r="G502" i="11"/>
  <c r="H502" i="11"/>
  <c r="I502" i="11"/>
  <c r="J502" i="11"/>
  <c r="C503" i="11"/>
  <c r="G503" i="11"/>
  <c r="H503" i="11"/>
  <c r="I503" i="11"/>
  <c r="J503" i="11"/>
  <c r="C504" i="11"/>
  <c r="G504" i="11"/>
  <c r="H504" i="11"/>
  <c r="I504" i="11"/>
  <c r="J504" i="11"/>
  <c r="C505" i="11"/>
  <c r="G505" i="11"/>
  <c r="H505" i="11"/>
  <c r="I505" i="11"/>
  <c r="J505" i="11"/>
  <c r="C506" i="11"/>
  <c r="G506" i="11"/>
  <c r="H506" i="11"/>
  <c r="I506" i="11"/>
  <c r="J506" i="11"/>
  <c r="C507" i="11"/>
  <c r="G507" i="11"/>
  <c r="H507" i="11"/>
  <c r="I507" i="11"/>
  <c r="J507" i="11"/>
  <c r="C508" i="11"/>
  <c r="G508" i="11"/>
  <c r="H508" i="11"/>
  <c r="I508" i="11"/>
  <c r="J508" i="11"/>
  <c r="C509" i="11"/>
  <c r="G509" i="11"/>
  <c r="H509" i="11"/>
  <c r="I509" i="11"/>
  <c r="J509" i="11"/>
  <c r="C510" i="11"/>
  <c r="G510" i="11"/>
  <c r="H510" i="11"/>
  <c r="I510" i="11"/>
  <c r="J510" i="11"/>
  <c r="C511" i="11"/>
  <c r="G511" i="11"/>
  <c r="H511" i="11"/>
  <c r="I511" i="11"/>
  <c r="J511" i="11"/>
  <c r="C512" i="11"/>
  <c r="G512" i="11"/>
  <c r="H512" i="11"/>
  <c r="I512" i="11"/>
  <c r="J512" i="11"/>
  <c r="C513" i="11"/>
  <c r="G513" i="11"/>
  <c r="H513" i="11"/>
  <c r="I513" i="11"/>
  <c r="J513" i="11"/>
  <c r="C514" i="11"/>
  <c r="G514" i="11"/>
  <c r="H514" i="11"/>
  <c r="I514" i="11"/>
  <c r="J514" i="11"/>
  <c r="C515" i="11"/>
  <c r="G515" i="11"/>
  <c r="H515" i="11"/>
  <c r="I515" i="11"/>
  <c r="J515" i="11"/>
  <c r="C516" i="11"/>
  <c r="G516" i="11"/>
  <c r="H516" i="11"/>
  <c r="I516" i="11"/>
  <c r="J516" i="11"/>
  <c r="C517" i="11"/>
  <c r="G517" i="11"/>
  <c r="H517" i="11"/>
  <c r="I517" i="11"/>
  <c r="J517" i="11"/>
  <c r="C518" i="11"/>
  <c r="G518" i="11"/>
  <c r="H518" i="11"/>
  <c r="I518" i="11"/>
  <c r="J518" i="11"/>
  <c r="C519" i="11"/>
  <c r="G519" i="11"/>
  <c r="H519" i="11"/>
  <c r="I519" i="11"/>
  <c r="J519" i="11"/>
  <c r="C520" i="11"/>
  <c r="G520" i="11"/>
  <c r="H520" i="11"/>
  <c r="I520" i="11"/>
  <c r="J520" i="11"/>
  <c r="C521" i="11"/>
  <c r="G521" i="11"/>
  <c r="H521" i="11"/>
  <c r="I521" i="11"/>
  <c r="J521" i="11"/>
  <c r="C522" i="11"/>
  <c r="G522" i="11"/>
  <c r="H522" i="11"/>
  <c r="I522" i="11"/>
  <c r="J522" i="11"/>
  <c r="C523" i="11"/>
  <c r="G523" i="11"/>
  <c r="H523" i="11"/>
  <c r="I523" i="11"/>
  <c r="J523" i="11"/>
  <c r="C524" i="11"/>
  <c r="G524" i="11"/>
  <c r="H524" i="11"/>
  <c r="I524" i="11"/>
  <c r="J524" i="11"/>
  <c r="C525" i="11"/>
  <c r="G525" i="11"/>
  <c r="H525" i="11"/>
  <c r="I525" i="11"/>
  <c r="J525" i="11"/>
  <c r="C526" i="11"/>
  <c r="G526" i="11"/>
  <c r="H526" i="11"/>
  <c r="I526" i="11"/>
  <c r="J526" i="11"/>
  <c r="C527" i="11"/>
  <c r="G527" i="11"/>
  <c r="H527" i="11"/>
  <c r="I527" i="11"/>
  <c r="J527" i="11"/>
  <c r="C528" i="11"/>
  <c r="G528" i="11"/>
  <c r="H528" i="11"/>
  <c r="I528" i="11"/>
  <c r="J528" i="11"/>
  <c r="C529" i="11"/>
  <c r="G529" i="11"/>
  <c r="H529" i="11"/>
  <c r="I529" i="11"/>
  <c r="J529" i="11"/>
  <c r="C530" i="11"/>
  <c r="G530" i="11"/>
  <c r="H530" i="11"/>
  <c r="I530" i="11"/>
  <c r="J530" i="11"/>
  <c r="C531" i="11"/>
  <c r="G531" i="11"/>
  <c r="H531" i="11"/>
  <c r="I531" i="11"/>
  <c r="J531" i="11"/>
  <c r="C532" i="11"/>
  <c r="G532" i="11"/>
  <c r="H532" i="11"/>
  <c r="I532" i="11"/>
  <c r="J532" i="11"/>
  <c r="C533" i="11"/>
  <c r="G533" i="11"/>
  <c r="H533" i="11"/>
  <c r="I533" i="11"/>
  <c r="J533" i="11"/>
  <c r="C534" i="11"/>
  <c r="G534" i="11"/>
  <c r="H534" i="11"/>
  <c r="I534" i="11"/>
  <c r="J534" i="11"/>
  <c r="C535" i="11"/>
  <c r="G535" i="11"/>
  <c r="H535" i="11"/>
  <c r="I535" i="11"/>
  <c r="J535" i="11"/>
  <c r="C536" i="11"/>
  <c r="G536" i="11"/>
  <c r="H536" i="11"/>
  <c r="I536" i="11"/>
  <c r="J536" i="11"/>
  <c r="C537" i="11"/>
  <c r="G537" i="11"/>
  <c r="H537" i="11"/>
  <c r="I537" i="11"/>
  <c r="J537" i="11"/>
  <c r="C538" i="11"/>
  <c r="G538" i="11"/>
  <c r="H538" i="11"/>
  <c r="I538" i="11"/>
  <c r="J538" i="11"/>
  <c r="C539" i="11"/>
  <c r="G539" i="11"/>
  <c r="H539" i="11"/>
  <c r="I539" i="11"/>
  <c r="J539" i="11"/>
  <c r="C540" i="11"/>
  <c r="G540" i="11"/>
  <c r="H540" i="11"/>
  <c r="I540" i="11"/>
  <c r="J540" i="11"/>
  <c r="C541" i="11"/>
  <c r="G541" i="11"/>
  <c r="H541" i="11"/>
  <c r="I541" i="11"/>
  <c r="J541" i="11"/>
  <c r="C542" i="11"/>
  <c r="G542" i="11"/>
  <c r="H542" i="11"/>
  <c r="I542" i="11"/>
  <c r="J542" i="11"/>
  <c r="C543" i="11"/>
  <c r="G543" i="11"/>
  <c r="H543" i="11"/>
  <c r="I543" i="11"/>
  <c r="J543" i="11"/>
  <c r="C544" i="11"/>
  <c r="G544" i="11"/>
  <c r="H544" i="11"/>
  <c r="I544" i="11"/>
  <c r="J544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2" i="10"/>
  <c r="H261" i="10"/>
  <c r="H262" i="10"/>
  <c r="H263" i="10"/>
  <c r="H264" i="10"/>
  <c r="H265" i="10"/>
  <c r="H266" i="10"/>
  <c r="H267" i="10"/>
  <c r="H268" i="10"/>
  <c r="H260" i="10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<sst xmlns="http://schemas.openxmlformats.org/spreadsheetml/2006/main" count="3761" uniqueCount="970">
  <si>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</si>
  <si>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</si>
  <si>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</si>
  <si>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</si>
  <si>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</si>
  <si>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</si>
  <si>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</si>
  <si>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</si>
  <si>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</si>
  <si>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</si>
  <si>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</si>
  <si>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</si>
  <si>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</si>
  <si>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</si>
  <si>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</si>
  <si>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</si>
  <si>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</si>
  <si>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</si>
  <si>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</si>
  <si>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</si>
  <si>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</si>
  <si>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</si>
  <si>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</si>
  <si>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</si>
  <si>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</si>
  <si>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</si>
  <si>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</si>
  <si>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</si>
  <si>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</si>
  <si>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</si>
  <si>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</si>
  <si>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</si>
  <si>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</si>
  <si>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</si>
  <si>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</si>
  <si>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</si>
  <si>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</si>
  <si>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</si>
  <si>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</si>
  <si>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</si>
  <si>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</si>
  <si>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</si>
  <si>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</si>
  <si>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</si>
  <si>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</si>
  <si>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</si>
  <si>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</si>
  <si>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</si>
  <si>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</si>
  <si>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</si>
  <si>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</si>
  <si>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</si>
  <si>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</si>
  <si>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</si>
  <si>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</si>
  <si>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</si>
  <si>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</si>
  <si>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</si>
  <si>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</si>
  <si>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</si>
  <si>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</si>
  <si>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</si>
  <si>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</si>
  <si>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</si>
  <si>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</si>
  <si>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</si>
  <si>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</si>
  <si>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</si>
  <si>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</si>
  <si>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</si>
  <si>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</si>
  <si>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</si>
  <si>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</si>
  <si>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</si>
  <si>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</si>
  <si>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</si>
  <si>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</si>
  <si>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</si>
  <si>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</si>
  <si>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</si>
  <si>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</si>
  <si>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</si>
  <si>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</si>
  <si>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</si>
  <si>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</si>
  <si>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</si>
  <si>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</si>
  <si>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</si>
  <si>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</si>
  <si>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</si>
  <si>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</si>
  <si>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</si>
  <si>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</si>
  <si>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</si>
  <si>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</si>
  <si>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</si>
  <si>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</si>
  <si>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</si>
  <si>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</si>
  <si>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</si>
  <si>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</si>
  <si>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</si>
  <si>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</si>
  <si>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</si>
  <si>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</si>
  <si>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</si>
  <si>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</si>
  <si>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</si>
  <si>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</si>
  <si>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</si>
  <si>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</si>
  <si>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</si>
  <si>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</si>
  <si>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</si>
  <si>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</si>
  <si>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</si>
  <si>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</si>
  <si>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</si>
  <si>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</si>
  <si>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</si>
  <si>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</si>
  <si>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</si>
  <si>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</si>
  <si>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</si>
  <si>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</si>
  <si>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</si>
  <si>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</si>
  <si>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</si>
  <si>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</si>
  <si>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</si>
  <si>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</si>
  <si>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</si>
  <si>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</si>
  <si>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</si>
  <si>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</si>
  <si>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</si>
  <si>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</si>
  <si>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</si>
  <si>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</si>
  <si>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</si>
  <si>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</si>
  <si>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</si>
  <si>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</si>
  <si>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</si>
  <si>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</si>
  <si>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</si>
  <si>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</si>
  <si>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</si>
  <si>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</si>
  <si>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</si>
  <si>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</si>
  <si>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</si>
  <si>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</si>
  <si>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</si>
  <si>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</si>
  <si>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</si>
  <si>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</si>
  <si>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</si>
  <si>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</si>
  <si>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</si>
  <si>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</si>
  <si>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</si>
  <si>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</si>
  <si>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</si>
  <si>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</si>
  <si>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</si>
  <si>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</si>
  <si>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</si>
  <si>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</si>
  <si>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</si>
  <si>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</si>
  <si>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</si>
  <si>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</si>
  <si>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</si>
  <si>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</si>
  <si>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</si>
  <si>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</si>
  <si>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</si>
  <si>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</si>
  <si>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</si>
  <si>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</si>
  <si>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</si>
  <si>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</si>
  <si>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</si>
  <si>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</si>
  <si>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</si>
  <si>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</si>
  <si>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</si>
  <si>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</si>
  <si>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</si>
  <si>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</si>
  <si>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</si>
  <si>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</si>
  <si>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</si>
  <si>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</si>
  <si>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</si>
  <si>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</si>
  <si>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</si>
  <si>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</si>
  <si>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</si>
  <si>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</si>
  <si>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</si>
  <si>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</si>
  <si>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</si>
  <si>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</si>
  <si>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</si>
  <si>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</si>
  <si>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</si>
  <si>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</si>
  <si>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</si>
  <si>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</si>
  <si>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</si>
  <si>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</si>
  <si>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</si>
  <si>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</si>
  <si>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</si>
  <si>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</si>
  <si>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</si>
  <si>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</si>
  <si>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</si>
  <si>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</si>
  <si>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</si>
  <si>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</si>
  <si>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</si>
  <si>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</si>
  <si>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</si>
  <si>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</si>
  <si>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</si>
  <si>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</si>
  <si>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</si>
  <si>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</si>
  <si>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</si>
  <si>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</si>
  <si>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</si>
  <si>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</si>
  <si>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</si>
  <si>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</si>
  <si>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</si>
  <si>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</si>
  <si>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</si>
  <si>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</si>
  <si>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</si>
  <si>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</si>
  <si>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</si>
  <si>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</si>
  <si>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</si>
  <si>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</si>
  <si>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</si>
  <si>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</si>
  <si>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</si>
  <si>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</si>
  <si>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</si>
  <si>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</si>
  <si>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</si>
  <si>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</si>
  <si>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</si>
  <si>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</si>
  <si>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</si>
  <si>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</si>
  <si>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</si>
  <si>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</si>
  <si>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</si>
  <si>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</si>
  <si>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</si>
  <si>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</si>
  <si>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</si>
  <si>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</si>
  <si>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</si>
  <si>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</si>
  <si>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</si>
  <si>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</si>
  <si>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</si>
  <si>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</si>
  <si>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</si>
  <si>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</si>
  <si>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</si>
  <si>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</si>
  <si>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</si>
  <si>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</si>
  <si>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</si>
  <si>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</si>
  <si>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</si>
  <si>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</si>
  <si>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</si>
  <si>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</si>
  <si>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</si>
  <si>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</si>
  <si>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</si>
  <si>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</si>
  <si>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</si>
  <si>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</si>
  <si>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</si>
  <si>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</si>
  <si>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</si>
  <si>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</si>
  <si>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</si>
  <si>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</si>
  <si>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</si>
  <si>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</si>
  <si>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</si>
  <si>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</si>
  <si>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</si>
  <si>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</si>
  <si>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</si>
  <si>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</si>
  <si>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</si>
  <si>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</si>
  <si>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</si>
  <si>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</si>
  <si>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</si>
  <si>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</si>
  <si>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</si>
  <si>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</si>
  <si>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</si>
  <si>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</si>
  <si>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</si>
  <si>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</si>
  <si>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</si>
  <si>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</si>
  <si>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</si>
  <si>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</si>
  <si>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</si>
  <si>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</si>
  <si>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</si>
  <si>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</si>
  <si>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</si>
  <si>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</si>
  <si>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</si>
  <si>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</si>
  <si>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</si>
  <si>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</si>
  <si>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</si>
  <si>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</si>
  <si>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</si>
  <si>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</si>
  <si>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</si>
  <si>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</si>
  <si>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</si>
  <si>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</si>
  <si>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</si>
  <si>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</si>
  <si>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</si>
  <si>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</si>
  <si>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</si>
  <si>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</si>
  <si>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</si>
  <si>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</si>
  <si>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</si>
  <si>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</si>
  <si>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</si>
  <si>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</si>
  <si>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</si>
  <si>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</si>
  <si>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</si>
  <si>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</si>
  <si>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</si>
  <si>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</si>
  <si>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</si>
  <si>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</si>
  <si>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</si>
  <si>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</si>
  <si>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</si>
  <si>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</si>
  <si>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</si>
  <si>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</si>
  <si>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</si>
  <si>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</si>
  <si>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</si>
  <si>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</si>
  <si>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</si>
  <si>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</si>
  <si>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</si>
  <si>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</si>
  <si>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</si>
  <si>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</si>
  <si>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</si>
  <si>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</si>
  <si>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</si>
  <si>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</si>
  <si>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</si>
  <si>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</si>
  <si>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</si>
  <si>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</si>
  <si>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</si>
  <si>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</si>
  <si>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</si>
  <si>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</si>
  <si>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</si>
  <si>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</si>
  <si>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</si>
  <si>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</si>
  <si>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</si>
  <si>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</si>
  <si>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</si>
  <si>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</si>
  <si>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</si>
  <si>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</si>
  <si>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</si>
  <si>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</si>
  <si>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</si>
  <si>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</si>
  <si>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</si>
  <si>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</si>
  <si>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</si>
  <si>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</si>
  <si>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</si>
  <si>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</si>
  <si>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</si>
  <si>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</si>
  <si>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</si>
  <si>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</si>
  <si>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</si>
  <si>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</si>
  <si>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</si>
  <si>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</si>
  <si>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</si>
  <si>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</si>
  <si>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</si>
  <si>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</si>
  <si>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</si>
  <si>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</si>
  <si>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</si>
  <si>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</si>
  <si>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</si>
  <si>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</si>
  <si>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</si>
  <si>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</si>
  <si>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</si>
  <si>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</si>
  <si>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</si>
  <si>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</si>
  <si>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</si>
  <si>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</si>
  <si>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</si>
  <si>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</si>
  <si>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</si>
  <si>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</si>
  <si>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</si>
  <si>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</si>
  <si>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</si>
  <si>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</si>
  <si>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</si>
  <si>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</si>
  <si>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</si>
  <si>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</si>
  <si>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</si>
  <si>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</si>
  <si>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</si>
  <si>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</si>
  <si>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</si>
  <si>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</si>
  <si>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</si>
  <si>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</si>
  <si>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</si>
  <si>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</si>
  <si>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</si>
  <si>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</si>
  <si>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</si>
  <si>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</si>
  <si>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</si>
  <si>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</si>
  <si>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</si>
  <si>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</si>
  <si>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</si>
  <si>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</si>
  <si>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</si>
  <si>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</si>
  <si>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</si>
  <si>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</si>
  <si>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</si>
  <si>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</si>
  <si>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</si>
  <si>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</si>
  <si>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</si>
  <si>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</si>
  <si>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</si>
  <si>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</si>
  <si>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</si>
  <si>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</si>
  <si>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</si>
  <si>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</si>
  <si>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</si>
  <si>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</si>
  <si>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</si>
  <si>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</si>
  <si>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</si>
  <si>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</si>
  <si>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</si>
  <si>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</si>
  <si>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</si>
  <si>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</si>
  <si>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</si>
  <si>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</si>
  <si>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</si>
  <si>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</si>
  <si>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</si>
  <si>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</si>
  <si>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</si>
  <si>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</si>
  <si>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</si>
  <si>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</si>
  <si>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</si>
  <si>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</si>
  <si>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</si>
  <si>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</si>
  <si>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</si>
  <si>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</si>
  <si>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</si>
  <si>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</si>
  <si>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</si>
  <si>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</si>
  <si>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</si>
  <si>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</si>
  <si>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</si>
  <si>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</si>
  <si>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</si>
  <si>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</si>
  <si>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</si>
  <si>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</si>
  <si>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</si>
  <si>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</si>
  <si>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</si>
  <si>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</si>
  <si>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</si>
  <si>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</si>
  <si>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</si>
  <si>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</si>
  <si>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</si>
  <si>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</si>
  <si>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</si>
  <si>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</si>
  <si>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</si>
  <si>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</si>
  <si>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</si>
  <si>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</si>
  <si>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</si>
  <si>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</si>
  <si>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</si>
  <si>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</si>
  <si>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</si>
  <si>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</si>
  <si>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</si>
  <si>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</si>
  <si>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</si>
  <si>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</si>
  <si>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</si>
  <si>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</si>
  <si>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</si>
  <si>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</si>
  <si>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</si>
  <si>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</si>
  <si>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</si>
  <si>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</si>
  <si>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</si>
  <si>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</si>
  <si>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</si>
  <si>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</si>
  <si>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</si>
  <si>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</si>
  <si>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</si>
  <si>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</si>
  <si>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</si>
  <si>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</si>
  <si>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</si>
  <si>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</si>
  <si>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</si>
  <si>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</si>
  <si>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</si>
  <si>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</si>
  <si>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</si>
  <si>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</si>
  <si>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</si>
  <si>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</si>
  <si>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</si>
  <si>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</si>
  <si>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</si>
  <si>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</si>
  <si>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</si>
  <si>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</si>
  <si>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</si>
  <si>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</si>
  <si>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</si>
  <si>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</si>
  <si>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</si>
  <si>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</si>
  <si>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</si>
  <si>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</si>
  <si>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</si>
  <si>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</si>
  <si>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</si>
  <si>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</si>
  <si>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</si>
  <si>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</si>
  <si>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</si>
  <si>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</si>
  <si>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</si>
  <si>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</si>
  <si>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</si>
  <si>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</si>
  <si>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</si>
  <si>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</si>
  <si>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</si>
  <si>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</si>
  <si>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</si>
  <si>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</si>
  <si>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</si>
  <si>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</si>
  <si>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</si>
  <si>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</si>
  <si>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</si>
  <si>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</si>
  <si>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</si>
  <si>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</si>
  <si>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</si>
  <si>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</si>
  <si>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</si>
  <si>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</si>
  <si>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</si>
  <si>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</si>
  <si>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</si>
  <si>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</si>
  <si>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</si>
  <si>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</si>
  <si>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</si>
  <si>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</si>
  <si>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</si>
  <si>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</si>
  <si>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</si>
  <si>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</si>
  <si>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</si>
  <si>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</si>
  <si>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</si>
  <si>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</si>
  <si>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</si>
  <si>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</si>
  <si>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</si>
  <si>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</si>
  <si>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</si>
  <si>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</si>
  <si>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</si>
  <si>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</si>
  <si>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</si>
  <si>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</si>
  <si>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</si>
  <si>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</si>
  <si>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</si>
  <si>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</si>
  <si>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</si>
  <si>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</si>
  <si>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</si>
  <si>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</si>
  <si>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</si>
  <si>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</si>
  <si>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</si>
  <si>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</si>
  <si>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</si>
  <si>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</si>
  <si>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</si>
  <si>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</si>
  <si>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</si>
  <si>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</si>
  <si>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</si>
  <si>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</si>
  <si>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</si>
  <si>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</si>
  <si>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</si>
  <si>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</si>
  <si>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</si>
  <si>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</si>
  <si>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</si>
  <si>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</si>
  <si>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</si>
  <si>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</si>
  <si>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</si>
  <si>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</si>
  <si>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</si>
  <si>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</si>
  <si>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</si>
  <si>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</si>
  <si>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</si>
  <si>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</si>
  <si>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</si>
  <si>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</si>
  <si>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</si>
  <si>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</si>
  <si>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</si>
  <si>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</si>
  <si>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</si>
  <si>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</si>
  <si>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</si>
  <si>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</si>
  <si>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</si>
  <si>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</si>
  <si>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</si>
  <si>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</si>
  <si>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</si>
  <si>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</si>
  <si>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</si>
  <si>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</si>
  <si>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</si>
  <si>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</si>
  <si>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</si>
  <si>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</si>
  <si>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</si>
  <si>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</si>
  <si>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</si>
  <si>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</si>
  <si>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</si>
  <si>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</si>
  <si>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</si>
  <si>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</si>
  <si>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</si>
  <si>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</si>
  <si>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</si>
  <si>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</si>
  <si>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</si>
  <si>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</si>
  <si>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</si>
  <si>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</si>
  <si>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</si>
  <si>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</si>
  <si>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</si>
  <si>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</si>
  <si>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</si>
  <si>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</si>
  <si>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</si>
  <si>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</si>
  <si>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</si>
  <si>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</si>
  <si>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</si>
  <si>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</si>
  <si>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</si>
  <si>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</si>
  <si>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</si>
  <si>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</si>
  <si>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</si>
  <si>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</si>
  <si>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</si>
  <si>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</si>
  <si>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</si>
  <si>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</si>
  <si>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</si>
  <si>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</si>
  <si>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</si>
  <si>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</si>
  <si>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</si>
  <si>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</si>
  <si>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</si>
  <si>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</si>
  <si>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</si>
  <si>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</si>
  <si>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</si>
  <si>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</si>
  <si>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</si>
  <si>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</si>
  <si>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</si>
  <si>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</si>
  <si>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</si>
  <si>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</si>
  <si>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</si>
  <si>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</si>
  <si>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</si>
  <si>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</si>
  <si>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</si>
  <si>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</si>
  <si>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</si>
  <si>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</si>
  <si>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</si>
  <si>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</si>
  <si>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</si>
  <si>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</si>
  <si>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</si>
  <si>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</si>
  <si>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</si>
  <si>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</si>
  <si>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</si>
  <si>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</si>
  <si>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</si>
  <si>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</si>
  <si>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</si>
  <si>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</si>
  <si>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</si>
  <si>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</si>
  <si>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</si>
  <si>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</si>
  <si>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</si>
  <si>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</si>
  <si>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</si>
  <si>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</si>
  <si>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</si>
  <si>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</si>
  <si>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</si>
  <si>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</si>
  <si>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</si>
  <si>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</si>
  <si>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</si>
  <si>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</si>
  <si>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</si>
  <si>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</si>
  <si>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</si>
  <si>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</si>
  <si>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</si>
  <si>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</si>
  <si>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</si>
  <si>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</si>
  <si>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</si>
  <si>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</si>
  <si>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</si>
  <si>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</si>
  <si>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</si>
  <si>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</si>
  <si>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</si>
  <si>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</si>
  <si>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4t</t>
  </si>
  <si>
    <t>4f</t>
  </si>
  <si>
    <t>1t4t</t>
  </si>
  <si>
    <t>1t4f5t8f</t>
  </si>
  <si>
    <t>1t4f5f8f</t>
  </si>
  <si>
    <t>1t4f5t8t</t>
  </si>
  <si>
    <t>1t4f5f8t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</si>
  <si>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</si>
  <si>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</si>
  <si>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</si>
  <si>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</si>
  <si>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</si>
  <si>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</si>
  <si>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</si>
  <si>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</si>
  <si>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</si>
  <si>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</si>
  <si>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1t2f3t5f6t</t>
  </si>
  <si>
    <t>1t2f3t5t7t</t>
  </si>
  <si>
    <t>1t2f3t5f6f</t>
  </si>
  <si>
    <t>1t2f3t5t7f</t>
  </si>
  <si>
    <t>1t3t5t8t</t>
  </si>
  <si>
    <t>1t3t5f</t>
  </si>
  <si>
    <t>1t3t5t8f</t>
  </si>
  <si>
    <t>1t5t</t>
  </si>
  <si>
    <t>1f2t3t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</si>
  <si>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</si>
  <si>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</si>
  <si>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</si>
  <si>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</si>
  <si>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</si>
  <si>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</si>
  <si>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</si>
  <si>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</si>
  <si>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</si>
  <si>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</si>
  <si>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</si>
  <si>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</si>
  <si>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</si>
  <si>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</si>
  <si>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</si>
  <si>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</si>
  <si>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</si>
  <si>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</si>
  <si>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</si>
  <si>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</si>
  <si>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</si>
  <si>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</si>
  <si>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</si>
  <si>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</si>
  <si>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</si>
  <si>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</si>
  <si>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</si>
  <si>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</si>
  <si>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</si>
  <si>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</si>
  <si>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</si>
  <si>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</si>
  <si>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</si>
  <si>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</si>
  <si>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</si>
  <si>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</si>
  <si>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</si>
  <si>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</si>
  <si>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</si>
  <si>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</si>
  <si>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</si>
  <si>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</si>
  <si>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1t2t5f</t>
  </si>
  <si>
    <t>2f3f</t>
  </si>
  <si>
    <t>2f3t4t</t>
  </si>
  <si>
    <t>2f3t4f</t>
  </si>
  <si>
    <t>2t3t4t</t>
  </si>
  <si>
    <t>4t5f6f</t>
  </si>
  <si>
    <t>4t5t</t>
  </si>
  <si>
    <t>4t5f6t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</si>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</sst>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16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3" fillId="3" borderId="0" xfId="0" applyFon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</cellXfs>
  <cellStyles count="16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156248"/>
        <c:axId val="2121159384"/>
      </c:scatterChart>
      <c:valAx>
        <c:axId val="2121156248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21159384"/>
        <c:crosses val="autoZero"/>
        <c:crossBetween val="midCat"/>
      </c:valAx>
      <c:valAx>
        <c:axId val="212115938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2115624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Compare!$Q$3:$Q$8</c:f>
              <c:numCache>
                <c:formatCode>0</c:formatCode>
                <c:ptCount val="6"/>
                <c:pt idx="0">
                  <c:v>30.0</c:v>
                </c:pt>
                <c:pt idx="1">
                  <c:v>18.0</c:v>
                </c:pt>
                <c:pt idx="2">
                  <c:v>12.0</c:v>
                </c:pt>
                <c:pt idx="3">
                  <c:v>8.0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Compare!$R$2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Compare!$S$2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Compare!$T$2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Compare!$T$3:$T$8</c:f>
              <c:numCache>
                <c:formatCode>0</c:formatCode>
                <c:ptCount val="6"/>
                <c:pt idx="0">
                  <c:v>5.0</c:v>
                </c:pt>
                <c:pt idx="1">
                  <c:v>11.0</c:v>
                </c:pt>
                <c:pt idx="2">
                  <c:v>13.0</c:v>
                </c:pt>
                <c:pt idx="3">
                  <c:v>13.0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Compare!$U$2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Compare!$V$2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62.0</c:v>
                </c:pt>
                <c:pt idx="5">
                  <c:v>64.0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81880"/>
        <c:axId val="2128228984"/>
      </c:barChart>
      <c:catAx>
        <c:axId val="2121481880"/>
        <c:scaling>
          <c:orientation val="minMax"/>
        </c:scaling>
        <c:delete val="0"/>
        <c:axPos val="b"/>
        <c:majorTickMark val="out"/>
        <c:minorTickMark val="none"/>
        <c:tickLblPos val="nextTo"/>
        <c:crossAx val="2128228984"/>
        <c:crosses val="autoZero"/>
        <c:auto val="1"/>
        <c:lblAlgn val="ctr"/>
        <c:lblOffset val="100"/>
        <c:noMultiLvlLbl val="0"/>
      </c:catAx>
      <c:valAx>
        <c:axId val="212822898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148188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workbookViewId="0">
      <selection activeCell="C27" sqref="C27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6">
        <v>1</v>
      </c>
      <c r="D14" s="6">
        <v>3</v>
      </c>
      <c r="E14" s="6">
        <v>60</v>
      </c>
      <c r="F14" s="6">
        <v>5</v>
      </c>
      <c r="G14" s="2" t="s">
        <v>436</v>
      </c>
      <c r="H14" s="2">
        <v>3</v>
      </c>
      <c r="I14" s="2">
        <v>60</v>
      </c>
      <c r="J14" s="2">
        <v>5</v>
      </c>
      <c r="K14" t="s">
        <v>441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activeCell="I2" sqref="I2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5"/>
  <sheetViews>
    <sheetView workbookViewId="0">
      <selection sqref="A1:G1048576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7345</v>
      </c>
      <c r="F2">
        <v>7220</v>
      </c>
      <c r="G2" s="4">
        <f t="shared" ref="G2" si="0">F2/E2</f>
        <v>0.98298162014976176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7345</v>
      </c>
      <c r="F3">
        <v>7240</v>
      </c>
      <c r="G3" s="4">
        <f t="shared" ref="G3:G66" si="1">F3/E3</f>
        <v>0.98570456092579983</v>
      </c>
    </row>
    <row r="4" spans="1:7">
      <c r="A4" t="s">
        <v>458</v>
      </c>
      <c r="B4">
        <v>1</v>
      </c>
      <c r="C4" t="s">
        <v>211</v>
      </c>
      <c r="D4">
        <v>3</v>
      </c>
      <c r="E4">
        <v>7345</v>
      </c>
      <c r="F4">
        <v>7241</v>
      </c>
      <c r="G4" s="4">
        <f t="shared" si="1"/>
        <v>0.98584070796460177</v>
      </c>
    </row>
    <row r="5" spans="1:7">
      <c r="A5" t="s">
        <v>458</v>
      </c>
      <c r="B5">
        <v>1</v>
      </c>
      <c r="C5" t="s">
        <v>449</v>
      </c>
      <c r="D5">
        <v>4</v>
      </c>
      <c r="E5">
        <v>7345</v>
      </c>
      <c r="F5">
        <v>7308</v>
      </c>
      <c r="G5" s="4">
        <f t="shared" si="1"/>
        <v>0.99496255956432944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1112</v>
      </c>
      <c r="F6">
        <v>470</v>
      </c>
      <c r="G6" s="4">
        <f t="shared" si="1"/>
        <v>0.4226618705035971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1112</v>
      </c>
      <c r="F7">
        <v>656</v>
      </c>
      <c r="G7" s="4">
        <f t="shared" si="1"/>
        <v>0.58992805755395683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1112</v>
      </c>
      <c r="F8">
        <v>734</v>
      </c>
      <c r="G8" s="4">
        <f t="shared" si="1"/>
        <v>0.66007194244604317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1112</v>
      </c>
      <c r="F9">
        <v>778</v>
      </c>
      <c r="G9" s="4">
        <f t="shared" si="1"/>
        <v>0.69964028776978415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1112</v>
      </c>
      <c r="F10">
        <v>862</v>
      </c>
      <c r="G10" s="4">
        <f t="shared" si="1"/>
        <v>0.77517985611510787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1112</v>
      </c>
      <c r="F11">
        <v>879</v>
      </c>
      <c r="G11" s="4">
        <f t="shared" si="1"/>
        <v>0.79046762589928055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1112</v>
      </c>
      <c r="F12">
        <v>892</v>
      </c>
      <c r="G12" s="4">
        <f t="shared" si="1"/>
        <v>0.80215827338129497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1112</v>
      </c>
      <c r="F13">
        <v>944</v>
      </c>
      <c r="G13" s="4">
        <f t="shared" si="1"/>
        <v>0.84892086330935257</v>
      </c>
    </row>
    <row r="14" spans="1:7">
      <c r="A14" t="s">
        <v>458</v>
      </c>
      <c r="B14">
        <v>2</v>
      </c>
      <c r="C14" t="s">
        <v>467</v>
      </c>
      <c r="D14">
        <v>9</v>
      </c>
      <c r="E14">
        <v>1112</v>
      </c>
      <c r="F14">
        <v>960</v>
      </c>
      <c r="G14" s="4">
        <f t="shared" si="1"/>
        <v>0.86330935251798557</v>
      </c>
    </row>
    <row r="15" spans="1:7">
      <c r="A15" t="s">
        <v>458</v>
      </c>
      <c r="B15">
        <v>2</v>
      </c>
      <c r="C15" t="s">
        <v>466</v>
      </c>
      <c r="D15">
        <v>10</v>
      </c>
      <c r="E15">
        <v>1112</v>
      </c>
      <c r="F15">
        <v>974</v>
      </c>
      <c r="G15" s="4">
        <f t="shared" si="1"/>
        <v>0.87589928057553956</v>
      </c>
    </row>
    <row r="16" spans="1:7">
      <c r="A16" t="s">
        <v>458</v>
      </c>
      <c r="B16">
        <v>2</v>
      </c>
      <c r="C16" t="s">
        <v>468</v>
      </c>
      <c r="D16">
        <v>11</v>
      </c>
      <c r="E16">
        <v>1112</v>
      </c>
      <c r="F16">
        <v>979</v>
      </c>
      <c r="G16" s="4">
        <f t="shared" si="1"/>
        <v>0.88039568345323738</v>
      </c>
    </row>
    <row r="17" spans="1:7">
      <c r="A17" t="s">
        <v>458</v>
      </c>
      <c r="B17">
        <v>2</v>
      </c>
      <c r="C17" t="s">
        <v>470</v>
      </c>
      <c r="D17">
        <v>12</v>
      </c>
      <c r="E17">
        <v>1112</v>
      </c>
      <c r="F17">
        <v>1038</v>
      </c>
      <c r="G17" s="4">
        <f t="shared" si="1"/>
        <v>0.93345323741007191</v>
      </c>
    </row>
    <row r="18" spans="1:7">
      <c r="A18" t="s">
        <v>458</v>
      </c>
      <c r="B18">
        <v>2</v>
      </c>
      <c r="C18" t="s">
        <v>469</v>
      </c>
      <c r="D18">
        <v>13</v>
      </c>
      <c r="E18">
        <v>1112</v>
      </c>
      <c r="F18">
        <v>1041</v>
      </c>
      <c r="G18" s="4">
        <f t="shared" si="1"/>
        <v>0.9361510791366906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1112</v>
      </c>
      <c r="F19">
        <v>1054</v>
      </c>
      <c r="G19" s="4">
        <f t="shared" si="1"/>
        <v>0.94784172661870503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1112</v>
      </c>
      <c r="F20">
        <v>1129</v>
      </c>
      <c r="G20" s="4">
        <f t="shared" si="1"/>
        <v>1.0152877697841727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1951</v>
      </c>
      <c r="F21">
        <v>192</v>
      </c>
      <c r="G21" s="4">
        <f t="shared" si="1"/>
        <v>9.8411071245515125E-2</v>
      </c>
    </row>
    <row r="22" spans="1:7">
      <c r="A22" t="s">
        <v>458</v>
      </c>
      <c r="B22">
        <v>6</v>
      </c>
      <c r="C22" t="s">
        <v>473</v>
      </c>
      <c r="D22">
        <v>2</v>
      </c>
      <c r="E22">
        <v>1951</v>
      </c>
      <c r="F22">
        <v>1430</v>
      </c>
      <c r="G22" s="4">
        <f t="shared" si="1"/>
        <v>0.73295745771399279</v>
      </c>
    </row>
    <row r="23" spans="1:7">
      <c r="A23" t="s">
        <v>458</v>
      </c>
      <c r="B23">
        <v>6</v>
      </c>
      <c r="C23" t="s">
        <v>475</v>
      </c>
      <c r="D23">
        <v>3</v>
      </c>
      <c r="E23">
        <v>1951</v>
      </c>
      <c r="F23">
        <v>1630</v>
      </c>
      <c r="G23" s="4">
        <f t="shared" si="1"/>
        <v>0.83546899026140442</v>
      </c>
    </row>
    <row r="24" spans="1:7">
      <c r="A24" t="s">
        <v>458</v>
      </c>
      <c r="B24">
        <v>6</v>
      </c>
      <c r="C24" t="s">
        <v>474</v>
      </c>
      <c r="D24">
        <v>4</v>
      </c>
      <c r="E24">
        <v>1951</v>
      </c>
      <c r="F24">
        <v>1771</v>
      </c>
      <c r="G24" s="4">
        <f t="shared" si="1"/>
        <v>0.90773962070732961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1951</v>
      </c>
      <c r="F25">
        <v>1954</v>
      </c>
      <c r="G25" s="4">
        <f t="shared" si="1"/>
        <v>1.0015376729882113</v>
      </c>
    </row>
    <row r="26" spans="1:7">
      <c r="A26" t="s">
        <v>458</v>
      </c>
      <c r="B26">
        <v>9</v>
      </c>
      <c r="C26" t="s">
        <v>478</v>
      </c>
      <c r="D26">
        <v>1</v>
      </c>
      <c r="E26">
        <v>2066</v>
      </c>
      <c r="F26">
        <v>158</v>
      </c>
      <c r="G26" s="4">
        <f t="shared" si="1"/>
        <v>7.6476282671829626E-2</v>
      </c>
    </row>
    <row r="27" spans="1:7">
      <c r="A27" t="s">
        <v>458</v>
      </c>
      <c r="B27">
        <v>9</v>
      </c>
      <c r="C27" t="s">
        <v>476</v>
      </c>
      <c r="D27">
        <v>2</v>
      </c>
      <c r="E27">
        <v>2066</v>
      </c>
      <c r="F27">
        <v>159</v>
      </c>
      <c r="G27" s="4">
        <f t="shared" si="1"/>
        <v>7.6960309777347538E-2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2066</v>
      </c>
      <c r="F28">
        <v>164</v>
      </c>
      <c r="G28" s="4">
        <f t="shared" si="1"/>
        <v>7.9380445304937083E-2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2066</v>
      </c>
      <c r="F29">
        <v>332</v>
      </c>
      <c r="G29" s="4">
        <f t="shared" si="1"/>
        <v>0.16069699903194579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2066</v>
      </c>
      <c r="F30">
        <v>336</v>
      </c>
      <c r="G30" s="4">
        <f t="shared" si="1"/>
        <v>0.16263310745401743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2066</v>
      </c>
      <c r="F31">
        <v>694</v>
      </c>
      <c r="G31" s="4">
        <f t="shared" si="1"/>
        <v>0.33591481122942884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2066</v>
      </c>
      <c r="F32">
        <v>704</v>
      </c>
      <c r="G32" s="4">
        <f t="shared" si="1"/>
        <v>0.34075508228460794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2066</v>
      </c>
      <c r="F33">
        <v>719</v>
      </c>
      <c r="G33" s="4">
        <f t="shared" si="1"/>
        <v>0.3480154888673766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2066</v>
      </c>
      <c r="F34">
        <v>830</v>
      </c>
      <c r="G34" s="4">
        <f t="shared" si="1"/>
        <v>0.40174249757986447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2066</v>
      </c>
      <c r="F35">
        <v>851</v>
      </c>
      <c r="G35" s="4">
        <f t="shared" si="1"/>
        <v>0.41190706679574057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1117</v>
      </c>
      <c r="F36">
        <v>352</v>
      </c>
      <c r="G36" s="4">
        <f t="shared" si="1"/>
        <v>0.31512981199641898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1117</v>
      </c>
      <c r="F37">
        <v>767</v>
      </c>
      <c r="G37" s="4">
        <f t="shared" si="1"/>
        <v>0.68666069829901522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1117</v>
      </c>
      <c r="F38">
        <v>776</v>
      </c>
      <c r="G38" s="4">
        <f t="shared" si="1"/>
        <v>0.69471799462846906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1117</v>
      </c>
      <c r="F39">
        <v>1111</v>
      </c>
      <c r="G39" s="4">
        <f t="shared" si="1"/>
        <v>0.9946284691136974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1107</v>
      </c>
      <c r="F40">
        <v>357</v>
      </c>
      <c r="G40" s="4">
        <f t="shared" si="1"/>
        <v>0.3224932249322493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1107</v>
      </c>
      <c r="F41">
        <v>765</v>
      </c>
      <c r="G41" s="4">
        <f t="shared" si="1"/>
        <v>0.69105691056910568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1107</v>
      </c>
      <c r="F42">
        <v>770</v>
      </c>
      <c r="G42" s="4">
        <f t="shared" si="1"/>
        <v>0.69557362240289067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1107</v>
      </c>
      <c r="F43">
        <v>1114</v>
      </c>
      <c r="G43" s="4">
        <f t="shared" si="1"/>
        <v>1.0063233965672991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347</v>
      </c>
      <c r="F44">
        <v>99</v>
      </c>
      <c r="G44" s="4">
        <f t="shared" si="1"/>
        <v>0.28530259365994237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347</v>
      </c>
      <c r="F45">
        <v>184</v>
      </c>
      <c r="G45" s="4">
        <f t="shared" si="1"/>
        <v>0.53025936599423629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347</v>
      </c>
      <c r="F46">
        <v>267</v>
      </c>
      <c r="G46" s="4">
        <f t="shared" si="1"/>
        <v>0.7694524495677233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347</v>
      </c>
      <c r="F47">
        <v>348</v>
      </c>
      <c r="G47" s="4">
        <f t="shared" si="1"/>
        <v>1.0028818443804035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347</v>
      </c>
      <c r="F48">
        <v>351</v>
      </c>
      <c r="G48" s="4">
        <f t="shared" si="1"/>
        <v>1.0115273775216138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22240</v>
      </c>
      <c r="F49">
        <v>230</v>
      </c>
      <c r="G49" s="4">
        <f t="shared" si="1"/>
        <v>1.0341726618705036E-2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22240</v>
      </c>
      <c r="F50">
        <v>336</v>
      </c>
      <c r="G50" s="4">
        <f t="shared" si="1"/>
        <v>1.5107913669064749E-2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22240</v>
      </c>
      <c r="F51">
        <v>20389</v>
      </c>
      <c r="G51" s="4">
        <f t="shared" si="1"/>
        <v>0.91677158273381298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22240</v>
      </c>
      <c r="F52">
        <v>22267</v>
      </c>
      <c r="G52" s="4">
        <f t="shared" si="1"/>
        <v>1.0012140287769784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10891</v>
      </c>
      <c r="F53">
        <v>164</v>
      </c>
      <c r="G53" s="4">
        <f t="shared" si="1"/>
        <v>1.5058305022495638E-2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10891</v>
      </c>
      <c r="F54">
        <v>282</v>
      </c>
      <c r="G54" s="4">
        <f t="shared" si="1"/>
        <v>2.589293912404738E-2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10891</v>
      </c>
      <c r="F55">
        <v>681</v>
      </c>
      <c r="G55" s="4">
        <f t="shared" si="1"/>
        <v>6.2528693416582501E-2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10891</v>
      </c>
      <c r="F56">
        <v>846</v>
      </c>
      <c r="G56" s="4">
        <f t="shared" si="1"/>
        <v>7.7678817372142134E-2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10891</v>
      </c>
      <c r="F57">
        <v>1120</v>
      </c>
      <c r="G57" s="4">
        <f t="shared" si="1"/>
        <v>0.10283720503167754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10891</v>
      </c>
      <c r="F58">
        <v>1199</v>
      </c>
      <c r="G58" s="4">
        <f t="shared" si="1"/>
        <v>0.11009090074373336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10891</v>
      </c>
      <c r="F59">
        <v>1210</v>
      </c>
      <c r="G59" s="4">
        <f t="shared" si="1"/>
        <v>0.11110090900743734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10891</v>
      </c>
      <c r="F60">
        <v>1218</v>
      </c>
      <c r="G60" s="4">
        <f t="shared" si="1"/>
        <v>0.11183546047194931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10891</v>
      </c>
      <c r="F61">
        <v>1267</v>
      </c>
      <c r="G61" s="4">
        <f t="shared" si="1"/>
        <v>0.11633458819208521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10891</v>
      </c>
      <c r="F62">
        <v>1272</v>
      </c>
      <c r="G62" s="4">
        <f t="shared" si="1"/>
        <v>0.1167936828574052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10891</v>
      </c>
      <c r="F63">
        <v>1279</v>
      </c>
      <c r="G63" s="4">
        <f t="shared" si="1"/>
        <v>0.11743641538885319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10891</v>
      </c>
      <c r="F64">
        <v>1295</v>
      </c>
      <c r="G64" s="4">
        <f t="shared" si="1"/>
        <v>0.11890551831787714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10891</v>
      </c>
      <c r="F65">
        <v>1312</v>
      </c>
      <c r="G65" s="4">
        <f t="shared" si="1"/>
        <v>0.12046644017996511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10891</v>
      </c>
      <c r="F66">
        <v>1315</v>
      </c>
      <c r="G66" s="4">
        <f t="shared" si="1"/>
        <v>0.1207418969791571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10891</v>
      </c>
      <c r="F67">
        <v>1353</v>
      </c>
      <c r="G67" s="4">
        <f t="shared" ref="G67:G130" si="2">F67/E67</f>
        <v>0.12423101643558902</v>
      </c>
    </row>
    <row r="68" spans="1:7">
      <c r="A68" t="s">
        <v>489</v>
      </c>
      <c r="B68">
        <v>18</v>
      </c>
      <c r="C68" t="s">
        <v>523</v>
      </c>
      <c r="D68">
        <v>16</v>
      </c>
      <c r="E68">
        <v>10891</v>
      </c>
      <c r="F68">
        <v>1369</v>
      </c>
      <c r="G68" s="4">
        <f t="shared" si="2"/>
        <v>0.12570011936461298</v>
      </c>
    </row>
    <row r="69" spans="1:7">
      <c r="A69" t="s">
        <v>489</v>
      </c>
      <c r="B69">
        <v>18</v>
      </c>
      <c r="C69" t="s">
        <v>524</v>
      </c>
      <c r="D69">
        <v>17</v>
      </c>
      <c r="E69">
        <v>10891</v>
      </c>
      <c r="F69">
        <v>1372</v>
      </c>
      <c r="G69" s="4">
        <f t="shared" si="2"/>
        <v>0.12597557616380498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10891</v>
      </c>
      <c r="F70">
        <v>1443</v>
      </c>
      <c r="G70" s="4">
        <f t="shared" si="2"/>
        <v>0.13249472041134883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10891</v>
      </c>
      <c r="F71">
        <v>1753</v>
      </c>
      <c r="G71" s="4">
        <f t="shared" si="2"/>
        <v>0.16095858966118815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10891</v>
      </c>
      <c r="F72">
        <v>1862</v>
      </c>
      <c r="G72" s="4">
        <f t="shared" si="2"/>
        <v>0.1709668533651639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10891</v>
      </c>
      <c r="F73">
        <v>1878</v>
      </c>
      <c r="G73" s="4">
        <f t="shared" si="2"/>
        <v>0.17243595629418787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10891</v>
      </c>
      <c r="F74">
        <v>1966</v>
      </c>
      <c r="G74" s="4">
        <f t="shared" si="2"/>
        <v>0.18051602240381967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10891</v>
      </c>
      <c r="F75">
        <v>1972</v>
      </c>
      <c r="G75" s="4">
        <f t="shared" si="2"/>
        <v>0.18106693600220367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10891</v>
      </c>
      <c r="F76">
        <v>1990</v>
      </c>
      <c r="G76" s="4">
        <f t="shared" si="2"/>
        <v>0.18271967679735562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10891</v>
      </c>
      <c r="F77">
        <v>2024</v>
      </c>
      <c r="G77" s="4">
        <f t="shared" si="2"/>
        <v>0.18584152052153155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10891</v>
      </c>
      <c r="F78">
        <v>2076</v>
      </c>
      <c r="G78" s="4">
        <f t="shared" si="2"/>
        <v>0.19061610504085943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10891</v>
      </c>
      <c r="F79">
        <v>2146</v>
      </c>
      <c r="G79" s="4">
        <f t="shared" si="2"/>
        <v>0.19704343035533928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10891</v>
      </c>
      <c r="F80">
        <v>2177</v>
      </c>
      <c r="G80" s="4">
        <f t="shared" si="2"/>
        <v>0.19988981728032321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10891</v>
      </c>
      <c r="F81">
        <v>2203</v>
      </c>
      <c r="G81" s="4">
        <f t="shared" si="2"/>
        <v>0.20227710953998715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10891</v>
      </c>
      <c r="F82">
        <v>2378</v>
      </c>
      <c r="G82" s="4">
        <f t="shared" si="2"/>
        <v>0.21834542282618677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10891</v>
      </c>
      <c r="F83">
        <v>3740</v>
      </c>
      <c r="G83" s="4">
        <f t="shared" si="2"/>
        <v>0.34340280965935177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10891</v>
      </c>
      <c r="F84">
        <v>3804</v>
      </c>
      <c r="G84" s="4">
        <f t="shared" si="2"/>
        <v>0.34927922137544759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10891</v>
      </c>
      <c r="F85">
        <v>3819</v>
      </c>
      <c r="G85" s="4">
        <f t="shared" si="2"/>
        <v>0.35065650537140758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10891</v>
      </c>
      <c r="F86">
        <v>3909</v>
      </c>
      <c r="G86" s="4">
        <f t="shared" si="2"/>
        <v>0.3589202093471674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10891</v>
      </c>
      <c r="F87">
        <v>3998</v>
      </c>
      <c r="G87" s="4">
        <f t="shared" si="2"/>
        <v>0.36709209438986318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10891</v>
      </c>
      <c r="F88">
        <v>4071</v>
      </c>
      <c r="G88" s="4">
        <f t="shared" si="2"/>
        <v>0.37379487650353505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10891</v>
      </c>
      <c r="F89">
        <v>5403</v>
      </c>
      <c r="G89" s="4">
        <f t="shared" si="2"/>
        <v>0.4960976953447801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10891</v>
      </c>
      <c r="F90">
        <v>5622</v>
      </c>
      <c r="G90" s="4">
        <f t="shared" si="2"/>
        <v>0.51620604168579565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10891</v>
      </c>
      <c r="F91">
        <v>5788</v>
      </c>
      <c r="G91" s="4">
        <f t="shared" si="2"/>
        <v>0.53144798457441922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10891</v>
      </c>
      <c r="F92">
        <v>9879</v>
      </c>
      <c r="G92" s="4">
        <f t="shared" si="2"/>
        <v>0.90707923973923421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10891</v>
      </c>
      <c r="F93">
        <v>9906</v>
      </c>
      <c r="G93" s="4">
        <f t="shared" si="2"/>
        <v>0.90955835093196213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10891</v>
      </c>
      <c r="F94">
        <v>9944</v>
      </c>
      <c r="G94" s="4">
        <f t="shared" si="2"/>
        <v>0.91304747038839407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10891</v>
      </c>
      <c r="F95">
        <v>10216</v>
      </c>
      <c r="G95" s="4">
        <f t="shared" si="2"/>
        <v>0.93802222018180148</v>
      </c>
    </row>
    <row r="96" spans="1:7">
      <c r="A96" t="s">
        <v>489</v>
      </c>
      <c r="B96">
        <v>18</v>
      </c>
      <c r="C96" t="s">
        <v>551</v>
      </c>
      <c r="D96">
        <v>44</v>
      </c>
      <c r="E96">
        <v>10891</v>
      </c>
      <c r="F96">
        <v>11864</v>
      </c>
      <c r="G96" s="4">
        <f t="shared" si="2"/>
        <v>1.0893398218712698</v>
      </c>
    </row>
    <row r="97" spans="1:7">
      <c r="A97" t="s">
        <v>489</v>
      </c>
      <c r="B97">
        <v>18</v>
      </c>
      <c r="C97" t="s">
        <v>552</v>
      </c>
      <c r="D97">
        <v>45</v>
      </c>
      <c r="E97">
        <v>10891</v>
      </c>
      <c r="F97">
        <v>11938</v>
      </c>
      <c r="G97" s="4">
        <f t="shared" si="2"/>
        <v>1.0961344229180057</v>
      </c>
    </row>
    <row r="98" spans="1:7">
      <c r="A98" t="s">
        <v>489</v>
      </c>
      <c r="B98">
        <v>18</v>
      </c>
      <c r="C98" t="s">
        <v>553</v>
      </c>
      <c r="D98">
        <v>46</v>
      </c>
      <c r="E98">
        <v>10891</v>
      </c>
      <c r="F98">
        <v>13397</v>
      </c>
      <c r="G98" s="4">
        <f t="shared" si="2"/>
        <v>1.2300982462583785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9505</v>
      </c>
      <c r="F99">
        <v>147</v>
      </c>
      <c r="G99" s="4">
        <f t="shared" si="2"/>
        <v>1.5465544450289321E-2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9505</v>
      </c>
      <c r="F100">
        <v>279</v>
      </c>
      <c r="G100" s="4">
        <f t="shared" si="2"/>
        <v>2.9352972119936874E-2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9505</v>
      </c>
      <c r="F101">
        <v>2202</v>
      </c>
      <c r="G101" s="4">
        <f t="shared" si="2"/>
        <v>0.23166754339821147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9505</v>
      </c>
      <c r="F102">
        <v>2370</v>
      </c>
      <c r="G102" s="4">
        <f t="shared" si="2"/>
        <v>0.24934245134139926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9505</v>
      </c>
      <c r="F103">
        <v>7544</v>
      </c>
      <c r="G103" s="4">
        <f t="shared" si="2"/>
        <v>0.79368753287743288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9505</v>
      </c>
      <c r="F104">
        <v>8413</v>
      </c>
      <c r="G104" s="4">
        <f t="shared" si="2"/>
        <v>0.88511309836927932</v>
      </c>
    </row>
    <row r="105" spans="1:7">
      <c r="A105" t="s">
        <v>489</v>
      </c>
      <c r="B105">
        <v>19</v>
      </c>
      <c r="C105" t="s">
        <v>557</v>
      </c>
      <c r="D105">
        <v>7</v>
      </c>
      <c r="E105">
        <v>9505</v>
      </c>
      <c r="F105">
        <v>8625</v>
      </c>
      <c r="G105" s="4">
        <f t="shared" si="2"/>
        <v>0.90741714886901625</v>
      </c>
    </row>
    <row r="106" spans="1:7">
      <c r="A106" t="s">
        <v>489</v>
      </c>
      <c r="B106">
        <v>19</v>
      </c>
      <c r="C106" t="s">
        <v>558</v>
      </c>
      <c r="D106">
        <v>8</v>
      </c>
      <c r="E106">
        <v>9505</v>
      </c>
      <c r="F106">
        <v>8653</v>
      </c>
      <c r="G106" s="4">
        <f t="shared" si="2"/>
        <v>0.91036296685954765</v>
      </c>
    </row>
    <row r="107" spans="1:7">
      <c r="A107" t="s">
        <v>489</v>
      </c>
      <c r="B107">
        <v>19</v>
      </c>
      <c r="C107" t="s">
        <v>559</v>
      </c>
      <c r="D107">
        <v>9</v>
      </c>
      <c r="E107">
        <v>9505</v>
      </c>
      <c r="F107">
        <v>8694</v>
      </c>
      <c r="G107" s="4">
        <f t="shared" si="2"/>
        <v>0.91467648605996843</v>
      </c>
    </row>
    <row r="108" spans="1:7">
      <c r="A108" t="s">
        <v>489</v>
      </c>
      <c r="B108">
        <v>19</v>
      </c>
      <c r="C108" t="s">
        <v>560</v>
      </c>
      <c r="D108">
        <v>10</v>
      </c>
      <c r="E108">
        <v>9505</v>
      </c>
      <c r="F108">
        <v>8745</v>
      </c>
      <c r="G108" s="4">
        <f t="shared" si="2"/>
        <v>0.92004208311415048</v>
      </c>
    </row>
    <row r="109" spans="1:7">
      <c r="A109" t="s">
        <v>489</v>
      </c>
      <c r="B109">
        <v>19</v>
      </c>
      <c r="C109" t="s">
        <v>561</v>
      </c>
      <c r="D109">
        <v>11</v>
      </c>
      <c r="E109">
        <v>9505</v>
      </c>
      <c r="F109">
        <v>8746</v>
      </c>
      <c r="G109" s="4">
        <f t="shared" si="2"/>
        <v>0.92014729089952652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9505</v>
      </c>
      <c r="F110">
        <v>8777</v>
      </c>
      <c r="G110" s="4">
        <f t="shared" si="2"/>
        <v>0.92340873224618625</v>
      </c>
    </row>
    <row r="111" spans="1:7">
      <c r="A111" t="s">
        <v>489</v>
      </c>
      <c r="B111">
        <v>19</v>
      </c>
      <c r="C111" t="s">
        <v>563</v>
      </c>
      <c r="D111">
        <v>13</v>
      </c>
      <c r="E111">
        <v>9505</v>
      </c>
      <c r="F111">
        <v>8804</v>
      </c>
      <c r="G111" s="4">
        <f t="shared" si="2"/>
        <v>0.92624934245134138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9505</v>
      </c>
      <c r="F112">
        <v>8815</v>
      </c>
      <c r="G112" s="4">
        <f t="shared" si="2"/>
        <v>0.92740662809047869</v>
      </c>
    </row>
    <row r="113" spans="1:7">
      <c r="A113" t="s">
        <v>489</v>
      </c>
      <c r="B113">
        <v>19</v>
      </c>
      <c r="C113" t="s">
        <v>565</v>
      </c>
      <c r="D113">
        <v>15</v>
      </c>
      <c r="E113">
        <v>9505</v>
      </c>
      <c r="F113">
        <v>8816</v>
      </c>
      <c r="G113" s="4">
        <f t="shared" si="2"/>
        <v>0.92751183587585484</v>
      </c>
    </row>
    <row r="114" spans="1:7">
      <c r="A114" t="s">
        <v>489</v>
      </c>
      <c r="B114">
        <v>19</v>
      </c>
      <c r="C114" t="s">
        <v>566</v>
      </c>
      <c r="D114">
        <v>16</v>
      </c>
      <c r="E114">
        <v>9505</v>
      </c>
      <c r="F114">
        <v>8883</v>
      </c>
      <c r="G114" s="4">
        <f t="shared" si="2"/>
        <v>0.93456075749605472</v>
      </c>
    </row>
    <row r="115" spans="1:7">
      <c r="A115" t="s">
        <v>489</v>
      </c>
      <c r="B115">
        <v>19</v>
      </c>
      <c r="C115" t="s">
        <v>567</v>
      </c>
      <c r="D115">
        <v>17</v>
      </c>
      <c r="E115">
        <v>9505</v>
      </c>
      <c r="F115">
        <v>9018</v>
      </c>
      <c r="G115" s="4">
        <f t="shared" si="2"/>
        <v>0.94876380852183062</v>
      </c>
    </row>
    <row r="116" spans="1:7">
      <c r="A116" t="s">
        <v>489</v>
      </c>
      <c r="B116">
        <v>19</v>
      </c>
      <c r="C116" t="s">
        <v>568</v>
      </c>
      <c r="D116">
        <v>18</v>
      </c>
      <c r="E116">
        <v>9505</v>
      </c>
      <c r="F116">
        <v>9023</v>
      </c>
      <c r="G116" s="4">
        <f t="shared" si="2"/>
        <v>0.94928984744871125</v>
      </c>
    </row>
    <row r="117" spans="1:7">
      <c r="A117" t="s">
        <v>489</v>
      </c>
      <c r="B117">
        <v>19</v>
      </c>
      <c r="C117" t="s">
        <v>569</v>
      </c>
      <c r="D117">
        <v>19</v>
      </c>
      <c r="E117">
        <v>9505</v>
      </c>
      <c r="F117">
        <v>9935</v>
      </c>
      <c r="G117" s="4">
        <f t="shared" si="2"/>
        <v>1.0452393477117308</v>
      </c>
    </row>
    <row r="118" spans="1:7">
      <c r="A118" t="s">
        <v>489</v>
      </c>
      <c r="B118">
        <v>19</v>
      </c>
      <c r="C118" t="s">
        <v>570</v>
      </c>
      <c r="D118">
        <v>20</v>
      </c>
      <c r="E118">
        <v>9505</v>
      </c>
      <c r="F118">
        <v>10464</v>
      </c>
      <c r="G118" s="4">
        <f t="shared" si="2"/>
        <v>1.1008942661756971</v>
      </c>
    </row>
    <row r="119" spans="1:7">
      <c r="A119" t="s">
        <v>489</v>
      </c>
      <c r="B119">
        <v>19</v>
      </c>
      <c r="C119" t="s">
        <v>571</v>
      </c>
      <c r="D119">
        <v>21</v>
      </c>
      <c r="E119">
        <v>9505</v>
      </c>
      <c r="F119">
        <v>10503</v>
      </c>
      <c r="G119" s="4">
        <f t="shared" si="2"/>
        <v>1.1049973698053657</v>
      </c>
    </row>
    <row r="120" spans="1:7">
      <c r="A120" t="s">
        <v>489</v>
      </c>
      <c r="B120">
        <v>19</v>
      </c>
      <c r="C120" t="s">
        <v>572</v>
      </c>
      <c r="D120">
        <v>22</v>
      </c>
      <c r="E120">
        <v>9505</v>
      </c>
      <c r="F120">
        <v>10507</v>
      </c>
      <c r="G120" s="4">
        <f t="shared" si="2"/>
        <v>1.10541820094687</v>
      </c>
    </row>
    <row r="121" spans="1:7">
      <c r="A121" t="s">
        <v>489</v>
      </c>
      <c r="B121">
        <v>19</v>
      </c>
      <c r="C121" t="s">
        <v>573</v>
      </c>
      <c r="D121">
        <v>23</v>
      </c>
      <c r="E121">
        <v>9505</v>
      </c>
      <c r="F121">
        <v>10521</v>
      </c>
      <c r="G121" s="4">
        <f t="shared" si="2"/>
        <v>1.1068911099421357</v>
      </c>
    </row>
    <row r="122" spans="1:7">
      <c r="A122" t="s">
        <v>489</v>
      </c>
      <c r="B122">
        <v>19</v>
      </c>
      <c r="C122" t="s">
        <v>574</v>
      </c>
      <c r="D122">
        <v>24</v>
      </c>
      <c r="E122">
        <v>9505</v>
      </c>
      <c r="F122">
        <v>10579</v>
      </c>
      <c r="G122" s="4">
        <f t="shared" si="2"/>
        <v>1.1129931614939506</v>
      </c>
    </row>
    <row r="123" spans="1:7">
      <c r="A123" t="s">
        <v>489</v>
      </c>
      <c r="B123">
        <v>19</v>
      </c>
      <c r="C123" t="s">
        <v>575</v>
      </c>
      <c r="D123">
        <v>25</v>
      </c>
      <c r="E123">
        <v>9505</v>
      </c>
      <c r="F123">
        <v>10676</v>
      </c>
      <c r="G123" s="4">
        <f t="shared" si="2"/>
        <v>1.123198316675434</v>
      </c>
    </row>
    <row r="124" spans="1:7">
      <c r="A124" t="s">
        <v>489</v>
      </c>
      <c r="B124">
        <v>19</v>
      </c>
      <c r="C124" t="s">
        <v>576</v>
      </c>
      <c r="D124">
        <v>26</v>
      </c>
      <c r="E124">
        <v>9505</v>
      </c>
      <c r="F124">
        <v>10810</v>
      </c>
      <c r="G124" s="4">
        <f t="shared" si="2"/>
        <v>1.1372961599158338</v>
      </c>
    </row>
    <row r="125" spans="1:7">
      <c r="A125" t="s">
        <v>489</v>
      </c>
      <c r="B125">
        <v>19</v>
      </c>
      <c r="C125" t="s">
        <v>577</v>
      </c>
      <c r="D125">
        <v>27</v>
      </c>
      <c r="E125">
        <v>9505</v>
      </c>
      <c r="F125">
        <v>11314</v>
      </c>
      <c r="G125" s="4">
        <f t="shared" si="2"/>
        <v>1.1903208837453971</v>
      </c>
    </row>
    <row r="126" spans="1:7">
      <c r="A126" t="s">
        <v>489</v>
      </c>
      <c r="B126">
        <v>19</v>
      </c>
      <c r="C126" t="s">
        <v>578</v>
      </c>
      <c r="D126">
        <v>28</v>
      </c>
      <c r="E126">
        <v>9505</v>
      </c>
      <c r="F126">
        <v>12074</v>
      </c>
      <c r="G126" s="4">
        <f t="shared" si="2"/>
        <v>1.2702788006312467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6179</v>
      </c>
      <c r="F127">
        <v>555</v>
      </c>
      <c r="G127" s="4">
        <f t="shared" si="2"/>
        <v>8.9820359281437126E-2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6179</v>
      </c>
      <c r="F128">
        <v>640</v>
      </c>
      <c r="G128" s="4">
        <f t="shared" si="2"/>
        <v>0.10357663052273831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6179</v>
      </c>
      <c r="F129">
        <v>648</v>
      </c>
      <c r="G129" s="4">
        <f t="shared" si="2"/>
        <v>0.10487133840427254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6179</v>
      </c>
      <c r="F130">
        <v>679</v>
      </c>
      <c r="G130" s="4">
        <f t="shared" si="2"/>
        <v>0.10988833144521767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6179</v>
      </c>
      <c r="F131">
        <v>696</v>
      </c>
      <c r="G131" s="4">
        <f t="shared" ref="G131:G194" si="3">F131/E131</f>
        <v>0.11263958569347791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6179</v>
      </c>
      <c r="F132">
        <v>732</v>
      </c>
      <c r="G132" s="4">
        <f t="shared" si="3"/>
        <v>0.11846577116038194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6179</v>
      </c>
      <c r="F133">
        <v>734</v>
      </c>
      <c r="G133" s="4">
        <f t="shared" si="3"/>
        <v>0.1187894481307655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6179</v>
      </c>
      <c r="F134">
        <v>751</v>
      </c>
      <c r="G134" s="4">
        <f t="shared" si="3"/>
        <v>0.12154070237902573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6179</v>
      </c>
      <c r="F135">
        <v>765</v>
      </c>
      <c r="G135" s="4">
        <f t="shared" si="3"/>
        <v>0.12380644117171064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6179</v>
      </c>
      <c r="F136">
        <v>831</v>
      </c>
      <c r="G136" s="4">
        <f t="shared" si="3"/>
        <v>0.13448778119436802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6179</v>
      </c>
      <c r="F137">
        <v>832</v>
      </c>
      <c r="G137" s="4">
        <f t="shared" si="3"/>
        <v>0.1346496196795598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6179</v>
      </c>
      <c r="F138">
        <v>838</v>
      </c>
      <c r="G138" s="4">
        <f t="shared" si="3"/>
        <v>0.13562065059071046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6179</v>
      </c>
      <c r="F139">
        <v>858</v>
      </c>
      <c r="G139" s="4">
        <f t="shared" si="3"/>
        <v>0.13885742029454604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6179</v>
      </c>
      <c r="F140">
        <v>916</v>
      </c>
      <c r="G140" s="4">
        <f t="shared" si="3"/>
        <v>0.14824405243566921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6179</v>
      </c>
      <c r="F141">
        <v>967</v>
      </c>
      <c r="G141" s="4">
        <f t="shared" si="3"/>
        <v>0.15649781518044992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6179</v>
      </c>
      <c r="F142">
        <v>974</v>
      </c>
      <c r="G142" s="4">
        <f t="shared" si="3"/>
        <v>0.15763068457679236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6179</v>
      </c>
      <c r="F143">
        <v>990</v>
      </c>
      <c r="G143" s="4">
        <f t="shared" si="3"/>
        <v>0.16022010033986081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6179</v>
      </c>
      <c r="F144">
        <v>1052</v>
      </c>
      <c r="G144" s="4">
        <f t="shared" si="3"/>
        <v>0.17025408642175111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6179</v>
      </c>
      <c r="F145">
        <v>1082</v>
      </c>
      <c r="G145" s="4">
        <f t="shared" si="3"/>
        <v>0.17510924097750444</v>
      </c>
    </row>
    <row r="146" spans="1:7">
      <c r="A146" t="s">
        <v>489</v>
      </c>
      <c r="B146">
        <v>20</v>
      </c>
      <c r="C146" t="s">
        <v>598</v>
      </c>
      <c r="D146">
        <v>20</v>
      </c>
      <c r="E146">
        <v>6179</v>
      </c>
      <c r="F146">
        <v>1138</v>
      </c>
      <c r="G146" s="4">
        <f t="shared" si="3"/>
        <v>0.18417219614824407</v>
      </c>
    </row>
    <row r="147" spans="1:7">
      <c r="A147" t="s">
        <v>489</v>
      </c>
      <c r="B147">
        <v>20</v>
      </c>
      <c r="C147" t="s">
        <v>599</v>
      </c>
      <c r="D147">
        <v>21</v>
      </c>
      <c r="E147">
        <v>6179</v>
      </c>
      <c r="F147">
        <v>1139</v>
      </c>
      <c r="G147" s="4">
        <f t="shared" si="3"/>
        <v>0.18433403463343584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6179</v>
      </c>
      <c r="F148">
        <v>1194</v>
      </c>
      <c r="G148" s="4">
        <f t="shared" si="3"/>
        <v>0.19323515131898367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6179</v>
      </c>
      <c r="F149">
        <v>5256</v>
      </c>
      <c r="G149" s="4">
        <f t="shared" si="3"/>
        <v>0.85062307816798832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6179</v>
      </c>
      <c r="F150">
        <v>5294</v>
      </c>
      <c r="G150" s="4">
        <f t="shared" si="3"/>
        <v>0.85677294060527598</v>
      </c>
    </row>
    <row r="151" spans="1:7">
      <c r="A151" t="s">
        <v>489</v>
      </c>
      <c r="B151">
        <v>20</v>
      </c>
      <c r="C151" t="s">
        <v>603</v>
      </c>
      <c r="D151">
        <v>25</v>
      </c>
      <c r="E151">
        <v>6179</v>
      </c>
      <c r="F151">
        <v>5316</v>
      </c>
      <c r="G151" s="4">
        <f t="shared" si="3"/>
        <v>0.86033338727949504</v>
      </c>
    </row>
    <row r="152" spans="1:7">
      <c r="A152" t="s">
        <v>489</v>
      </c>
      <c r="B152">
        <v>20</v>
      </c>
      <c r="C152" t="s">
        <v>604</v>
      </c>
      <c r="D152">
        <v>26</v>
      </c>
      <c r="E152">
        <v>6179</v>
      </c>
      <c r="F152">
        <v>5383</v>
      </c>
      <c r="G152" s="4">
        <f t="shared" si="3"/>
        <v>0.87117656578734426</v>
      </c>
    </row>
    <row r="153" spans="1:7">
      <c r="A153" t="s">
        <v>489</v>
      </c>
      <c r="B153">
        <v>20</v>
      </c>
      <c r="C153" t="s">
        <v>605</v>
      </c>
      <c r="D153">
        <v>27</v>
      </c>
      <c r="E153">
        <v>6179</v>
      </c>
      <c r="F153">
        <v>5385</v>
      </c>
      <c r="G153" s="4">
        <f t="shared" si="3"/>
        <v>0.87150024275772775</v>
      </c>
    </row>
    <row r="154" spans="1:7">
      <c r="A154" t="s">
        <v>489</v>
      </c>
      <c r="B154">
        <v>20</v>
      </c>
      <c r="C154" t="s">
        <v>606</v>
      </c>
      <c r="D154">
        <v>28</v>
      </c>
      <c r="E154">
        <v>6179</v>
      </c>
      <c r="F154">
        <v>5451</v>
      </c>
      <c r="G154" s="4">
        <f t="shared" si="3"/>
        <v>0.88218158278038517</v>
      </c>
    </row>
    <row r="155" spans="1:7">
      <c r="A155" t="s">
        <v>489</v>
      </c>
      <c r="B155">
        <v>20</v>
      </c>
      <c r="C155" t="s">
        <v>607</v>
      </c>
      <c r="D155">
        <v>29</v>
      </c>
      <c r="E155">
        <v>6179</v>
      </c>
      <c r="F155">
        <v>5543</v>
      </c>
      <c r="G155" s="4">
        <f t="shared" si="3"/>
        <v>0.89707072341802885</v>
      </c>
    </row>
    <row r="156" spans="1:7">
      <c r="A156" t="s">
        <v>489</v>
      </c>
      <c r="B156">
        <v>20</v>
      </c>
      <c r="C156" t="s">
        <v>608</v>
      </c>
      <c r="D156">
        <v>30</v>
      </c>
      <c r="E156">
        <v>6179</v>
      </c>
      <c r="F156">
        <v>5613</v>
      </c>
      <c r="G156" s="4">
        <f t="shared" si="3"/>
        <v>0.90839941738145336</v>
      </c>
    </row>
    <row r="157" spans="1:7">
      <c r="A157" t="s">
        <v>489</v>
      </c>
      <c r="B157">
        <v>20</v>
      </c>
      <c r="C157" t="s">
        <v>609</v>
      </c>
      <c r="D157">
        <v>31</v>
      </c>
      <c r="E157">
        <v>6179</v>
      </c>
      <c r="F157">
        <v>5635</v>
      </c>
      <c r="G157" s="4">
        <f t="shared" si="3"/>
        <v>0.91195986405567242</v>
      </c>
    </row>
    <row r="158" spans="1:7">
      <c r="A158" t="s">
        <v>489</v>
      </c>
      <c r="B158">
        <v>20</v>
      </c>
      <c r="C158" t="s">
        <v>610</v>
      </c>
      <c r="D158">
        <v>32</v>
      </c>
      <c r="E158">
        <v>6179</v>
      </c>
      <c r="F158">
        <v>5707</v>
      </c>
      <c r="G158" s="4">
        <f t="shared" si="3"/>
        <v>0.92361223498948053</v>
      </c>
    </row>
    <row r="159" spans="1:7">
      <c r="A159" t="s">
        <v>489</v>
      </c>
      <c r="B159">
        <v>20</v>
      </c>
      <c r="C159" t="s">
        <v>611</v>
      </c>
      <c r="D159">
        <v>33</v>
      </c>
      <c r="E159">
        <v>6179</v>
      </c>
      <c r="F159">
        <v>5814</v>
      </c>
      <c r="G159" s="4">
        <f t="shared" si="3"/>
        <v>0.94092895290500078</v>
      </c>
    </row>
    <row r="160" spans="1:7">
      <c r="A160" t="s">
        <v>490</v>
      </c>
      <c r="B160">
        <v>1</v>
      </c>
      <c r="C160" t="s">
        <v>485</v>
      </c>
      <c r="D160">
        <v>1</v>
      </c>
      <c r="E160">
        <v>6218</v>
      </c>
      <c r="F160">
        <v>2300</v>
      </c>
      <c r="G160" s="4">
        <f t="shared" si="3"/>
        <v>0.36989385654551304</v>
      </c>
    </row>
    <row r="161" spans="1:7">
      <c r="A161" t="s">
        <v>490</v>
      </c>
      <c r="B161">
        <v>1</v>
      </c>
      <c r="C161" t="s">
        <v>475</v>
      </c>
      <c r="D161">
        <v>2</v>
      </c>
      <c r="E161">
        <v>6218</v>
      </c>
      <c r="F161">
        <v>2301</v>
      </c>
      <c r="G161" s="4">
        <f t="shared" si="3"/>
        <v>0.3700546799614024</v>
      </c>
    </row>
    <row r="162" spans="1:7">
      <c r="A162" t="s">
        <v>490</v>
      </c>
      <c r="B162">
        <v>1</v>
      </c>
      <c r="C162" t="s">
        <v>474</v>
      </c>
      <c r="D162">
        <v>3</v>
      </c>
      <c r="E162">
        <v>6218</v>
      </c>
      <c r="F162">
        <v>2302</v>
      </c>
      <c r="G162" s="4">
        <f t="shared" si="3"/>
        <v>0.37021550337729175</v>
      </c>
    </row>
    <row r="163" spans="1:7">
      <c r="A163" t="s">
        <v>490</v>
      </c>
      <c r="B163">
        <v>1</v>
      </c>
      <c r="C163" t="s">
        <v>448</v>
      </c>
      <c r="D163">
        <v>4</v>
      </c>
      <c r="E163">
        <v>6218</v>
      </c>
      <c r="F163">
        <v>2752</v>
      </c>
      <c r="G163" s="4">
        <f t="shared" si="3"/>
        <v>0.44258604052750078</v>
      </c>
    </row>
    <row r="164" spans="1:7">
      <c r="A164" t="s">
        <v>490</v>
      </c>
      <c r="B164">
        <v>1</v>
      </c>
      <c r="C164" t="s">
        <v>473</v>
      </c>
      <c r="D164">
        <v>5</v>
      </c>
      <c r="E164">
        <v>6218</v>
      </c>
      <c r="F164">
        <v>3960</v>
      </c>
      <c r="G164" s="4">
        <f t="shared" si="3"/>
        <v>0.63686072692183981</v>
      </c>
    </row>
    <row r="165" spans="1:7">
      <c r="A165" t="s">
        <v>490</v>
      </c>
      <c r="B165">
        <v>2</v>
      </c>
      <c r="C165" t="s">
        <v>473</v>
      </c>
      <c r="D165">
        <v>1</v>
      </c>
      <c r="E165">
        <v>4610</v>
      </c>
      <c r="F165">
        <v>239</v>
      </c>
      <c r="G165" s="4">
        <f t="shared" si="3"/>
        <v>5.1843817787418658E-2</v>
      </c>
    </row>
    <row r="166" spans="1:7">
      <c r="A166" t="s">
        <v>490</v>
      </c>
      <c r="B166">
        <v>2</v>
      </c>
      <c r="C166" t="s">
        <v>612</v>
      </c>
      <c r="D166">
        <v>2</v>
      </c>
      <c r="E166">
        <v>4610</v>
      </c>
      <c r="F166">
        <v>2350</v>
      </c>
      <c r="G166" s="4">
        <f t="shared" si="3"/>
        <v>0.50976138828633411</v>
      </c>
    </row>
    <row r="167" spans="1:7">
      <c r="A167" t="s">
        <v>490</v>
      </c>
      <c r="B167">
        <v>2</v>
      </c>
      <c r="C167" t="s">
        <v>613</v>
      </c>
      <c r="D167">
        <v>3</v>
      </c>
      <c r="E167">
        <v>4610</v>
      </c>
      <c r="F167">
        <v>4583</v>
      </c>
      <c r="G167" s="4">
        <f t="shared" si="3"/>
        <v>0.9941431670281996</v>
      </c>
    </row>
    <row r="168" spans="1:7">
      <c r="A168" t="s">
        <v>490</v>
      </c>
      <c r="B168">
        <v>3</v>
      </c>
      <c r="C168" t="s">
        <v>614</v>
      </c>
      <c r="D168">
        <v>1</v>
      </c>
      <c r="E168">
        <v>1857</v>
      </c>
      <c r="F168">
        <v>1793</v>
      </c>
      <c r="G168" s="4">
        <f t="shared" si="3"/>
        <v>0.96553581044695747</v>
      </c>
    </row>
    <row r="169" spans="1:7">
      <c r="A169" t="s">
        <v>490</v>
      </c>
      <c r="B169">
        <v>3</v>
      </c>
      <c r="C169" t="s">
        <v>506</v>
      </c>
      <c r="D169">
        <v>2</v>
      </c>
      <c r="E169">
        <v>1857</v>
      </c>
      <c r="F169">
        <v>1863</v>
      </c>
      <c r="G169" s="4">
        <f t="shared" si="3"/>
        <v>1.0032310177705976</v>
      </c>
    </row>
    <row r="170" spans="1:7">
      <c r="A170" t="s">
        <v>490</v>
      </c>
      <c r="B170">
        <v>7</v>
      </c>
      <c r="C170" t="s">
        <v>506</v>
      </c>
      <c r="D170">
        <v>1</v>
      </c>
      <c r="E170">
        <v>1776</v>
      </c>
      <c r="F170">
        <v>1801</v>
      </c>
      <c r="G170" s="4">
        <f t="shared" si="3"/>
        <v>1.0140765765765767</v>
      </c>
    </row>
    <row r="171" spans="1:7">
      <c r="A171" t="s">
        <v>490</v>
      </c>
      <c r="B171">
        <v>7</v>
      </c>
      <c r="C171" t="s">
        <v>614</v>
      </c>
      <c r="D171">
        <v>2</v>
      </c>
      <c r="E171">
        <v>1776</v>
      </c>
      <c r="F171">
        <v>1813</v>
      </c>
      <c r="G171" s="4">
        <f t="shared" si="3"/>
        <v>1.0208333333333333</v>
      </c>
    </row>
    <row r="172" spans="1:7">
      <c r="A172" t="s">
        <v>490</v>
      </c>
      <c r="B172">
        <v>10</v>
      </c>
      <c r="C172" t="s">
        <v>615</v>
      </c>
      <c r="D172">
        <v>1</v>
      </c>
      <c r="E172">
        <v>16516</v>
      </c>
      <c r="F172">
        <v>2089</v>
      </c>
      <c r="G172" s="4">
        <f t="shared" si="3"/>
        <v>0.12648341002664085</v>
      </c>
    </row>
    <row r="173" spans="1:7">
      <c r="A173" t="s">
        <v>490</v>
      </c>
      <c r="B173">
        <v>10</v>
      </c>
      <c r="C173" t="s">
        <v>616</v>
      </c>
      <c r="D173">
        <v>2</v>
      </c>
      <c r="E173">
        <v>16516</v>
      </c>
      <c r="F173">
        <v>2092</v>
      </c>
      <c r="G173" s="4">
        <f t="shared" si="3"/>
        <v>0.12666505207071929</v>
      </c>
    </row>
    <row r="174" spans="1:7">
      <c r="A174" t="s">
        <v>490</v>
      </c>
      <c r="B174">
        <v>10</v>
      </c>
      <c r="C174" t="s">
        <v>617</v>
      </c>
      <c r="D174">
        <v>3</v>
      </c>
      <c r="E174">
        <v>16516</v>
      </c>
      <c r="F174">
        <v>2095</v>
      </c>
      <c r="G174" s="4">
        <f t="shared" si="3"/>
        <v>0.12684669411479776</v>
      </c>
    </row>
    <row r="175" spans="1:7">
      <c r="A175" t="s">
        <v>490</v>
      </c>
      <c r="B175">
        <v>10</v>
      </c>
      <c r="C175" t="s">
        <v>618</v>
      </c>
      <c r="D175">
        <v>4</v>
      </c>
      <c r="E175">
        <v>16516</v>
      </c>
      <c r="F175">
        <v>2109</v>
      </c>
      <c r="G175" s="4">
        <f t="shared" si="3"/>
        <v>0.12769435698716397</v>
      </c>
    </row>
    <row r="176" spans="1:7">
      <c r="A176" t="s">
        <v>490</v>
      </c>
      <c r="B176">
        <v>10</v>
      </c>
      <c r="C176" t="s">
        <v>619</v>
      </c>
      <c r="D176">
        <v>5</v>
      </c>
      <c r="E176">
        <v>16516</v>
      </c>
      <c r="F176">
        <v>2145</v>
      </c>
      <c r="G176" s="4">
        <f t="shared" si="3"/>
        <v>0.12987406151610559</v>
      </c>
    </row>
    <row r="177" spans="1:7">
      <c r="A177" t="s">
        <v>490</v>
      </c>
      <c r="B177">
        <v>10</v>
      </c>
      <c r="C177" t="s">
        <v>620</v>
      </c>
      <c r="D177">
        <v>6</v>
      </c>
      <c r="E177">
        <v>16516</v>
      </c>
      <c r="F177">
        <v>2146</v>
      </c>
      <c r="G177" s="4">
        <f t="shared" si="3"/>
        <v>0.12993460886413175</v>
      </c>
    </row>
    <row r="178" spans="1:7">
      <c r="A178" t="s">
        <v>490</v>
      </c>
      <c r="B178">
        <v>10</v>
      </c>
      <c r="C178" t="s">
        <v>621</v>
      </c>
      <c r="D178">
        <v>7</v>
      </c>
      <c r="E178">
        <v>16516</v>
      </c>
      <c r="F178">
        <v>2174</v>
      </c>
      <c r="G178" s="4">
        <f t="shared" si="3"/>
        <v>0.13162993460886413</v>
      </c>
    </row>
    <row r="179" spans="1:7">
      <c r="A179" t="s">
        <v>490</v>
      </c>
      <c r="B179">
        <v>10</v>
      </c>
      <c r="C179" t="s">
        <v>622</v>
      </c>
      <c r="D179">
        <v>8</v>
      </c>
      <c r="E179">
        <v>16516</v>
      </c>
      <c r="F179">
        <v>2177</v>
      </c>
      <c r="G179" s="4">
        <f t="shared" si="3"/>
        <v>0.1318115766529426</v>
      </c>
    </row>
    <row r="180" spans="1:7">
      <c r="A180" t="s">
        <v>490</v>
      </c>
      <c r="B180">
        <v>10</v>
      </c>
      <c r="C180" t="s">
        <v>623</v>
      </c>
      <c r="D180">
        <v>9</v>
      </c>
      <c r="E180">
        <v>16516</v>
      </c>
      <c r="F180">
        <v>2268</v>
      </c>
      <c r="G180" s="4">
        <f t="shared" si="3"/>
        <v>0.13732138532332283</v>
      </c>
    </row>
    <row r="181" spans="1:7">
      <c r="A181" t="s">
        <v>490</v>
      </c>
      <c r="B181">
        <v>10</v>
      </c>
      <c r="C181" t="s">
        <v>624</v>
      </c>
      <c r="D181">
        <v>10</v>
      </c>
      <c r="E181">
        <v>16516</v>
      </c>
      <c r="F181">
        <v>2282</v>
      </c>
      <c r="G181" s="4">
        <f t="shared" si="3"/>
        <v>0.13816904819568904</v>
      </c>
    </row>
    <row r="182" spans="1:7">
      <c r="A182" t="s">
        <v>490</v>
      </c>
      <c r="B182">
        <v>10</v>
      </c>
      <c r="C182" t="s">
        <v>625</v>
      </c>
      <c r="D182">
        <v>11</v>
      </c>
      <c r="E182">
        <v>16516</v>
      </c>
      <c r="F182">
        <v>2312</v>
      </c>
      <c r="G182" s="4">
        <f t="shared" si="3"/>
        <v>0.13998546863647371</v>
      </c>
    </row>
    <row r="183" spans="1:7">
      <c r="A183" t="s">
        <v>490</v>
      </c>
      <c r="B183">
        <v>10</v>
      </c>
      <c r="C183" t="s">
        <v>626</v>
      </c>
      <c r="D183">
        <v>12</v>
      </c>
      <c r="E183">
        <v>16516</v>
      </c>
      <c r="F183">
        <v>2322</v>
      </c>
      <c r="G183" s="4">
        <f t="shared" si="3"/>
        <v>0.14059094211673528</v>
      </c>
    </row>
    <row r="184" spans="1:7">
      <c r="A184" t="s">
        <v>490</v>
      </c>
      <c r="B184">
        <v>10</v>
      </c>
      <c r="C184" t="s">
        <v>627</v>
      </c>
      <c r="D184">
        <v>13</v>
      </c>
      <c r="E184">
        <v>16516</v>
      </c>
      <c r="F184">
        <v>2344</v>
      </c>
      <c r="G184" s="4">
        <f t="shared" si="3"/>
        <v>0.14192298377331072</v>
      </c>
    </row>
    <row r="185" spans="1:7">
      <c r="A185" t="s">
        <v>490</v>
      </c>
      <c r="B185">
        <v>10</v>
      </c>
      <c r="C185" t="s">
        <v>628</v>
      </c>
      <c r="D185">
        <v>14</v>
      </c>
      <c r="E185">
        <v>16516</v>
      </c>
      <c r="F185">
        <v>2358</v>
      </c>
      <c r="G185" s="4">
        <f t="shared" si="3"/>
        <v>0.14277064664567693</v>
      </c>
    </row>
    <row r="186" spans="1:7">
      <c r="A186" t="s">
        <v>490</v>
      </c>
      <c r="B186">
        <v>10</v>
      </c>
      <c r="C186" t="s">
        <v>629</v>
      </c>
      <c r="D186">
        <v>15</v>
      </c>
      <c r="E186">
        <v>16516</v>
      </c>
      <c r="F186">
        <v>2365</v>
      </c>
      <c r="G186" s="4">
        <f t="shared" si="3"/>
        <v>0.14319447808186</v>
      </c>
    </row>
    <row r="187" spans="1:7">
      <c r="A187" t="s">
        <v>490</v>
      </c>
      <c r="B187">
        <v>10</v>
      </c>
      <c r="C187" t="s">
        <v>630</v>
      </c>
      <c r="D187">
        <v>16</v>
      </c>
      <c r="E187">
        <v>16516</v>
      </c>
      <c r="F187">
        <v>2386</v>
      </c>
      <c r="G187" s="4">
        <f t="shared" si="3"/>
        <v>0.14446597239040929</v>
      </c>
    </row>
    <row r="188" spans="1:7">
      <c r="A188" t="s">
        <v>490</v>
      </c>
      <c r="B188">
        <v>10</v>
      </c>
      <c r="C188" t="s">
        <v>631</v>
      </c>
      <c r="D188">
        <v>17</v>
      </c>
      <c r="E188">
        <v>16516</v>
      </c>
      <c r="F188">
        <v>2612</v>
      </c>
      <c r="G188" s="4">
        <f t="shared" si="3"/>
        <v>0.15814967304432065</v>
      </c>
    </row>
    <row r="189" spans="1:7">
      <c r="A189" t="s">
        <v>490</v>
      </c>
      <c r="B189">
        <v>10</v>
      </c>
      <c r="C189" t="s">
        <v>632</v>
      </c>
      <c r="D189">
        <v>18</v>
      </c>
      <c r="E189">
        <v>16516</v>
      </c>
      <c r="F189">
        <v>2633</v>
      </c>
      <c r="G189" s="4">
        <f t="shared" si="3"/>
        <v>0.15942116735286996</v>
      </c>
    </row>
    <row r="190" spans="1:7">
      <c r="A190" t="s">
        <v>490</v>
      </c>
      <c r="B190">
        <v>10</v>
      </c>
      <c r="C190" t="s">
        <v>633</v>
      </c>
      <c r="D190">
        <v>19</v>
      </c>
      <c r="E190">
        <v>16516</v>
      </c>
      <c r="F190">
        <v>2713</v>
      </c>
      <c r="G190" s="4">
        <f t="shared" si="3"/>
        <v>0.16426495519496245</v>
      </c>
    </row>
    <row r="191" spans="1:7">
      <c r="A191" t="s">
        <v>490</v>
      </c>
      <c r="B191">
        <v>10</v>
      </c>
      <c r="C191" t="s">
        <v>634</v>
      </c>
      <c r="D191">
        <v>20</v>
      </c>
      <c r="E191">
        <v>16516</v>
      </c>
      <c r="F191">
        <v>2772</v>
      </c>
      <c r="G191" s="4">
        <f t="shared" si="3"/>
        <v>0.16783724872850569</v>
      </c>
    </row>
    <row r="192" spans="1:7">
      <c r="A192" t="s">
        <v>490</v>
      </c>
      <c r="B192">
        <v>10</v>
      </c>
      <c r="C192" t="s">
        <v>635</v>
      </c>
      <c r="D192">
        <v>21</v>
      </c>
      <c r="E192">
        <v>16516</v>
      </c>
      <c r="F192">
        <v>2865</v>
      </c>
      <c r="G192" s="4">
        <f t="shared" si="3"/>
        <v>0.17346815209493824</v>
      </c>
    </row>
    <row r="193" spans="1:7">
      <c r="A193" t="s">
        <v>490</v>
      </c>
      <c r="B193">
        <v>10</v>
      </c>
      <c r="C193" t="s">
        <v>636</v>
      </c>
      <c r="D193">
        <v>22</v>
      </c>
      <c r="E193">
        <v>16516</v>
      </c>
      <c r="F193">
        <v>2898</v>
      </c>
      <c r="G193" s="4">
        <f t="shared" si="3"/>
        <v>0.17546621457980141</v>
      </c>
    </row>
    <row r="194" spans="1:7">
      <c r="A194" t="s">
        <v>490</v>
      </c>
      <c r="B194">
        <v>10</v>
      </c>
      <c r="C194" t="s">
        <v>637</v>
      </c>
      <c r="D194">
        <v>23</v>
      </c>
      <c r="E194">
        <v>16516</v>
      </c>
      <c r="F194">
        <v>3708</v>
      </c>
      <c r="G194" s="4">
        <f t="shared" si="3"/>
        <v>0.22450956648098813</v>
      </c>
    </row>
    <row r="195" spans="1:7">
      <c r="A195" t="s">
        <v>490</v>
      </c>
      <c r="B195">
        <v>10</v>
      </c>
      <c r="C195" t="s">
        <v>638</v>
      </c>
      <c r="D195">
        <v>24</v>
      </c>
      <c r="E195">
        <v>16516</v>
      </c>
      <c r="F195">
        <v>3730</v>
      </c>
      <c r="G195" s="4">
        <f t="shared" ref="G195:G258" si="4">F195/E195</f>
        <v>0.22584160813756357</v>
      </c>
    </row>
    <row r="196" spans="1:7">
      <c r="A196" t="s">
        <v>490</v>
      </c>
      <c r="B196">
        <v>10</v>
      </c>
      <c r="C196" t="s">
        <v>639</v>
      </c>
      <c r="D196">
        <v>25</v>
      </c>
      <c r="E196">
        <v>16516</v>
      </c>
      <c r="F196">
        <v>3750</v>
      </c>
      <c r="G196" s="4">
        <f t="shared" si="4"/>
        <v>0.22705255509808669</v>
      </c>
    </row>
    <row r="197" spans="1:7">
      <c r="A197" t="s">
        <v>490</v>
      </c>
      <c r="B197">
        <v>10</v>
      </c>
      <c r="C197" t="s">
        <v>640</v>
      </c>
      <c r="D197">
        <v>26</v>
      </c>
      <c r="E197">
        <v>16516</v>
      </c>
      <c r="F197">
        <v>3759</v>
      </c>
      <c r="G197" s="4">
        <f t="shared" si="4"/>
        <v>0.22759748123032211</v>
      </c>
    </row>
    <row r="198" spans="1:7">
      <c r="A198" t="s">
        <v>490</v>
      </c>
      <c r="B198">
        <v>10</v>
      </c>
      <c r="C198" t="s">
        <v>641</v>
      </c>
      <c r="D198">
        <v>27</v>
      </c>
      <c r="E198">
        <v>16516</v>
      </c>
      <c r="F198">
        <v>3905</v>
      </c>
      <c r="G198" s="4">
        <f t="shared" si="4"/>
        <v>0.23643739404214095</v>
      </c>
    </row>
    <row r="199" spans="1:7">
      <c r="A199" t="s">
        <v>490</v>
      </c>
      <c r="B199">
        <v>10</v>
      </c>
      <c r="C199" t="s">
        <v>642</v>
      </c>
      <c r="D199">
        <v>28</v>
      </c>
      <c r="E199">
        <v>16516</v>
      </c>
      <c r="F199">
        <v>3929</v>
      </c>
      <c r="G199" s="4">
        <f t="shared" si="4"/>
        <v>0.23789053039476871</v>
      </c>
    </row>
    <row r="200" spans="1:7">
      <c r="A200" t="s">
        <v>490</v>
      </c>
      <c r="B200">
        <v>10</v>
      </c>
      <c r="C200" t="s">
        <v>643</v>
      </c>
      <c r="D200">
        <v>29</v>
      </c>
      <c r="E200">
        <v>16516</v>
      </c>
      <c r="F200">
        <v>3941</v>
      </c>
      <c r="G200" s="4">
        <f t="shared" si="4"/>
        <v>0.2386170985710826</v>
      </c>
    </row>
    <row r="201" spans="1:7">
      <c r="A201" t="s">
        <v>490</v>
      </c>
      <c r="B201">
        <v>10</v>
      </c>
      <c r="C201" t="s">
        <v>644</v>
      </c>
      <c r="D201">
        <v>30</v>
      </c>
      <c r="E201">
        <v>16516</v>
      </c>
      <c r="F201">
        <v>4054</v>
      </c>
      <c r="G201" s="4">
        <f t="shared" si="4"/>
        <v>0.24545894889803826</v>
      </c>
    </row>
    <row r="202" spans="1:7">
      <c r="A202" t="s">
        <v>490</v>
      </c>
      <c r="B202">
        <v>10</v>
      </c>
      <c r="C202" t="s">
        <v>645</v>
      </c>
      <c r="D202">
        <v>31</v>
      </c>
      <c r="E202">
        <v>16516</v>
      </c>
      <c r="F202">
        <v>4632</v>
      </c>
      <c r="G202" s="4">
        <f t="shared" si="4"/>
        <v>0.28045531605715668</v>
      </c>
    </row>
    <row r="203" spans="1:7">
      <c r="A203" t="s">
        <v>490</v>
      </c>
      <c r="B203">
        <v>10</v>
      </c>
      <c r="C203" t="s">
        <v>646</v>
      </c>
      <c r="D203">
        <v>32</v>
      </c>
      <c r="E203">
        <v>16516</v>
      </c>
      <c r="F203">
        <v>4862</v>
      </c>
      <c r="G203" s="4">
        <f t="shared" si="4"/>
        <v>0.2943812061031727</v>
      </c>
    </row>
    <row r="204" spans="1:7">
      <c r="A204" t="s">
        <v>490</v>
      </c>
      <c r="B204">
        <v>11</v>
      </c>
      <c r="C204" t="s">
        <v>213</v>
      </c>
      <c r="D204">
        <v>1</v>
      </c>
      <c r="E204">
        <v>7282</v>
      </c>
      <c r="F204">
        <v>128</v>
      </c>
      <c r="G204" s="4">
        <f t="shared" si="4"/>
        <v>1.7577588574567427E-2</v>
      </c>
    </row>
    <row r="205" spans="1:7">
      <c r="A205" t="s">
        <v>490</v>
      </c>
      <c r="B205">
        <v>11</v>
      </c>
      <c r="C205" t="s">
        <v>647</v>
      </c>
      <c r="D205">
        <v>2</v>
      </c>
      <c r="E205">
        <v>7282</v>
      </c>
      <c r="F205">
        <v>914</v>
      </c>
      <c r="G205" s="4">
        <f t="shared" si="4"/>
        <v>0.12551496841527052</v>
      </c>
    </row>
    <row r="206" spans="1:7">
      <c r="A206" t="s">
        <v>490</v>
      </c>
      <c r="B206">
        <v>11</v>
      </c>
      <c r="C206" t="s">
        <v>648</v>
      </c>
      <c r="D206">
        <v>3</v>
      </c>
      <c r="E206">
        <v>7282</v>
      </c>
      <c r="F206">
        <v>1094</v>
      </c>
      <c r="G206" s="4">
        <f t="shared" si="4"/>
        <v>0.15023345234825597</v>
      </c>
    </row>
    <row r="207" spans="1:7">
      <c r="A207" t="s">
        <v>490</v>
      </c>
      <c r="B207">
        <v>11</v>
      </c>
      <c r="C207" t="s">
        <v>649</v>
      </c>
      <c r="D207">
        <v>4</v>
      </c>
      <c r="E207">
        <v>7282</v>
      </c>
      <c r="F207">
        <v>1693</v>
      </c>
      <c r="G207" s="4">
        <f t="shared" si="4"/>
        <v>0.23249107388080198</v>
      </c>
    </row>
    <row r="208" spans="1:7">
      <c r="A208" t="s">
        <v>490</v>
      </c>
      <c r="B208">
        <v>11</v>
      </c>
      <c r="C208" t="s">
        <v>650</v>
      </c>
      <c r="D208">
        <v>5</v>
      </c>
      <c r="E208">
        <v>7282</v>
      </c>
      <c r="F208">
        <v>1817</v>
      </c>
      <c r="G208" s="4">
        <f t="shared" si="4"/>
        <v>0.24951936281241416</v>
      </c>
    </row>
    <row r="209" spans="1:7">
      <c r="A209" t="s">
        <v>490</v>
      </c>
      <c r="B209">
        <v>11</v>
      </c>
      <c r="C209" t="s">
        <v>651</v>
      </c>
      <c r="D209">
        <v>6</v>
      </c>
      <c r="E209">
        <v>7282</v>
      </c>
      <c r="F209">
        <v>1865</v>
      </c>
      <c r="G209" s="4">
        <f t="shared" si="4"/>
        <v>0.25611095852787696</v>
      </c>
    </row>
    <row r="210" spans="1:7">
      <c r="A210" t="s">
        <v>490</v>
      </c>
      <c r="B210">
        <v>11</v>
      </c>
      <c r="C210" t="s">
        <v>652</v>
      </c>
      <c r="D210">
        <v>7</v>
      </c>
      <c r="E210">
        <v>7282</v>
      </c>
      <c r="F210">
        <v>1900</v>
      </c>
      <c r="G210" s="4">
        <f t="shared" si="4"/>
        <v>0.26091733040373521</v>
      </c>
    </row>
    <row r="211" spans="1:7">
      <c r="A211" t="s">
        <v>490</v>
      </c>
      <c r="B211">
        <v>11</v>
      </c>
      <c r="C211" t="s">
        <v>653</v>
      </c>
      <c r="D211">
        <v>8</v>
      </c>
      <c r="E211">
        <v>7282</v>
      </c>
      <c r="F211">
        <v>1911</v>
      </c>
      <c r="G211" s="4">
        <f t="shared" si="4"/>
        <v>0.26242790442186215</v>
      </c>
    </row>
    <row r="212" spans="1:7">
      <c r="A212" t="s">
        <v>490</v>
      </c>
      <c r="B212">
        <v>11</v>
      </c>
      <c r="C212" t="s">
        <v>654</v>
      </c>
      <c r="D212">
        <v>9</v>
      </c>
      <c r="E212">
        <v>7282</v>
      </c>
      <c r="F212">
        <v>1947</v>
      </c>
      <c r="G212" s="4">
        <f t="shared" si="4"/>
        <v>0.26737160120845921</v>
      </c>
    </row>
    <row r="213" spans="1:7">
      <c r="A213" t="s">
        <v>490</v>
      </c>
      <c r="B213">
        <v>11</v>
      </c>
      <c r="C213" t="s">
        <v>655</v>
      </c>
      <c r="D213">
        <v>10</v>
      </c>
      <c r="E213">
        <v>7282</v>
      </c>
      <c r="F213">
        <v>2034</v>
      </c>
      <c r="G213" s="4">
        <f t="shared" si="4"/>
        <v>0.27931886844273551</v>
      </c>
    </row>
    <row r="214" spans="1:7">
      <c r="A214" t="s">
        <v>490</v>
      </c>
      <c r="B214">
        <v>11</v>
      </c>
      <c r="C214" t="s">
        <v>656</v>
      </c>
      <c r="D214">
        <v>11</v>
      </c>
      <c r="E214">
        <v>7282</v>
      </c>
      <c r="F214">
        <v>2152</v>
      </c>
      <c r="G214" s="4">
        <f t="shared" si="4"/>
        <v>0.29552320790991488</v>
      </c>
    </row>
    <row r="215" spans="1:7">
      <c r="A215" t="s">
        <v>490</v>
      </c>
      <c r="B215">
        <v>11</v>
      </c>
      <c r="C215" t="s">
        <v>657</v>
      </c>
      <c r="D215">
        <v>12</v>
      </c>
      <c r="E215">
        <v>7282</v>
      </c>
      <c r="F215">
        <v>7060</v>
      </c>
      <c r="G215" s="4">
        <f t="shared" si="4"/>
        <v>0.96951386981598464</v>
      </c>
    </row>
    <row r="216" spans="1:7">
      <c r="A216" t="s">
        <v>490</v>
      </c>
      <c r="B216">
        <v>11</v>
      </c>
      <c r="C216" t="s">
        <v>658</v>
      </c>
      <c r="D216">
        <v>13</v>
      </c>
      <c r="E216">
        <v>7282</v>
      </c>
      <c r="F216">
        <v>7305</v>
      </c>
      <c r="G216" s="4">
        <f t="shared" si="4"/>
        <v>1.0031584729469927</v>
      </c>
    </row>
    <row r="217" spans="1:7">
      <c r="A217" t="s">
        <v>490</v>
      </c>
      <c r="B217">
        <v>12</v>
      </c>
      <c r="C217" t="s">
        <v>213</v>
      </c>
      <c r="D217">
        <v>1</v>
      </c>
      <c r="E217">
        <v>4579</v>
      </c>
      <c r="F217">
        <v>121</v>
      </c>
      <c r="G217" s="4">
        <f t="shared" si="4"/>
        <v>2.6424983620877921E-2</v>
      </c>
    </row>
    <row r="218" spans="1:7">
      <c r="A218" t="s">
        <v>490</v>
      </c>
      <c r="B218">
        <v>12</v>
      </c>
      <c r="C218" t="s">
        <v>659</v>
      </c>
      <c r="D218">
        <v>2</v>
      </c>
      <c r="E218">
        <v>4579</v>
      </c>
      <c r="F218">
        <v>2715</v>
      </c>
      <c r="G218" s="4">
        <f t="shared" si="4"/>
        <v>0.59292421926184757</v>
      </c>
    </row>
    <row r="219" spans="1:7">
      <c r="A219" t="s">
        <v>490</v>
      </c>
      <c r="B219">
        <v>12</v>
      </c>
      <c r="C219" t="s">
        <v>660</v>
      </c>
      <c r="D219">
        <v>3</v>
      </c>
      <c r="E219">
        <v>4579</v>
      </c>
      <c r="F219">
        <v>2869</v>
      </c>
      <c r="G219" s="4">
        <f t="shared" si="4"/>
        <v>0.62655601659751037</v>
      </c>
    </row>
    <row r="220" spans="1:7">
      <c r="A220" t="s">
        <v>490</v>
      </c>
      <c r="B220">
        <v>12</v>
      </c>
      <c r="C220" t="s">
        <v>661</v>
      </c>
      <c r="D220">
        <v>4</v>
      </c>
      <c r="E220">
        <v>4579</v>
      </c>
      <c r="F220">
        <v>3100</v>
      </c>
      <c r="G220" s="4">
        <f t="shared" si="4"/>
        <v>0.67700371260100456</v>
      </c>
    </row>
    <row r="221" spans="1:7">
      <c r="A221" t="s">
        <v>490</v>
      </c>
      <c r="B221">
        <v>12</v>
      </c>
      <c r="C221" t="s">
        <v>662</v>
      </c>
      <c r="D221">
        <v>5</v>
      </c>
      <c r="E221">
        <v>4579</v>
      </c>
      <c r="F221">
        <v>3288</v>
      </c>
      <c r="G221" s="4">
        <f t="shared" si="4"/>
        <v>0.71806071194583976</v>
      </c>
    </row>
    <row r="222" spans="1:7">
      <c r="A222" t="s">
        <v>490</v>
      </c>
      <c r="B222">
        <v>12</v>
      </c>
      <c r="C222" t="s">
        <v>663</v>
      </c>
      <c r="D222">
        <v>6</v>
      </c>
      <c r="E222">
        <v>4579</v>
      </c>
      <c r="F222">
        <v>3349</v>
      </c>
      <c r="G222" s="4">
        <f t="shared" si="4"/>
        <v>0.73138239790347237</v>
      </c>
    </row>
    <row r="223" spans="1:7">
      <c r="A223" t="s">
        <v>490</v>
      </c>
      <c r="B223">
        <v>12</v>
      </c>
      <c r="C223" t="s">
        <v>664</v>
      </c>
      <c r="D223">
        <v>7</v>
      </c>
      <c r="E223">
        <v>4579</v>
      </c>
      <c r="F223">
        <v>3353</v>
      </c>
      <c r="G223" s="4">
        <f t="shared" si="4"/>
        <v>0.73225595108102204</v>
      </c>
    </row>
    <row r="224" spans="1:7">
      <c r="A224" t="s">
        <v>490</v>
      </c>
      <c r="B224">
        <v>12</v>
      </c>
      <c r="C224" t="s">
        <v>665</v>
      </c>
      <c r="D224">
        <v>8</v>
      </c>
      <c r="E224">
        <v>4579</v>
      </c>
      <c r="F224">
        <v>3457</v>
      </c>
      <c r="G224" s="4">
        <f t="shared" si="4"/>
        <v>0.75496833369731386</v>
      </c>
    </row>
    <row r="225" spans="1:7">
      <c r="A225" t="s">
        <v>490</v>
      </c>
      <c r="B225">
        <v>12</v>
      </c>
      <c r="C225" t="s">
        <v>666</v>
      </c>
      <c r="D225">
        <v>9</v>
      </c>
      <c r="E225">
        <v>4579</v>
      </c>
      <c r="F225">
        <v>3649</v>
      </c>
      <c r="G225" s="4">
        <f t="shared" si="4"/>
        <v>0.79689888621969862</v>
      </c>
    </row>
    <row r="226" spans="1:7">
      <c r="A226" t="s">
        <v>490</v>
      </c>
      <c r="B226">
        <v>12</v>
      </c>
      <c r="C226" t="s">
        <v>667</v>
      </c>
      <c r="D226">
        <v>10</v>
      </c>
      <c r="E226">
        <v>4579</v>
      </c>
      <c r="F226">
        <v>3753</v>
      </c>
      <c r="G226" s="4">
        <f t="shared" si="4"/>
        <v>0.81961126883599034</v>
      </c>
    </row>
    <row r="227" spans="1:7">
      <c r="A227" t="s">
        <v>490</v>
      </c>
      <c r="B227">
        <v>12</v>
      </c>
      <c r="C227" t="s">
        <v>668</v>
      </c>
      <c r="D227">
        <v>11</v>
      </c>
      <c r="E227">
        <v>4579</v>
      </c>
      <c r="F227">
        <v>3941</v>
      </c>
      <c r="G227" s="4">
        <f t="shared" si="4"/>
        <v>0.86066826818082554</v>
      </c>
    </row>
    <row r="228" spans="1:7">
      <c r="A228" t="s">
        <v>490</v>
      </c>
      <c r="B228">
        <v>12</v>
      </c>
      <c r="C228" t="s">
        <v>669</v>
      </c>
      <c r="D228">
        <v>12</v>
      </c>
      <c r="E228">
        <v>4579</v>
      </c>
      <c r="F228">
        <v>3963</v>
      </c>
      <c r="G228" s="4">
        <f t="shared" si="4"/>
        <v>0.86547281065734871</v>
      </c>
    </row>
    <row r="229" spans="1:7">
      <c r="A229" t="s">
        <v>490</v>
      </c>
      <c r="B229">
        <v>12</v>
      </c>
      <c r="C229" t="s">
        <v>670</v>
      </c>
      <c r="D229">
        <v>13</v>
      </c>
      <c r="E229">
        <v>4579</v>
      </c>
      <c r="F229">
        <v>3965</v>
      </c>
      <c r="G229" s="4">
        <f t="shared" si="4"/>
        <v>0.86590958724612366</v>
      </c>
    </row>
    <row r="230" spans="1:7">
      <c r="A230" t="s">
        <v>490</v>
      </c>
      <c r="B230">
        <v>12</v>
      </c>
      <c r="C230" t="s">
        <v>671</v>
      </c>
      <c r="D230">
        <v>14</v>
      </c>
      <c r="E230">
        <v>4579</v>
      </c>
      <c r="F230">
        <v>4087</v>
      </c>
      <c r="G230" s="4">
        <f t="shared" si="4"/>
        <v>0.89255295916138899</v>
      </c>
    </row>
    <row r="231" spans="1:7">
      <c r="A231" t="s">
        <v>490</v>
      </c>
      <c r="B231">
        <v>12</v>
      </c>
      <c r="C231" t="s">
        <v>672</v>
      </c>
      <c r="D231">
        <v>15</v>
      </c>
      <c r="E231">
        <v>4579</v>
      </c>
      <c r="F231">
        <v>4217</v>
      </c>
      <c r="G231" s="4">
        <f t="shared" si="4"/>
        <v>0.92094343743175366</v>
      </c>
    </row>
    <row r="232" spans="1:7">
      <c r="A232" t="s">
        <v>490</v>
      </c>
      <c r="B232">
        <v>12</v>
      </c>
      <c r="C232" t="s">
        <v>673</v>
      </c>
      <c r="D232">
        <v>16</v>
      </c>
      <c r="E232">
        <v>4579</v>
      </c>
      <c r="F232">
        <v>4298</v>
      </c>
      <c r="G232" s="4">
        <f t="shared" si="4"/>
        <v>0.93863288927713473</v>
      </c>
    </row>
    <row r="233" spans="1:7">
      <c r="A233" t="s">
        <v>490</v>
      </c>
      <c r="B233">
        <v>12</v>
      </c>
      <c r="C233" t="s">
        <v>674</v>
      </c>
      <c r="D233">
        <v>17</v>
      </c>
      <c r="E233">
        <v>4579</v>
      </c>
      <c r="F233">
        <v>4567</v>
      </c>
      <c r="G233" s="4">
        <f t="shared" si="4"/>
        <v>0.99737934046735099</v>
      </c>
    </row>
    <row r="234" spans="1:7">
      <c r="A234" t="s">
        <v>491</v>
      </c>
      <c r="B234">
        <v>1</v>
      </c>
      <c r="C234" t="s">
        <v>675</v>
      </c>
      <c r="D234">
        <v>1</v>
      </c>
      <c r="E234">
        <v>3281</v>
      </c>
      <c r="F234">
        <v>1266</v>
      </c>
      <c r="G234" s="4">
        <f t="shared" si="4"/>
        <v>0.3858579701310576</v>
      </c>
    </row>
    <row r="235" spans="1:7">
      <c r="A235" t="s">
        <v>491</v>
      </c>
      <c r="B235">
        <v>1</v>
      </c>
      <c r="C235" t="s">
        <v>676</v>
      </c>
      <c r="D235">
        <v>2</v>
      </c>
      <c r="E235">
        <v>3281</v>
      </c>
      <c r="F235">
        <v>1570</v>
      </c>
      <c r="G235" s="4">
        <f t="shared" si="4"/>
        <v>0.47851264858274917</v>
      </c>
    </row>
    <row r="236" spans="1:7">
      <c r="A236" t="s">
        <v>491</v>
      </c>
      <c r="B236">
        <v>1</v>
      </c>
      <c r="C236" t="s">
        <v>677</v>
      </c>
      <c r="D236">
        <v>3</v>
      </c>
      <c r="E236">
        <v>3281</v>
      </c>
      <c r="F236">
        <v>1631</v>
      </c>
      <c r="G236" s="4">
        <f t="shared" si="4"/>
        <v>0.49710454129838466</v>
      </c>
    </row>
    <row r="237" spans="1:7">
      <c r="A237" t="s">
        <v>491</v>
      </c>
      <c r="B237">
        <v>1</v>
      </c>
      <c r="C237" t="s">
        <v>678</v>
      </c>
      <c r="D237">
        <v>4</v>
      </c>
      <c r="E237">
        <v>3281</v>
      </c>
      <c r="F237">
        <v>1693</v>
      </c>
      <c r="G237" s="4">
        <f t="shared" si="4"/>
        <v>0.5160012191405059</v>
      </c>
    </row>
    <row r="238" spans="1:7">
      <c r="A238" t="s">
        <v>491</v>
      </c>
      <c r="B238">
        <v>1</v>
      </c>
      <c r="C238" t="s">
        <v>679</v>
      </c>
      <c r="D238">
        <v>5</v>
      </c>
      <c r="E238">
        <v>3281</v>
      </c>
      <c r="F238">
        <v>2817</v>
      </c>
      <c r="G238" s="4">
        <f t="shared" si="4"/>
        <v>0.85857970131057604</v>
      </c>
    </row>
    <row r="239" spans="1:7">
      <c r="A239" t="s">
        <v>491</v>
      </c>
      <c r="B239">
        <v>1</v>
      </c>
      <c r="C239" t="s">
        <v>680</v>
      </c>
      <c r="D239">
        <v>6</v>
      </c>
      <c r="E239">
        <v>3281</v>
      </c>
      <c r="F239">
        <v>2869</v>
      </c>
      <c r="G239" s="4">
        <f t="shared" si="4"/>
        <v>0.87442852788783909</v>
      </c>
    </row>
    <row r="240" spans="1:7">
      <c r="A240" t="s">
        <v>491</v>
      </c>
      <c r="B240">
        <v>1</v>
      </c>
      <c r="C240" t="s">
        <v>681</v>
      </c>
      <c r="D240">
        <v>7</v>
      </c>
      <c r="E240">
        <v>3281</v>
      </c>
      <c r="F240">
        <v>2924</v>
      </c>
      <c r="G240" s="4">
        <f t="shared" si="4"/>
        <v>0.89119170984455953</v>
      </c>
    </row>
    <row r="241" spans="1:7">
      <c r="A241" t="s">
        <v>492</v>
      </c>
      <c r="B241">
        <v>1</v>
      </c>
      <c r="C241" t="s">
        <v>682</v>
      </c>
      <c r="D241">
        <v>1</v>
      </c>
      <c r="E241">
        <v>15671</v>
      </c>
      <c r="F241">
        <v>520</v>
      </c>
      <c r="G241" s="4">
        <f t="shared" si="4"/>
        <v>3.3182311275604622E-2</v>
      </c>
    </row>
    <row r="242" spans="1:7">
      <c r="A242" t="s">
        <v>492</v>
      </c>
      <c r="B242">
        <v>1</v>
      </c>
      <c r="C242" t="s">
        <v>683</v>
      </c>
      <c r="D242">
        <v>2</v>
      </c>
      <c r="E242">
        <v>15671</v>
      </c>
      <c r="F242">
        <v>593</v>
      </c>
      <c r="G242" s="4">
        <f t="shared" si="4"/>
        <v>3.784059728160296E-2</v>
      </c>
    </row>
    <row r="243" spans="1:7">
      <c r="A243" t="s">
        <v>492</v>
      </c>
      <c r="B243">
        <v>1</v>
      </c>
      <c r="C243" t="s">
        <v>684</v>
      </c>
      <c r="D243">
        <v>3</v>
      </c>
      <c r="E243">
        <v>15671</v>
      </c>
      <c r="F243">
        <v>646</v>
      </c>
      <c r="G243" s="4">
        <f t="shared" si="4"/>
        <v>4.1222640546231891E-2</v>
      </c>
    </row>
    <row r="244" spans="1:7">
      <c r="A244" t="s">
        <v>492</v>
      </c>
      <c r="B244">
        <v>1</v>
      </c>
      <c r="C244" t="s">
        <v>685</v>
      </c>
      <c r="D244">
        <v>4</v>
      </c>
      <c r="E244">
        <v>15671</v>
      </c>
      <c r="F244">
        <v>686</v>
      </c>
      <c r="G244" s="4">
        <f t="shared" si="4"/>
        <v>4.3775126028970712E-2</v>
      </c>
    </row>
    <row r="245" spans="1:7">
      <c r="A245" t="s">
        <v>492</v>
      </c>
      <c r="B245">
        <v>1</v>
      </c>
      <c r="C245" t="s">
        <v>686</v>
      </c>
      <c r="D245">
        <v>5</v>
      </c>
      <c r="E245">
        <v>15671</v>
      </c>
      <c r="F245">
        <v>712</v>
      </c>
      <c r="G245" s="4">
        <f t="shared" si="4"/>
        <v>4.5434241592750939E-2</v>
      </c>
    </row>
    <row r="246" spans="1:7">
      <c r="A246" t="s">
        <v>492</v>
      </c>
      <c r="B246">
        <v>1</v>
      </c>
      <c r="C246" t="s">
        <v>687</v>
      </c>
      <c r="D246">
        <v>6</v>
      </c>
      <c r="E246">
        <v>15671</v>
      </c>
      <c r="F246">
        <v>719</v>
      </c>
      <c r="G246" s="4">
        <f t="shared" si="4"/>
        <v>4.5880926552230236E-2</v>
      </c>
    </row>
    <row r="247" spans="1:7">
      <c r="A247" t="s">
        <v>492</v>
      </c>
      <c r="B247">
        <v>1</v>
      </c>
      <c r="C247" t="s">
        <v>688</v>
      </c>
      <c r="D247">
        <v>7</v>
      </c>
      <c r="E247">
        <v>15671</v>
      </c>
      <c r="F247">
        <v>721</v>
      </c>
      <c r="G247" s="4">
        <f t="shared" si="4"/>
        <v>4.6008550826367178E-2</v>
      </c>
    </row>
    <row r="248" spans="1:7">
      <c r="A248" t="s">
        <v>492</v>
      </c>
      <c r="B248">
        <v>1</v>
      </c>
      <c r="C248" t="s">
        <v>689</v>
      </c>
      <c r="D248">
        <v>8</v>
      </c>
      <c r="E248">
        <v>15671</v>
      </c>
      <c r="F248">
        <v>740</v>
      </c>
      <c r="G248" s="4">
        <f t="shared" si="4"/>
        <v>4.7220981430668114E-2</v>
      </c>
    </row>
    <row r="249" spans="1:7">
      <c r="A249" t="s">
        <v>492</v>
      </c>
      <c r="B249">
        <v>1</v>
      </c>
      <c r="C249" t="s">
        <v>690</v>
      </c>
      <c r="D249">
        <v>9</v>
      </c>
      <c r="E249">
        <v>15671</v>
      </c>
      <c r="F249">
        <v>758</v>
      </c>
      <c r="G249" s="4">
        <f t="shared" si="4"/>
        <v>4.836959989790058E-2</v>
      </c>
    </row>
    <row r="250" spans="1:7">
      <c r="A250" t="s">
        <v>492</v>
      </c>
      <c r="B250">
        <v>1</v>
      </c>
      <c r="C250" t="s">
        <v>691</v>
      </c>
      <c r="D250">
        <v>10</v>
      </c>
      <c r="E250">
        <v>15671</v>
      </c>
      <c r="F250">
        <v>791</v>
      </c>
      <c r="G250" s="4">
        <f t="shared" si="4"/>
        <v>5.0475400421160103E-2</v>
      </c>
    </row>
    <row r="251" spans="1:7">
      <c r="A251" t="s">
        <v>492</v>
      </c>
      <c r="B251">
        <v>1</v>
      </c>
      <c r="C251" t="s">
        <v>692</v>
      </c>
      <c r="D251">
        <v>11</v>
      </c>
      <c r="E251">
        <v>15671</v>
      </c>
      <c r="F251">
        <v>814</v>
      </c>
      <c r="G251" s="4">
        <f t="shared" si="4"/>
        <v>5.1943079573734924E-2</v>
      </c>
    </row>
    <row r="252" spans="1:7">
      <c r="A252" t="s">
        <v>492</v>
      </c>
      <c r="B252">
        <v>1</v>
      </c>
      <c r="C252" t="s">
        <v>693</v>
      </c>
      <c r="D252">
        <v>12</v>
      </c>
      <c r="E252">
        <v>15671</v>
      </c>
      <c r="F252">
        <v>821</v>
      </c>
      <c r="G252" s="4">
        <f t="shared" si="4"/>
        <v>5.2389764533214214E-2</v>
      </c>
    </row>
    <row r="253" spans="1:7">
      <c r="A253" t="s">
        <v>492</v>
      </c>
      <c r="B253">
        <v>1</v>
      </c>
      <c r="C253" t="s">
        <v>694</v>
      </c>
      <c r="D253">
        <v>13</v>
      </c>
      <c r="E253">
        <v>15671</v>
      </c>
      <c r="F253">
        <v>842</v>
      </c>
      <c r="G253" s="4">
        <f t="shared" si="4"/>
        <v>5.3729819411652099E-2</v>
      </c>
    </row>
    <row r="254" spans="1:7">
      <c r="A254" t="s">
        <v>492</v>
      </c>
      <c r="B254">
        <v>1</v>
      </c>
      <c r="C254" t="s">
        <v>695</v>
      </c>
      <c r="D254">
        <v>14</v>
      </c>
      <c r="E254">
        <v>15671</v>
      </c>
      <c r="F254">
        <v>858</v>
      </c>
      <c r="G254" s="4">
        <f t="shared" si="4"/>
        <v>5.4750813604747622E-2</v>
      </c>
    </row>
    <row r="255" spans="1:7">
      <c r="A255" t="s">
        <v>492</v>
      </c>
      <c r="B255">
        <v>1</v>
      </c>
      <c r="C255" t="s">
        <v>696</v>
      </c>
      <c r="D255">
        <v>15</v>
      </c>
      <c r="E255">
        <v>15671</v>
      </c>
      <c r="F255">
        <v>873</v>
      </c>
      <c r="G255" s="4">
        <f t="shared" si="4"/>
        <v>5.5707995660774681E-2</v>
      </c>
    </row>
    <row r="256" spans="1:7">
      <c r="A256" t="s">
        <v>492</v>
      </c>
      <c r="B256">
        <v>1</v>
      </c>
      <c r="C256" t="s">
        <v>697</v>
      </c>
      <c r="D256">
        <v>16</v>
      </c>
      <c r="E256">
        <v>15671</v>
      </c>
      <c r="F256">
        <v>15094</v>
      </c>
      <c r="G256" s="4">
        <f t="shared" si="4"/>
        <v>0.9631803969114926</v>
      </c>
    </row>
    <row r="257" spans="1:7">
      <c r="A257" t="s">
        <v>492</v>
      </c>
      <c r="B257">
        <v>3</v>
      </c>
      <c r="C257" t="s">
        <v>698</v>
      </c>
      <c r="D257">
        <v>1</v>
      </c>
      <c r="E257">
        <v>25233</v>
      </c>
      <c r="F257">
        <v>19268</v>
      </c>
      <c r="G257" s="4">
        <f t="shared" si="4"/>
        <v>0.76360321800816389</v>
      </c>
    </row>
    <row r="258" spans="1:7">
      <c r="A258" t="s">
        <v>492</v>
      </c>
      <c r="B258">
        <v>3</v>
      </c>
      <c r="C258" t="s">
        <v>699</v>
      </c>
      <c r="D258">
        <v>2</v>
      </c>
      <c r="E258">
        <v>25233</v>
      </c>
      <c r="F258">
        <v>22676</v>
      </c>
      <c r="G258" s="4">
        <f t="shared" si="4"/>
        <v>0.89866444735069151</v>
      </c>
    </row>
    <row r="259" spans="1:7">
      <c r="A259" t="s">
        <v>492</v>
      </c>
      <c r="B259">
        <v>3</v>
      </c>
      <c r="C259" t="s">
        <v>700</v>
      </c>
      <c r="D259">
        <v>3</v>
      </c>
      <c r="E259">
        <v>25233</v>
      </c>
      <c r="F259">
        <v>25151</v>
      </c>
      <c r="G259" s="4">
        <f t="shared" ref="G259:G322" si="5">F259/E259</f>
        <v>0.99675028732215754</v>
      </c>
    </row>
    <row r="260" spans="1:7">
      <c r="A260" t="s">
        <v>492</v>
      </c>
      <c r="B260">
        <v>4</v>
      </c>
      <c r="C260" t="s">
        <v>701</v>
      </c>
      <c r="D260">
        <v>1</v>
      </c>
      <c r="E260">
        <v>5344</v>
      </c>
      <c r="F260">
        <v>4649</v>
      </c>
      <c r="G260" s="4">
        <f t="shared" si="5"/>
        <v>0.86994760479041922</v>
      </c>
    </row>
    <row r="261" spans="1:7">
      <c r="A261" t="s">
        <v>492</v>
      </c>
      <c r="B261">
        <v>4</v>
      </c>
      <c r="C261" t="s">
        <v>702</v>
      </c>
      <c r="D261">
        <v>2</v>
      </c>
      <c r="E261">
        <v>5344</v>
      </c>
      <c r="F261">
        <v>4703</v>
      </c>
      <c r="G261" s="4">
        <f t="shared" si="5"/>
        <v>0.88005239520958078</v>
      </c>
    </row>
    <row r="262" spans="1:7">
      <c r="A262" t="s">
        <v>492</v>
      </c>
      <c r="B262">
        <v>4</v>
      </c>
      <c r="C262" t="s">
        <v>703</v>
      </c>
      <c r="D262">
        <v>3</v>
      </c>
      <c r="E262">
        <v>5344</v>
      </c>
      <c r="F262">
        <v>4774</v>
      </c>
      <c r="G262" s="4">
        <f t="shared" si="5"/>
        <v>0.89333832335329344</v>
      </c>
    </row>
    <row r="263" spans="1:7">
      <c r="A263" t="s">
        <v>492</v>
      </c>
      <c r="B263">
        <v>4</v>
      </c>
      <c r="C263" t="s">
        <v>704</v>
      </c>
      <c r="D263">
        <v>4</v>
      </c>
      <c r="E263">
        <v>5344</v>
      </c>
      <c r="F263">
        <v>5049</v>
      </c>
      <c r="G263" s="4">
        <f t="shared" si="5"/>
        <v>0.9447979041916168</v>
      </c>
    </row>
    <row r="264" spans="1:7">
      <c r="A264" t="s">
        <v>492</v>
      </c>
      <c r="B264">
        <v>4</v>
      </c>
      <c r="C264" t="s">
        <v>705</v>
      </c>
      <c r="D264">
        <v>5</v>
      </c>
      <c r="E264">
        <v>5344</v>
      </c>
      <c r="F264">
        <v>5123</v>
      </c>
      <c r="G264" s="4">
        <f t="shared" si="5"/>
        <v>0.95864520958083832</v>
      </c>
    </row>
    <row r="265" spans="1:7">
      <c r="A265" t="s">
        <v>492</v>
      </c>
      <c r="B265">
        <v>4</v>
      </c>
      <c r="C265" t="s">
        <v>706</v>
      </c>
      <c r="D265">
        <v>6</v>
      </c>
      <c r="E265">
        <v>5344</v>
      </c>
      <c r="F265">
        <v>5131</v>
      </c>
      <c r="G265" s="4">
        <f t="shared" si="5"/>
        <v>0.96014221556886226</v>
      </c>
    </row>
    <row r="266" spans="1:7">
      <c r="A266" t="s">
        <v>492</v>
      </c>
      <c r="B266">
        <v>4</v>
      </c>
      <c r="C266" t="s">
        <v>707</v>
      </c>
      <c r="D266">
        <v>7</v>
      </c>
      <c r="E266">
        <v>5344</v>
      </c>
      <c r="F266">
        <v>6107</v>
      </c>
      <c r="G266" s="4">
        <f t="shared" si="5"/>
        <v>1.1427769461077844</v>
      </c>
    </row>
    <row r="267" spans="1:7">
      <c r="A267" t="s">
        <v>492</v>
      </c>
      <c r="B267">
        <v>4</v>
      </c>
      <c r="C267" t="s">
        <v>708</v>
      </c>
      <c r="D267">
        <v>8</v>
      </c>
      <c r="E267">
        <v>5344</v>
      </c>
      <c r="F267">
        <v>6137</v>
      </c>
      <c r="G267" s="4">
        <f t="shared" si="5"/>
        <v>1.1483907185628743</v>
      </c>
    </row>
    <row r="268" spans="1:7">
      <c r="A268" t="s">
        <v>492</v>
      </c>
      <c r="B268">
        <v>4</v>
      </c>
      <c r="C268" t="s">
        <v>709</v>
      </c>
      <c r="D268">
        <v>9</v>
      </c>
      <c r="E268">
        <v>5344</v>
      </c>
      <c r="F268">
        <v>6225</v>
      </c>
      <c r="G268" s="4">
        <f t="shared" si="5"/>
        <v>1.1648577844311376</v>
      </c>
    </row>
    <row r="269" spans="1:7">
      <c r="A269" t="s">
        <v>492</v>
      </c>
      <c r="B269">
        <v>6</v>
      </c>
      <c r="C269" t="s">
        <v>710</v>
      </c>
      <c r="D269">
        <v>1</v>
      </c>
      <c r="E269">
        <v>7449</v>
      </c>
      <c r="F269">
        <v>4594</v>
      </c>
      <c r="G269" s="4">
        <f t="shared" si="5"/>
        <v>0.61672707746006172</v>
      </c>
    </row>
    <row r="270" spans="1:7">
      <c r="A270" t="s">
        <v>492</v>
      </c>
      <c r="B270">
        <v>6</v>
      </c>
      <c r="C270" t="s">
        <v>711</v>
      </c>
      <c r="D270">
        <v>2</v>
      </c>
      <c r="E270">
        <v>7449</v>
      </c>
      <c r="F270">
        <v>4609</v>
      </c>
      <c r="G270" s="4">
        <f t="shared" si="5"/>
        <v>0.61874077057323129</v>
      </c>
    </row>
    <row r="271" spans="1:7">
      <c r="A271" t="s">
        <v>492</v>
      </c>
      <c r="B271">
        <v>7</v>
      </c>
      <c r="C271" t="s">
        <v>473</v>
      </c>
      <c r="D271">
        <v>1</v>
      </c>
      <c r="E271">
        <v>1400</v>
      </c>
      <c r="F271">
        <v>106</v>
      </c>
      <c r="G271" s="4">
        <f t="shared" si="5"/>
        <v>7.571428571428572E-2</v>
      </c>
    </row>
    <row r="272" spans="1:7">
      <c r="A272" t="s">
        <v>492</v>
      </c>
      <c r="B272">
        <v>7</v>
      </c>
      <c r="C272" t="s">
        <v>448</v>
      </c>
      <c r="D272">
        <v>2</v>
      </c>
      <c r="E272">
        <v>1400</v>
      </c>
      <c r="F272">
        <v>195</v>
      </c>
      <c r="G272" s="4">
        <f t="shared" si="5"/>
        <v>0.13928571428571429</v>
      </c>
    </row>
    <row r="273" spans="1:7">
      <c r="A273" t="s">
        <v>492</v>
      </c>
      <c r="B273">
        <v>7</v>
      </c>
      <c r="C273" t="s">
        <v>485</v>
      </c>
      <c r="D273">
        <v>3</v>
      </c>
      <c r="E273">
        <v>1400</v>
      </c>
      <c r="F273">
        <v>286</v>
      </c>
      <c r="G273" s="4">
        <f t="shared" si="5"/>
        <v>0.20428571428571429</v>
      </c>
    </row>
    <row r="274" spans="1:7">
      <c r="A274" t="s">
        <v>492</v>
      </c>
      <c r="B274">
        <v>7</v>
      </c>
      <c r="C274" t="s">
        <v>474</v>
      </c>
      <c r="D274">
        <v>4</v>
      </c>
      <c r="E274">
        <v>1400</v>
      </c>
      <c r="F274">
        <v>898</v>
      </c>
      <c r="G274" s="4">
        <f t="shared" si="5"/>
        <v>0.64142857142857146</v>
      </c>
    </row>
    <row r="275" spans="1:7">
      <c r="A275" t="s">
        <v>492</v>
      </c>
      <c r="B275">
        <v>7</v>
      </c>
      <c r="C275" t="s">
        <v>712</v>
      </c>
      <c r="D275">
        <v>5</v>
      </c>
      <c r="E275">
        <v>1400</v>
      </c>
      <c r="F275">
        <v>1210</v>
      </c>
      <c r="G275" s="4">
        <f t="shared" si="5"/>
        <v>0.86428571428571432</v>
      </c>
    </row>
    <row r="276" spans="1:7">
      <c r="A276" t="s">
        <v>492</v>
      </c>
      <c r="B276">
        <v>7</v>
      </c>
      <c r="C276" t="s">
        <v>713</v>
      </c>
      <c r="D276">
        <v>6</v>
      </c>
      <c r="E276">
        <v>1400</v>
      </c>
      <c r="F276">
        <v>1380</v>
      </c>
      <c r="G276" s="4">
        <f t="shared" si="5"/>
        <v>0.98571428571428577</v>
      </c>
    </row>
    <row r="277" spans="1:7">
      <c r="A277" t="s">
        <v>492</v>
      </c>
      <c r="B277">
        <v>7</v>
      </c>
      <c r="C277" t="s">
        <v>714</v>
      </c>
      <c r="D277">
        <v>7</v>
      </c>
      <c r="E277">
        <v>1400</v>
      </c>
      <c r="F277">
        <v>1845</v>
      </c>
      <c r="G277" s="4">
        <f t="shared" si="5"/>
        <v>1.3178571428571428</v>
      </c>
    </row>
    <row r="278" spans="1:7">
      <c r="A278" t="s">
        <v>493</v>
      </c>
      <c r="B278">
        <v>3</v>
      </c>
      <c r="C278" t="s">
        <v>213</v>
      </c>
      <c r="D278">
        <v>1</v>
      </c>
      <c r="E278">
        <v>7017</v>
      </c>
      <c r="F278">
        <v>474</v>
      </c>
      <c r="G278" s="4">
        <f t="shared" si="5"/>
        <v>6.75502351432236E-2</v>
      </c>
    </row>
    <row r="279" spans="1:7">
      <c r="A279" t="s">
        <v>493</v>
      </c>
      <c r="B279">
        <v>3</v>
      </c>
      <c r="C279" t="s">
        <v>715</v>
      </c>
      <c r="D279">
        <v>2</v>
      </c>
      <c r="E279">
        <v>7017</v>
      </c>
      <c r="F279">
        <v>4064</v>
      </c>
      <c r="G279" s="4">
        <f t="shared" si="5"/>
        <v>0.5791648852786091</v>
      </c>
    </row>
    <row r="280" spans="1:7">
      <c r="A280" t="s">
        <v>493</v>
      </c>
      <c r="B280">
        <v>3</v>
      </c>
      <c r="C280" t="s">
        <v>716</v>
      </c>
      <c r="D280">
        <v>3</v>
      </c>
      <c r="E280">
        <v>7017</v>
      </c>
      <c r="F280">
        <v>4098</v>
      </c>
      <c r="G280" s="4">
        <f t="shared" si="5"/>
        <v>0.58401026079521168</v>
      </c>
    </row>
    <row r="281" spans="1:7">
      <c r="A281" t="s">
        <v>493</v>
      </c>
      <c r="B281">
        <v>7</v>
      </c>
      <c r="C281" t="s">
        <v>506</v>
      </c>
      <c r="D281">
        <v>1</v>
      </c>
      <c r="E281">
        <v>6577</v>
      </c>
      <c r="F281">
        <v>60</v>
      </c>
      <c r="G281" s="4">
        <f t="shared" si="5"/>
        <v>9.1227003192945119E-3</v>
      </c>
    </row>
    <row r="282" spans="1:7">
      <c r="A282" t="s">
        <v>493</v>
      </c>
      <c r="B282">
        <v>7</v>
      </c>
      <c r="C282" t="s">
        <v>507</v>
      </c>
      <c r="D282">
        <v>2</v>
      </c>
      <c r="E282">
        <v>6577</v>
      </c>
      <c r="F282">
        <v>146</v>
      </c>
      <c r="G282" s="4">
        <f t="shared" si="5"/>
        <v>2.2198570776949977E-2</v>
      </c>
    </row>
    <row r="283" spans="1:7">
      <c r="A283" t="s">
        <v>493</v>
      </c>
      <c r="B283">
        <v>7</v>
      </c>
      <c r="C283" t="s">
        <v>717</v>
      </c>
      <c r="D283">
        <v>3</v>
      </c>
      <c r="E283">
        <v>6577</v>
      </c>
      <c r="F283">
        <v>405</v>
      </c>
      <c r="G283" s="4">
        <f t="shared" si="5"/>
        <v>6.1578227155237954E-2</v>
      </c>
    </row>
    <row r="284" spans="1:7">
      <c r="A284" t="s">
        <v>493</v>
      </c>
      <c r="B284">
        <v>7</v>
      </c>
      <c r="C284" t="s">
        <v>718</v>
      </c>
      <c r="D284">
        <v>4</v>
      </c>
      <c r="E284">
        <v>6577</v>
      </c>
      <c r="F284">
        <v>605</v>
      </c>
      <c r="G284" s="4">
        <f t="shared" si="5"/>
        <v>9.1987228219552991E-2</v>
      </c>
    </row>
    <row r="285" spans="1:7">
      <c r="A285" t="s">
        <v>493</v>
      </c>
      <c r="B285">
        <v>7</v>
      </c>
      <c r="C285" t="s">
        <v>719</v>
      </c>
      <c r="D285">
        <v>5</v>
      </c>
      <c r="E285">
        <v>6577</v>
      </c>
      <c r="F285">
        <v>614</v>
      </c>
      <c r="G285" s="4">
        <f t="shared" si="5"/>
        <v>9.3355633267447169E-2</v>
      </c>
    </row>
    <row r="286" spans="1:7">
      <c r="A286" t="s">
        <v>493</v>
      </c>
      <c r="B286">
        <v>7</v>
      </c>
      <c r="C286" t="s">
        <v>720</v>
      </c>
      <c r="D286">
        <v>6</v>
      </c>
      <c r="E286">
        <v>6577</v>
      </c>
      <c r="F286">
        <v>6463</v>
      </c>
      <c r="G286" s="4">
        <f t="shared" si="5"/>
        <v>0.98266686939334047</v>
      </c>
    </row>
    <row r="287" spans="1:7">
      <c r="A287" t="s">
        <v>493</v>
      </c>
      <c r="B287">
        <v>8</v>
      </c>
      <c r="C287" t="s">
        <v>213</v>
      </c>
      <c r="D287">
        <v>1</v>
      </c>
      <c r="E287">
        <v>4231</v>
      </c>
      <c r="F287">
        <v>198</v>
      </c>
      <c r="G287" s="4">
        <f t="shared" si="5"/>
        <v>4.6797447411959348E-2</v>
      </c>
    </row>
    <row r="288" spans="1:7">
      <c r="A288" t="s">
        <v>493</v>
      </c>
      <c r="B288">
        <v>8</v>
      </c>
      <c r="C288" t="s">
        <v>504</v>
      </c>
      <c r="D288">
        <v>2</v>
      </c>
      <c r="E288">
        <v>4231</v>
      </c>
      <c r="F288">
        <v>511</v>
      </c>
      <c r="G288" s="4">
        <f t="shared" si="5"/>
        <v>0.1207752304419759</v>
      </c>
    </row>
    <row r="289" spans="1:7">
      <c r="A289" t="s">
        <v>493</v>
      </c>
      <c r="B289">
        <v>8</v>
      </c>
      <c r="C289" t="s">
        <v>505</v>
      </c>
      <c r="D289">
        <v>3</v>
      </c>
      <c r="E289">
        <v>4231</v>
      </c>
      <c r="F289">
        <v>614</v>
      </c>
      <c r="G289" s="4">
        <f t="shared" si="5"/>
        <v>0.14511935712597496</v>
      </c>
    </row>
    <row r="290" spans="1:7">
      <c r="A290" t="s">
        <v>493</v>
      </c>
      <c r="B290">
        <v>8</v>
      </c>
      <c r="C290" t="s">
        <v>721</v>
      </c>
      <c r="D290">
        <v>4</v>
      </c>
      <c r="E290">
        <v>4231</v>
      </c>
      <c r="F290">
        <v>708</v>
      </c>
      <c r="G290" s="4">
        <f t="shared" si="5"/>
        <v>0.16733632710943039</v>
      </c>
    </row>
    <row r="291" spans="1:7">
      <c r="A291" t="s">
        <v>493</v>
      </c>
      <c r="B291">
        <v>8</v>
      </c>
      <c r="C291" t="s">
        <v>722</v>
      </c>
      <c r="D291">
        <v>5</v>
      </c>
      <c r="E291">
        <v>4231</v>
      </c>
      <c r="F291">
        <v>756</v>
      </c>
      <c r="G291" s="4">
        <f t="shared" si="5"/>
        <v>0.17868116284566296</v>
      </c>
    </row>
    <row r="292" spans="1:7">
      <c r="A292" t="s">
        <v>493</v>
      </c>
      <c r="B292">
        <v>8</v>
      </c>
      <c r="C292" t="s">
        <v>723</v>
      </c>
      <c r="D292">
        <v>6</v>
      </c>
      <c r="E292">
        <v>4231</v>
      </c>
      <c r="F292">
        <v>3113</v>
      </c>
      <c r="G292" s="4">
        <f t="shared" si="5"/>
        <v>0.73575986764358303</v>
      </c>
    </row>
    <row r="293" spans="1:7">
      <c r="A293" t="s">
        <v>493</v>
      </c>
      <c r="B293">
        <v>8</v>
      </c>
      <c r="C293" t="s">
        <v>724</v>
      </c>
      <c r="D293">
        <v>7</v>
      </c>
      <c r="E293">
        <v>4231</v>
      </c>
      <c r="F293">
        <v>3268</v>
      </c>
      <c r="G293" s="4">
        <f t="shared" si="5"/>
        <v>0.77239423304183408</v>
      </c>
    </row>
    <row r="294" spans="1:7">
      <c r="A294" t="s">
        <v>493</v>
      </c>
      <c r="B294">
        <v>8</v>
      </c>
      <c r="C294" t="s">
        <v>725</v>
      </c>
      <c r="D294">
        <v>8</v>
      </c>
      <c r="E294">
        <v>4231</v>
      </c>
      <c r="F294">
        <v>3281</v>
      </c>
      <c r="G294" s="4">
        <f t="shared" si="5"/>
        <v>0.77546679272039709</v>
      </c>
    </row>
    <row r="295" spans="1:7">
      <c r="A295" t="s">
        <v>493</v>
      </c>
      <c r="B295">
        <v>8</v>
      </c>
      <c r="C295" t="s">
        <v>726</v>
      </c>
      <c r="D295">
        <v>9</v>
      </c>
      <c r="E295">
        <v>4231</v>
      </c>
      <c r="F295">
        <v>3471</v>
      </c>
      <c r="G295" s="4">
        <f t="shared" si="5"/>
        <v>0.8203734341763177</v>
      </c>
    </row>
    <row r="296" spans="1:7">
      <c r="A296" t="s">
        <v>493</v>
      </c>
      <c r="B296">
        <v>8</v>
      </c>
      <c r="C296" t="s">
        <v>727</v>
      </c>
      <c r="D296">
        <v>10</v>
      </c>
      <c r="E296">
        <v>4231</v>
      </c>
      <c r="F296">
        <v>3649</v>
      </c>
      <c r="G296" s="4">
        <f t="shared" si="5"/>
        <v>0.86244386669818007</v>
      </c>
    </row>
    <row r="297" spans="1:7">
      <c r="A297" t="s">
        <v>493</v>
      </c>
      <c r="B297">
        <v>8</v>
      </c>
      <c r="C297" t="s">
        <v>728</v>
      </c>
      <c r="D297">
        <v>11</v>
      </c>
      <c r="E297">
        <v>4231</v>
      </c>
      <c r="F297">
        <v>3908</v>
      </c>
      <c r="G297" s="4">
        <f t="shared" si="5"/>
        <v>0.92365870952493501</v>
      </c>
    </row>
    <row r="298" spans="1:7">
      <c r="A298" t="s">
        <v>493</v>
      </c>
      <c r="B298">
        <v>9</v>
      </c>
      <c r="C298" t="s">
        <v>213</v>
      </c>
      <c r="D298">
        <v>1</v>
      </c>
      <c r="E298">
        <v>2845</v>
      </c>
      <c r="F298">
        <v>187</v>
      </c>
      <c r="G298" s="4">
        <f t="shared" si="5"/>
        <v>6.5729349736379616E-2</v>
      </c>
    </row>
    <row r="299" spans="1:7">
      <c r="A299" t="s">
        <v>493</v>
      </c>
      <c r="B299">
        <v>9</v>
      </c>
      <c r="C299" t="s">
        <v>211</v>
      </c>
      <c r="D299">
        <v>2</v>
      </c>
      <c r="E299">
        <v>2845</v>
      </c>
      <c r="F299">
        <v>319</v>
      </c>
      <c r="G299" s="4">
        <f t="shared" si="5"/>
        <v>0.11212653778558876</v>
      </c>
    </row>
    <row r="300" spans="1:7">
      <c r="A300" t="s">
        <v>493</v>
      </c>
      <c r="B300">
        <v>9</v>
      </c>
      <c r="C300" t="s">
        <v>729</v>
      </c>
      <c r="D300">
        <v>3</v>
      </c>
      <c r="E300">
        <v>2845</v>
      </c>
      <c r="F300">
        <v>703</v>
      </c>
      <c r="G300" s="4">
        <f t="shared" si="5"/>
        <v>0.24710017574692442</v>
      </c>
    </row>
    <row r="301" spans="1:7">
      <c r="A301" t="s">
        <v>493</v>
      </c>
      <c r="B301">
        <v>9</v>
      </c>
      <c r="C301" t="s">
        <v>730</v>
      </c>
      <c r="D301">
        <v>4</v>
      </c>
      <c r="E301">
        <v>2845</v>
      </c>
      <c r="F301">
        <v>756</v>
      </c>
      <c r="G301" s="4">
        <f t="shared" si="5"/>
        <v>0.26572934973637963</v>
      </c>
    </row>
    <row r="302" spans="1:7">
      <c r="A302" t="s">
        <v>493</v>
      </c>
      <c r="B302">
        <v>9</v>
      </c>
      <c r="C302" t="s">
        <v>731</v>
      </c>
      <c r="D302">
        <v>5</v>
      </c>
      <c r="E302">
        <v>2845</v>
      </c>
      <c r="F302">
        <v>2761</v>
      </c>
      <c r="G302" s="4">
        <f t="shared" si="5"/>
        <v>0.97047451669595786</v>
      </c>
    </row>
    <row r="303" spans="1:7">
      <c r="A303" t="s">
        <v>493</v>
      </c>
      <c r="B303">
        <v>10</v>
      </c>
      <c r="C303" t="s">
        <v>213</v>
      </c>
      <c r="D303">
        <v>1</v>
      </c>
      <c r="E303">
        <v>1180</v>
      </c>
      <c r="F303">
        <v>96</v>
      </c>
      <c r="G303" s="4">
        <f t="shared" si="5"/>
        <v>8.1355932203389825E-2</v>
      </c>
    </row>
    <row r="304" spans="1:7">
      <c r="A304" t="s">
        <v>493</v>
      </c>
      <c r="B304">
        <v>10</v>
      </c>
      <c r="C304" t="s">
        <v>504</v>
      </c>
      <c r="D304">
        <v>2</v>
      </c>
      <c r="E304">
        <v>1180</v>
      </c>
      <c r="F304">
        <v>394</v>
      </c>
      <c r="G304" s="4">
        <f t="shared" si="5"/>
        <v>0.33389830508474577</v>
      </c>
    </row>
    <row r="305" spans="1:7">
      <c r="A305" t="s">
        <v>493</v>
      </c>
      <c r="B305">
        <v>10</v>
      </c>
      <c r="C305" t="s">
        <v>730</v>
      </c>
      <c r="D305">
        <v>3</v>
      </c>
      <c r="E305">
        <v>1180</v>
      </c>
      <c r="F305">
        <v>569</v>
      </c>
      <c r="G305" s="4">
        <f t="shared" si="5"/>
        <v>0.48220338983050848</v>
      </c>
    </row>
    <row r="306" spans="1:7">
      <c r="A306" t="s">
        <v>493</v>
      </c>
      <c r="B306">
        <v>10</v>
      </c>
      <c r="C306" t="s">
        <v>732</v>
      </c>
      <c r="D306">
        <v>4</v>
      </c>
      <c r="E306">
        <v>1180</v>
      </c>
      <c r="F306">
        <v>668</v>
      </c>
      <c r="G306" s="4">
        <f t="shared" si="5"/>
        <v>0.56610169491525419</v>
      </c>
    </row>
    <row r="307" spans="1:7">
      <c r="A307" t="s">
        <v>493</v>
      </c>
      <c r="B307">
        <v>10</v>
      </c>
      <c r="C307" t="s">
        <v>733</v>
      </c>
      <c r="D307">
        <v>5</v>
      </c>
      <c r="E307">
        <v>1180</v>
      </c>
      <c r="F307">
        <v>769</v>
      </c>
      <c r="G307" s="4">
        <f t="shared" si="5"/>
        <v>0.65169491525423728</v>
      </c>
    </row>
    <row r="308" spans="1:7">
      <c r="A308" t="s">
        <v>493</v>
      </c>
      <c r="B308">
        <v>10</v>
      </c>
      <c r="C308" t="s">
        <v>734</v>
      </c>
      <c r="D308">
        <v>6</v>
      </c>
      <c r="E308">
        <v>1180</v>
      </c>
      <c r="F308">
        <v>847</v>
      </c>
      <c r="G308" s="4">
        <f t="shared" si="5"/>
        <v>0.71779661016949148</v>
      </c>
    </row>
    <row r="309" spans="1:7">
      <c r="A309" t="s">
        <v>493</v>
      </c>
      <c r="B309">
        <v>10</v>
      </c>
      <c r="C309" t="s">
        <v>735</v>
      </c>
      <c r="D309">
        <v>7</v>
      </c>
      <c r="E309">
        <v>1180</v>
      </c>
      <c r="F309">
        <v>848</v>
      </c>
      <c r="G309" s="4">
        <f t="shared" si="5"/>
        <v>0.71864406779661016</v>
      </c>
    </row>
    <row r="310" spans="1:7">
      <c r="A310" t="s">
        <v>493</v>
      </c>
      <c r="B310">
        <v>10</v>
      </c>
      <c r="C310" t="s">
        <v>736</v>
      </c>
      <c r="D310">
        <v>8</v>
      </c>
      <c r="E310">
        <v>1180</v>
      </c>
      <c r="F310">
        <v>870</v>
      </c>
      <c r="G310" s="4">
        <f t="shared" si="5"/>
        <v>0.73728813559322037</v>
      </c>
    </row>
    <row r="311" spans="1:7">
      <c r="A311" t="s">
        <v>493</v>
      </c>
      <c r="B311">
        <v>10</v>
      </c>
      <c r="C311" t="s">
        <v>737</v>
      </c>
      <c r="D311">
        <v>9</v>
      </c>
      <c r="E311">
        <v>1180</v>
      </c>
      <c r="F311">
        <v>915</v>
      </c>
      <c r="G311" s="4">
        <f t="shared" si="5"/>
        <v>0.77542372881355937</v>
      </c>
    </row>
    <row r="312" spans="1:7">
      <c r="A312" t="s">
        <v>493</v>
      </c>
      <c r="B312">
        <v>10</v>
      </c>
      <c r="C312" t="s">
        <v>738</v>
      </c>
      <c r="D312">
        <v>10</v>
      </c>
      <c r="E312">
        <v>1180</v>
      </c>
      <c r="F312">
        <v>938</v>
      </c>
      <c r="G312" s="4">
        <f t="shared" si="5"/>
        <v>0.79491525423728815</v>
      </c>
    </row>
    <row r="313" spans="1:7">
      <c r="A313" t="s">
        <v>493</v>
      </c>
      <c r="B313">
        <v>10</v>
      </c>
      <c r="C313" t="s">
        <v>739</v>
      </c>
      <c r="D313">
        <v>11</v>
      </c>
      <c r="E313">
        <v>1180</v>
      </c>
      <c r="F313">
        <v>941</v>
      </c>
      <c r="G313" s="4">
        <f t="shared" si="5"/>
        <v>0.7974576271186441</v>
      </c>
    </row>
    <row r="314" spans="1:7">
      <c r="A314" t="s">
        <v>493</v>
      </c>
      <c r="B314">
        <v>10</v>
      </c>
      <c r="C314" t="s">
        <v>740</v>
      </c>
      <c r="D314">
        <v>12</v>
      </c>
      <c r="E314">
        <v>1180</v>
      </c>
      <c r="F314">
        <v>949</v>
      </c>
      <c r="G314" s="4">
        <f t="shared" si="5"/>
        <v>0.80423728813559325</v>
      </c>
    </row>
    <row r="315" spans="1:7">
      <c r="A315" t="s">
        <v>493</v>
      </c>
      <c r="B315">
        <v>10</v>
      </c>
      <c r="C315" t="s">
        <v>741</v>
      </c>
      <c r="D315">
        <v>13</v>
      </c>
      <c r="E315">
        <v>1180</v>
      </c>
      <c r="F315">
        <v>951</v>
      </c>
      <c r="G315" s="4">
        <f t="shared" si="5"/>
        <v>0.80593220338983051</v>
      </c>
    </row>
    <row r="316" spans="1:7">
      <c r="A316" t="s">
        <v>493</v>
      </c>
      <c r="B316">
        <v>10</v>
      </c>
      <c r="C316" t="s">
        <v>742</v>
      </c>
      <c r="D316">
        <v>14</v>
      </c>
      <c r="E316">
        <v>1180</v>
      </c>
      <c r="F316">
        <v>952</v>
      </c>
      <c r="G316" s="4">
        <f t="shared" si="5"/>
        <v>0.8067796610169492</v>
      </c>
    </row>
    <row r="317" spans="1:7">
      <c r="A317" t="s">
        <v>493</v>
      </c>
      <c r="B317">
        <v>10</v>
      </c>
      <c r="C317" t="s">
        <v>743</v>
      </c>
      <c r="D317">
        <v>15</v>
      </c>
      <c r="E317">
        <v>1180</v>
      </c>
      <c r="F317">
        <v>1021</v>
      </c>
      <c r="G317" s="4">
        <f t="shared" si="5"/>
        <v>0.86525423728813555</v>
      </c>
    </row>
    <row r="318" spans="1:7">
      <c r="A318" t="s">
        <v>493</v>
      </c>
      <c r="B318">
        <v>10</v>
      </c>
      <c r="C318" t="s">
        <v>744</v>
      </c>
      <c r="D318">
        <v>16</v>
      </c>
      <c r="E318">
        <v>1180</v>
      </c>
      <c r="F318">
        <v>1023</v>
      </c>
      <c r="G318" s="4">
        <f t="shared" si="5"/>
        <v>0.86694915254237293</v>
      </c>
    </row>
    <row r="319" spans="1:7">
      <c r="A319" t="s">
        <v>493</v>
      </c>
      <c r="B319">
        <v>10</v>
      </c>
      <c r="C319" t="s">
        <v>745</v>
      </c>
      <c r="D319">
        <v>17</v>
      </c>
      <c r="E319">
        <v>1180</v>
      </c>
      <c r="F319">
        <v>1033</v>
      </c>
      <c r="G319" s="4">
        <f t="shared" si="5"/>
        <v>0.87542372881355934</v>
      </c>
    </row>
    <row r="320" spans="1:7">
      <c r="A320" t="s">
        <v>493</v>
      </c>
      <c r="B320">
        <v>10</v>
      </c>
      <c r="C320" t="s">
        <v>746</v>
      </c>
      <c r="D320">
        <v>18</v>
      </c>
      <c r="E320">
        <v>1180</v>
      </c>
      <c r="F320">
        <v>1034</v>
      </c>
      <c r="G320" s="4">
        <f t="shared" si="5"/>
        <v>0.87627118644067792</v>
      </c>
    </row>
    <row r="321" spans="1:7">
      <c r="A321" t="s">
        <v>493</v>
      </c>
      <c r="B321">
        <v>10</v>
      </c>
      <c r="C321" t="s">
        <v>747</v>
      </c>
      <c r="D321">
        <v>19</v>
      </c>
      <c r="E321">
        <v>1180</v>
      </c>
      <c r="F321">
        <v>1035</v>
      </c>
      <c r="G321" s="4">
        <f t="shared" si="5"/>
        <v>0.8771186440677966</v>
      </c>
    </row>
    <row r="322" spans="1:7">
      <c r="A322" t="s">
        <v>493</v>
      </c>
      <c r="B322">
        <v>10</v>
      </c>
      <c r="C322" t="s">
        <v>748</v>
      </c>
      <c r="D322">
        <v>20</v>
      </c>
      <c r="E322">
        <v>1180</v>
      </c>
      <c r="F322">
        <v>1037</v>
      </c>
      <c r="G322" s="4">
        <f t="shared" si="5"/>
        <v>0.87881355932203387</v>
      </c>
    </row>
    <row r="323" spans="1:7">
      <c r="A323" t="s">
        <v>493</v>
      </c>
      <c r="B323">
        <v>10</v>
      </c>
      <c r="C323" t="s">
        <v>749</v>
      </c>
      <c r="D323">
        <v>21</v>
      </c>
      <c r="E323">
        <v>1180</v>
      </c>
      <c r="F323">
        <v>1038</v>
      </c>
      <c r="G323" s="4">
        <f t="shared" ref="G323:G386" si="6">F323/E323</f>
        <v>0.87966101694915255</v>
      </c>
    </row>
    <row r="324" spans="1:7">
      <c r="A324" t="s">
        <v>493</v>
      </c>
      <c r="B324">
        <v>10</v>
      </c>
      <c r="C324" t="s">
        <v>750</v>
      </c>
      <c r="D324">
        <v>22</v>
      </c>
      <c r="E324">
        <v>1180</v>
      </c>
      <c r="F324">
        <v>1042</v>
      </c>
      <c r="G324" s="4">
        <f t="shared" si="6"/>
        <v>0.88305084745762707</v>
      </c>
    </row>
    <row r="325" spans="1:7">
      <c r="A325" t="s">
        <v>493</v>
      </c>
      <c r="B325">
        <v>10</v>
      </c>
      <c r="C325" t="s">
        <v>751</v>
      </c>
      <c r="D325">
        <v>23</v>
      </c>
      <c r="E325">
        <v>1180</v>
      </c>
      <c r="F325">
        <v>1045</v>
      </c>
      <c r="G325" s="4">
        <f t="shared" si="6"/>
        <v>0.88559322033898302</v>
      </c>
    </row>
    <row r="326" spans="1:7">
      <c r="A326" t="s">
        <v>493</v>
      </c>
      <c r="B326">
        <v>10</v>
      </c>
      <c r="C326" t="s">
        <v>752</v>
      </c>
      <c r="D326">
        <v>24</v>
      </c>
      <c r="E326">
        <v>1180</v>
      </c>
      <c r="F326">
        <v>1104</v>
      </c>
      <c r="G326" s="4">
        <f t="shared" si="6"/>
        <v>0.93559322033898307</v>
      </c>
    </row>
    <row r="327" spans="1:7">
      <c r="A327" t="s">
        <v>493</v>
      </c>
      <c r="B327">
        <v>10</v>
      </c>
      <c r="C327" t="s">
        <v>753</v>
      </c>
      <c r="D327">
        <v>25</v>
      </c>
      <c r="E327">
        <v>1180</v>
      </c>
      <c r="F327">
        <v>1108</v>
      </c>
      <c r="G327" s="4">
        <f t="shared" si="6"/>
        <v>0.93898305084745759</v>
      </c>
    </row>
    <row r="328" spans="1:7">
      <c r="A328" t="s">
        <v>493</v>
      </c>
      <c r="B328">
        <v>10</v>
      </c>
      <c r="C328" t="s">
        <v>754</v>
      </c>
      <c r="D328">
        <v>26</v>
      </c>
      <c r="E328">
        <v>1180</v>
      </c>
      <c r="F328">
        <v>1115</v>
      </c>
      <c r="G328" s="4">
        <f t="shared" si="6"/>
        <v>0.94491525423728817</v>
      </c>
    </row>
    <row r="329" spans="1:7">
      <c r="A329" t="s">
        <v>493</v>
      </c>
      <c r="B329">
        <v>10</v>
      </c>
      <c r="C329" t="s">
        <v>755</v>
      </c>
      <c r="D329">
        <v>27</v>
      </c>
      <c r="E329">
        <v>1180</v>
      </c>
      <c r="F329">
        <v>1117</v>
      </c>
      <c r="G329" s="4">
        <f t="shared" si="6"/>
        <v>0.94661016949152543</v>
      </c>
    </row>
    <row r="330" spans="1:7">
      <c r="A330" t="s">
        <v>493</v>
      </c>
      <c r="B330">
        <v>10</v>
      </c>
      <c r="C330" t="s">
        <v>756</v>
      </c>
      <c r="D330">
        <v>28</v>
      </c>
      <c r="E330">
        <v>1180</v>
      </c>
      <c r="F330">
        <v>1125</v>
      </c>
      <c r="G330" s="4">
        <f t="shared" si="6"/>
        <v>0.95338983050847459</v>
      </c>
    </row>
    <row r="331" spans="1:7">
      <c r="A331" t="s">
        <v>493</v>
      </c>
      <c r="B331">
        <v>10</v>
      </c>
      <c r="C331" t="s">
        <v>757</v>
      </c>
      <c r="D331">
        <v>29</v>
      </c>
      <c r="E331">
        <v>1180</v>
      </c>
      <c r="F331">
        <v>1136</v>
      </c>
      <c r="G331" s="4">
        <f t="shared" si="6"/>
        <v>0.96271186440677969</v>
      </c>
    </row>
    <row r="332" spans="1:7">
      <c r="A332" t="s">
        <v>493</v>
      </c>
      <c r="B332">
        <v>10</v>
      </c>
      <c r="C332" t="s">
        <v>758</v>
      </c>
      <c r="D332">
        <v>30</v>
      </c>
      <c r="E332">
        <v>1180</v>
      </c>
      <c r="F332">
        <v>1147</v>
      </c>
      <c r="G332" s="4">
        <f t="shared" si="6"/>
        <v>0.9720338983050848</v>
      </c>
    </row>
    <row r="333" spans="1:7">
      <c r="A333" t="s">
        <v>493</v>
      </c>
      <c r="B333">
        <v>10</v>
      </c>
      <c r="C333" t="s">
        <v>759</v>
      </c>
      <c r="D333">
        <v>31</v>
      </c>
      <c r="E333">
        <v>1180</v>
      </c>
      <c r="F333">
        <v>1189</v>
      </c>
      <c r="G333" s="4">
        <f t="shared" si="6"/>
        <v>1.0076271186440677</v>
      </c>
    </row>
    <row r="334" spans="1:7">
      <c r="A334" t="s">
        <v>493</v>
      </c>
      <c r="B334">
        <v>10</v>
      </c>
      <c r="C334" t="s">
        <v>760</v>
      </c>
      <c r="D334">
        <v>32</v>
      </c>
      <c r="E334">
        <v>1180</v>
      </c>
      <c r="F334">
        <v>1212</v>
      </c>
      <c r="G334" s="4">
        <f t="shared" si="6"/>
        <v>1.0271186440677966</v>
      </c>
    </row>
    <row r="335" spans="1:7">
      <c r="A335" t="s">
        <v>494</v>
      </c>
      <c r="B335">
        <v>3</v>
      </c>
      <c r="C335" t="s">
        <v>614</v>
      </c>
      <c r="D335">
        <v>1</v>
      </c>
      <c r="E335">
        <v>43709</v>
      </c>
      <c r="F335">
        <v>42003</v>
      </c>
      <c r="G335" s="4">
        <f t="shared" si="6"/>
        <v>0.96096913679104989</v>
      </c>
    </row>
    <row r="336" spans="1:7">
      <c r="A336" t="s">
        <v>494</v>
      </c>
      <c r="B336">
        <v>3</v>
      </c>
      <c r="C336" t="s">
        <v>506</v>
      </c>
      <c r="D336">
        <v>2</v>
      </c>
      <c r="E336">
        <v>43709</v>
      </c>
      <c r="F336">
        <v>42114</v>
      </c>
      <c r="G336" s="4">
        <f t="shared" si="6"/>
        <v>0.96350865954380105</v>
      </c>
    </row>
    <row r="337" spans="1:7">
      <c r="A337" t="s">
        <v>495</v>
      </c>
      <c r="B337">
        <v>2</v>
      </c>
      <c r="C337" t="s">
        <v>761</v>
      </c>
      <c r="D337">
        <v>1</v>
      </c>
      <c r="E337">
        <v>3822</v>
      </c>
      <c r="F337">
        <v>734</v>
      </c>
      <c r="G337" s="4">
        <f t="shared" si="6"/>
        <v>0.19204604918890633</v>
      </c>
    </row>
    <row r="338" spans="1:7">
      <c r="A338" t="s">
        <v>495</v>
      </c>
      <c r="B338">
        <v>2</v>
      </c>
      <c r="C338" t="s">
        <v>481</v>
      </c>
      <c r="D338">
        <v>2</v>
      </c>
      <c r="E338">
        <v>3822</v>
      </c>
      <c r="F338">
        <v>759</v>
      </c>
      <c r="G338" s="4">
        <f t="shared" si="6"/>
        <v>0.19858712715855573</v>
      </c>
    </row>
    <row r="339" spans="1:7">
      <c r="A339" t="s">
        <v>495</v>
      </c>
      <c r="B339">
        <v>2</v>
      </c>
      <c r="C339" t="s">
        <v>762</v>
      </c>
      <c r="D339">
        <v>3</v>
      </c>
      <c r="E339">
        <v>3822</v>
      </c>
      <c r="F339">
        <v>793</v>
      </c>
      <c r="G339" s="4">
        <f t="shared" si="6"/>
        <v>0.20748299319727892</v>
      </c>
    </row>
    <row r="340" spans="1:7">
      <c r="A340" t="s">
        <v>495</v>
      </c>
      <c r="B340">
        <v>2</v>
      </c>
      <c r="C340" t="s">
        <v>763</v>
      </c>
      <c r="D340">
        <v>4</v>
      </c>
      <c r="E340">
        <v>3822</v>
      </c>
      <c r="F340">
        <v>914</v>
      </c>
      <c r="G340" s="4">
        <f t="shared" si="6"/>
        <v>0.239141810570382</v>
      </c>
    </row>
    <row r="341" spans="1:7">
      <c r="A341" t="s">
        <v>495</v>
      </c>
      <c r="B341">
        <v>2</v>
      </c>
      <c r="C341" t="s">
        <v>764</v>
      </c>
      <c r="D341">
        <v>5</v>
      </c>
      <c r="E341">
        <v>3822</v>
      </c>
      <c r="F341">
        <v>1089</v>
      </c>
      <c r="G341" s="4">
        <f t="shared" si="6"/>
        <v>0.28492935635792777</v>
      </c>
    </row>
    <row r="342" spans="1:7">
      <c r="A342" t="s">
        <v>495</v>
      </c>
      <c r="B342">
        <v>2</v>
      </c>
      <c r="C342" t="s">
        <v>765</v>
      </c>
      <c r="D342">
        <v>6</v>
      </c>
      <c r="E342">
        <v>3822</v>
      </c>
      <c r="F342">
        <v>1118</v>
      </c>
      <c r="G342" s="4">
        <f t="shared" si="6"/>
        <v>0.29251700680272108</v>
      </c>
    </row>
    <row r="343" spans="1:7">
      <c r="A343" t="s">
        <v>495</v>
      </c>
      <c r="B343">
        <v>2</v>
      </c>
      <c r="C343" t="s">
        <v>766</v>
      </c>
      <c r="D343">
        <v>7</v>
      </c>
      <c r="E343">
        <v>3822</v>
      </c>
      <c r="F343">
        <v>1119</v>
      </c>
      <c r="G343" s="4">
        <f t="shared" si="6"/>
        <v>0.29277864992150704</v>
      </c>
    </row>
    <row r="344" spans="1:7">
      <c r="A344" t="s">
        <v>495</v>
      </c>
      <c r="B344">
        <v>2</v>
      </c>
      <c r="C344" t="s">
        <v>767</v>
      </c>
      <c r="D344">
        <v>8</v>
      </c>
      <c r="E344">
        <v>3822</v>
      </c>
      <c r="F344">
        <v>1164</v>
      </c>
      <c r="G344" s="4">
        <f t="shared" si="6"/>
        <v>0.30455259026687598</v>
      </c>
    </row>
    <row r="345" spans="1:7">
      <c r="A345" t="s">
        <v>495</v>
      </c>
      <c r="B345">
        <v>2</v>
      </c>
      <c r="C345" t="s">
        <v>768</v>
      </c>
      <c r="D345">
        <v>9</v>
      </c>
      <c r="E345">
        <v>3822</v>
      </c>
      <c r="F345">
        <v>1192</v>
      </c>
      <c r="G345" s="4">
        <f t="shared" si="6"/>
        <v>0.31187859759288333</v>
      </c>
    </row>
    <row r="346" spans="1:7">
      <c r="A346" t="s">
        <v>495</v>
      </c>
      <c r="B346">
        <v>2</v>
      </c>
      <c r="C346" t="s">
        <v>769</v>
      </c>
      <c r="D346">
        <v>10</v>
      </c>
      <c r="E346">
        <v>3822</v>
      </c>
      <c r="F346">
        <v>1226</v>
      </c>
      <c r="G346" s="4">
        <f t="shared" si="6"/>
        <v>0.3207744636316065</v>
      </c>
    </row>
    <row r="347" spans="1:7">
      <c r="A347" t="s">
        <v>495</v>
      </c>
      <c r="B347">
        <v>2</v>
      </c>
      <c r="C347" t="s">
        <v>770</v>
      </c>
      <c r="D347">
        <v>11</v>
      </c>
      <c r="E347">
        <v>3822</v>
      </c>
      <c r="F347">
        <v>1322</v>
      </c>
      <c r="G347" s="4">
        <f t="shared" si="6"/>
        <v>0.34589220303506019</v>
      </c>
    </row>
    <row r="348" spans="1:7">
      <c r="A348" t="s">
        <v>495</v>
      </c>
      <c r="B348">
        <v>2</v>
      </c>
      <c r="C348" t="s">
        <v>771</v>
      </c>
      <c r="D348">
        <v>12</v>
      </c>
      <c r="E348">
        <v>3822</v>
      </c>
      <c r="F348">
        <v>1402</v>
      </c>
      <c r="G348" s="4">
        <f t="shared" si="6"/>
        <v>0.36682365253793825</v>
      </c>
    </row>
    <row r="349" spans="1:7">
      <c r="A349" t="s">
        <v>495</v>
      </c>
      <c r="B349">
        <v>2</v>
      </c>
      <c r="C349" t="s">
        <v>772</v>
      </c>
      <c r="D349">
        <v>13</v>
      </c>
      <c r="E349">
        <v>3822</v>
      </c>
      <c r="F349">
        <v>1607</v>
      </c>
      <c r="G349" s="4">
        <f t="shared" si="6"/>
        <v>0.42046049188906331</v>
      </c>
    </row>
    <row r="350" spans="1:7">
      <c r="A350" t="s">
        <v>495</v>
      </c>
      <c r="B350">
        <v>2</v>
      </c>
      <c r="C350" t="s">
        <v>773</v>
      </c>
      <c r="D350">
        <v>14</v>
      </c>
      <c r="E350">
        <v>3822</v>
      </c>
      <c r="F350">
        <v>1731</v>
      </c>
      <c r="G350" s="4">
        <f t="shared" si="6"/>
        <v>0.45290423861852436</v>
      </c>
    </row>
    <row r="351" spans="1:7">
      <c r="A351" t="s">
        <v>495</v>
      </c>
      <c r="B351">
        <v>3</v>
      </c>
      <c r="C351" t="s">
        <v>710</v>
      </c>
      <c r="D351">
        <v>1</v>
      </c>
      <c r="E351">
        <v>11648</v>
      </c>
      <c r="F351">
        <v>777</v>
      </c>
      <c r="G351" s="4">
        <f t="shared" si="6"/>
        <v>6.6706730769230768E-2</v>
      </c>
    </row>
    <row r="352" spans="1:7">
      <c r="A352" t="s">
        <v>495</v>
      </c>
      <c r="B352">
        <v>3</v>
      </c>
      <c r="C352" t="s">
        <v>774</v>
      </c>
      <c r="D352">
        <v>2</v>
      </c>
      <c r="E352">
        <v>11648</v>
      </c>
      <c r="F352">
        <v>1910</v>
      </c>
      <c r="G352" s="4">
        <f t="shared" si="6"/>
        <v>0.16397664835164835</v>
      </c>
    </row>
    <row r="353" spans="1:7">
      <c r="A353" t="s">
        <v>495</v>
      </c>
      <c r="B353">
        <v>3</v>
      </c>
      <c r="C353" t="s">
        <v>775</v>
      </c>
      <c r="D353">
        <v>3</v>
      </c>
      <c r="E353">
        <v>11648</v>
      </c>
      <c r="F353">
        <v>2708</v>
      </c>
      <c r="G353" s="4">
        <f t="shared" si="6"/>
        <v>0.23248626373626374</v>
      </c>
    </row>
    <row r="354" spans="1:7">
      <c r="A354" t="s">
        <v>495</v>
      </c>
      <c r="B354">
        <v>3</v>
      </c>
      <c r="C354" t="s">
        <v>776</v>
      </c>
      <c r="D354">
        <v>4</v>
      </c>
      <c r="E354">
        <v>11648</v>
      </c>
      <c r="F354">
        <v>3228</v>
      </c>
      <c r="G354" s="4">
        <f t="shared" si="6"/>
        <v>0.27712912087912089</v>
      </c>
    </row>
    <row r="355" spans="1:7">
      <c r="A355" t="s">
        <v>495</v>
      </c>
      <c r="B355">
        <v>3</v>
      </c>
      <c r="C355" t="s">
        <v>777</v>
      </c>
      <c r="D355">
        <v>5</v>
      </c>
      <c r="E355">
        <v>11648</v>
      </c>
      <c r="F355">
        <v>3886</v>
      </c>
      <c r="G355" s="4">
        <f t="shared" si="6"/>
        <v>0.33361950549450547</v>
      </c>
    </row>
    <row r="356" spans="1:7">
      <c r="A356" t="s">
        <v>495</v>
      </c>
      <c r="B356">
        <v>3</v>
      </c>
      <c r="C356" t="s">
        <v>778</v>
      </c>
      <c r="D356">
        <v>6</v>
      </c>
      <c r="E356">
        <v>11648</v>
      </c>
      <c r="F356">
        <v>6829</v>
      </c>
      <c r="G356" s="4">
        <f t="shared" si="6"/>
        <v>0.58628090659340659</v>
      </c>
    </row>
    <row r="357" spans="1:7">
      <c r="A357" t="s">
        <v>495</v>
      </c>
      <c r="B357">
        <v>4</v>
      </c>
      <c r="C357" t="s">
        <v>710</v>
      </c>
      <c r="D357">
        <v>1</v>
      </c>
      <c r="E357">
        <v>31972</v>
      </c>
      <c r="F357">
        <v>815</v>
      </c>
      <c r="G357" s="4">
        <f t="shared" si="6"/>
        <v>2.5491054672838735E-2</v>
      </c>
    </row>
    <row r="358" spans="1:7">
      <c r="A358" t="s">
        <v>495</v>
      </c>
      <c r="B358">
        <v>4</v>
      </c>
      <c r="C358" t="s">
        <v>779</v>
      </c>
      <c r="D358">
        <v>2</v>
      </c>
      <c r="E358">
        <v>31972</v>
      </c>
      <c r="F358">
        <v>1502</v>
      </c>
      <c r="G358" s="4">
        <f t="shared" si="6"/>
        <v>4.6978606280495432E-2</v>
      </c>
    </row>
    <row r="359" spans="1:7">
      <c r="A359" t="s">
        <v>495</v>
      </c>
      <c r="B359">
        <v>4</v>
      </c>
      <c r="C359" t="s">
        <v>776</v>
      </c>
      <c r="D359">
        <v>3</v>
      </c>
      <c r="E359">
        <v>31972</v>
      </c>
      <c r="F359">
        <v>2532</v>
      </c>
      <c r="G359" s="4">
        <f t="shared" si="6"/>
        <v>7.9194295008132118E-2</v>
      </c>
    </row>
    <row r="360" spans="1:7">
      <c r="A360" t="s">
        <v>495</v>
      </c>
      <c r="B360">
        <v>4</v>
      </c>
      <c r="C360" t="s">
        <v>775</v>
      </c>
      <c r="D360">
        <v>4</v>
      </c>
      <c r="E360">
        <v>31972</v>
      </c>
      <c r="F360">
        <v>2754</v>
      </c>
      <c r="G360" s="4">
        <f t="shared" si="6"/>
        <v>8.6137870636807209E-2</v>
      </c>
    </row>
    <row r="361" spans="1:7">
      <c r="A361" t="s">
        <v>495</v>
      </c>
      <c r="B361">
        <v>4</v>
      </c>
      <c r="C361" t="s">
        <v>777</v>
      </c>
      <c r="D361">
        <v>5</v>
      </c>
      <c r="E361">
        <v>31972</v>
      </c>
      <c r="F361">
        <v>4038</v>
      </c>
      <c r="G361" s="4">
        <f t="shared" si="6"/>
        <v>0.12629801075941449</v>
      </c>
    </row>
    <row r="362" spans="1:7">
      <c r="A362" t="s">
        <v>495</v>
      </c>
      <c r="B362">
        <v>4</v>
      </c>
      <c r="C362" t="s">
        <v>778</v>
      </c>
      <c r="D362">
        <v>6</v>
      </c>
      <c r="E362">
        <v>31972</v>
      </c>
      <c r="F362">
        <v>6920</v>
      </c>
      <c r="G362" s="4">
        <f t="shared" si="6"/>
        <v>0.21643938446140373</v>
      </c>
    </row>
    <row r="363" spans="1:7">
      <c r="A363" t="s">
        <v>495</v>
      </c>
      <c r="B363">
        <v>4</v>
      </c>
      <c r="C363" t="s">
        <v>780</v>
      </c>
      <c r="D363">
        <v>7</v>
      </c>
      <c r="E363">
        <v>31972</v>
      </c>
      <c r="F363">
        <v>7710</v>
      </c>
      <c r="G363" s="4">
        <f t="shared" si="6"/>
        <v>0.2411485049418241</v>
      </c>
    </row>
    <row r="364" spans="1:7">
      <c r="A364" t="s">
        <v>495</v>
      </c>
      <c r="B364">
        <v>4</v>
      </c>
      <c r="C364" t="s">
        <v>781</v>
      </c>
      <c r="D364">
        <v>8</v>
      </c>
      <c r="E364">
        <v>31972</v>
      </c>
      <c r="F364">
        <v>8011</v>
      </c>
      <c r="G364" s="4">
        <f t="shared" si="6"/>
        <v>0.2505629926185412</v>
      </c>
    </row>
    <row r="365" spans="1:7">
      <c r="A365" t="s">
        <v>495</v>
      </c>
      <c r="B365">
        <v>4</v>
      </c>
      <c r="C365" t="s">
        <v>782</v>
      </c>
      <c r="D365">
        <v>9</v>
      </c>
      <c r="E365">
        <v>31972</v>
      </c>
      <c r="F365">
        <v>8692</v>
      </c>
      <c r="G365" s="4">
        <f t="shared" si="6"/>
        <v>0.27186288002001752</v>
      </c>
    </row>
    <row r="366" spans="1:7">
      <c r="A366" t="s">
        <v>495</v>
      </c>
      <c r="B366">
        <v>5</v>
      </c>
      <c r="C366" t="s">
        <v>473</v>
      </c>
      <c r="D366">
        <v>1</v>
      </c>
      <c r="E366">
        <v>978</v>
      </c>
      <c r="F366">
        <v>497</v>
      </c>
      <c r="G366" s="4">
        <f t="shared" si="6"/>
        <v>0.50817995910020453</v>
      </c>
    </row>
    <row r="367" spans="1:7">
      <c r="A367" t="s">
        <v>495</v>
      </c>
      <c r="B367">
        <v>5</v>
      </c>
      <c r="C367" t="s">
        <v>448</v>
      </c>
      <c r="D367">
        <v>2</v>
      </c>
      <c r="E367">
        <v>978</v>
      </c>
      <c r="F367">
        <v>704</v>
      </c>
      <c r="G367" s="4">
        <f t="shared" si="6"/>
        <v>0.71983640081799594</v>
      </c>
    </row>
    <row r="368" spans="1:7">
      <c r="A368" t="s">
        <v>495</v>
      </c>
      <c r="B368">
        <v>5</v>
      </c>
      <c r="C368" t="s">
        <v>485</v>
      </c>
      <c r="D368">
        <v>3</v>
      </c>
      <c r="E368">
        <v>978</v>
      </c>
      <c r="F368">
        <v>903</v>
      </c>
      <c r="G368" s="4">
        <f t="shared" si="6"/>
        <v>0.92331288343558282</v>
      </c>
    </row>
    <row r="369" spans="1:7">
      <c r="A369" t="s">
        <v>495</v>
      </c>
      <c r="B369">
        <v>5</v>
      </c>
      <c r="C369" t="s">
        <v>474</v>
      </c>
      <c r="D369">
        <v>4</v>
      </c>
      <c r="E369">
        <v>978</v>
      </c>
      <c r="F369">
        <v>976</v>
      </c>
      <c r="G369" s="4">
        <f t="shared" si="6"/>
        <v>0.99795501022494892</v>
      </c>
    </row>
    <row r="370" spans="1:7">
      <c r="A370" t="s">
        <v>495</v>
      </c>
      <c r="B370">
        <v>5</v>
      </c>
      <c r="C370" t="s">
        <v>714</v>
      </c>
      <c r="D370">
        <v>5</v>
      </c>
      <c r="E370">
        <v>978</v>
      </c>
      <c r="F370">
        <v>1039</v>
      </c>
      <c r="G370" s="4">
        <f t="shared" si="6"/>
        <v>1.0623721881390593</v>
      </c>
    </row>
    <row r="371" spans="1:7">
      <c r="A371" t="s">
        <v>495</v>
      </c>
      <c r="B371">
        <v>5</v>
      </c>
      <c r="C371" t="s">
        <v>783</v>
      </c>
      <c r="D371">
        <v>6</v>
      </c>
      <c r="E371">
        <v>978</v>
      </c>
      <c r="F371">
        <v>1060</v>
      </c>
      <c r="G371" s="4">
        <f t="shared" si="6"/>
        <v>1.0838445807770962</v>
      </c>
    </row>
    <row r="372" spans="1:7">
      <c r="A372" t="s">
        <v>495</v>
      </c>
      <c r="B372">
        <v>6</v>
      </c>
      <c r="C372" t="s">
        <v>784</v>
      </c>
      <c r="D372">
        <v>1</v>
      </c>
      <c r="E372">
        <v>3006</v>
      </c>
      <c r="F372">
        <v>360</v>
      </c>
      <c r="G372" s="4">
        <f t="shared" si="6"/>
        <v>0.11976047904191617</v>
      </c>
    </row>
    <row r="373" spans="1:7">
      <c r="A373" t="s">
        <v>495</v>
      </c>
      <c r="B373">
        <v>6</v>
      </c>
      <c r="C373" t="s">
        <v>785</v>
      </c>
      <c r="D373">
        <v>2</v>
      </c>
      <c r="E373">
        <v>3006</v>
      </c>
      <c r="F373">
        <v>1087</v>
      </c>
      <c r="G373" s="4">
        <f t="shared" si="6"/>
        <v>0.3616101131071191</v>
      </c>
    </row>
    <row r="374" spans="1:7">
      <c r="A374" t="s">
        <v>495</v>
      </c>
      <c r="B374">
        <v>6</v>
      </c>
      <c r="C374" t="s">
        <v>786</v>
      </c>
      <c r="D374">
        <v>3</v>
      </c>
      <c r="E374">
        <v>3006</v>
      </c>
      <c r="F374">
        <v>1462</v>
      </c>
      <c r="G374" s="4">
        <f t="shared" si="6"/>
        <v>0.48636061210911508</v>
      </c>
    </row>
    <row r="375" spans="1:7">
      <c r="A375" t="s">
        <v>495</v>
      </c>
      <c r="B375">
        <v>6</v>
      </c>
      <c r="C375" t="s">
        <v>787</v>
      </c>
      <c r="D375">
        <v>4</v>
      </c>
      <c r="E375">
        <v>3006</v>
      </c>
      <c r="F375">
        <v>1866</v>
      </c>
      <c r="G375" s="4">
        <f t="shared" si="6"/>
        <v>0.62075848303393211</v>
      </c>
    </row>
    <row r="376" spans="1:7">
      <c r="A376" t="s">
        <v>495</v>
      </c>
      <c r="B376">
        <v>6</v>
      </c>
      <c r="C376" t="s">
        <v>788</v>
      </c>
      <c r="D376">
        <v>5</v>
      </c>
      <c r="E376">
        <v>3006</v>
      </c>
      <c r="F376">
        <v>1953</v>
      </c>
      <c r="G376" s="4">
        <f t="shared" si="6"/>
        <v>0.64970059880239517</v>
      </c>
    </row>
    <row r="377" spans="1:7">
      <c r="A377" t="s">
        <v>495</v>
      </c>
      <c r="B377">
        <v>6</v>
      </c>
      <c r="C377" t="s">
        <v>789</v>
      </c>
      <c r="D377">
        <v>6</v>
      </c>
      <c r="E377">
        <v>3006</v>
      </c>
      <c r="F377">
        <v>2026</v>
      </c>
      <c r="G377" s="4">
        <f t="shared" si="6"/>
        <v>0.67398536260811714</v>
      </c>
    </row>
    <row r="378" spans="1:7">
      <c r="A378" t="s">
        <v>495</v>
      </c>
      <c r="B378">
        <v>6</v>
      </c>
      <c r="C378" t="s">
        <v>790</v>
      </c>
      <c r="D378">
        <v>7</v>
      </c>
      <c r="E378">
        <v>3006</v>
      </c>
      <c r="F378">
        <v>2153</v>
      </c>
      <c r="G378" s="4">
        <f t="shared" si="6"/>
        <v>0.71623419827012647</v>
      </c>
    </row>
    <row r="379" spans="1:7">
      <c r="A379" t="s">
        <v>495</v>
      </c>
      <c r="B379">
        <v>6</v>
      </c>
      <c r="C379" t="s">
        <v>791</v>
      </c>
      <c r="D379">
        <v>8</v>
      </c>
      <c r="E379">
        <v>3006</v>
      </c>
      <c r="F379">
        <v>2324</v>
      </c>
      <c r="G379" s="4">
        <f t="shared" si="6"/>
        <v>0.77312042581503659</v>
      </c>
    </row>
    <row r="380" spans="1:7">
      <c r="A380" t="s">
        <v>495</v>
      </c>
      <c r="B380">
        <v>6</v>
      </c>
      <c r="C380" t="s">
        <v>792</v>
      </c>
      <c r="D380">
        <v>9</v>
      </c>
      <c r="E380">
        <v>3006</v>
      </c>
      <c r="F380">
        <v>2605</v>
      </c>
      <c r="G380" s="4">
        <f t="shared" si="6"/>
        <v>0.86660013306719896</v>
      </c>
    </row>
    <row r="381" spans="1:7">
      <c r="A381" t="s">
        <v>495</v>
      </c>
      <c r="B381">
        <v>6</v>
      </c>
      <c r="C381" t="s">
        <v>793</v>
      </c>
      <c r="D381">
        <v>10</v>
      </c>
      <c r="E381">
        <v>3006</v>
      </c>
      <c r="F381">
        <v>2962</v>
      </c>
      <c r="G381" s="4">
        <f t="shared" si="6"/>
        <v>0.98536260811709908</v>
      </c>
    </row>
    <row r="382" spans="1:7">
      <c r="A382" t="s">
        <v>495</v>
      </c>
      <c r="B382">
        <v>7</v>
      </c>
      <c r="C382" t="s">
        <v>794</v>
      </c>
      <c r="D382">
        <v>1</v>
      </c>
      <c r="E382">
        <v>3859</v>
      </c>
      <c r="F382">
        <v>1078</v>
      </c>
      <c r="G382" s="4">
        <f t="shared" si="6"/>
        <v>0.27934698108318218</v>
      </c>
    </row>
    <row r="383" spans="1:7">
      <c r="A383" t="s">
        <v>495</v>
      </c>
      <c r="B383">
        <v>7</v>
      </c>
      <c r="C383" t="s">
        <v>795</v>
      </c>
      <c r="D383">
        <v>2</v>
      </c>
      <c r="E383">
        <v>3859</v>
      </c>
      <c r="F383">
        <v>1133</v>
      </c>
      <c r="G383" s="4">
        <f t="shared" si="6"/>
        <v>0.29359937807722208</v>
      </c>
    </row>
    <row r="384" spans="1:7">
      <c r="A384" t="s">
        <v>495</v>
      </c>
      <c r="B384">
        <v>7</v>
      </c>
      <c r="C384" t="s">
        <v>796</v>
      </c>
      <c r="D384">
        <v>3</v>
      </c>
      <c r="E384">
        <v>3859</v>
      </c>
      <c r="F384">
        <v>1136</v>
      </c>
      <c r="G384" s="4">
        <f t="shared" si="6"/>
        <v>0.29437678154962427</v>
      </c>
    </row>
    <row r="385" spans="1:7">
      <c r="A385" t="s">
        <v>495</v>
      </c>
      <c r="B385">
        <v>7</v>
      </c>
      <c r="C385" t="s">
        <v>797</v>
      </c>
      <c r="D385">
        <v>4</v>
      </c>
      <c r="E385">
        <v>3859</v>
      </c>
      <c r="F385">
        <v>1147</v>
      </c>
      <c r="G385" s="4">
        <f t="shared" si="6"/>
        <v>0.29722726094843221</v>
      </c>
    </row>
    <row r="386" spans="1:7">
      <c r="A386" t="s">
        <v>495</v>
      </c>
      <c r="B386">
        <v>7</v>
      </c>
      <c r="C386" t="s">
        <v>798</v>
      </c>
      <c r="D386">
        <v>5</v>
      </c>
      <c r="E386">
        <v>3859</v>
      </c>
      <c r="F386">
        <v>1149</v>
      </c>
      <c r="G386" s="4">
        <f t="shared" si="6"/>
        <v>0.29774552993003367</v>
      </c>
    </row>
    <row r="387" spans="1:7">
      <c r="A387" t="s">
        <v>495</v>
      </c>
      <c r="B387">
        <v>7</v>
      </c>
      <c r="C387" t="s">
        <v>799</v>
      </c>
      <c r="D387">
        <v>6</v>
      </c>
      <c r="E387">
        <v>3859</v>
      </c>
      <c r="F387">
        <v>1167</v>
      </c>
      <c r="G387" s="4">
        <f t="shared" ref="G387:G450" si="7">F387/E387</f>
        <v>0.30240995076444677</v>
      </c>
    </row>
    <row r="388" spans="1:7">
      <c r="A388" t="s">
        <v>495</v>
      </c>
      <c r="B388">
        <v>7</v>
      </c>
      <c r="C388" t="s">
        <v>800</v>
      </c>
      <c r="D388">
        <v>7</v>
      </c>
      <c r="E388">
        <v>3859</v>
      </c>
      <c r="F388">
        <v>1213</v>
      </c>
      <c r="G388" s="4">
        <f t="shared" si="7"/>
        <v>0.31433013734128012</v>
      </c>
    </row>
    <row r="389" spans="1:7">
      <c r="A389" t="s">
        <v>495</v>
      </c>
      <c r="B389">
        <v>7</v>
      </c>
      <c r="C389" t="s">
        <v>801</v>
      </c>
      <c r="D389">
        <v>8</v>
      </c>
      <c r="E389">
        <v>3859</v>
      </c>
      <c r="F389">
        <v>1277</v>
      </c>
      <c r="G389" s="4">
        <f t="shared" si="7"/>
        <v>0.33091474475252658</v>
      </c>
    </row>
    <row r="390" spans="1:7">
      <c r="A390" t="s">
        <v>495</v>
      </c>
      <c r="B390">
        <v>7</v>
      </c>
      <c r="C390" t="s">
        <v>802</v>
      </c>
      <c r="D390">
        <v>9</v>
      </c>
      <c r="E390">
        <v>3859</v>
      </c>
      <c r="F390">
        <v>1586</v>
      </c>
      <c r="G390" s="4">
        <f t="shared" si="7"/>
        <v>0.41098730240995074</v>
      </c>
    </row>
    <row r="391" spans="1:7">
      <c r="A391" t="s">
        <v>495</v>
      </c>
      <c r="B391">
        <v>7</v>
      </c>
      <c r="C391" t="s">
        <v>803</v>
      </c>
      <c r="D391">
        <v>10</v>
      </c>
      <c r="E391">
        <v>3859</v>
      </c>
      <c r="F391">
        <v>1622</v>
      </c>
      <c r="G391" s="4">
        <f t="shared" si="7"/>
        <v>0.42031614407877688</v>
      </c>
    </row>
    <row r="392" spans="1:7">
      <c r="A392" t="s">
        <v>495</v>
      </c>
      <c r="B392">
        <v>8</v>
      </c>
      <c r="C392" t="s">
        <v>710</v>
      </c>
      <c r="D392">
        <v>1</v>
      </c>
      <c r="E392">
        <v>12779</v>
      </c>
      <c r="F392">
        <v>790</v>
      </c>
      <c r="G392" s="4">
        <f t="shared" si="7"/>
        <v>6.18201737225135E-2</v>
      </c>
    </row>
    <row r="393" spans="1:7">
      <c r="A393" t="s">
        <v>495</v>
      </c>
      <c r="B393">
        <v>8</v>
      </c>
      <c r="C393" t="s">
        <v>804</v>
      </c>
      <c r="D393">
        <v>2</v>
      </c>
      <c r="E393">
        <v>12779</v>
      </c>
      <c r="F393">
        <v>1273</v>
      </c>
      <c r="G393" s="4">
        <f t="shared" si="7"/>
        <v>9.9616558416151496E-2</v>
      </c>
    </row>
    <row r="394" spans="1:7">
      <c r="A394" t="s">
        <v>495</v>
      </c>
      <c r="B394">
        <v>8</v>
      </c>
      <c r="C394" t="s">
        <v>776</v>
      </c>
      <c r="D394">
        <v>3</v>
      </c>
      <c r="E394">
        <v>12779</v>
      </c>
      <c r="F394">
        <v>2485</v>
      </c>
      <c r="G394" s="4">
        <f t="shared" si="7"/>
        <v>0.19445966038031146</v>
      </c>
    </row>
    <row r="395" spans="1:7">
      <c r="A395" t="s">
        <v>495</v>
      </c>
      <c r="B395">
        <v>8</v>
      </c>
      <c r="C395" t="s">
        <v>805</v>
      </c>
      <c r="D395">
        <v>4</v>
      </c>
      <c r="E395">
        <v>12779</v>
      </c>
      <c r="F395">
        <v>2749</v>
      </c>
      <c r="G395" s="4">
        <f t="shared" si="7"/>
        <v>0.21511855387745521</v>
      </c>
    </row>
    <row r="396" spans="1:7">
      <c r="A396" t="s">
        <v>495</v>
      </c>
      <c r="B396">
        <v>8</v>
      </c>
      <c r="C396" t="s">
        <v>806</v>
      </c>
      <c r="D396">
        <v>5</v>
      </c>
      <c r="E396">
        <v>12779</v>
      </c>
      <c r="F396">
        <v>5297</v>
      </c>
      <c r="G396" s="4">
        <f t="shared" si="7"/>
        <v>0.41450817747867597</v>
      </c>
    </row>
    <row r="397" spans="1:7">
      <c r="A397" t="s">
        <v>495</v>
      </c>
      <c r="B397">
        <v>8</v>
      </c>
      <c r="C397" t="s">
        <v>807</v>
      </c>
      <c r="D397">
        <v>6</v>
      </c>
      <c r="E397">
        <v>12779</v>
      </c>
      <c r="F397">
        <v>6267</v>
      </c>
      <c r="G397" s="4">
        <f t="shared" si="7"/>
        <v>0.49041396040378749</v>
      </c>
    </row>
    <row r="398" spans="1:7">
      <c r="A398" t="s">
        <v>495</v>
      </c>
      <c r="B398">
        <v>9</v>
      </c>
      <c r="C398" t="s">
        <v>710</v>
      </c>
      <c r="D398">
        <v>1</v>
      </c>
      <c r="E398">
        <v>33434</v>
      </c>
      <c r="F398">
        <v>814</v>
      </c>
      <c r="G398" s="4">
        <f t="shared" si="7"/>
        <v>2.4346473649578274E-2</v>
      </c>
    </row>
    <row r="399" spans="1:7">
      <c r="A399" t="s">
        <v>495</v>
      </c>
      <c r="B399">
        <v>9</v>
      </c>
      <c r="C399" t="s">
        <v>808</v>
      </c>
      <c r="D399">
        <v>2</v>
      </c>
      <c r="E399">
        <v>33434</v>
      </c>
      <c r="F399">
        <v>1573</v>
      </c>
      <c r="G399" s="4">
        <f t="shared" si="7"/>
        <v>4.7047915295806667E-2</v>
      </c>
    </row>
    <row r="400" spans="1:7">
      <c r="A400" t="s">
        <v>495</v>
      </c>
      <c r="B400">
        <v>9</v>
      </c>
      <c r="C400" t="s">
        <v>776</v>
      </c>
      <c r="D400">
        <v>3</v>
      </c>
      <c r="E400">
        <v>33434</v>
      </c>
      <c r="F400">
        <v>2494</v>
      </c>
      <c r="G400" s="4">
        <f t="shared" si="7"/>
        <v>7.4594723933720158E-2</v>
      </c>
    </row>
    <row r="401" spans="1:7">
      <c r="A401" t="s">
        <v>495</v>
      </c>
      <c r="B401">
        <v>9</v>
      </c>
      <c r="C401" t="s">
        <v>805</v>
      </c>
      <c r="D401">
        <v>4</v>
      </c>
      <c r="E401">
        <v>33434</v>
      </c>
      <c r="F401">
        <v>3431</v>
      </c>
      <c r="G401" s="4">
        <f t="shared" si="7"/>
        <v>0.10262008733624454</v>
      </c>
    </row>
    <row r="402" spans="1:7">
      <c r="A402" t="s">
        <v>495</v>
      </c>
      <c r="B402">
        <v>9</v>
      </c>
      <c r="C402" t="s">
        <v>806</v>
      </c>
      <c r="D402">
        <v>5</v>
      </c>
      <c r="E402">
        <v>33434</v>
      </c>
      <c r="F402">
        <v>4676</v>
      </c>
      <c r="G402" s="4">
        <f t="shared" si="7"/>
        <v>0.13985762995752826</v>
      </c>
    </row>
    <row r="403" spans="1:7">
      <c r="A403" t="s">
        <v>495</v>
      </c>
      <c r="B403">
        <v>9</v>
      </c>
      <c r="C403" t="s">
        <v>807</v>
      </c>
      <c r="D403">
        <v>6</v>
      </c>
      <c r="E403">
        <v>33434</v>
      </c>
      <c r="F403">
        <v>6255</v>
      </c>
      <c r="G403" s="4">
        <f t="shared" si="7"/>
        <v>0.187085003290064</v>
      </c>
    </row>
    <row r="404" spans="1:7">
      <c r="A404" t="s">
        <v>495</v>
      </c>
      <c r="B404">
        <v>9</v>
      </c>
      <c r="C404" t="s">
        <v>809</v>
      </c>
      <c r="D404">
        <v>7</v>
      </c>
      <c r="E404">
        <v>33434</v>
      </c>
      <c r="F404">
        <v>7385</v>
      </c>
      <c r="G404" s="4">
        <f t="shared" si="7"/>
        <v>0.22088293354070707</v>
      </c>
    </row>
    <row r="405" spans="1:7">
      <c r="A405" t="s">
        <v>495</v>
      </c>
      <c r="B405">
        <v>9</v>
      </c>
      <c r="C405" t="s">
        <v>810</v>
      </c>
      <c r="D405">
        <v>8</v>
      </c>
      <c r="E405">
        <v>33434</v>
      </c>
      <c r="F405">
        <v>8168</v>
      </c>
      <c r="G405" s="4">
        <f t="shared" si="7"/>
        <v>0.24430220733385177</v>
      </c>
    </row>
    <row r="406" spans="1:7">
      <c r="A406" t="s">
        <v>495</v>
      </c>
      <c r="B406">
        <v>9</v>
      </c>
      <c r="C406" t="s">
        <v>811</v>
      </c>
      <c r="D406">
        <v>9</v>
      </c>
      <c r="E406">
        <v>33434</v>
      </c>
      <c r="F406">
        <v>8902</v>
      </c>
      <c r="G406" s="4">
        <f t="shared" si="7"/>
        <v>0.26625590716037567</v>
      </c>
    </row>
    <row r="407" spans="1:7">
      <c r="A407" t="s">
        <v>495</v>
      </c>
      <c r="B407">
        <v>10</v>
      </c>
      <c r="C407" t="s">
        <v>213</v>
      </c>
      <c r="D407">
        <v>1</v>
      </c>
      <c r="E407">
        <v>1055</v>
      </c>
      <c r="F407">
        <v>229</v>
      </c>
      <c r="G407" s="4">
        <f t="shared" si="7"/>
        <v>0.21706161137440758</v>
      </c>
    </row>
    <row r="408" spans="1:7">
      <c r="A408" t="s">
        <v>495</v>
      </c>
      <c r="B408">
        <v>10</v>
      </c>
      <c r="C408" t="s">
        <v>473</v>
      </c>
      <c r="D408">
        <v>2</v>
      </c>
      <c r="E408">
        <v>1055</v>
      </c>
      <c r="F408">
        <v>1007</v>
      </c>
      <c r="G408" s="4">
        <f t="shared" si="7"/>
        <v>0.95450236966824642</v>
      </c>
    </row>
    <row r="409" spans="1:7">
      <c r="A409" t="s">
        <v>495</v>
      </c>
      <c r="B409">
        <v>11</v>
      </c>
      <c r="C409" t="s">
        <v>213</v>
      </c>
      <c r="D409">
        <v>1</v>
      </c>
      <c r="E409">
        <v>8319</v>
      </c>
      <c r="F409">
        <v>374</v>
      </c>
      <c r="G409" s="4">
        <f t="shared" si="7"/>
        <v>4.495732660175502E-2</v>
      </c>
    </row>
    <row r="410" spans="1:7">
      <c r="A410" t="s">
        <v>495</v>
      </c>
      <c r="B410">
        <v>11</v>
      </c>
      <c r="C410" t="s">
        <v>473</v>
      </c>
      <c r="D410">
        <v>2</v>
      </c>
      <c r="E410">
        <v>8319</v>
      </c>
      <c r="F410">
        <v>8059</v>
      </c>
      <c r="G410" s="4">
        <f t="shared" si="7"/>
        <v>0.96874624353888683</v>
      </c>
    </row>
    <row r="411" spans="1:7">
      <c r="A411" t="s">
        <v>495</v>
      </c>
      <c r="B411">
        <v>13</v>
      </c>
      <c r="C411" t="s">
        <v>473</v>
      </c>
      <c r="D411">
        <v>1</v>
      </c>
      <c r="E411">
        <v>26728</v>
      </c>
      <c r="F411">
        <v>1436</v>
      </c>
      <c r="G411" s="4">
        <f t="shared" si="7"/>
        <v>5.3726429212810539E-2</v>
      </c>
    </row>
    <row r="412" spans="1:7">
      <c r="A412" t="s">
        <v>495</v>
      </c>
      <c r="B412">
        <v>13</v>
      </c>
      <c r="C412" t="s">
        <v>448</v>
      </c>
      <c r="D412">
        <v>2</v>
      </c>
      <c r="E412">
        <v>26728</v>
      </c>
      <c r="F412">
        <v>1447</v>
      </c>
      <c r="G412" s="4">
        <f t="shared" si="7"/>
        <v>5.4137982639928167E-2</v>
      </c>
    </row>
    <row r="413" spans="1:7">
      <c r="A413" t="s">
        <v>495</v>
      </c>
      <c r="B413">
        <v>13</v>
      </c>
      <c r="C413" t="s">
        <v>812</v>
      </c>
      <c r="D413">
        <v>3</v>
      </c>
      <c r="E413">
        <v>26728</v>
      </c>
      <c r="F413">
        <v>1598</v>
      </c>
      <c r="G413" s="4">
        <f t="shared" si="7"/>
        <v>5.9787488775815627E-2</v>
      </c>
    </row>
    <row r="414" spans="1:7">
      <c r="A414" t="s">
        <v>495</v>
      </c>
      <c r="B414">
        <v>13</v>
      </c>
      <c r="C414" t="s">
        <v>474</v>
      </c>
      <c r="D414">
        <v>4</v>
      </c>
      <c r="E414">
        <v>26728</v>
      </c>
      <c r="F414">
        <v>27076</v>
      </c>
      <c r="G414" s="4">
        <f t="shared" si="7"/>
        <v>1.013020053876085</v>
      </c>
    </row>
    <row r="415" spans="1:7">
      <c r="A415" t="s">
        <v>495</v>
      </c>
      <c r="B415">
        <v>15</v>
      </c>
      <c r="C415" t="s">
        <v>473</v>
      </c>
      <c r="D415">
        <v>1</v>
      </c>
      <c r="E415">
        <v>19864</v>
      </c>
      <c r="F415">
        <v>844</v>
      </c>
      <c r="G415" s="4">
        <f t="shared" si="7"/>
        <v>4.2488924687877565E-2</v>
      </c>
    </row>
    <row r="416" spans="1:7">
      <c r="A416" t="s">
        <v>495</v>
      </c>
      <c r="B416">
        <v>15</v>
      </c>
      <c r="C416" t="s">
        <v>448</v>
      </c>
      <c r="D416">
        <v>2</v>
      </c>
      <c r="E416">
        <v>19864</v>
      </c>
      <c r="F416">
        <v>913</v>
      </c>
      <c r="G416" s="4">
        <f t="shared" si="7"/>
        <v>4.5962545308095043E-2</v>
      </c>
    </row>
    <row r="417" spans="1:7">
      <c r="A417" t="s">
        <v>495</v>
      </c>
      <c r="B417">
        <v>15</v>
      </c>
      <c r="C417" t="s">
        <v>812</v>
      </c>
      <c r="D417">
        <v>3</v>
      </c>
      <c r="E417">
        <v>19864</v>
      </c>
      <c r="F417">
        <v>994</v>
      </c>
      <c r="G417" s="4">
        <f t="shared" si="7"/>
        <v>5.0040273862263389E-2</v>
      </c>
    </row>
    <row r="418" spans="1:7">
      <c r="A418" t="s">
        <v>495</v>
      </c>
      <c r="B418">
        <v>15</v>
      </c>
      <c r="C418" t="s">
        <v>474</v>
      </c>
      <c r="D418">
        <v>4</v>
      </c>
      <c r="E418">
        <v>19864</v>
      </c>
      <c r="F418">
        <v>19484</v>
      </c>
      <c r="G418" s="4">
        <f t="shared" si="7"/>
        <v>0.98086991542488922</v>
      </c>
    </row>
    <row r="419" spans="1:7">
      <c r="A419" t="s">
        <v>495</v>
      </c>
      <c r="B419">
        <v>16</v>
      </c>
      <c r="C419" t="s">
        <v>473</v>
      </c>
      <c r="D419">
        <v>1</v>
      </c>
      <c r="E419">
        <v>36651</v>
      </c>
      <c r="F419">
        <v>994</v>
      </c>
      <c r="G419" s="4">
        <f t="shared" si="7"/>
        <v>2.712067883550244E-2</v>
      </c>
    </row>
    <row r="420" spans="1:7">
      <c r="A420" t="s">
        <v>495</v>
      </c>
      <c r="B420">
        <v>16</v>
      </c>
      <c r="C420" t="s">
        <v>448</v>
      </c>
      <c r="D420">
        <v>2</v>
      </c>
      <c r="E420">
        <v>36651</v>
      </c>
      <c r="F420">
        <v>1122</v>
      </c>
      <c r="G420" s="4">
        <f t="shared" si="7"/>
        <v>3.0613080134239176E-2</v>
      </c>
    </row>
    <row r="421" spans="1:7">
      <c r="A421" t="s">
        <v>495</v>
      </c>
      <c r="B421">
        <v>16</v>
      </c>
      <c r="C421" t="s">
        <v>812</v>
      </c>
      <c r="D421">
        <v>3</v>
      </c>
      <c r="E421">
        <v>36651</v>
      </c>
      <c r="F421">
        <v>1152</v>
      </c>
      <c r="G421" s="4">
        <f t="shared" si="7"/>
        <v>3.1431611688630595E-2</v>
      </c>
    </row>
    <row r="422" spans="1:7">
      <c r="A422" t="s">
        <v>495</v>
      </c>
      <c r="B422">
        <v>16</v>
      </c>
      <c r="C422" t="s">
        <v>474</v>
      </c>
      <c r="D422">
        <v>4</v>
      </c>
      <c r="E422">
        <v>36651</v>
      </c>
      <c r="F422">
        <v>35921</v>
      </c>
      <c r="G422" s="4">
        <f t="shared" si="7"/>
        <v>0.98008239884314208</v>
      </c>
    </row>
    <row r="423" spans="1:7">
      <c r="A423" t="s">
        <v>495</v>
      </c>
      <c r="B423">
        <v>20</v>
      </c>
      <c r="C423" t="s">
        <v>473</v>
      </c>
      <c r="D423">
        <v>1</v>
      </c>
      <c r="E423">
        <v>3905</v>
      </c>
      <c r="F423">
        <v>2099</v>
      </c>
      <c r="G423" s="4">
        <f t="shared" si="7"/>
        <v>0.53751600512163888</v>
      </c>
    </row>
    <row r="424" spans="1:7">
      <c r="A424" t="s">
        <v>495</v>
      </c>
      <c r="B424">
        <v>20</v>
      </c>
      <c r="C424" t="s">
        <v>213</v>
      </c>
      <c r="D424">
        <v>2</v>
      </c>
      <c r="E424">
        <v>3905</v>
      </c>
      <c r="F424">
        <v>2168</v>
      </c>
      <c r="G424" s="4">
        <f t="shared" si="7"/>
        <v>0.5551856594110115</v>
      </c>
    </row>
    <row r="425" spans="1:7">
      <c r="A425" t="s">
        <v>495</v>
      </c>
      <c r="B425">
        <v>21</v>
      </c>
      <c r="C425" t="s">
        <v>213</v>
      </c>
      <c r="D425">
        <v>1</v>
      </c>
      <c r="E425">
        <v>15627</v>
      </c>
      <c r="F425">
        <v>8011</v>
      </c>
      <c r="G425" s="4">
        <f t="shared" si="7"/>
        <v>0.51263838228706726</v>
      </c>
    </row>
    <row r="426" spans="1:7">
      <c r="A426" t="s">
        <v>495</v>
      </c>
      <c r="B426">
        <v>21</v>
      </c>
      <c r="C426" t="s">
        <v>473</v>
      </c>
      <c r="D426">
        <v>2</v>
      </c>
      <c r="E426">
        <v>15627</v>
      </c>
      <c r="F426">
        <v>8056</v>
      </c>
      <c r="G426" s="4">
        <f t="shared" si="7"/>
        <v>0.5155180136942471</v>
      </c>
    </row>
    <row r="427" spans="1:7">
      <c r="A427" t="s">
        <v>496</v>
      </c>
      <c r="B427">
        <v>2</v>
      </c>
      <c r="C427" t="s">
        <v>813</v>
      </c>
      <c r="D427">
        <v>1</v>
      </c>
      <c r="E427">
        <v>17371</v>
      </c>
      <c r="F427">
        <v>10203</v>
      </c>
      <c r="G427" s="4">
        <f t="shared" si="7"/>
        <v>0.58735824074607101</v>
      </c>
    </row>
    <row r="428" spans="1:7">
      <c r="A428" t="s">
        <v>496</v>
      </c>
      <c r="B428">
        <v>2</v>
      </c>
      <c r="C428" t="s">
        <v>814</v>
      </c>
      <c r="D428">
        <v>2</v>
      </c>
      <c r="E428">
        <v>17371</v>
      </c>
      <c r="F428">
        <v>15311</v>
      </c>
      <c r="G428" s="4">
        <f t="shared" si="7"/>
        <v>0.88141154798226928</v>
      </c>
    </row>
    <row r="429" spans="1:7">
      <c r="A429" t="s">
        <v>496</v>
      </c>
      <c r="B429">
        <v>3</v>
      </c>
      <c r="C429" t="s">
        <v>213</v>
      </c>
      <c r="D429">
        <v>1</v>
      </c>
      <c r="E429">
        <v>39286</v>
      </c>
      <c r="F429">
        <v>1479</v>
      </c>
      <c r="G429" s="4">
        <f t="shared" si="7"/>
        <v>3.7646998930916865E-2</v>
      </c>
    </row>
    <row r="430" spans="1:7">
      <c r="A430" t="s">
        <v>496</v>
      </c>
      <c r="B430">
        <v>3</v>
      </c>
      <c r="C430" t="s">
        <v>815</v>
      </c>
      <c r="D430">
        <v>2</v>
      </c>
      <c r="E430">
        <v>39286</v>
      </c>
      <c r="F430">
        <v>5692</v>
      </c>
      <c r="G430" s="4">
        <f t="shared" si="7"/>
        <v>0.14488621900931631</v>
      </c>
    </row>
    <row r="431" spans="1:7">
      <c r="A431" t="s">
        <v>496</v>
      </c>
      <c r="B431">
        <v>3</v>
      </c>
      <c r="C431" t="s">
        <v>816</v>
      </c>
      <c r="D431">
        <v>3</v>
      </c>
      <c r="E431">
        <v>39286</v>
      </c>
      <c r="F431">
        <v>8073</v>
      </c>
      <c r="G431" s="4">
        <f t="shared" si="7"/>
        <v>0.20549305095962939</v>
      </c>
    </row>
    <row r="432" spans="1:7">
      <c r="A432" t="s">
        <v>496</v>
      </c>
      <c r="B432">
        <v>3</v>
      </c>
      <c r="C432" t="s">
        <v>817</v>
      </c>
      <c r="D432">
        <v>4</v>
      </c>
      <c r="E432">
        <v>39286</v>
      </c>
      <c r="F432">
        <v>10287</v>
      </c>
      <c r="G432" s="4">
        <f t="shared" si="7"/>
        <v>0.261849004734511</v>
      </c>
    </row>
    <row r="433" spans="1:7">
      <c r="A433" t="s">
        <v>496</v>
      </c>
      <c r="B433">
        <v>3</v>
      </c>
      <c r="C433" t="s">
        <v>818</v>
      </c>
      <c r="D433">
        <v>5</v>
      </c>
      <c r="E433">
        <v>39286</v>
      </c>
      <c r="F433">
        <v>36317</v>
      </c>
      <c r="G433" s="4">
        <f t="shared" si="7"/>
        <v>0.92442600417451515</v>
      </c>
    </row>
    <row r="434" spans="1:7">
      <c r="A434" t="s">
        <v>496</v>
      </c>
      <c r="B434">
        <v>3</v>
      </c>
      <c r="C434" t="s">
        <v>819</v>
      </c>
      <c r="D434">
        <v>6</v>
      </c>
      <c r="E434">
        <v>39286</v>
      </c>
      <c r="F434">
        <v>39529</v>
      </c>
      <c r="G434" s="4">
        <f t="shared" si="7"/>
        <v>1.0061854095606577</v>
      </c>
    </row>
    <row r="435" spans="1:7">
      <c r="A435" t="s">
        <v>497</v>
      </c>
      <c r="B435">
        <v>0</v>
      </c>
      <c r="C435" t="s">
        <v>213</v>
      </c>
      <c r="D435">
        <v>1</v>
      </c>
      <c r="E435">
        <v>182</v>
      </c>
      <c r="F435">
        <v>96</v>
      </c>
      <c r="G435" s="4">
        <f t="shared" si="7"/>
        <v>0.52747252747252749</v>
      </c>
    </row>
    <row r="436" spans="1:7">
      <c r="A436" t="s">
        <v>497</v>
      </c>
      <c r="B436">
        <v>0</v>
      </c>
      <c r="C436" t="s">
        <v>210</v>
      </c>
      <c r="D436">
        <v>2</v>
      </c>
      <c r="E436">
        <v>182</v>
      </c>
      <c r="F436">
        <v>133</v>
      </c>
      <c r="G436" s="4">
        <f t="shared" si="7"/>
        <v>0.73076923076923073</v>
      </c>
    </row>
    <row r="437" spans="1:7">
      <c r="A437" t="s">
        <v>497</v>
      </c>
      <c r="B437">
        <v>0</v>
      </c>
      <c r="C437" t="s">
        <v>504</v>
      </c>
      <c r="D437">
        <v>3</v>
      </c>
      <c r="E437">
        <v>182</v>
      </c>
      <c r="F437">
        <v>142</v>
      </c>
      <c r="G437" s="4">
        <f t="shared" si="7"/>
        <v>0.78021978021978022</v>
      </c>
    </row>
    <row r="438" spans="1:7">
      <c r="A438" t="s">
        <v>497</v>
      </c>
      <c r="B438">
        <v>0</v>
      </c>
      <c r="C438" t="s">
        <v>505</v>
      </c>
      <c r="D438">
        <v>4</v>
      </c>
      <c r="E438">
        <v>182</v>
      </c>
      <c r="F438">
        <v>181</v>
      </c>
      <c r="G438" s="4">
        <f t="shared" si="7"/>
        <v>0.99450549450549453</v>
      </c>
    </row>
    <row r="439" spans="1:7">
      <c r="A439" t="s">
        <v>497</v>
      </c>
      <c r="B439">
        <v>1</v>
      </c>
      <c r="C439" t="s">
        <v>820</v>
      </c>
      <c r="D439">
        <v>1</v>
      </c>
      <c r="E439">
        <v>10314</v>
      </c>
      <c r="F439">
        <v>858</v>
      </c>
      <c r="G439" s="4">
        <f t="shared" si="7"/>
        <v>8.318789994182664E-2</v>
      </c>
    </row>
    <row r="440" spans="1:7">
      <c r="A440" t="s">
        <v>497</v>
      </c>
      <c r="B440">
        <v>1</v>
      </c>
      <c r="C440" t="s">
        <v>213</v>
      </c>
      <c r="D440">
        <v>2</v>
      </c>
      <c r="E440">
        <v>10314</v>
      </c>
      <c r="F440">
        <v>2036</v>
      </c>
      <c r="G440" s="4">
        <f t="shared" si="7"/>
        <v>0.19740159007174715</v>
      </c>
    </row>
    <row r="441" spans="1:7">
      <c r="A441" t="s">
        <v>497</v>
      </c>
      <c r="B441">
        <v>1</v>
      </c>
      <c r="C441" t="s">
        <v>821</v>
      </c>
      <c r="D441">
        <v>3</v>
      </c>
      <c r="E441">
        <v>10314</v>
      </c>
      <c r="F441">
        <v>2912</v>
      </c>
      <c r="G441" s="4">
        <f t="shared" si="7"/>
        <v>0.28233469071165407</v>
      </c>
    </row>
    <row r="442" spans="1:7">
      <c r="A442" t="s">
        <v>497</v>
      </c>
      <c r="B442">
        <v>1</v>
      </c>
      <c r="C442" t="s">
        <v>822</v>
      </c>
      <c r="D442">
        <v>4</v>
      </c>
      <c r="E442">
        <v>10314</v>
      </c>
      <c r="F442">
        <v>6165</v>
      </c>
      <c r="G442" s="4">
        <f t="shared" si="7"/>
        <v>0.59773123909249559</v>
      </c>
    </row>
    <row r="443" spans="1:7">
      <c r="A443" t="s">
        <v>498</v>
      </c>
      <c r="B443">
        <v>1</v>
      </c>
      <c r="C443" t="s">
        <v>476</v>
      </c>
      <c r="D443">
        <v>1</v>
      </c>
      <c r="E443">
        <v>5178</v>
      </c>
      <c r="F443">
        <v>565</v>
      </c>
      <c r="G443" s="4">
        <f t="shared" si="7"/>
        <v>0.10911548860563924</v>
      </c>
    </row>
    <row r="444" spans="1:7">
      <c r="A444" t="s">
        <v>498</v>
      </c>
      <c r="B444">
        <v>1</v>
      </c>
      <c r="C444" t="s">
        <v>823</v>
      </c>
      <c r="D444">
        <v>2</v>
      </c>
      <c r="E444">
        <v>5178</v>
      </c>
      <c r="F444">
        <v>568</v>
      </c>
      <c r="G444" s="4">
        <f t="shared" si="7"/>
        <v>0.1096948628814214</v>
      </c>
    </row>
    <row r="445" spans="1:7">
      <c r="A445" t="s">
        <v>498</v>
      </c>
      <c r="B445">
        <v>1</v>
      </c>
      <c r="C445" t="s">
        <v>762</v>
      </c>
      <c r="D445">
        <v>3</v>
      </c>
      <c r="E445">
        <v>5178</v>
      </c>
      <c r="F445">
        <v>1154</v>
      </c>
      <c r="G445" s="4">
        <f t="shared" si="7"/>
        <v>0.22286597141753572</v>
      </c>
    </row>
    <row r="446" spans="1:7">
      <c r="A446" t="s">
        <v>498</v>
      </c>
      <c r="B446">
        <v>1</v>
      </c>
      <c r="C446" t="s">
        <v>824</v>
      </c>
      <c r="D446">
        <v>4</v>
      </c>
      <c r="E446">
        <v>5178</v>
      </c>
      <c r="F446">
        <v>1167</v>
      </c>
      <c r="G446" s="4">
        <f t="shared" si="7"/>
        <v>0.22537659327925841</v>
      </c>
    </row>
    <row r="447" spans="1:7">
      <c r="A447" t="s">
        <v>498</v>
      </c>
      <c r="B447">
        <v>1</v>
      </c>
      <c r="C447" t="s">
        <v>825</v>
      </c>
      <c r="D447">
        <v>5</v>
      </c>
      <c r="E447">
        <v>5178</v>
      </c>
      <c r="F447">
        <v>1226</v>
      </c>
      <c r="G447" s="4">
        <f t="shared" si="7"/>
        <v>0.23677095403630746</v>
      </c>
    </row>
    <row r="448" spans="1:7">
      <c r="A448" t="s">
        <v>498</v>
      </c>
      <c r="B448">
        <v>1</v>
      </c>
      <c r="C448" t="s">
        <v>826</v>
      </c>
      <c r="D448">
        <v>6</v>
      </c>
      <c r="E448">
        <v>5178</v>
      </c>
      <c r="F448">
        <v>1238</v>
      </c>
      <c r="G448" s="4">
        <f t="shared" si="7"/>
        <v>0.23908845113943608</v>
      </c>
    </row>
    <row r="449" spans="1:7">
      <c r="A449" t="s">
        <v>498</v>
      </c>
      <c r="B449">
        <v>1</v>
      </c>
      <c r="C449" t="s">
        <v>474</v>
      </c>
      <c r="D449">
        <v>7</v>
      </c>
      <c r="E449">
        <v>5178</v>
      </c>
      <c r="F449">
        <v>1268</v>
      </c>
      <c r="G449" s="4">
        <f t="shared" si="7"/>
        <v>0.24488219389725763</v>
      </c>
    </row>
    <row r="450" spans="1:7">
      <c r="A450" t="s">
        <v>498</v>
      </c>
      <c r="B450">
        <v>1</v>
      </c>
      <c r="C450" t="s">
        <v>812</v>
      </c>
      <c r="D450">
        <v>8</v>
      </c>
      <c r="E450">
        <v>5178</v>
      </c>
      <c r="F450">
        <v>1555</v>
      </c>
      <c r="G450" s="4">
        <f t="shared" si="7"/>
        <v>0.30030899961375046</v>
      </c>
    </row>
    <row r="451" spans="1:7">
      <c r="A451" t="s">
        <v>499</v>
      </c>
      <c r="B451">
        <v>3</v>
      </c>
      <c r="C451" t="s">
        <v>213</v>
      </c>
      <c r="D451">
        <v>1</v>
      </c>
      <c r="E451">
        <v>62645</v>
      </c>
      <c r="F451">
        <v>54811</v>
      </c>
      <c r="G451" s="4">
        <f t="shared" ref="G451:G514" si="8">F451/E451</f>
        <v>0.87494612499002311</v>
      </c>
    </row>
    <row r="452" spans="1:7">
      <c r="A452" t="s">
        <v>499</v>
      </c>
      <c r="B452">
        <v>3</v>
      </c>
      <c r="C452" t="s">
        <v>473</v>
      </c>
      <c r="D452">
        <v>2</v>
      </c>
      <c r="E452">
        <v>62645</v>
      </c>
      <c r="F452">
        <v>55609</v>
      </c>
      <c r="G452" s="4">
        <f t="shared" si="8"/>
        <v>0.88768457179343918</v>
      </c>
    </row>
    <row r="453" spans="1:7">
      <c r="A453" t="s">
        <v>500</v>
      </c>
      <c r="B453">
        <v>1</v>
      </c>
      <c r="C453" t="s">
        <v>213</v>
      </c>
      <c r="D453">
        <v>1</v>
      </c>
      <c r="E453">
        <v>33352</v>
      </c>
      <c r="F453">
        <v>7005</v>
      </c>
      <c r="G453" s="4">
        <f t="shared" si="8"/>
        <v>0.21003238186615494</v>
      </c>
    </row>
    <row r="454" spans="1:7">
      <c r="A454" t="s">
        <v>500</v>
      </c>
      <c r="B454">
        <v>1</v>
      </c>
      <c r="C454" t="s">
        <v>827</v>
      </c>
      <c r="D454">
        <v>2</v>
      </c>
      <c r="E454">
        <v>33352</v>
      </c>
      <c r="F454">
        <v>8004</v>
      </c>
      <c r="G454" s="4">
        <f t="shared" si="8"/>
        <v>0.23998560805948668</v>
      </c>
    </row>
    <row r="455" spans="1:7">
      <c r="A455" t="s">
        <v>500</v>
      </c>
      <c r="B455">
        <v>1</v>
      </c>
      <c r="C455" t="s">
        <v>716</v>
      </c>
      <c r="D455">
        <v>3</v>
      </c>
      <c r="E455">
        <v>33352</v>
      </c>
      <c r="F455">
        <v>8503</v>
      </c>
      <c r="G455" s="4">
        <f t="shared" si="8"/>
        <v>0.25494722955145116</v>
      </c>
    </row>
    <row r="456" spans="1:7">
      <c r="A456" t="s">
        <v>500</v>
      </c>
      <c r="B456">
        <v>1</v>
      </c>
      <c r="C456" t="s">
        <v>828</v>
      </c>
      <c r="D456">
        <v>4</v>
      </c>
      <c r="E456">
        <v>33352</v>
      </c>
      <c r="F456">
        <v>9527</v>
      </c>
      <c r="G456" s="4">
        <f t="shared" si="8"/>
        <v>0.28565003597985128</v>
      </c>
    </row>
    <row r="457" spans="1:7">
      <c r="A457" t="s">
        <v>500</v>
      </c>
      <c r="B457">
        <v>1</v>
      </c>
      <c r="C457" t="s">
        <v>829</v>
      </c>
      <c r="D457">
        <v>5</v>
      </c>
      <c r="E457">
        <v>33352</v>
      </c>
      <c r="F457">
        <v>10028</v>
      </c>
      <c r="G457" s="4">
        <f t="shared" si="8"/>
        <v>0.30067162389062124</v>
      </c>
    </row>
    <row r="458" spans="1:7">
      <c r="A458" t="s">
        <v>501</v>
      </c>
      <c r="B458">
        <v>4</v>
      </c>
      <c r="C458" t="s">
        <v>213</v>
      </c>
      <c r="D458">
        <v>1</v>
      </c>
      <c r="E458">
        <v>18013</v>
      </c>
      <c r="F458">
        <v>215</v>
      </c>
      <c r="G458" s="4">
        <f t="shared" si="8"/>
        <v>1.1935824127019375E-2</v>
      </c>
    </row>
    <row r="459" spans="1:7">
      <c r="A459" t="s">
        <v>501</v>
      </c>
      <c r="B459">
        <v>4</v>
      </c>
      <c r="C459" t="s">
        <v>210</v>
      </c>
      <c r="D459">
        <v>2</v>
      </c>
      <c r="E459">
        <v>18013</v>
      </c>
      <c r="F459">
        <v>2071</v>
      </c>
      <c r="G459" s="4">
        <f t="shared" si="8"/>
        <v>0.11497251984677732</v>
      </c>
    </row>
    <row r="460" spans="1:7">
      <c r="A460" t="s">
        <v>501</v>
      </c>
      <c r="B460">
        <v>4</v>
      </c>
      <c r="C460" t="s">
        <v>830</v>
      </c>
      <c r="D460">
        <v>3</v>
      </c>
      <c r="E460">
        <v>18013</v>
      </c>
      <c r="F460">
        <v>5627</v>
      </c>
      <c r="G460" s="4">
        <f t="shared" si="8"/>
        <v>0.31238549936157217</v>
      </c>
    </row>
    <row r="461" spans="1:7">
      <c r="A461" t="s">
        <v>501</v>
      </c>
      <c r="B461">
        <v>4</v>
      </c>
      <c r="C461" t="s">
        <v>831</v>
      </c>
      <c r="D461">
        <v>4</v>
      </c>
      <c r="E461">
        <v>18013</v>
      </c>
      <c r="F461">
        <v>5642</v>
      </c>
      <c r="G461" s="4">
        <f t="shared" si="8"/>
        <v>0.31321823127741077</v>
      </c>
    </row>
    <row r="462" spans="1:7">
      <c r="A462" t="s">
        <v>501</v>
      </c>
      <c r="B462">
        <v>4</v>
      </c>
      <c r="C462" t="s">
        <v>504</v>
      </c>
      <c r="D462">
        <v>5</v>
      </c>
      <c r="E462">
        <v>18013</v>
      </c>
      <c r="F462">
        <v>5916</v>
      </c>
      <c r="G462" s="4">
        <f t="shared" si="8"/>
        <v>0.32842946760672848</v>
      </c>
    </row>
    <row r="463" spans="1:7">
      <c r="A463" t="s">
        <v>501</v>
      </c>
      <c r="B463">
        <v>4</v>
      </c>
      <c r="C463" t="s">
        <v>832</v>
      </c>
      <c r="D463">
        <v>6</v>
      </c>
      <c r="E463">
        <v>18013</v>
      </c>
      <c r="F463">
        <v>8759</v>
      </c>
      <c r="G463" s="4">
        <f t="shared" si="8"/>
        <v>0.48625992338866375</v>
      </c>
    </row>
    <row r="464" spans="1:7">
      <c r="A464" t="s">
        <v>501</v>
      </c>
      <c r="B464">
        <v>4</v>
      </c>
      <c r="C464" t="s">
        <v>833</v>
      </c>
      <c r="D464">
        <v>7</v>
      </c>
      <c r="E464">
        <v>18013</v>
      </c>
      <c r="F464">
        <v>14063</v>
      </c>
      <c r="G464" s="4">
        <f t="shared" si="8"/>
        <v>0.78071392882917889</v>
      </c>
    </row>
    <row r="465" spans="1:7">
      <c r="A465" t="s">
        <v>501</v>
      </c>
      <c r="B465">
        <v>5</v>
      </c>
      <c r="C465" t="s">
        <v>834</v>
      </c>
      <c r="D465">
        <v>1</v>
      </c>
      <c r="E465">
        <v>30900</v>
      </c>
      <c r="F465">
        <v>6173</v>
      </c>
      <c r="G465" s="4">
        <f t="shared" si="8"/>
        <v>0.19977346278317151</v>
      </c>
    </row>
    <row r="466" spans="1:7">
      <c r="A466" t="s">
        <v>501</v>
      </c>
      <c r="B466">
        <v>5</v>
      </c>
      <c r="C466" t="s">
        <v>213</v>
      </c>
      <c r="D466">
        <v>2</v>
      </c>
      <c r="E466">
        <v>30900</v>
      </c>
      <c r="F466">
        <v>6303</v>
      </c>
      <c r="G466" s="4">
        <f t="shared" si="8"/>
        <v>0.20398058252427184</v>
      </c>
    </row>
    <row r="467" spans="1:7">
      <c r="A467" t="s">
        <v>501</v>
      </c>
      <c r="B467">
        <v>5</v>
      </c>
      <c r="C467" t="s">
        <v>821</v>
      </c>
      <c r="D467">
        <v>3</v>
      </c>
      <c r="E467">
        <v>30900</v>
      </c>
      <c r="F467">
        <v>9323</v>
      </c>
      <c r="G467" s="4">
        <f t="shared" si="8"/>
        <v>0.30171521035598703</v>
      </c>
    </row>
    <row r="468" spans="1:7">
      <c r="A468" t="s">
        <v>501</v>
      </c>
      <c r="B468">
        <v>5</v>
      </c>
      <c r="C468" t="s">
        <v>835</v>
      </c>
      <c r="D468">
        <v>4</v>
      </c>
      <c r="E468">
        <v>30900</v>
      </c>
      <c r="F468">
        <v>15049</v>
      </c>
      <c r="G468" s="4">
        <f t="shared" si="8"/>
        <v>0.48702265372168285</v>
      </c>
    </row>
    <row r="469" spans="1:7">
      <c r="A469" t="s">
        <v>501</v>
      </c>
      <c r="B469">
        <v>5</v>
      </c>
      <c r="C469" t="s">
        <v>836</v>
      </c>
      <c r="D469">
        <v>5</v>
      </c>
      <c r="E469">
        <v>30900</v>
      </c>
      <c r="F469">
        <v>20598</v>
      </c>
      <c r="G469" s="4">
        <f t="shared" si="8"/>
        <v>0.66660194174757281</v>
      </c>
    </row>
    <row r="470" spans="1:7">
      <c r="A470" t="s">
        <v>501</v>
      </c>
      <c r="B470">
        <v>7</v>
      </c>
      <c r="C470" t="s">
        <v>211</v>
      </c>
      <c r="D470">
        <v>1</v>
      </c>
      <c r="E470">
        <v>1010</v>
      </c>
      <c r="F470">
        <v>284</v>
      </c>
      <c r="G470" s="4">
        <f t="shared" si="8"/>
        <v>0.28118811881188122</v>
      </c>
    </row>
    <row r="471" spans="1:7">
      <c r="A471" t="s">
        <v>501</v>
      </c>
      <c r="B471">
        <v>7</v>
      </c>
      <c r="C471" t="s">
        <v>213</v>
      </c>
      <c r="D471">
        <v>2</v>
      </c>
      <c r="E471">
        <v>1010</v>
      </c>
      <c r="F471">
        <v>520</v>
      </c>
      <c r="G471" s="4">
        <f t="shared" si="8"/>
        <v>0.51485148514851486</v>
      </c>
    </row>
    <row r="472" spans="1:7">
      <c r="A472" t="s">
        <v>501</v>
      </c>
      <c r="B472">
        <v>7</v>
      </c>
      <c r="C472" t="s">
        <v>210</v>
      </c>
      <c r="D472">
        <v>3</v>
      </c>
      <c r="E472">
        <v>1010</v>
      </c>
      <c r="F472">
        <v>883</v>
      </c>
      <c r="G472" s="4">
        <f t="shared" si="8"/>
        <v>0.87425742574257426</v>
      </c>
    </row>
    <row r="473" spans="1:7">
      <c r="A473" t="s">
        <v>501</v>
      </c>
      <c r="B473">
        <v>8</v>
      </c>
      <c r="C473" t="s">
        <v>479</v>
      </c>
      <c r="D473">
        <v>1</v>
      </c>
      <c r="E473">
        <v>1259</v>
      </c>
      <c r="F473">
        <v>374</v>
      </c>
      <c r="G473" s="4">
        <f t="shared" si="8"/>
        <v>0.29706115965051627</v>
      </c>
    </row>
    <row r="474" spans="1:7">
      <c r="A474" t="s">
        <v>501</v>
      </c>
      <c r="B474">
        <v>8</v>
      </c>
      <c r="C474" t="s">
        <v>449</v>
      </c>
      <c r="D474">
        <v>2</v>
      </c>
      <c r="E474">
        <v>1259</v>
      </c>
      <c r="F474">
        <v>629</v>
      </c>
      <c r="G474" s="4">
        <f t="shared" si="8"/>
        <v>0.49960285941223193</v>
      </c>
    </row>
    <row r="475" spans="1:7">
      <c r="A475" t="s">
        <v>501</v>
      </c>
      <c r="B475">
        <v>8</v>
      </c>
      <c r="C475" t="s">
        <v>837</v>
      </c>
      <c r="D475">
        <v>3</v>
      </c>
      <c r="E475">
        <v>1259</v>
      </c>
      <c r="F475">
        <v>666</v>
      </c>
      <c r="G475" s="4">
        <f t="shared" si="8"/>
        <v>0.5289912629070691</v>
      </c>
    </row>
    <row r="476" spans="1:7">
      <c r="A476" t="s">
        <v>501</v>
      </c>
      <c r="B476">
        <v>8</v>
      </c>
      <c r="C476" t="s">
        <v>481</v>
      </c>
      <c r="D476">
        <v>4</v>
      </c>
      <c r="E476">
        <v>1259</v>
      </c>
      <c r="F476">
        <v>667</v>
      </c>
      <c r="G476" s="4">
        <f t="shared" si="8"/>
        <v>0.52978554408260525</v>
      </c>
    </row>
    <row r="477" spans="1:7">
      <c r="A477" t="s">
        <v>501</v>
      </c>
      <c r="B477">
        <v>8</v>
      </c>
      <c r="C477" t="s">
        <v>838</v>
      </c>
      <c r="D477">
        <v>5</v>
      </c>
      <c r="E477">
        <v>1259</v>
      </c>
      <c r="F477">
        <v>920</v>
      </c>
      <c r="G477" s="4">
        <f t="shared" si="8"/>
        <v>0.73073868149324861</v>
      </c>
    </row>
    <row r="478" spans="1:7">
      <c r="A478" t="s">
        <v>501</v>
      </c>
      <c r="B478">
        <v>9</v>
      </c>
      <c r="C478" t="s">
        <v>839</v>
      </c>
      <c r="D478">
        <v>1</v>
      </c>
      <c r="E478">
        <v>1098</v>
      </c>
      <c r="F478">
        <v>257</v>
      </c>
      <c r="G478" s="4">
        <f t="shared" si="8"/>
        <v>0.23406193078324225</v>
      </c>
    </row>
    <row r="479" spans="1:7">
      <c r="A479" t="s">
        <v>501</v>
      </c>
      <c r="B479">
        <v>9</v>
      </c>
      <c r="C479" t="s">
        <v>840</v>
      </c>
      <c r="D479">
        <v>2</v>
      </c>
      <c r="E479">
        <v>1098</v>
      </c>
      <c r="F479">
        <v>266</v>
      </c>
      <c r="G479" s="4">
        <f t="shared" si="8"/>
        <v>0.24225865209471767</v>
      </c>
    </row>
    <row r="480" spans="1:7">
      <c r="A480" t="s">
        <v>501</v>
      </c>
      <c r="B480">
        <v>9</v>
      </c>
      <c r="C480" t="s">
        <v>841</v>
      </c>
      <c r="D480">
        <v>3</v>
      </c>
      <c r="E480">
        <v>1098</v>
      </c>
      <c r="F480">
        <v>274</v>
      </c>
      <c r="G480" s="4">
        <f t="shared" si="8"/>
        <v>0.24954462659380691</v>
      </c>
    </row>
    <row r="481" spans="1:7">
      <c r="A481" t="s">
        <v>501</v>
      </c>
      <c r="B481">
        <v>9</v>
      </c>
      <c r="C481" t="s">
        <v>842</v>
      </c>
      <c r="D481">
        <v>4</v>
      </c>
      <c r="E481">
        <v>1098</v>
      </c>
      <c r="F481">
        <v>300</v>
      </c>
      <c r="G481" s="4">
        <f t="shared" si="8"/>
        <v>0.27322404371584702</v>
      </c>
    </row>
    <row r="482" spans="1:7">
      <c r="A482" t="s">
        <v>501</v>
      </c>
      <c r="B482">
        <v>9</v>
      </c>
      <c r="C482" t="s">
        <v>843</v>
      </c>
      <c r="D482">
        <v>5</v>
      </c>
      <c r="E482">
        <v>1098</v>
      </c>
      <c r="F482">
        <v>332</v>
      </c>
      <c r="G482" s="4">
        <f t="shared" si="8"/>
        <v>0.30236794171220399</v>
      </c>
    </row>
    <row r="483" spans="1:7">
      <c r="A483" t="s">
        <v>501</v>
      </c>
      <c r="B483">
        <v>9</v>
      </c>
      <c r="C483" t="s">
        <v>844</v>
      </c>
      <c r="D483">
        <v>6</v>
      </c>
      <c r="E483">
        <v>1098</v>
      </c>
      <c r="F483">
        <v>340</v>
      </c>
      <c r="G483" s="4">
        <f t="shared" si="8"/>
        <v>0.30965391621129323</v>
      </c>
    </row>
    <row r="484" spans="1:7">
      <c r="A484" t="s">
        <v>501</v>
      </c>
      <c r="B484">
        <v>9</v>
      </c>
      <c r="C484" t="s">
        <v>845</v>
      </c>
      <c r="D484">
        <v>7</v>
      </c>
      <c r="E484">
        <v>1098</v>
      </c>
      <c r="F484">
        <v>341</v>
      </c>
      <c r="G484" s="4">
        <f t="shared" si="8"/>
        <v>0.31056466302367941</v>
      </c>
    </row>
    <row r="485" spans="1:7">
      <c r="A485" t="s">
        <v>501</v>
      </c>
      <c r="B485">
        <v>9</v>
      </c>
      <c r="C485" t="s">
        <v>846</v>
      </c>
      <c r="D485">
        <v>8</v>
      </c>
      <c r="E485">
        <v>1098</v>
      </c>
      <c r="F485">
        <v>344</v>
      </c>
      <c r="G485" s="4">
        <f t="shared" si="8"/>
        <v>0.31329690346083788</v>
      </c>
    </row>
    <row r="486" spans="1:7">
      <c r="A486" t="s">
        <v>501</v>
      </c>
      <c r="B486">
        <v>9</v>
      </c>
      <c r="C486" t="s">
        <v>847</v>
      </c>
      <c r="D486">
        <v>9</v>
      </c>
      <c r="E486">
        <v>1098</v>
      </c>
      <c r="F486">
        <v>347</v>
      </c>
      <c r="G486" s="4">
        <f t="shared" si="8"/>
        <v>0.31602914389799636</v>
      </c>
    </row>
    <row r="487" spans="1:7">
      <c r="A487" t="s">
        <v>501</v>
      </c>
      <c r="B487">
        <v>9</v>
      </c>
      <c r="C487" t="s">
        <v>475</v>
      </c>
      <c r="D487">
        <v>10</v>
      </c>
      <c r="E487">
        <v>1098</v>
      </c>
      <c r="F487">
        <v>349</v>
      </c>
      <c r="G487" s="4">
        <f t="shared" si="8"/>
        <v>0.31785063752276865</v>
      </c>
    </row>
    <row r="488" spans="1:7">
      <c r="A488" t="s">
        <v>501</v>
      </c>
      <c r="B488">
        <v>9</v>
      </c>
      <c r="C488" t="s">
        <v>848</v>
      </c>
      <c r="D488">
        <v>11</v>
      </c>
      <c r="E488">
        <v>1098</v>
      </c>
      <c r="F488">
        <v>353</v>
      </c>
      <c r="G488" s="4">
        <f t="shared" si="8"/>
        <v>0.3214936247723133</v>
      </c>
    </row>
    <row r="489" spans="1:7">
      <c r="A489" t="s">
        <v>501</v>
      </c>
      <c r="B489">
        <v>9</v>
      </c>
      <c r="C489" t="s">
        <v>849</v>
      </c>
      <c r="D489">
        <v>12</v>
      </c>
      <c r="E489">
        <v>1098</v>
      </c>
      <c r="F489">
        <v>418</v>
      </c>
      <c r="G489" s="4">
        <f t="shared" si="8"/>
        <v>0.38069216757741348</v>
      </c>
    </row>
    <row r="490" spans="1:7">
      <c r="A490" t="s">
        <v>501</v>
      </c>
      <c r="B490">
        <v>9</v>
      </c>
      <c r="C490" t="s">
        <v>850</v>
      </c>
      <c r="D490">
        <v>13</v>
      </c>
      <c r="E490">
        <v>1098</v>
      </c>
      <c r="F490">
        <v>443</v>
      </c>
      <c r="G490" s="4">
        <f t="shared" si="8"/>
        <v>0.40346083788706738</v>
      </c>
    </row>
    <row r="491" spans="1:7">
      <c r="A491" t="s">
        <v>501</v>
      </c>
      <c r="B491">
        <v>9</v>
      </c>
      <c r="C491" t="s">
        <v>851</v>
      </c>
      <c r="D491">
        <v>14</v>
      </c>
      <c r="E491">
        <v>1098</v>
      </c>
      <c r="F491">
        <v>485</v>
      </c>
      <c r="G491" s="4">
        <f t="shared" si="8"/>
        <v>0.44171220400728595</v>
      </c>
    </row>
    <row r="492" spans="1:7">
      <c r="A492" t="s">
        <v>501</v>
      </c>
      <c r="B492">
        <v>9</v>
      </c>
      <c r="C492" t="s">
        <v>852</v>
      </c>
      <c r="D492">
        <v>15</v>
      </c>
      <c r="E492">
        <v>1098</v>
      </c>
      <c r="F492">
        <v>663</v>
      </c>
      <c r="G492" s="4">
        <f t="shared" si="8"/>
        <v>0.60382513661202186</v>
      </c>
    </row>
    <row r="493" spans="1:7">
      <c r="A493" t="s">
        <v>501</v>
      </c>
      <c r="B493">
        <v>9</v>
      </c>
      <c r="C493" t="s">
        <v>853</v>
      </c>
      <c r="D493">
        <v>16</v>
      </c>
      <c r="E493">
        <v>1098</v>
      </c>
      <c r="F493">
        <v>697</v>
      </c>
      <c r="G493" s="4">
        <f t="shared" si="8"/>
        <v>0.63479052823315119</v>
      </c>
    </row>
    <row r="494" spans="1:7">
      <c r="A494" t="s">
        <v>501</v>
      </c>
      <c r="B494">
        <v>9</v>
      </c>
      <c r="C494" t="s">
        <v>854</v>
      </c>
      <c r="D494">
        <v>17</v>
      </c>
      <c r="E494">
        <v>1098</v>
      </c>
      <c r="F494">
        <v>741</v>
      </c>
      <c r="G494" s="4">
        <f t="shared" si="8"/>
        <v>0.67486338797814205</v>
      </c>
    </row>
    <row r="495" spans="1:7">
      <c r="A495" t="s">
        <v>501</v>
      </c>
      <c r="B495">
        <v>9</v>
      </c>
      <c r="C495" t="s">
        <v>855</v>
      </c>
      <c r="D495">
        <v>18</v>
      </c>
      <c r="E495">
        <v>1098</v>
      </c>
      <c r="F495">
        <v>754</v>
      </c>
      <c r="G495" s="4">
        <f t="shared" si="8"/>
        <v>0.68670309653916206</v>
      </c>
    </row>
    <row r="496" spans="1:7">
      <c r="A496" t="s">
        <v>501</v>
      </c>
      <c r="B496">
        <v>10</v>
      </c>
      <c r="C496" t="s">
        <v>210</v>
      </c>
      <c r="D496">
        <v>1</v>
      </c>
      <c r="E496">
        <v>1279</v>
      </c>
      <c r="F496">
        <v>1202</v>
      </c>
      <c r="G496" s="4">
        <f t="shared" si="8"/>
        <v>0.93979671618451921</v>
      </c>
    </row>
    <row r="497" spans="1:7">
      <c r="A497" t="s">
        <v>501</v>
      </c>
      <c r="B497">
        <v>10</v>
      </c>
      <c r="C497" t="s">
        <v>448</v>
      </c>
      <c r="D497">
        <v>2</v>
      </c>
      <c r="E497">
        <v>1279</v>
      </c>
      <c r="F497">
        <v>1207</v>
      </c>
      <c r="G497" s="4">
        <f t="shared" si="8"/>
        <v>0.94370602032838158</v>
      </c>
    </row>
    <row r="498" spans="1:7">
      <c r="A498" t="s">
        <v>501</v>
      </c>
      <c r="B498">
        <v>10</v>
      </c>
      <c r="C498" t="s">
        <v>449</v>
      </c>
      <c r="D498">
        <v>3</v>
      </c>
      <c r="E498">
        <v>1279</v>
      </c>
      <c r="F498">
        <v>1210</v>
      </c>
      <c r="G498" s="4">
        <f t="shared" si="8"/>
        <v>0.94605160281469902</v>
      </c>
    </row>
    <row r="499" spans="1:7">
      <c r="A499" t="s">
        <v>501</v>
      </c>
      <c r="B499">
        <v>10</v>
      </c>
      <c r="C499" t="s">
        <v>211</v>
      </c>
      <c r="D499">
        <v>4</v>
      </c>
      <c r="E499">
        <v>1279</v>
      </c>
      <c r="F499">
        <v>1233</v>
      </c>
      <c r="G499" s="4">
        <f t="shared" si="8"/>
        <v>0.96403440187646594</v>
      </c>
    </row>
    <row r="500" spans="1:7">
      <c r="A500" t="s">
        <v>501</v>
      </c>
      <c r="B500">
        <v>11</v>
      </c>
      <c r="C500" t="s">
        <v>815</v>
      </c>
      <c r="D500">
        <v>1</v>
      </c>
      <c r="E500">
        <v>2217</v>
      </c>
      <c r="F500">
        <v>260</v>
      </c>
      <c r="G500" s="4">
        <f t="shared" si="8"/>
        <v>0.11727559765448804</v>
      </c>
    </row>
    <row r="501" spans="1:7">
      <c r="A501" t="s">
        <v>501</v>
      </c>
      <c r="B501">
        <v>11</v>
      </c>
      <c r="C501" t="s">
        <v>856</v>
      </c>
      <c r="D501">
        <v>2</v>
      </c>
      <c r="E501">
        <v>2217</v>
      </c>
      <c r="F501">
        <v>957</v>
      </c>
      <c r="G501" s="4">
        <f t="shared" si="8"/>
        <v>0.4316644113667118</v>
      </c>
    </row>
    <row r="502" spans="1:7">
      <c r="A502" t="s">
        <v>501</v>
      </c>
      <c r="B502">
        <v>11</v>
      </c>
      <c r="C502" t="s">
        <v>857</v>
      </c>
      <c r="D502">
        <v>3</v>
      </c>
      <c r="E502">
        <v>2217</v>
      </c>
      <c r="F502">
        <v>1032</v>
      </c>
      <c r="G502" s="4">
        <f t="shared" si="8"/>
        <v>0.4654939106901218</v>
      </c>
    </row>
    <row r="503" spans="1:7">
      <c r="A503" t="s">
        <v>501</v>
      </c>
      <c r="B503">
        <v>11</v>
      </c>
      <c r="C503" t="s">
        <v>858</v>
      </c>
      <c r="D503">
        <v>4</v>
      </c>
      <c r="E503">
        <v>2217</v>
      </c>
      <c r="F503">
        <v>1034</v>
      </c>
      <c r="G503" s="4">
        <f t="shared" si="8"/>
        <v>0.46639603067207941</v>
      </c>
    </row>
    <row r="504" spans="1:7">
      <c r="A504" t="s">
        <v>501</v>
      </c>
      <c r="B504">
        <v>11</v>
      </c>
      <c r="C504" t="s">
        <v>859</v>
      </c>
      <c r="D504">
        <v>5</v>
      </c>
      <c r="E504">
        <v>2217</v>
      </c>
      <c r="F504">
        <v>1045</v>
      </c>
      <c r="G504" s="4">
        <f t="shared" si="8"/>
        <v>0.47135769057284621</v>
      </c>
    </row>
    <row r="505" spans="1:7">
      <c r="A505" t="s">
        <v>501</v>
      </c>
      <c r="B505">
        <v>11</v>
      </c>
      <c r="C505" t="s">
        <v>817</v>
      </c>
      <c r="D505">
        <v>6</v>
      </c>
      <c r="E505">
        <v>2217</v>
      </c>
      <c r="F505">
        <v>1078</v>
      </c>
      <c r="G505" s="4">
        <f t="shared" si="8"/>
        <v>0.48624267027514662</v>
      </c>
    </row>
    <row r="506" spans="1:7">
      <c r="A506" t="s">
        <v>501</v>
      </c>
      <c r="B506">
        <v>11</v>
      </c>
      <c r="C506" t="s">
        <v>860</v>
      </c>
      <c r="D506">
        <v>7</v>
      </c>
      <c r="E506">
        <v>2217</v>
      </c>
      <c r="F506">
        <v>1084</v>
      </c>
      <c r="G506" s="4">
        <f t="shared" si="8"/>
        <v>0.48894903022101938</v>
      </c>
    </row>
    <row r="507" spans="1:7">
      <c r="A507" t="s">
        <v>501</v>
      </c>
      <c r="B507">
        <v>11</v>
      </c>
      <c r="C507" t="s">
        <v>861</v>
      </c>
      <c r="D507">
        <v>8</v>
      </c>
      <c r="E507">
        <v>2217</v>
      </c>
      <c r="F507">
        <v>1203</v>
      </c>
      <c r="G507" s="4">
        <f t="shared" si="8"/>
        <v>0.54262516914749659</v>
      </c>
    </row>
    <row r="508" spans="1:7">
      <c r="A508" t="s">
        <v>501</v>
      </c>
      <c r="B508">
        <v>11</v>
      </c>
      <c r="C508" t="s">
        <v>862</v>
      </c>
      <c r="D508">
        <v>9</v>
      </c>
      <c r="E508">
        <v>2217</v>
      </c>
      <c r="F508">
        <v>1205</v>
      </c>
      <c r="G508" s="4">
        <f t="shared" si="8"/>
        <v>0.54352728912945425</v>
      </c>
    </row>
    <row r="509" spans="1:7">
      <c r="A509" t="s">
        <v>501</v>
      </c>
      <c r="B509">
        <v>11</v>
      </c>
      <c r="C509" t="s">
        <v>863</v>
      </c>
      <c r="D509">
        <v>10</v>
      </c>
      <c r="E509">
        <v>2217</v>
      </c>
      <c r="F509">
        <v>1216</v>
      </c>
      <c r="G509" s="4">
        <f t="shared" si="8"/>
        <v>0.54848894903022105</v>
      </c>
    </row>
    <row r="510" spans="1:7">
      <c r="A510" t="s">
        <v>501</v>
      </c>
      <c r="B510">
        <v>11</v>
      </c>
      <c r="C510" t="s">
        <v>864</v>
      </c>
      <c r="D510">
        <v>11</v>
      </c>
      <c r="E510">
        <v>2217</v>
      </c>
      <c r="F510">
        <v>1233</v>
      </c>
      <c r="G510" s="4">
        <f t="shared" si="8"/>
        <v>0.55615696887686061</v>
      </c>
    </row>
    <row r="511" spans="1:7">
      <c r="A511" t="s">
        <v>501</v>
      </c>
      <c r="B511">
        <v>11</v>
      </c>
      <c r="C511" t="s">
        <v>865</v>
      </c>
      <c r="D511">
        <v>12</v>
      </c>
      <c r="E511">
        <v>2217</v>
      </c>
      <c r="F511">
        <v>1255</v>
      </c>
      <c r="G511" s="4">
        <f t="shared" si="8"/>
        <v>0.56608028867839422</v>
      </c>
    </row>
    <row r="512" spans="1:7">
      <c r="A512" t="s">
        <v>501</v>
      </c>
      <c r="B512">
        <v>11</v>
      </c>
      <c r="C512" t="s">
        <v>866</v>
      </c>
      <c r="D512">
        <v>13</v>
      </c>
      <c r="E512">
        <v>2217</v>
      </c>
      <c r="F512">
        <v>1268</v>
      </c>
      <c r="G512" s="4">
        <f t="shared" si="8"/>
        <v>0.57194406856111868</v>
      </c>
    </row>
    <row r="513" spans="1:7">
      <c r="A513" t="s">
        <v>501</v>
      </c>
      <c r="B513">
        <v>11</v>
      </c>
      <c r="C513" t="s">
        <v>867</v>
      </c>
      <c r="D513">
        <v>14</v>
      </c>
      <c r="E513">
        <v>2217</v>
      </c>
      <c r="F513">
        <v>1287</v>
      </c>
      <c r="G513" s="4">
        <f t="shared" si="8"/>
        <v>0.58051420838971579</v>
      </c>
    </row>
    <row r="514" spans="1:7">
      <c r="A514" t="s">
        <v>501</v>
      </c>
      <c r="B514">
        <v>11</v>
      </c>
      <c r="C514" t="s">
        <v>868</v>
      </c>
      <c r="D514">
        <v>15</v>
      </c>
      <c r="E514">
        <v>2217</v>
      </c>
      <c r="F514">
        <v>1288</v>
      </c>
      <c r="G514" s="4">
        <f t="shared" si="8"/>
        <v>0.58096526838069462</v>
      </c>
    </row>
    <row r="515" spans="1:7">
      <c r="A515" t="s">
        <v>501</v>
      </c>
      <c r="B515">
        <v>11</v>
      </c>
      <c r="C515" t="s">
        <v>869</v>
      </c>
      <c r="D515">
        <v>16</v>
      </c>
      <c r="E515">
        <v>2217</v>
      </c>
      <c r="F515">
        <v>1307</v>
      </c>
      <c r="G515" s="4">
        <f t="shared" ref="G515:G545" si="9">F515/E515</f>
        <v>0.58953540820929184</v>
      </c>
    </row>
    <row r="516" spans="1:7">
      <c r="A516" t="s">
        <v>501</v>
      </c>
      <c r="B516">
        <v>11</v>
      </c>
      <c r="C516" t="s">
        <v>870</v>
      </c>
      <c r="D516">
        <v>17</v>
      </c>
      <c r="E516">
        <v>2217</v>
      </c>
      <c r="F516">
        <v>1331</v>
      </c>
      <c r="G516" s="4">
        <f t="shared" si="9"/>
        <v>0.600360847992783</v>
      </c>
    </row>
    <row r="517" spans="1:7">
      <c r="A517" t="s">
        <v>501</v>
      </c>
      <c r="B517">
        <v>11</v>
      </c>
      <c r="C517" t="s">
        <v>871</v>
      </c>
      <c r="D517">
        <v>18</v>
      </c>
      <c r="E517">
        <v>2217</v>
      </c>
      <c r="F517">
        <v>1368</v>
      </c>
      <c r="G517" s="4">
        <f t="shared" si="9"/>
        <v>0.61705006765899861</v>
      </c>
    </row>
    <row r="518" spans="1:7">
      <c r="A518" t="s">
        <v>501</v>
      </c>
      <c r="B518">
        <v>11</v>
      </c>
      <c r="C518" t="s">
        <v>872</v>
      </c>
      <c r="D518">
        <v>19</v>
      </c>
      <c r="E518">
        <v>2217</v>
      </c>
      <c r="F518">
        <v>1373</v>
      </c>
      <c r="G518" s="4">
        <f t="shared" si="9"/>
        <v>0.61930536761389265</v>
      </c>
    </row>
    <row r="519" spans="1:7">
      <c r="A519" t="s">
        <v>501</v>
      </c>
      <c r="B519">
        <v>12</v>
      </c>
      <c r="C519" t="s">
        <v>873</v>
      </c>
      <c r="D519">
        <v>1</v>
      </c>
      <c r="E519">
        <v>1308</v>
      </c>
      <c r="F519">
        <v>231</v>
      </c>
      <c r="G519" s="4">
        <f t="shared" si="9"/>
        <v>0.17660550458715596</v>
      </c>
    </row>
    <row r="520" spans="1:7">
      <c r="A520" t="s">
        <v>501</v>
      </c>
      <c r="B520">
        <v>12</v>
      </c>
      <c r="C520" t="s">
        <v>874</v>
      </c>
      <c r="D520">
        <v>2</v>
      </c>
      <c r="E520">
        <v>1308</v>
      </c>
      <c r="F520">
        <v>758</v>
      </c>
      <c r="G520" s="4">
        <f t="shared" si="9"/>
        <v>0.57951070336391441</v>
      </c>
    </row>
    <row r="521" spans="1:7">
      <c r="A521" t="s">
        <v>501</v>
      </c>
      <c r="B521">
        <v>12</v>
      </c>
      <c r="C521" t="s">
        <v>875</v>
      </c>
      <c r="D521">
        <v>3</v>
      </c>
      <c r="E521">
        <v>1308</v>
      </c>
      <c r="F521">
        <v>760</v>
      </c>
      <c r="G521" s="4">
        <f t="shared" si="9"/>
        <v>0.58103975535168195</v>
      </c>
    </row>
    <row r="522" spans="1:7">
      <c r="A522" t="s">
        <v>501</v>
      </c>
      <c r="B522">
        <v>12</v>
      </c>
      <c r="C522" t="s">
        <v>876</v>
      </c>
      <c r="D522">
        <v>4</v>
      </c>
      <c r="E522">
        <v>1308</v>
      </c>
      <c r="F522">
        <v>782</v>
      </c>
      <c r="G522" s="4">
        <f t="shared" si="9"/>
        <v>0.59785932721712542</v>
      </c>
    </row>
    <row r="523" spans="1:7">
      <c r="A523" t="s">
        <v>501</v>
      </c>
      <c r="B523">
        <v>12</v>
      </c>
      <c r="C523" t="s">
        <v>840</v>
      </c>
      <c r="D523">
        <v>5</v>
      </c>
      <c r="E523">
        <v>1308</v>
      </c>
      <c r="F523">
        <v>801</v>
      </c>
      <c r="G523" s="4">
        <f t="shared" si="9"/>
        <v>0.61238532110091748</v>
      </c>
    </row>
    <row r="524" spans="1:7">
      <c r="A524" t="s">
        <v>501</v>
      </c>
      <c r="B524">
        <v>12</v>
      </c>
      <c r="C524" t="s">
        <v>467</v>
      </c>
      <c r="D524">
        <v>6</v>
      </c>
      <c r="E524">
        <v>1308</v>
      </c>
      <c r="F524">
        <v>823</v>
      </c>
      <c r="G524" s="4">
        <f t="shared" si="9"/>
        <v>0.62920489296636084</v>
      </c>
    </row>
    <row r="525" spans="1:7">
      <c r="A525" t="s">
        <v>501</v>
      </c>
      <c r="B525">
        <v>12</v>
      </c>
      <c r="C525" t="s">
        <v>877</v>
      </c>
      <c r="D525">
        <v>7</v>
      </c>
      <c r="E525">
        <v>1308</v>
      </c>
      <c r="F525">
        <v>846</v>
      </c>
      <c r="G525" s="4">
        <f t="shared" si="9"/>
        <v>0.64678899082568808</v>
      </c>
    </row>
    <row r="526" spans="1:7">
      <c r="A526" t="s">
        <v>501</v>
      </c>
      <c r="B526">
        <v>12</v>
      </c>
      <c r="C526" t="s">
        <v>878</v>
      </c>
      <c r="D526">
        <v>8</v>
      </c>
      <c r="E526">
        <v>1308</v>
      </c>
      <c r="F526">
        <v>858</v>
      </c>
      <c r="G526" s="4">
        <f t="shared" si="9"/>
        <v>0.65596330275229353</v>
      </c>
    </row>
    <row r="527" spans="1:7">
      <c r="A527" t="s">
        <v>501</v>
      </c>
      <c r="B527">
        <v>12</v>
      </c>
      <c r="C527" t="s">
        <v>879</v>
      </c>
      <c r="D527">
        <v>9</v>
      </c>
      <c r="E527">
        <v>1308</v>
      </c>
      <c r="F527">
        <v>889</v>
      </c>
      <c r="G527" s="4">
        <f t="shared" si="9"/>
        <v>0.67966360856269115</v>
      </c>
    </row>
    <row r="528" spans="1:7">
      <c r="A528" t="s">
        <v>501</v>
      </c>
      <c r="B528">
        <v>13</v>
      </c>
      <c r="C528" t="s">
        <v>473</v>
      </c>
      <c r="D528">
        <v>1</v>
      </c>
      <c r="E528">
        <v>243</v>
      </c>
      <c r="F528">
        <v>158</v>
      </c>
      <c r="G528" s="4">
        <f t="shared" si="9"/>
        <v>0.65020576131687247</v>
      </c>
    </row>
    <row r="529" spans="1:7">
      <c r="A529" t="s">
        <v>501</v>
      </c>
      <c r="B529">
        <v>13</v>
      </c>
      <c r="C529" t="s">
        <v>213</v>
      </c>
      <c r="D529">
        <v>2</v>
      </c>
      <c r="E529">
        <v>243</v>
      </c>
      <c r="F529">
        <v>230</v>
      </c>
      <c r="G529" s="4">
        <f t="shared" si="9"/>
        <v>0.94650205761316875</v>
      </c>
    </row>
    <row r="530" spans="1:7">
      <c r="A530" t="s">
        <v>880</v>
      </c>
      <c r="B530">
        <v>2</v>
      </c>
      <c r="C530" t="s">
        <v>213</v>
      </c>
      <c r="D530">
        <v>1</v>
      </c>
      <c r="E530">
        <v>2710</v>
      </c>
      <c r="F530">
        <v>19</v>
      </c>
      <c r="G530" s="4">
        <f t="shared" si="9"/>
        <v>7.0110701107011066E-3</v>
      </c>
    </row>
    <row r="531" spans="1:7">
      <c r="A531" t="s">
        <v>880</v>
      </c>
      <c r="B531">
        <v>2</v>
      </c>
      <c r="C531" t="s">
        <v>881</v>
      </c>
      <c r="D531">
        <v>2</v>
      </c>
      <c r="E531">
        <v>2710</v>
      </c>
      <c r="F531">
        <v>843</v>
      </c>
      <c r="G531" s="4">
        <f t="shared" si="9"/>
        <v>0.31107011070110702</v>
      </c>
    </row>
    <row r="532" spans="1:7">
      <c r="A532" t="s">
        <v>880</v>
      </c>
      <c r="B532">
        <v>2</v>
      </c>
      <c r="C532" t="s">
        <v>211</v>
      </c>
      <c r="D532">
        <v>3</v>
      </c>
      <c r="E532">
        <v>2710</v>
      </c>
      <c r="F532">
        <v>1239</v>
      </c>
      <c r="G532" s="4">
        <f t="shared" si="9"/>
        <v>0.45719557195571958</v>
      </c>
    </row>
    <row r="533" spans="1:7">
      <c r="A533" t="s">
        <v>880</v>
      </c>
      <c r="B533">
        <v>2</v>
      </c>
      <c r="C533" t="s">
        <v>721</v>
      </c>
      <c r="D533">
        <v>4</v>
      </c>
      <c r="E533">
        <v>2710</v>
      </c>
      <c r="F533">
        <v>1785</v>
      </c>
      <c r="G533" s="4">
        <f t="shared" si="9"/>
        <v>0.65867158671586712</v>
      </c>
    </row>
    <row r="534" spans="1:7">
      <c r="A534" t="s">
        <v>880</v>
      </c>
      <c r="B534">
        <v>6</v>
      </c>
      <c r="C534" t="s">
        <v>507</v>
      </c>
      <c r="D534">
        <v>1</v>
      </c>
      <c r="E534">
        <v>1112</v>
      </c>
      <c r="F534">
        <v>852</v>
      </c>
      <c r="G534" s="4">
        <f t="shared" si="9"/>
        <v>0.76618705035971224</v>
      </c>
    </row>
    <row r="535" spans="1:7">
      <c r="A535" t="s">
        <v>880</v>
      </c>
      <c r="B535">
        <v>6</v>
      </c>
      <c r="C535" t="s">
        <v>882</v>
      </c>
      <c r="D535">
        <v>2</v>
      </c>
      <c r="E535">
        <v>1112</v>
      </c>
      <c r="F535">
        <v>859</v>
      </c>
      <c r="G535" s="4">
        <f t="shared" si="9"/>
        <v>0.77248201438848918</v>
      </c>
    </row>
    <row r="536" spans="1:7">
      <c r="A536" t="s">
        <v>880</v>
      </c>
      <c r="B536">
        <v>6</v>
      </c>
      <c r="C536" t="s">
        <v>883</v>
      </c>
      <c r="D536">
        <v>3</v>
      </c>
      <c r="E536">
        <v>1112</v>
      </c>
      <c r="F536">
        <v>971</v>
      </c>
      <c r="G536" s="4">
        <f t="shared" si="9"/>
        <v>0.87320143884892087</v>
      </c>
    </row>
    <row r="537" spans="1:7">
      <c r="A537" t="s">
        <v>880</v>
      </c>
      <c r="B537">
        <v>6</v>
      </c>
      <c r="C537" t="s">
        <v>884</v>
      </c>
      <c r="D537">
        <v>4</v>
      </c>
      <c r="E537">
        <v>1112</v>
      </c>
      <c r="F537">
        <v>976</v>
      </c>
      <c r="G537" s="4">
        <f t="shared" si="9"/>
        <v>0.87769784172661869</v>
      </c>
    </row>
    <row r="538" spans="1:7">
      <c r="A538" t="s">
        <v>880</v>
      </c>
      <c r="B538">
        <v>6</v>
      </c>
      <c r="C538" t="s">
        <v>885</v>
      </c>
      <c r="D538">
        <v>5</v>
      </c>
      <c r="E538">
        <v>1112</v>
      </c>
      <c r="F538">
        <v>983</v>
      </c>
      <c r="G538" s="4">
        <f t="shared" si="9"/>
        <v>0.88399280575539574</v>
      </c>
    </row>
    <row r="539" spans="1:7">
      <c r="A539" t="s">
        <v>880</v>
      </c>
      <c r="B539">
        <v>6</v>
      </c>
      <c r="C539" t="s">
        <v>717</v>
      </c>
      <c r="D539">
        <v>6</v>
      </c>
      <c r="E539">
        <v>1112</v>
      </c>
      <c r="F539">
        <v>985</v>
      </c>
      <c r="G539" s="4">
        <f t="shared" si="9"/>
        <v>0.88579136690647486</v>
      </c>
    </row>
    <row r="540" spans="1:7">
      <c r="A540" t="s">
        <v>880</v>
      </c>
      <c r="B540">
        <v>8</v>
      </c>
      <c r="C540" t="s">
        <v>473</v>
      </c>
      <c r="D540">
        <v>1</v>
      </c>
      <c r="E540">
        <v>1300</v>
      </c>
      <c r="F540">
        <v>1201</v>
      </c>
      <c r="G540" s="4">
        <f t="shared" si="9"/>
        <v>0.92384615384615387</v>
      </c>
    </row>
    <row r="541" spans="1:7">
      <c r="A541" t="s">
        <v>880</v>
      </c>
      <c r="B541">
        <v>8</v>
      </c>
      <c r="C541" t="s">
        <v>213</v>
      </c>
      <c r="D541">
        <v>2</v>
      </c>
      <c r="E541">
        <v>1300</v>
      </c>
      <c r="F541">
        <v>1227</v>
      </c>
      <c r="G541" s="4">
        <f t="shared" si="9"/>
        <v>0.94384615384615389</v>
      </c>
    </row>
    <row r="542" spans="1:7">
      <c r="A542" t="s">
        <v>880</v>
      </c>
      <c r="B542">
        <v>11</v>
      </c>
      <c r="C542" t="s">
        <v>814</v>
      </c>
      <c r="D542">
        <v>1</v>
      </c>
      <c r="E542">
        <v>12468</v>
      </c>
      <c r="F542">
        <v>10037</v>
      </c>
      <c r="G542" s="4">
        <f t="shared" si="9"/>
        <v>0.80502085338466478</v>
      </c>
    </row>
    <row r="543" spans="1:7">
      <c r="A543" t="s">
        <v>880</v>
      </c>
      <c r="B543">
        <v>11</v>
      </c>
      <c r="C543" t="s">
        <v>886</v>
      </c>
      <c r="D543">
        <v>2</v>
      </c>
      <c r="E543">
        <v>12468</v>
      </c>
      <c r="F543">
        <v>10936</v>
      </c>
      <c r="G543" s="4">
        <f t="shared" si="9"/>
        <v>0.87712544112929103</v>
      </c>
    </row>
    <row r="544" spans="1:7">
      <c r="A544" t="s">
        <v>880</v>
      </c>
      <c r="B544">
        <v>11</v>
      </c>
      <c r="C544" t="s">
        <v>887</v>
      </c>
      <c r="D544">
        <v>3</v>
      </c>
      <c r="E544">
        <v>12468</v>
      </c>
      <c r="F544">
        <v>11523</v>
      </c>
      <c r="G544" s="4">
        <f t="shared" si="9"/>
        <v>0.92420596727622717</v>
      </c>
    </row>
    <row r="545" spans="1:7">
      <c r="A545" t="s">
        <v>880</v>
      </c>
      <c r="B545">
        <v>11</v>
      </c>
      <c r="C545" t="s">
        <v>888</v>
      </c>
      <c r="D545">
        <v>4</v>
      </c>
      <c r="E545">
        <v>12468</v>
      </c>
      <c r="F545">
        <v>11720</v>
      </c>
      <c r="G545" s="4">
        <f t="shared" si="9"/>
        <v>0.94000641642605065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5"/>
  <sheetViews>
    <sheetView workbookViewId="0">
      <selection activeCell="I1" sqref="I1:I1048576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</row>
    <row r="2" spans="1:9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</row>
    <row r="3" spans="1: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</row>
    <row r="4" spans="1: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</row>
    <row r="5" spans="1: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</row>
    <row r="6" spans="1: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</row>
    <row r="7" spans="1: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</row>
    <row r="8" spans="1: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</row>
    <row r="9" spans="1: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</row>
    <row r="10" spans="1: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</row>
    <row r="11" spans="1:9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</row>
    <row r="12" spans="1: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</row>
    <row r="13" spans="1: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</row>
    <row r="14" spans="1: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</row>
    <row r="15" spans="1: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</row>
    <row r="16" spans="1: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</row>
    <row r="17" spans="1: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</row>
    <row r="18" spans="1: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</row>
    <row r="19" spans="1: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</row>
    <row r="20" spans="1: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</row>
    <row r="21" spans="1:9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</row>
    <row r="22" spans="1:9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</row>
    <row r="23" spans="1: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</row>
    <row r="24" spans="1: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</row>
    <row r="25" spans="1: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</row>
    <row r="26" spans="1: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</row>
    <row r="27" spans="1: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</row>
    <row r="28" spans="1: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</row>
    <row r="29" spans="1: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</row>
    <row r="30" spans="1: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</row>
    <row r="31" spans="1: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</row>
    <row r="32" spans="1:9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</row>
    <row r="33" spans="1: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</row>
    <row r="34" spans="1: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</row>
    <row r="35" spans="1: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</row>
    <row r="36" spans="1:9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</row>
    <row r="37" spans="1:9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</row>
    <row r="38" spans="1:9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</row>
    <row r="39" spans="1:9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</row>
    <row r="40" spans="1:9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</row>
    <row r="41" spans="1:9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</row>
    <row r="42" spans="1:9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</row>
    <row r="43" spans="1:9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</row>
    <row r="44" spans="1:9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</row>
    <row r="45" spans="1:9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</row>
    <row r="46" spans="1:9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</row>
    <row r="47" spans="1:9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</row>
    <row r="48" spans="1:9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</row>
    <row r="49" spans="1:9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</row>
    <row r="50" spans="1:9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</row>
    <row r="51" spans="1:9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</row>
    <row r="52" spans="1:9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</row>
    <row r="53" spans="1:9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</row>
    <row r="54" spans="1:9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</row>
    <row r="55" spans="1:9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</row>
    <row r="56" spans="1:9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</row>
    <row r="57" spans="1:9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</row>
    <row r="58" spans="1:9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</row>
    <row r="59" spans="1:9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</row>
    <row r="60" spans="1:9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</row>
    <row r="61" spans="1:9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</row>
    <row r="62" spans="1:9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</row>
    <row r="63" spans="1:9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</row>
    <row r="64" spans="1:9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</row>
    <row r="65" spans="1:9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</row>
    <row r="66" spans="1:9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</row>
    <row r="67" spans="1:9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</row>
    <row r="68" spans="1:9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</row>
    <row r="69" spans="1:9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</row>
    <row r="70" spans="1:9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</row>
    <row r="71" spans="1:9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</row>
    <row r="72" spans="1:9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</row>
    <row r="73" spans="1:9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</row>
    <row r="74" spans="1:9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</row>
    <row r="75" spans="1:9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</row>
    <row r="76" spans="1:9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</row>
    <row r="77" spans="1:9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</row>
    <row r="78" spans="1:9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</row>
    <row r="79" spans="1:9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</row>
    <row r="80" spans="1:9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</row>
    <row r="81" spans="1:9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</row>
    <row r="82" spans="1:9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</row>
    <row r="83" spans="1:9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</row>
    <row r="84" spans="1:9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</row>
    <row r="85" spans="1:9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</row>
    <row r="86" spans="1:9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</row>
    <row r="87" spans="1:9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</row>
    <row r="88" spans="1:9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</row>
    <row r="89" spans="1:9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</row>
    <row r="90" spans="1:9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</row>
    <row r="91" spans="1:9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</row>
    <row r="92" spans="1:9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</row>
    <row r="93" spans="1:9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</row>
    <row r="94" spans="1:9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</row>
    <row r="95" spans="1:9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</row>
    <row r="96" spans="1:9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</row>
    <row r="97" spans="1:9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</row>
    <row r="98" spans="1:9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</row>
    <row r="99" spans="1:9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</row>
    <row r="100" spans="1:9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</row>
    <row r="101" spans="1:9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</row>
    <row r="102" spans="1:9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</row>
    <row r="103" spans="1:9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</row>
    <row r="104" spans="1:9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</row>
    <row r="105" spans="1:9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</row>
    <row r="106" spans="1:9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</row>
    <row r="107" spans="1:9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</row>
    <row r="108" spans="1:9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</row>
    <row r="109" spans="1:9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</row>
    <row r="110" spans="1:9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</row>
    <row r="111" spans="1:9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</row>
    <row r="112" spans="1:9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</row>
    <row r="113" spans="1:9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</row>
    <row r="114" spans="1:9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</row>
    <row r="115" spans="1:9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</row>
    <row r="116" spans="1:9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</row>
    <row r="117" spans="1:9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</row>
    <row r="118" spans="1:9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</row>
    <row r="119" spans="1:9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</row>
    <row r="120" spans="1:9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</row>
    <row r="121" spans="1:9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</row>
    <row r="122" spans="1:9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</row>
    <row r="123" spans="1:9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</row>
    <row r="124" spans="1:9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</row>
    <row r="125" spans="1:9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</row>
    <row r="126" spans="1:9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</row>
    <row r="127" spans="1:9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</row>
    <row r="128" spans="1:9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</row>
    <row r="129" spans="1:9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</row>
    <row r="130" spans="1:9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</row>
    <row r="131" spans="1:9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</row>
    <row r="132" spans="1:9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</row>
    <row r="133" spans="1:9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</row>
    <row r="134" spans="1:9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</row>
    <row r="135" spans="1:9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</row>
    <row r="136" spans="1:9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</row>
    <row r="137" spans="1:9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</row>
    <row r="138" spans="1:9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</row>
    <row r="139" spans="1:9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</row>
    <row r="140" spans="1:9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</row>
    <row r="141" spans="1:9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</row>
    <row r="142" spans="1:9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</row>
    <row r="143" spans="1:9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</row>
    <row r="144" spans="1:9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</row>
    <row r="145" spans="1:9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</row>
    <row r="146" spans="1:9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</row>
    <row r="147" spans="1:9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</row>
    <row r="148" spans="1:9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</row>
    <row r="149" spans="1:9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</row>
    <row r="150" spans="1:9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</row>
    <row r="151" spans="1:9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</row>
    <row r="152" spans="1:9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</row>
    <row r="153" spans="1:9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</row>
    <row r="154" spans="1:9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</row>
    <row r="155" spans="1:9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</row>
    <row r="156" spans="1:9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</row>
    <row r="157" spans="1:9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</row>
    <row r="158" spans="1:9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</row>
    <row r="159" spans="1:9">
      <c r="A159" t="s">
        <v>489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>
        <v>101</v>
      </c>
      <c r="I159" s="4">
        <f t="shared" si="2"/>
        <v>1</v>
      </c>
    </row>
    <row r="160" spans="1:9">
      <c r="A160" t="s">
        <v>490</v>
      </c>
      <c r="B160">
        <v>1</v>
      </c>
      <c r="C160">
        <v>1</v>
      </c>
      <c r="D160">
        <v>11</v>
      </c>
      <c r="E160">
        <v>0</v>
      </c>
      <c r="F160">
        <v>7</v>
      </c>
      <c r="G160">
        <v>0</v>
      </c>
      <c r="H160">
        <v>17</v>
      </c>
      <c r="I160" s="4">
        <f t="shared" si="2"/>
        <v>0.6470588235294118</v>
      </c>
    </row>
    <row r="161" spans="1:9">
      <c r="A161" t="s">
        <v>490</v>
      </c>
      <c r="B161">
        <v>1</v>
      </c>
      <c r="C161">
        <v>2</v>
      </c>
      <c r="D161">
        <v>11</v>
      </c>
      <c r="E161">
        <v>0</v>
      </c>
      <c r="F161">
        <v>7</v>
      </c>
      <c r="G161">
        <v>0</v>
      </c>
      <c r="H161">
        <v>17</v>
      </c>
      <c r="I161" s="4">
        <f t="shared" si="2"/>
        <v>0.6470588235294118</v>
      </c>
    </row>
    <row r="162" spans="1:9">
      <c r="A162" t="s">
        <v>490</v>
      </c>
      <c r="B162">
        <v>1</v>
      </c>
      <c r="C162">
        <v>3</v>
      </c>
      <c r="D162">
        <v>11</v>
      </c>
      <c r="E162">
        <v>0</v>
      </c>
      <c r="F162">
        <v>7</v>
      </c>
      <c r="G162">
        <v>0</v>
      </c>
      <c r="H162">
        <v>17</v>
      </c>
      <c r="I162" s="4">
        <f t="shared" si="2"/>
        <v>0.6470588235294118</v>
      </c>
    </row>
    <row r="163" spans="1:9">
      <c r="A163" t="s">
        <v>490</v>
      </c>
      <c r="B163">
        <v>1</v>
      </c>
      <c r="C163">
        <v>4</v>
      </c>
      <c r="D163">
        <v>12</v>
      </c>
      <c r="E163">
        <v>0</v>
      </c>
      <c r="F163">
        <v>7</v>
      </c>
      <c r="G163">
        <v>0</v>
      </c>
      <c r="H163">
        <v>17</v>
      </c>
      <c r="I163" s="4">
        <f t="shared" si="2"/>
        <v>0.70588235294117652</v>
      </c>
    </row>
    <row r="164" spans="1:9">
      <c r="A164" t="s">
        <v>490</v>
      </c>
      <c r="B164">
        <v>1</v>
      </c>
      <c r="C164">
        <v>5</v>
      </c>
      <c r="D164">
        <v>17</v>
      </c>
      <c r="E164">
        <v>0</v>
      </c>
      <c r="F164">
        <v>2</v>
      </c>
      <c r="G164">
        <v>0</v>
      </c>
      <c r="H164">
        <v>17</v>
      </c>
      <c r="I164" s="4">
        <f t="shared" si="2"/>
        <v>1</v>
      </c>
    </row>
    <row r="165" spans="1:9">
      <c r="A165" t="s">
        <v>490</v>
      </c>
      <c r="B165">
        <v>2</v>
      </c>
      <c r="C165">
        <v>1</v>
      </c>
      <c r="D165">
        <v>5</v>
      </c>
      <c r="E165">
        <v>0</v>
      </c>
      <c r="F165">
        <v>1</v>
      </c>
      <c r="G165">
        <v>0</v>
      </c>
      <c r="H165">
        <v>112</v>
      </c>
      <c r="I165" s="4">
        <f t="shared" si="2"/>
        <v>4.4642857142857144E-2</v>
      </c>
    </row>
    <row r="166" spans="1:9">
      <c r="A166" t="s">
        <v>490</v>
      </c>
      <c r="B166">
        <v>2</v>
      </c>
      <c r="C166">
        <v>2</v>
      </c>
      <c r="D166">
        <v>56</v>
      </c>
      <c r="E166">
        <v>0</v>
      </c>
      <c r="F166">
        <v>12</v>
      </c>
      <c r="G166">
        <v>0</v>
      </c>
      <c r="H166">
        <v>112</v>
      </c>
      <c r="I166" s="4">
        <f t="shared" si="2"/>
        <v>0.5</v>
      </c>
    </row>
    <row r="167" spans="1:9">
      <c r="A167" t="s">
        <v>490</v>
      </c>
      <c r="B167">
        <v>2</v>
      </c>
      <c r="C167">
        <v>3</v>
      </c>
      <c r="D167">
        <v>112</v>
      </c>
      <c r="E167">
        <v>0</v>
      </c>
      <c r="F167">
        <v>0</v>
      </c>
      <c r="G167">
        <v>0</v>
      </c>
      <c r="H167">
        <v>112</v>
      </c>
      <c r="I167" s="4">
        <f t="shared" si="2"/>
        <v>1</v>
      </c>
    </row>
    <row r="168" spans="1:9">
      <c r="A168" t="s">
        <v>490</v>
      </c>
      <c r="B168">
        <v>3</v>
      </c>
      <c r="C168">
        <v>1</v>
      </c>
      <c r="D168">
        <v>41</v>
      </c>
      <c r="E168">
        <v>0</v>
      </c>
      <c r="F168">
        <v>2</v>
      </c>
      <c r="G168">
        <v>0</v>
      </c>
      <c r="H168">
        <v>44</v>
      </c>
      <c r="I168" s="4">
        <f t="shared" si="2"/>
        <v>0.93181818181818177</v>
      </c>
    </row>
    <row r="169" spans="1:9">
      <c r="A169" t="s">
        <v>490</v>
      </c>
      <c r="B169">
        <v>3</v>
      </c>
      <c r="C169">
        <v>2</v>
      </c>
      <c r="D169">
        <v>44</v>
      </c>
      <c r="E169">
        <v>0</v>
      </c>
      <c r="F169">
        <v>0</v>
      </c>
      <c r="G169">
        <v>0</v>
      </c>
      <c r="H169">
        <v>44</v>
      </c>
      <c r="I169" s="4">
        <f t="shared" si="2"/>
        <v>1</v>
      </c>
    </row>
    <row r="170" spans="1:9">
      <c r="A170" t="s">
        <v>490</v>
      </c>
      <c r="B170">
        <v>7</v>
      </c>
      <c r="C170">
        <v>1</v>
      </c>
      <c r="D170">
        <v>40</v>
      </c>
      <c r="E170">
        <v>0</v>
      </c>
      <c r="F170">
        <v>2</v>
      </c>
      <c r="G170">
        <v>0</v>
      </c>
      <c r="H170">
        <v>43</v>
      </c>
      <c r="I170" s="4">
        <f t="shared" si="2"/>
        <v>0.93023255813953487</v>
      </c>
    </row>
    <row r="171" spans="1:9">
      <c r="A171" t="s">
        <v>490</v>
      </c>
      <c r="B171">
        <v>7</v>
      </c>
      <c r="C171">
        <v>2</v>
      </c>
      <c r="D171">
        <v>43</v>
      </c>
      <c r="E171">
        <v>0</v>
      </c>
      <c r="F171">
        <v>0</v>
      </c>
      <c r="G171">
        <v>0</v>
      </c>
      <c r="H171">
        <v>43</v>
      </c>
      <c r="I171" s="4">
        <f t="shared" si="2"/>
        <v>1</v>
      </c>
    </row>
    <row r="172" spans="1:9">
      <c r="A172" t="s">
        <v>490</v>
      </c>
      <c r="B172">
        <v>10</v>
      </c>
      <c r="C172">
        <v>1</v>
      </c>
      <c r="D172">
        <v>47</v>
      </c>
      <c r="E172">
        <v>0</v>
      </c>
      <c r="F172">
        <v>8</v>
      </c>
      <c r="G172">
        <v>0</v>
      </c>
      <c r="H172">
        <v>406</v>
      </c>
      <c r="I172" s="4">
        <f t="shared" si="2"/>
        <v>0.11576354679802955</v>
      </c>
    </row>
    <row r="173" spans="1:9">
      <c r="A173" t="s">
        <v>490</v>
      </c>
      <c r="B173">
        <v>10</v>
      </c>
      <c r="C173">
        <v>2</v>
      </c>
      <c r="D173">
        <v>47</v>
      </c>
      <c r="E173">
        <v>0</v>
      </c>
      <c r="F173">
        <v>11</v>
      </c>
      <c r="G173">
        <v>0</v>
      </c>
      <c r="H173">
        <v>406</v>
      </c>
      <c r="I173" s="4">
        <f t="shared" si="2"/>
        <v>0.11576354679802955</v>
      </c>
    </row>
    <row r="174" spans="1:9">
      <c r="A174" t="s">
        <v>490</v>
      </c>
      <c r="B174">
        <v>10</v>
      </c>
      <c r="C174">
        <v>3</v>
      </c>
      <c r="D174">
        <v>47</v>
      </c>
      <c r="E174">
        <v>0</v>
      </c>
      <c r="F174">
        <v>11</v>
      </c>
      <c r="G174">
        <v>0</v>
      </c>
      <c r="H174">
        <v>406</v>
      </c>
      <c r="I174" s="4">
        <f t="shared" si="2"/>
        <v>0.11576354679802955</v>
      </c>
    </row>
    <row r="175" spans="1:9">
      <c r="A175" t="s">
        <v>490</v>
      </c>
      <c r="B175">
        <v>10</v>
      </c>
      <c r="C175">
        <v>4</v>
      </c>
      <c r="D175">
        <v>47</v>
      </c>
      <c r="E175">
        <v>0</v>
      </c>
      <c r="F175">
        <v>11</v>
      </c>
      <c r="G175">
        <v>0</v>
      </c>
      <c r="H175">
        <v>406</v>
      </c>
      <c r="I175" s="4">
        <f t="shared" si="2"/>
        <v>0.11576354679802955</v>
      </c>
    </row>
    <row r="176" spans="1:9">
      <c r="A176" t="s">
        <v>490</v>
      </c>
      <c r="B176">
        <v>10</v>
      </c>
      <c r="C176">
        <v>5</v>
      </c>
      <c r="D176">
        <v>84</v>
      </c>
      <c r="E176">
        <v>0</v>
      </c>
      <c r="F176">
        <v>11</v>
      </c>
      <c r="G176">
        <v>0</v>
      </c>
      <c r="H176">
        <v>406</v>
      </c>
      <c r="I176" s="4">
        <f t="shared" si="2"/>
        <v>0.20689655172413793</v>
      </c>
    </row>
    <row r="177" spans="1:9">
      <c r="A177" t="s">
        <v>490</v>
      </c>
      <c r="B177">
        <v>10</v>
      </c>
      <c r="C177">
        <v>6</v>
      </c>
      <c r="D177">
        <v>84</v>
      </c>
      <c r="E177">
        <v>0</v>
      </c>
      <c r="F177">
        <v>11</v>
      </c>
      <c r="G177">
        <v>0</v>
      </c>
      <c r="H177">
        <v>406</v>
      </c>
      <c r="I177" s="4">
        <f t="shared" si="2"/>
        <v>0.20689655172413793</v>
      </c>
    </row>
    <row r="178" spans="1:9">
      <c r="A178" t="s">
        <v>490</v>
      </c>
      <c r="B178">
        <v>10</v>
      </c>
      <c r="C178">
        <v>7</v>
      </c>
      <c r="D178">
        <v>84</v>
      </c>
      <c r="E178">
        <v>0</v>
      </c>
      <c r="F178">
        <v>11</v>
      </c>
      <c r="G178">
        <v>0</v>
      </c>
      <c r="H178">
        <v>406</v>
      </c>
      <c r="I178" s="4">
        <f t="shared" si="2"/>
        <v>0.20689655172413793</v>
      </c>
    </row>
    <row r="179" spans="1:9">
      <c r="A179" t="s">
        <v>490</v>
      </c>
      <c r="B179">
        <v>10</v>
      </c>
      <c r="C179">
        <v>8</v>
      </c>
      <c r="D179">
        <v>84</v>
      </c>
      <c r="E179">
        <v>0</v>
      </c>
      <c r="F179">
        <v>11</v>
      </c>
      <c r="G179">
        <v>0</v>
      </c>
      <c r="H179">
        <v>406</v>
      </c>
      <c r="I179" s="4">
        <f t="shared" si="2"/>
        <v>0.20689655172413793</v>
      </c>
    </row>
    <row r="180" spans="1:9">
      <c r="A180" t="s">
        <v>490</v>
      </c>
      <c r="B180">
        <v>10</v>
      </c>
      <c r="C180">
        <v>9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</row>
    <row r="181" spans="1:9">
      <c r="A181" t="s">
        <v>490</v>
      </c>
      <c r="B181">
        <v>10</v>
      </c>
      <c r="C181">
        <v>10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</row>
    <row r="182" spans="1:9">
      <c r="A182" t="s">
        <v>490</v>
      </c>
      <c r="B182">
        <v>10</v>
      </c>
      <c r="C182">
        <v>11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</row>
    <row r="183" spans="1:9">
      <c r="A183" t="s">
        <v>490</v>
      </c>
      <c r="B183">
        <v>10</v>
      </c>
      <c r="C183">
        <v>12</v>
      </c>
      <c r="D183">
        <v>90</v>
      </c>
      <c r="E183">
        <v>0</v>
      </c>
      <c r="F183">
        <v>8</v>
      </c>
      <c r="G183">
        <v>0</v>
      </c>
      <c r="H183">
        <v>406</v>
      </c>
      <c r="I183" s="4">
        <f t="shared" si="2"/>
        <v>0.22167487684729065</v>
      </c>
    </row>
    <row r="184" spans="1:9">
      <c r="A184" t="s">
        <v>490</v>
      </c>
      <c r="B184">
        <v>10</v>
      </c>
      <c r="C184">
        <v>13</v>
      </c>
      <c r="D184">
        <v>90</v>
      </c>
      <c r="E184">
        <v>0</v>
      </c>
      <c r="F184">
        <v>8</v>
      </c>
      <c r="G184">
        <v>0</v>
      </c>
      <c r="H184">
        <v>406</v>
      </c>
      <c r="I184" s="4">
        <f t="shared" si="2"/>
        <v>0.22167487684729065</v>
      </c>
    </row>
    <row r="185" spans="1:9">
      <c r="A185" t="s">
        <v>490</v>
      </c>
      <c r="B185">
        <v>10</v>
      </c>
      <c r="C185">
        <v>14</v>
      </c>
      <c r="D185">
        <v>90</v>
      </c>
      <c r="E185">
        <v>0</v>
      </c>
      <c r="F185">
        <v>8</v>
      </c>
      <c r="G185">
        <v>0</v>
      </c>
      <c r="H185">
        <v>406</v>
      </c>
      <c r="I185" s="4">
        <f t="shared" si="2"/>
        <v>0.22167487684729065</v>
      </c>
    </row>
    <row r="186" spans="1:9">
      <c r="A186" t="s">
        <v>490</v>
      </c>
      <c r="B186">
        <v>10</v>
      </c>
      <c r="C186">
        <v>15</v>
      </c>
      <c r="D186">
        <v>90</v>
      </c>
      <c r="E186">
        <v>0</v>
      </c>
      <c r="F186">
        <v>8</v>
      </c>
      <c r="G186">
        <v>0</v>
      </c>
      <c r="H186">
        <v>406</v>
      </c>
      <c r="I186" s="4">
        <f t="shared" si="2"/>
        <v>0.22167487684729065</v>
      </c>
    </row>
    <row r="187" spans="1:9">
      <c r="A187" t="s">
        <v>490</v>
      </c>
      <c r="B187">
        <v>10</v>
      </c>
      <c r="C187">
        <v>16</v>
      </c>
      <c r="D187">
        <v>90</v>
      </c>
      <c r="E187">
        <v>0</v>
      </c>
      <c r="F187">
        <v>8</v>
      </c>
      <c r="G187">
        <v>0</v>
      </c>
      <c r="H187">
        <v>406</v>
      </c>
      <c r="I187" s="4">
        <f t="shared" si="2"/>
        <v>0.22167487684729065</v>
      </c>
    </row>
    <row r="188" spans="1:9">
      <c r="A188" t="s">
        <v>490</v>
      </c>
      <c r="B188">
        <v>10</v>
      </c>
      <c r="C188">
        <v>17</v>
      </c>
      <c r="D188">
        <v>137</v>
      </c>
      <c r="E188">
        <v>0</v>
      </c>
      <c r="F188">
        <v>7</v>
      </c>
      <c r="G188">
        <v>0</v>
      </c>
      <c r="H188">
        <v>406</v>
      </c>
      <c r="I188" s="4">
        <f t="shared" si="2"/>
        <v>0.33743842364532017</v>
      </c>
    </row>
    <row r="189" spans="1:9">
      <c r="A189" t="s">
        <v>490</v>
      </c>
      <c r="B189">
        <v>10</v>
      </c>
      <c r="C189">
        <v>18</v>
      </c>
      <c r="D189">
        <v>183</v>
      </c>
      <c r="E189">
        <v>0</v>
      </c>
      <c r="F189">
        <v>7</v>
      </c>
      <c r="G189">
        <v>0</v>
      </c>
      <c r="H189">
        <v>406</v>
      </c>
      <c r="I189" s="4">
        <f t="shared" si="2"/>
        <v>0.45073891625615764</v>
      </c>
    </row>
    <row r="190" spans="1:9">
      <c r="A190" t="s">
        <v>490</v>
      </c>
      <c r="B190">
        <v>10</v>
      </c>
      <c r="C190">
        <v>19</v>
      </c>
      <c r="D190">
        <v>238</v>
      </c>
      <c r="E190">
        <v>0</v>
      </c>
      <c r="F190">
        <v>4</v>
      </c>
      <c r="G190">
        <v>0</v>
      </c>
      <c r="H190">
        <v>406</v>
      </c>
      <c r="I190" s="4">
        <f t="shared" si="2"/>
        <v>0.58620689655172409</v>
      </c>
    </row>
    <row r="191" spans="1:9">
      <c r="A191" t="s">
        <v>490</v>
      </c>
      <c r="B191">
        <v>10</v>
      </c>
      <c r="C191">
        <v>20</v>
      </c>
      <c r="D191">
        <v>238</v>
      </c>
      <c r="E191">
        <v>0</v>
      </c>
      <c r="F191">
        <v>4</v>
      </c>
      <c r="G191">
        <v>0</v>
      </c>
      <c r="H191">
        <v>406</v>
      </c>
      <c r="I191" s="4">
        <f t="shared" si="2"/>
        <v>0.58620689655172409</v>
      </c>
    </row>
    <row r="192" spans="1:9">
      <c r="A192" t="s">
        <v>490</v>
      </c>
      <c r="B192">
        <v>10</v>
      </c>
      <c r="C192">
        <v>21</v>
      </c>
      <c r="D192">
        <v>238</v>
      </c>
      <c r="E192">
        <v>0</v>
      </c>
      <c r="F192">
        <v>4</v>
      </c>
      <c r="G192">
        <v>0</v>
      </c>
      <c r="H192">
        <v>406</v>
      </c>
      <c r="I192" s="4">
        <f t="shared" si="2"/>
        <v>0.58620689655172409</v>
      </c>
    </row>
    <row r="193" spans="1:9">
      <c r="A193" t="s">
        <v>490</v>
      </c>
      <c r="B193">
        <v>10</v>
      </c>
      <c r="C193">
        <v>22</v>
      </c>
      <c r="D193">
        <v>238</v>
      </c>
      <c r="E193">
        <v>0</v>
      </c>
      <c r="F193">
        <v>4</v>
      </c>
      <c r="G193">
        <v>0</v>
      </c>
      <c r="H193">
        <v>406</v>
      </c>
      <c r="I193" s="4">
        <f t="shared" si="2"/>
        <v>0.58620689655172409</v>
      </c>
    </row>
    <row r="194" spans="1:9">
      <c r="A194" t="s">
        <v>490</v>
      </c>
      <c r="B194">
        <v>10</v>
      </c>
      <c r="C194">
        <v>23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</row>
    <row r="195" spans="1:9">
      <c r="A195" t="s">
        <v>490</v>
      </c>
      <c r="B195">
        <v>10</v>
      </c>
      <c r="C195">
        <v>24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</row>
    <row r="196" spans="1:9">
      <c r="A196" t="s">
        <v>490</v>
      </c>
      <c r="B196">
        <v>10</v>
      </c>
      <c r="C196">
        <v>25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</row>
    <row r="197" spans="1:9">
      <c r="A197" t="s">
        <v>490</v>
      </c>
      <c r="B197">
        <v>10</v>
      </c>
      <c r="C197">
        <v>26</v>
      </c>
      <c r="D197">
        <v>313</v>
      </c>
      <c r="E197">
        <v>0</v>
      </c>
      <c r="F197">
        <v>2</v>
      </c>
      <c r="G197">
        <v>0</v>
      </c>
      <c r="H197">
        <v>406</v>
      </c>
      <c r="I197" s="4">
        <f t="shared" si="3"/>
        <v>0.77093596059113301</v>
      </c>
    </row>
    <row r="198" spans="1:9">
      <c r="A198" t="s">
        <v>490</v>
      </c>
      <c r="B198">
        <v>10</v>
      </c>
      <c r="C198">
        <v>27</v>
      </c>
      <c r="D198">
        <v>313</v>
      </c>
      <c r="E198">
        <v>0</v>
      </c>
      <c r="F198">
        <v>2</v>
      </c>
      <c r="G198">
        <v>0</v>
      </c>
      <c r="H198">
        <v>406</v>
      </c>
      <c r="I198" s="4">
        <f t="shared" si="3"/>
        <v>0.77093596059113301</v>
      </c>
    </row>
    <row r="199" spans="1:9">
      <c r="A199" t="s">
        <v>490</v>
      </c>
      <c r="B199">
        <v>10</v>
      </c>
      <c r="C199">
        <v>28</v>
      </c>
      <c r="D199">
        <v>313</v>
      </c>
      <c r="E199">
        <v>0</v>
      </c>
      <c r="F199">
        <v>2</v>
      </c>
      <c r="G199">
        <v>0</v>
      </c>
      <c r="H199">
        <v>406</v>
      </c>
      <c r="I199" s="4">
        <f t="shared" si="3"/>
        <v>0.77093596059113301</v>
      </c>
    </row>
    <row r="200" spans="1:9">
      <c r="A200" t="s">
        <v>490</v>
      </c>
      <c r="B200">
        <v>10</v>
      </c>
      <c r="C200">
        <v>29</v>
      </c>
      <c r="D200">
        <v>313</v>
      </c>
      <c r="E200">
        <v>0</v>
      </c>
      <c r="F200">
        <v>2</v>
      </c>
      <c r="G200">
        <v>0</v>
      </c>
      <c r="H200">
        <v>406</v>
      </c>
      <c r="I200" s="4">
        <f t="shared" si="3"/>
        <v>0.77093596059113301</v>
      </c>
    </row>
    <row r="201" spans="1:9">
      <c r="A201" t="s">
        <v>490</v>
      </c>
      <c r="B201">
        <v>10</v>
      </c>
      <c r="C201">
        <v>30</v>
      </c>
      <c r="D201">
        <v>313</v>
      </c>
      <c r="E201">
        <v>0</v>
      </c>
      <c r="F201">
        <v>2</v>
      </c>
      <c r="G201">
        <v>0</v>
      </c>
      <c r="H201">
        <v>406</v>
      </c>
      <c r="I201" s="4">
        <f t="shared" si="3"/>
        <v>0.77093596059113301</v>
      </c>
    </row>
    <row r="202" spans="1:9">
      <c r="A202" t="s">
        <v>490</v>
      </c>
      <c r="B202">
        <v>10</v>
      </c>
      <c r="C202">
        <v>31</v>
      </c>
      <c r="D202">
        <v>406</v>
      </c>
      <c r="E202">
        <v>0</v>
      </c>
      <c r="F202">
        <v>0</v>
      </c>
      <c r="G202">
        <v>0</v>
      </c>
      <c r="H202">
        <v>406</v>
      </c>
      <c r="I202" s="4">
        <f t="shared" si="3"/>
        <v>1</v>
      </c>
    </row>
    <row r="203" spans="1:9">
      <c r="A203" t="s">
        <v>490</v>
      </c>
      <c r="B203">
        <v>10</v>
      </c>
      <c r="C203">
        <v>32</v>
      </c>
      <c r="D203">
        <v>406</v>
      </c>
      <c r="E203">
        <v>0</v>
      </c>
      <c r="F203">
        <v>0</v>
      </c>
      <c r="G203">
        <v>0</v>
      </c>
      <c r="H203">
        <v>406</v>
      </c>
      <c r="I203" s="4">
        <f t="shared" si="3"/>
        <v>1</v>
      </c>
    </row>
    <row r="204" spans="1:9">
      <c r="A204" t="s">
        <v>490</v>
      </c>
      <c r="B204">
        <v>11</v>
      </c>
      <c r="C204">
        <v>1</v>
      </c>
      <c r="D204">
        <v>1</v>
      </c>
      <c r="E204">
        <v>0</v>
      </c>
      <c r="F204">
        <v>1</v>
      </c>
      <c r="G204">
        <v>0</v>
      </c>
      <c r="H204">
        <v>192</v>
      </c>
      <c r="I204" s="4">
        <f t="shared" si="3"/>
        <v>5.208333333333333E-3</v>
      </c>
    </row>
    <row r="205" spans="1:9">
      <c r="A205" t="s">
        <v>490</v>
      </c>
      <c r="B205">
        <v>11</v>
      </c>
      <c r="C205">
        <v>2</v>
      </c>
      <c r="D205">
        <v>17</v>
      </c>
      <c r="E205">
        <v>0</v>
      </c>
      <c r="F205">
        <v>18</v>
      </c>
      <c r="G205">
        <v>0</v>
      </c>
      <c r="H205">
        <v>192</v>
      </c>
      <c r="I205" s="4">
        <f t="shared" si="3"/>
        <v>8.8541666666666671E-2</v>
      </c>
    </row>
    <row r="206" spans="1:9">
      <c r="A206" t="s">
        <v>490</v>
      </c>
      <c r="B206">
        <v>11</v>
      </c>
      <c r="C206">
        <v>3</v>
      </c>
      <c r="D206">
        <v>23</v>
      </c>
      <c r="E206">
        <v>0</v>
      </c>
      <c r="F206">
        <v>15</v>
      </c>
      <c r="G206">
        <v>0</v>
      </c>
      <c r="H206">
        <v>192</v>
      </c>
      <c r="I206" s="4">
        <f t="shared" si="3"/>
        <v>0.11979166666666667</v>
      </c>
    </row>
    <row r="207" spans="1:9">
      <c r="A207" t="s">
        <v>490</v>
      </c>
      <c r="B207">
        <v>11</v>
      </c>
      <c r="C207">
        <v>4</v>
      </c>
      <c r="D207">
        <v>50</v>
      </c>
      <c r="E207">
        <v>0</v>
      </c>
      <c r="F207">
        <v>13</v>
      </c>
      <c r="G207">
        <v>0</v>
      </c>
      <c r="H207">
        <v>192</v>
      </c>
      <c r="I207" s="4">
        <f t="shared" si="3"/>
        <v>0.26041666666666669</v>
      </c>
    </row>
    <row r="208" spans="1:9">
      <c r="A208" t="s">
        <v>490</v>
      </c>
      <c r="B208">
        <v>11</v>
      </c>
      <c r="C208">
        <v>5</v>
      </c>
      <c r="D208">
        <v>77</v>
      </c>
      <c r="E208">
        <v>0</v>
      </c>
      <c r="F208">
        <v>11</v>
      </c>
      <c r="G208">
        <v>0</v>
      </c>
      <c r="H208">
        <v>192</v>
      </c>
      <c r="I208" s="4">
        <f t="shared" si="3"/>
        <v>0.40104166666666669</v>
      </c>
    </row>
    <row r="209" spans="1:9">
      <c r="A209" t="s">
        <v>490</v>
      </c>
      <c r="B209">
        <v>11</v>
      </c>
      <c r="C209">
        <v>6</v>
      </c>
      <c r="D209">
        <v>104</v>
      </c>
      <c r="E209">
        <v>0</v>
      </c>
      <c r="F209">
        <v>9</v>
      </c>
      <c r="G209">
        <v>0</v>
      </c>
      <c r="H209">
        <v>192</v>
      </c>
      <c r="I209" s="4">
        <f t="shared" si="3"/>
        <v>0.54166666666666663</v>
      </c>
    </row>
    <row r="210" spans="1:9">
      <c r="A210" t="s">
        <v>490</v>
      </c>
      <c r="B210">
        <v>11</v>
      </c>
      <c r="C210">
        <v>7</v>
      </c>
      <c r="D210">
        <v>131</v>
      </c>
      <c r="E210">
        <v>0</v>
      </c>
      <c r="F210">
        <v>7</v>
      </c>
      <c r="G210">
        <v>0</v>
      </c>
      <c r="H210">
        <v>192</v>
      </c>
      <c r="I210" s="4">
        <f t="shared" si="3"/>
        <v>0.68229166666666663</v>
      </c>
    </row>
    <row r="211" spans="1:9">
      <c r="A211" t="s">
        <v>490</v>
      </c>
      <c r="B211">
        <v>11</v>
      </c>
      <c r="C211">
        <v>8</v>
      </c>
      <c r="D211">
        <v>131</v>
      </c>
      <c r="E211">
        <v>0</v>
      </c>
      <c r="F211">
        <v>7</v>
      </c>
      <c r="G211">
        <v>0</v>
      </c>
      <c r="H211">
        <v>192</v>
      </c>
      <c r="I211" s="4">
        <f t="shared" si="3"/>
        <v>0.68229166666666663</v>
      </c>
    </row>
    <row r="212" spans="1:9">
      <c r="A212" t="s">
        <v>490</v>
      </c>
      <c r="B212">
        <v>11</v>
      </c>
      <c r="C212">
        <v>9</v>
      </c>
      <c r="D212">
        <v>131</v>
      </c>
      <c r="E212">
        <v>0</v>
      </c>
      <c r="F212">
        <v>7</v>
      </c>
      <c r="G212">
        <v>0</v>
      </c>
      <c r="H212">
        <v>192</v>
      </c>
      <c r="I212" s="4">
        <f t="shared" si="3"/>
        <v>0.68229166666666663</v>
      </c>
    </row>
    <row r="213" spans="1:9">
      <c r="A213" t="s">
        <v>490</v>
      </c>
      <c r="B213">
        <v>11</v>
      </c>
      <c r="C213">
        <v>10</v>
      </c>
      <c r="D213">
        <v>131</v>
      </c>
      <c r="E213">
        <v>0</v>
      </c>
      <c r="F213">
        <v>7</v>
      </c>
      <c r="G213">
        <v>0</v>
      </c>
      <c r="H213">
        <v>192</v>
      </c>
      <c r="I213" s="4">
        <f t="shared" si="3"/>
        <v>0.68229166666666663</v>
      </c>
    </row>
    <row r="214" spans="1:9">
      <c r="A214" t="s">
        <v>490</v>
      </c>
      <c r="B214">
        <v>11</v>
      </c>
      <c r="C214">
        <v>11</v>
      </c>
      <c r="D214">
        <v>131</v>
      </c>
      <c r="E214">
        <v>0</v>
      </c>
      <c r="F214">
        <v>7</v>
      </c>
      <c r="G214">
        <v>0</v>
      </c>
      <c r="H214">
        <v>192</v>
      </c>
      <c r="I214" s="4">
        <f t="shared" si="3"/>
        <v>0.68229166666666663</v>
      </c>
    </row>
    <row r="215" spans="1:9">
      <c r="A215" t="s">
        <v>490</v>
      </c>
      <c r="B215">
        <v>11</v>
      </c>
      <c r="C215">
        <v>12</v>
      </c>
      <c r="D215">
        <v>192</v>
      </c>
      <c r="E215">
        <v>0</v>
      </c>
      <c r="F215">
        <v>0</v>
      </c>
      <c r="G215">
        <v>0</v>
      </c>
      <c r="H215">
        <v>192</v>
      </c>
      <c r="I215" s="4">
        <f t="shared" si="3"/>
        <v>1</v>
      </c>
    </row>
    <row r="216" spans="1:9">
      <c r="A216" t="s">
        <v>490</v>
      </c>
      <c r="B216">
        <v>11</v>
      </c>
      <c r="C216">
        <v>13</v>
      </c>
      <c r="D216">
        <v>192</v>
      </c>
      <c r="E216">
        <v>0</v>
      </c>
      <c r="F216">
        <v>0</v>
      </c>
      <c r="G216">
        <v>0</v>
      </c>
      <c r="H216">
        <v>192</v>
      </c>
      <c r="I216" s="4">
        <f t="shared" si="3"/>
        <v>1</v>
      </c>
    </row>
    <row r="217" spans="1:9">
      <c r="A217" t="s">
        <v>490</v>
      </c>
      <c r="B217">
        <v>12</v>
      </c>
      <c r="C217">
        <v>1</v>
      </c>
      <c r="D217">
        <v>1</v>
      </c>
      <c r="E217">
        <v>0</v>
      </c>
      <c r="F217">
        <v>1</v>
      </c>
      <c r="G217">
        <v>0</v>
      </c>
      <c r="H217">
        <v>118</v>
      </c>
      <c r="I217" s="4">
        <f t="shared" si="3"/>
        <v>8.4745762711864406E-3</v>
      </c>
    </row>
    <row r="218" spans="1:9">
      <c r="A218" t="s">
        <v>490</v>
      </c>
      <c r="B218">
        <v>12</v>
      </c>
      <c r="C218">
        <v>2</v>
      </c>
      <c r="D218">
        <v>62</v>
      </c>
      <c r="E218">
        <v>0</v>
      </c>
      <c r="F218">
        <v>9</v>
      </c>
      <c r="G218">
        <v>0</v>
      </c>
      <c r="H218">
        <v>118</v>
      </c>
      <c r="I218" s="4">
        <f t="shared" si="3"/>
        <v>0.52542372881355937</v>
      </c>
    </row>
    <row r="219" spans="1:9">
      <c r="A219" t="s">
        <v>490</v>
      </c>
      <c r="B219">
        <v>12</v>
      </c>
      <c r="C219">
        <v>3</v>
      </c>
      <c r="D219">
        <v>66</v>
      </c>
      <c r="E219">
        <v>0</v>
      </c>
      <c r="F219">
        <v>9</v>
      </c>
      <c r="G219">
        <v>0</v>
      </c>
      <c r="H219">
        <v>118</v>
      </c>
      <c r="I219" s="4">
        <f t="shared" si="3"/>
        <v>0.55932203389830504</v>
      </c>
    </row>
    <row r="220" spans="1:9">
      <c r="A220" t="s">
        <v>490</v>
      </c>
      <c r="B220">
        <v>12</v>
      </c>
      <c r="C220">
        <v>4</v>
      </c>
      <c r="D220">
        <v>70</v>
      </c>
      <c r="E220">
        <v>0</v>
      </c>
      <c r="F220">
        <v>9</v>
      </c>
      <c r="G220">
        <v>0</v>
      </c>
      <c r="H220">
        <v>118</v>
      </c>
      <c r="I220" s="4">
        <f t="shared" si="3"/>
        <v>0.59322033898305082</v>
      </c>
    </row>
    <row r="221" spans="1:9">
      <c r="A221" t="s">
        <v>490</v>
      </c>
      <c r="B221">
        <v>12</v>
      </c>
      <c r="C221">
        <v>5</v>
      </c>
      <c r="D221">
        <v>84</v>
      </c>
      <c r="E221">
        <v>0</v>
      </c>
      <c r="F221">
        <v>6</v>
      </c>
      <c r="G221">
        <v>0</v>
      </c>
      <c r="H221">
        <v>118</v>
      </c>
      <c r="I221" s="4">
        <f t="shared" si="3"/>
        <v>0.71186440677966101</v>
      </c>
    </row>
    <row r="222" spans="1:9">
      <c r="A222" t="s">
        <v>490</v>
      </c>
      <c r="B222">
        <v>12</v>
      </c>
      <c r="C222">
        <v>6</v>
      </c>
      <c r="D222">
        <v>105</v>
      </c>
      <c r="E222">
        <v>0</v>
      </c>
      <c r="F222">
        <v>3</v>
      </c>
      <c r="G222">
        <v>0</v>
      </c>
      <c r="H222">
        <v>118</v>
      </c>
      <c r="I222" s="4">
        <f t="shared" si="3"/>
        <v>0.88983050847457623</v>
      </c>
    </row>
    <row r="223" spans="1:9">
      <c r="A223" t="s">
        <v>490</v>
      </c>
      <c r="B223">
        <v>12</v>
      </c>
      <c r="C223">
        <v>7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</row>
    <row r="224" spans="1:9">
      <c r="A224" t="s">
        <v>490</v>
      </c>
      <c r="B224">
        <v>12</v>
      </c>
      <c r="C224">
        <v>8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</row>
    <row r="225" spans="1:9">
      <c r="A225" t="s">
        <v>490</v>
      </c>
      <c r="B225">
        <v>12</v>
      </c>
      <c r="C225">
        <v>9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</row>
    <row r="226" spans="1:9">
      <c r="A226" t="s">
        <v>490</v>
      </c>
      <c r="B226">
        <v>12</v>
      </c>
      <c r="C226">
        <v>10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</row>
    <row r="227" spans="1:9">
      <c r="A227" t="s">
        <v>490</v>
      </c>
      <c r="B227">
        <v>12</v>
      </c>
      <c r="C227">
        <v>11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</row>
    <row r="228" spans="1:9">
      <c r="A228" t="s">
        <v>490</v>
      </c>
      <c r="B228">
        <v>12</v>
      </c>
      <c r="C228">
        <v>12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</row>
    <row r="229" spans="1:9">
      <c r="A229" t="s">
        <v>490</v>
      </c>
      <c r="B229">
        <v>12</v>
      </c>
      <c r="C229">
        <v>13</v>
      </c>
      <c r="D229">
        <v>118</v>
      </c>
      <c r="E229">
        <v>0</v>
      </c>
      <c r="F229">
        <v>0</v>
      </c>
      <c r="G229">
        <v>0</v>
      </c>
      <c r="H229">
        <v>118</v>
      </c>
      <c r="I229" s="4">
        <f t="shared" si="3"/>
        <v>1</v>
      </c>
    </row>
    <row r="230" spans="1:9">
      <c r="A230" t="s">
        <v>490</v>
      </c>
      <c r="B230">
        <v>12</v>
      </c>
      <c r="C230">
        <v>14</v>
      </c>
      <c r="D230">
        <v>118</v>
      </c>
      <c r="E230">
        <v>0</v>
      </c>
      <c r="F230">
        <v>0</v>
      </c>
      <c r="G230">
        <v>0</v>
      </c>
      <c r="H230">
        <v>118</v>
      </c>
      <c r="I230" s="4">
        <f t="shared" si="3"/>
        <v>1</v>
      </c>
    </row>
    <row r="231" spans="1:9">
      <c r="A231" t="s">
        <v>490</v>
      </c>
      <c r="B231">
        <v>12</v>
      </c>
      <c r="C231">
        <v>15</v>
      </c>
      <c r="D231">
        <v>118</v>
      </c>
      <c r="E231">
        <v>0</v>
      </c>
      <c r="F231">
        <v>0</v>
      </c>
      <c r="G231">
        <v>0</v>
      </c>
      <c r="H231">
        <v>118</v>
      </c>
      <c r="I231" s="4">
        <f t="shared" si="3"/>
        <v>1</v>
      </c>
    </row>
    <row r="232" spans="1:9">
      <c r="A232" t="s">
        <v>490</v>
      </c>
      <c r="B232">
        <v>12</v>
      </c>
      <c r="C232">
        <v>16</v>
      </c>
      <c r="D232">
        <v>118</v>
      </c>
      <c r="E232">
        <v>0</v>
      </c>
      <c r="F232">
        <v>0</v>
      </c>
      <c r="G232">
        <v>0</v>
      </c>
      <c r="H232">
        <v>118</v>
      </c>
      <c r="I232" s="4">
        <f t="shared" si="3"/>
        <v>1</v>
      </c>
    </row>
    <row r="233" spans="1:9">
      <c r="A233" t="s">
        <v>490</v>
      </c>
      <c r="B233">
        <v>12</v>
      </c>
      <c r="C233">
        <v>17</v>
      </c>
      <c r="D233">
        <v>118</v>
      </c>
      <c r="E233">
        <v>0</v>
      </c>
      <c r="F233">
        <v>0</v>
      </c>
      <c r="G233">
        <v>0</v>
      </c>
      <c r="H233">
        <v>118</v>
      </c>
      <c r="I233" s="4">
        <f t="shared" si="3"/>
        <v>1</v>
      </c>
    </row>
    <row r="234" spans="1:9">
      <c r="A234" t="s">
        <v>491</v>
      </c>
      <c r="B234">
        <v>1</v>
      </c>
      <c r="C234">
        <v>1</v>
      </c>
      <c r="D234">
        <v>18</v>
      </c>
      <c r="E234">
        <v>0</v>
      </c>
      <c r="F234">
        <v>4</v>
      </c>
      <c r="G234">
        <v>0</v>
      </c>
      <c r="H234">
        <v>88</v>
      </c>
      <c r="I234" s="4">
        <f t="shared" si="3"/>
        <v>0.20454545454545456</v>
      </c>
    </row>
    <row r="235" spans="1:9">
      <c r="A235" t="s">
        <v>491</v>
      </c>
      <c r="B235">
        <v>1</v>
      </c>
      <c r="C235">
        <v>2</v>
      </c>
      <c r="D235">
        <v>34</v>
      </c>
      <c r="E235">
        <v>0</v>
      </c>
      <c r="F235">
        <v>4</v>
      </c>
      <c r="G235">
        <v>0</v>
      </c>
      <c r="H235">
        <v>88</v>
      </c>
      <c r="I235" s="4">
        <f t="shared" si="3"/>
        <v>0.38636363636363635</v>
      </c>
    </row>
    <row r="236" spans="1:9">
      <c r="A236" t="s">
        <v>491</v>
      </c>
      <c r="B236">
        <v>1</v>
      </c>
      <c r="C236">
        <v>3</v>
      </c>
      <c r="D236">
        <v>34</v>
      </c>
      <c r="E236">
        <v>0</v>
      </c>
      <c r="F236">
        <v>4</v>
      </c>
      <c r="G236">
        <v>0</v>
      </c>
      <c r="H236">
        <v>88</v>
      </c>
      <c r="I236" s="4">
        <f t="shared" si="3"/>
        <v>0.38636363636363635</v>
      </c>
    </row>
    <row r="237" spans="1:9">
      <c r="A237" t="s">
        <v>491</v>
      </c>
      <c r="B237">
        <v>1</v>
      </c>
      <c r="C237">
        <v>4</v>
      </c>
      <c r="D237">
        <v>34</v>
      </c>
      <c r="E237">
        <v>0</v>
      </c>
      <c r="F237">
        <v>4</v>
      </c>
      <c r="G237">
        <v>0</v>
      </c>
      <c r="H237">
        <v>88</v>
      </c>
      <c r="I237" s="4">
        <f t="shared" si="3"/>
        <v>0.38636363636363635</v>
      </c>
    </row>
    <row r="238" spans="1:9">
      <c r="A238" t="s">
        <v>491</v>
      </c>
      <c r="B238">
        <v>1</v>
      </c>
      <c r="C238">
        <v>5</v>
      </c>
      <c r="D238">
        <v>88</v>
      </c>
      <c r="E238">
        <v>0</v>
      </c>
      <c r="F238">
        <v>0</v>
      </c>
      <c r="G238">
        <v>0</v>
      </c>
      <c r="H238">
        <v>88</v>
      </c>
      <c r="I238" s="4">
        <f t="shared" si="3"/>
        <v>1</v>
      </c>
    </row>
    <row r="239" spans="1:9">
      <c r="A239" t="s">
        <v>491</v>
      </c>
      <c r="B239">
        <v>1</v>
      </c>
      <c r="C239">
        <v>6</v>
      </c>
      <c r="D239">
        <v>88</v>
      </c>
      <c r="E239">
        <v>0</v>
      </c>
      <c r="F239">
        <v>0</v>
      </c>
      <c r="G239">
        <v>0</v>
      </c>
      <c r="H239">
        <v>88</v>
      </c>
      <c r="I239" s="4">
        <f t="shared" si="3"/>
        <v>1</v>
      </c>
    </row>
    <row r="240" spans="1:9">
      <c r="A240" t="s">
        <v>491</v>
      </c>
      <c r="B240">
        <v>1</v>
      </c>
      <c r="C240">
        <v>7</v>
      </c>
      <c r="D240">
        <v>88</v>
      </c>
      <c r="E240">
        <v>0</v>
      </c>
      <c r="F240">
        <v>0</v>
      </c>
      <c r="G240">
        <v>0</v>
      </c>
      <c r="H240">
        <v>88</v>
      </c>
      <c r="I240" s="4">
        <f t="shared" si="3"/>
        <v>1</v>
      </c>
    </row>
    <row r="241" spans="1:9">
      <c r="A241" t="s">
        <v>492</v>
      </c>
      <c r="B241">
        <v>1</v>
      </c>
      <c r="C241">
        <v>1</v>
      </c>
      <c r="D241">
        <v>13</v>
      </c>
      <c r="E241">
        <v>0</v>
      </c>
      <c r="F241">
        <v>3</v>
      </c>
      <c r="G241">
        <v>0</v>
      </c>
      <c r="H241">
        <v>165</v>
      </c>
      <c r="I241" s="4">
        <f t="shared" si="3"/>
        <v>7.8787878787878782E-2</v>
      </c>
    </row>
    <row r="242" spans="1:9">
      <c r="A242" t="s">
        <v>492</v>
      </c>
      <c r="B242">
        <v>1</v>
      </c>
      <c r="C242">
        <v>2</v>
      </c>
      <c r="D242">
        <v>15</v>
      </c>
      <c r="E242">
        <v>0</v>
      </c>
      <c r="F242">
        <v>3</v>
      </c>
      <c r="G242">
        <v>0</v>
      </c>
      <c r="H242">
        <v>165</v>
      </c>
      <c r="I242" s="4">
        <f t="shared" si="3"/>
        <v>9.0909090909090912E-2</v>
      </c>
    </row>
    <row r="243" spans="1:9">
      <c r="A243" t="s">
        <v>492</v>
      </c>
      <c r="B243">
        <v>1</v>
      </c>
      <c r="C243">
        <v>3</v>
      </c>
      <c r="D243">
        <v>21</v>
      </c>
      <c r="E243">
        <v>0</v>
      </c>
      <c r="F243">
        <v>4</v>
      </c>
      <c r="G243">
        <v>0</v>
      </c>
      <c r="H243">
        <v>165</v>
      </c>
      <c r="I243" s="4">
        <f t="shared" si="3"/>
        <v>0.12727272727272726</v>
      </c>
    </row>
    <row r="244" spans="1:9">
      <c r="A244" t="s">
        <v>492</v>
      </c>
      <c r="B244">
        <v>1</v>
      </c>
      <c r="C244">
        <v>4</v>
      </c>
      <c r="D244">
        <v>22</v>
      </c>
      <c r="E244">
        <v>0</v>
      </c>
      <c r="F244">
        <v>4</v>
      </c>
      <c r="G244">
        <v>0</v>
      </c>
      <c r="H244">
        <v>165</v>
      </c>
      <c r="I244" s="4">
        <f t="shared" si="3"/>
        <v>0.13333333333333333</v>
      </c>
    </row>
    <row r="245" spans="1:9">
      <c r="A245" t="s">
        <v>492</v>
      </c>
      <c r="B245">
        <v>1</v>
      </c>
      <c r="C245">
        <v>5</v>
      </c>
      <c r="D245">
        <v>24</v>
      </c>
      <c r="E245">
        <v>0</v>
      </c>
      <c r="F245">
        <v>4</v>
      </c>
      <c r="G245">
        <v>0</v>
      </c>
      <c r="H245">
        <v>165</v>
      </c>
      <c r="I245" s="4">
        <f t="shared" si="3"/>
        <v>0.14545454545454545</v>
      </c>
    </row>
    <row r="246" spans="1:9">
      <c r="A246" t="s">
        <v>492</v>
      </c>
      <c r="B246">
        <v>1</v>
      </c>
      <c r="C246">
        <v>6</v>
      </c>
      <c r="D246">
        <v>26</v>
      </c>
      <c r="E246">
        <v>0</v>
      </c>
      <c r="F246">
        <v>4</v>
      </c>
      <c r="G246">
        <v>0</v>
      </c>
      <c r="H246">
        <v>165</v>
      </c>
      <c r="I246" s="4">
        <f t="shared" si="3"/>
        <v>0.15757575757575756</v>
      </c>
    </row>
    <row r="247" spans="1:9">
      <c r="A247" t="s">
        <v>492</v>
      </c>
      <c r="B247">
        <v>1</v>
      </c>
      <c r="C247">
        <v>7</v>
      </c>
      <c r="D247">
        <v>27</v>
      </c>
      <c r="E247">
        <v>0</v>
      </c>
      <c r="F247">
        <v>4</v>
      </c>
      <c r="G247">
        <v>0</v>
      </c>
      <c r="H247">
        <v>165</v>
      </c>
      <c r="I247" s="4">
        <f t="shared" si="3"/>
        <v>0.16363636363636364</v>
      </c>
    </row>
    <row r="248" spans="1:9">
      <c r="A248" t="s">
        <v>492</v>
      </c>
      <c r="B248">
        <v>1</v>
      </c>
      <c r="C248">
        <v>8</v>
      </c>
      <c r="D248">
        <v>28</v>
      </c>
      <c r="E248">
        <v>0</v>
      </c>
      <c r="F248">
        <v>4</v>
      </c>
      <c r="G248">
        <v>0</v>
      </c>
      <c r="H248">
        <v>165</v>
      </c>
      <c r="I248" s="4">
        <f t="shared" si="3"/>
        <v>0.16969696969696971</v>
      </c>
    </row>
    <row r="249" spans="1:9">
      <c r="A249" t="s">
        <v>492</v>
      </c>
      <c r="B249">
        <v>1</v>
      </c>
      <c r="C249">
        <v>9</v>
      </c>
      <c r="D249">
        <v>30</v>
      </c>
      <c r="E249">
        <v>0</v>
      </c>
      <c r="F249">
        <v>4</v>
      </c>
      <c r="G249">
        <v>0</v>
      </c>
      <c r="H249">
        <v>165</v>
      </c>
      <c r="I249" s="4">
        <f t="shared" si="3"/>
        <v>0.18181818181818182</v>
      </c>
    </row>
    <row r="250" spans="1:9">
      <c r="A250" t="s">
        <v>492</v>
      </c>
      <c r="B250">
        <v>1</v>
      </c>
      <c r="C250">
        <v>10</v>
      </c>
      <c r="D250">
        <v>32</v>
      </c>
      <c r="E250">
        <v>0</v>
      </c>
      <c r="F250">
        <v>4</v>
      </c>
      <c r="G250">
        <v>0</v>
      </c>
      <c r="H250">
        <v>165</v>
      </c>
      <c r="I250" s="4">
        <f t="shared" si="3"/>
        <v>0.19393939393939394</v>
      </c>
    </row>
    <row r="251" spans="1:9">
      <c r="A251" t="s">
        <v>492</v>
      </c>
      <c r="B251">
        <v>1</v>
      </c>
      <c r="C251">
        <v>11</v>
      </c>
      <c r="D251">
        <v>35</v>
      </c>
      <c r="E251">
        <v>0</v>
      </c>
      <c r="F251">
        <v>5</v>
      </c>
      <c r="G251">
        <v>0</v>
      </c>
      <c r="H251">
        <v>165</v>
      </c>
      <c r="I251" s="4">
        <f t="shared" si="3"/>
        <v>0.21212121212121213</v>
      </c>
    </row>
    <row r="252" spans="1:9">
      <c r="A252" t="s">
        <v>492</v>
      </c>
      <c r="B252">
        <v>1</v>
      </c>
      <c r="C252">
        <v>12</v>
      </c>
      <c r="D252">
        <v>36</v>
      </c>
      <c r="E252">
        <v>0</v>
      </c>
      <c r="F252">
        <v>4</v>
      </c>
      <c r="G252">
        <v>0</v>
      </c>
      <c r="H252">
        <v>165</v>
      </c>
      <c r="I252" s="4">
        <f t="shared" si="3"/>
        <v>0.21818181818181817</v>
      </c>
    </row>
    <row r="253" spans="1:9">
      <c r="A253" t="s">
        <v>492</v>
      </c>
      <c r="B253">
        <v>1</v>
      </c>
      <c r="C253">
        <v>13</v>
      </c>
      <c r="D253">
        <v>39</v>
      </c>
      <c r="E253">
        <v>0</v>
      </c>
      <c r="F253">
        <v>4</v>
      </c>
      <c r="G253">
        <v>0</v>
      </c>
      <c r="H253">
        <v>165</v>
      </c>
      <c r="I253" s="4">
        <f t="shared" si="3"/>
        <v>0.23636363636363636</v>
      </c>
    </row>
    <row r="254" spans="1:9">
      <c r="A254" t="s">
        <v>492</v>
      </c>
      <c r="B254">
        <v>1</v>
      </c>
      <c r="C254">
        <v>14</v>
      </c>
      <c r="D254">
        <v>40</v>
      </c>
      <c r="E254">
        <v>0</v>
      </c>
      <c r="F254">
        <v>3</v>
      </c>
      <c r="G254">
        <v>0</v>
      </c>
      <c r="H254">
        <v>165</v>
      </c>
      <c r="I254" s="4">
        <f t="shared" si="3"/>
        <v>0.24242424242424243</v>
      </c>
    </row>
    <row r="255" spans="1:9">
      <c r="A255" t="s">
        <v>492</v>
      </c>
      <c r="B255">
        <v>1</v>
      </c>
      <c r="C255">
        <v>15</v>
      </c>
      <c r="D255">
        <v>41</v>
      </c>
      <c r="E255">
        <v>0</v>
      </c>
      <c r="F255">
        <v>2</v>
      </c>
      <c r="G255">
        <v>0</v>
      </c>
      <c r="H255">
        <v>165</v>
      </c>
      <c r="I255" s="4">
        <f t="shared" si="3"/>
        <v>0.24848484848484848</v>
      </c>
    </row>
    <row r="256" spans="1:9">
      <c r="A256" t="s">
        <v>492</v>
      </c>
      <c r="B256">
        <v>1</v>
      </c>
      <c r="C256">
        <v>16</v>
      </c>
      <c r="D256">
        <v>165</v>
      </c>
      <c r="E256">
        <v>0</v>
      </c>
      <c r="F256">
        <v>0</v>
      </c>
      <c r="G256">
        <v>0</v>
      </c>
      <c r="H256">
        <v>165</v>
      </c>
      <c r="I256" s="4">
        <f t="shared" si="3"/>
        <v>1</v>
      </c>
    </row>
    <row r="257" spans="1:9">
      <c r="A257" t="s">
        <v>492</v>
      </c>
      <c r="B257">
        <v>3</v>
      </c>
      <c r="C257">
        <v>1</v>
      </c>
      <c r="D257">
        <v>279</v>
      </c>
      <c r="E257">
        <v>0</v>
      </c>
      <c r="F257">
        <v>2</v>
      </c>
      <c r="G257">
        <v>0</v>
      </c>
      <c r="H257">
        <v>332</v>
      </c>
      <c r="I257" s="4">
        <f t="shared" si="3"/>
        <v>0.84036144578313254</v>
      </c>
    </row>
    <row r="258" spans="1:9">
      <c r="A258" t="s">
        <v>492</v>
      </c>
      <c r="B258">
        <v>3</v>
      </c>
      <c r="C258">
        <v>2</v>
      </c>
      <c r="D258">
        <v>331</v>
      </c>
      <c r="E258">
        <v>0</v>
      </c>
      <c r="F258">
        <v>1</v>
      </c>
      <c r="G258">
        <v>0</v>
      </c>
      <c r="H258">
        <v>332</v>
      </c>
      <c r="I258" s="4">
        <f t="shared" si="3"/>
        <v>0.99698795180722888</v>
      </c>
    </row>
    <row r="259" spans="1:9">
      <c r="A259" t="s">
        <v>492</v>
      </c>
      <c r="B259">
        <v>3</v>
      </c>
      <c r="C259">
        <v>3</v>
      </c>
      <c r="D259">
        <v>332</v>
      </c>
      <c r="E259">
        <v>0</v>
      </c>
      <c r="F259">
        <v>0</v>
      </c>
      <c r="G259">
        <v>0</v>
      </c>
      <c r="H259">
        <v>332</v>
      </c>
      <c r="I259" s="4">
        <f t="shared" ref="I259:I322" si="4">D259/H259</f>
        <v>1</v>
      </c>
    </row>
    <row r="260" spans="1:9">
      <c r="A260" t="s">
        <v>492</v>
      </c>
      <c r="B260">
        <v>4</v>
      </c>
      <c r="C260">
        <v>1</v>
      </c>
      <c r="D260">
        <v>112</v>
      </c>
      <c r="E260">
        <v>0</v>
      </c>
      <c r="F260">
        <v>5</v>
      </c>
      <c r="G260">
        <v>0</v>
      </c>
      <c r="H260">
        <f>129</f>
        <v>129</v>
      </c>
      <c r="I260" s="4">
        <f t="shared" si="4"/>
        <v>0.86821705426356588</v>
      </c>
    </row>
    <row r="261" spans="1:9">
      <c r="A261" t="s">
        <v>492</v>
      </c>
      <c r="B261">
        <v>4</v>
      </c>
      <c r="C261">
        <v>2</v>
      </c>
      <c r="D261">
        <v>116</v>
      </c>
      <c r="E261">
        <v>0</v>
      </c>
      <c r="F261">
        <v>3</v>
      </c>
      <c r="G261">
        <v>0</v>
      </c>
      <c r="H261">
        <f>129</f>
        <v>129</v>
      </c>
      <c r="I261" s="4">
        <f t="shared" si="4"/>
        <v>0.89922480620155043</v>
      </c>
    </row>
    <row r="262" spans="1:9">
      <c r="A262" t="s">
        <v>492</v>
      </c>
      <c r="B262">
        <v>4</v>
      </c>
      <c r="C262">
        <v>3</v>
      </c>
      <c r="D262">
        <v>119</v>
      </c>
      <c r="E262">
        <v>0</v>
      </c>
      <c r="F262">
        <v>2</v>
      </c>
      <c r="G262">
        <v>0</v>
      </c>
      <c r="H262">
        <f>129</f>
        <v>129</v>
      </c>
      <c r="I262" s="4">
        <f t="shared" si="4"/>
        <v>0.92248062015503873</v>
      </c>
    </row>
    <row r="263" spans="1:9">
      <c r="A263" t="s">
        <v>492</v>
      </c>
      <c r="B263">
        <v>4</v>
      </c>
      <c r="C263">
        <v>4</v>
      </c>
      <c r="D263">
        <v>128</v>
      </c>
      <c r="E263">
        <v>0</v>
      </c>
      <c r="F263">
        <v>1</v>
      </c>
      <c r="G263">
        <v>0</v>
      </c>
      <c r="H263">
        <f>129</f>
        <v>129</v>
      </c>
      <c r="I263" s="4">
        <f t="shared" si="4"/>
        <v>0.99224806201550386</v>
      </c>
    </row>
    <row r="264" spans="1:9">
      <c r="A264" t="s">
        <v>492</v>
      </c>
      <c r="B264">
        <v>4</v>
      </c>
      <c r="C264">
        <v>5</v>
      </c>
      <c r="D264">
        <v>128</v>
      </c>
      <c r="E264">
        <v>0</v>
      </c>
      <c r="F264">
        <v>1</v>
      </c>
      <c r="G264">
        <v>0</v>
      </c>
      <c r="H264">
        <f>129</f>
        <v>129</v>
      </c>
      <c r="I264" s="4">
        <f t="shared" si="4"/>
        <v>0.99224806201550386</v>
      </c>
    </row>
    <row r="265" spans="1:9">
      <c r="A265" t="s">
        <v>492</v>
      </c>
      <c r="B265">
        <v>4</v>
      </c>
      <c r="C265">
        <v>6</v>
      </c>
      <c r="D265">
        <v>128</v>
      </c>
      <c r="E265">
        <v>0</v>
      </c>
      <c r="F265">
        <v>1</v>
      </c>
      <c r="G265">
        <v>0</v>
      </c>
      <c r="H265">
        <f>129</f>
        <v>129</v>
      </c>
      <c r="I265" s="4">
        <f t="shared" si="4"/>
        <v>0.99224806201550386</v>
      </c>
    </row>
    <row r="266" spans="1:9">
      <c r="A266" t="s">
        <v>492</v>
      </c>
      <c r="B266">
        <v>4</v>
      </c>
      <c r="C266">
        <v>7</v>
      </c>
      <c r="D266">
        <v>129</v>
      </c>
      <c r="E266">
        <v>0</v>
      </c>
      <c r="F266">
        <v>0</v>
      </c>
      <c r="G266">
        <v>0</v>
      </c>
      <c r="H266">
        <f>129</f>
        <v>129</v>
      </c>
      <c r="I266" s="4">
        <f t="shared" si="4"/>
        <v>1</v>
      </c>
    </row>
    <row r="267" spans="1:9">
      <c r="A267" t="s">
        <v>492</v>
      </c>
      <c r="B267">
        <v>4</v>
      </c>
      <c r="C267">
        <v>8</v>
      </c>
      <c r="D267">
        <v>129</v>
      </c>
      <c r="E267">
        <v>0</v>
      </c>
      <c r="F267">
        <v>0</v>
      </c>
      <c r="G267">
        <v>0</v>
      </c>
      <c r="H267">
        <f>129</f>
        <v>129</v>
      </c>
      <c r="I267" s="4">
        <f t="shared" si="4"/>
        <v>1</v>
      </c>
    </row>
    <row r="268" spans="1:9">
      <c r="A268" t="s">
        <v>492</v>
      </c>
      <c r="B268">
        <v>4</v>
      </c>
      <c r="C268">
        <v>9</v>
      </c>
      <c r="D268">
        <v>129</v>
      </c>
      <c r="E268">
        <v>0</v>
      </c>
      <c r="F268">
        <v>0</v>
      </c>
      <c r="G268">
        <v>0</v>
      </c>
      <c r="H268">
        <f>129</f>
        <v>129</v>
      </c>
      <c r="I268" s="4">
        <f t="shared" si="4"/>
        <v>1</v>
      </c>
    </row>
    <row r="269" spans="1:9">
      <c r="A269" t="s">
        <v>492</v>
      </c>
      <c r="B269">
        <v>6</v>
      </c>
      <c r="C269">
        <v>1</v>
      </c>
      <c r="D269">
        <v>78</v>
      </c>
      <c r="E269">
        <v>0</v>
      </c>
      <c r="F269">
        <v>3</v>
      </c>
      <c r="G269">
        <v>0</v>
      </c>
      <c r="H269">
        <v>121</v>
      </c>
      <c r="I269" s="4">
        <f t="shared" si="4"/>
        <v>0.64462809917355368</v>
      </c>
    </row>
    <row r="270" spans="1:9">
      <c r="A270" t="s">
        <v>492</v>
      </c>
      <c r="B270">
        <v>6</v>
      </c>
      <c r="C270">
        <v>2</v>
      </c>
      <c r="D270">
        <v>121</v>
      </c>
      <c r="E270">
        <v>0</v>
      </c>
      <c r="F270">
        <v>0</v>
      </c>
      <c r="G270">
        <v>0</v>
      </c>
      <c r="H270">
        <v>121</v>
      </c>
      <c r="I270" s="4">
        <f t="shared" si="4"/>
        <v>1</v>
      </c>
    </row>
    <row r="271" spans="1:9">
      <c r="A271" t="s">
        <v>492</v>
      </c>
      <c r="B271">
        <v>7</v>
      </c>
      <c r="C271">
        <v>1</v>
      </c>
      <c r="D271">
        <v>1</v>
      </c>
      <c r="E271">
        <v>0</v>
      </c>
      <c r="F271">
        <v>1</v>
      </c>
      <c r="G271">
        <v>0</v>
      </c>
      <c r="H271">
        <v>41</v>
      </c>
      <c r="I271" s="4">
        <f t="shared" si="4"/>
        <v>2.4390243902439025E-2</v>
      </c>
    </row>
    <row r="272" spans="1:9">
      <c r="A272" t="s">
        <v>492</v>
      </c>
      <c r="B272">
        <v>7</v>
      </c>
      <c r="C272">
        <v>2</v>
      </c>
      <c r="D272">
        <v>3</v>
      </c>
      <c r="E272">
        <v>0</v>
      </c>
      <c r="F272">
        <v>1</v>
      </c>
      <c r="G272">
        <v>0</v>
      </c>
      <c r="H272">
        <v>41</v>
      </c>
      <c r="I272" s="4">
        <f t="shared" si="4"/>
        <v>7.3170731707317069E-2</v>
      </c>
    </row>
    <row r="273" spans="1:9">
      <c r="A273" t="s">
        <v>492</v>
      </c>
      <c r="B273">
        <v>7</v>
      </c>
      <c r="C273">
        <v>3</v>
      </c>
      <c r="D273">
        <v>6</v>
      </c>
      <c r="E273">
        <v>0</v>
      </c>
      <c r="F273">
        <v>2</v>
      </c>
      <c r="G273">
        <v>0</v>
      </c>
      <c r="H273">
        <v>41</v>
      </c>
      <c r="I273" s="4">
        <f t="shared" si="4"/>
        <v>0.14634146341463414</v>
      </c>
    </row>
    <row r="274" spans="1:9">
      <c r="A274" t="s">
        <v>492</v>
      </c>
      <c r="B274">
        <v>7</v>
      </c>
      <c r="C274">
        <v>4</v>
      </c>
      <c r="D274">
        <v>7</v>
      </c>
      <c r="E274">
        <v>0</v>
      </c>
      <c r="F274">
        <v>1</v>
      </c>
      <c r="G274">
        <v>0</v>
      </c>
      <c r="H274">
        <v>41</v>
      </c>
      <c r="I274" s="4">
        <f t="shared" si="4"/>
        <v>0.17073170731707318</v>
      </c>
    </row>
    <row r="275" spans="1:9">
      <c r="A275" t="s">
        <v>492</v>
      </c>
      <c r="B275">
        <v>7</v>
      </c>
      <c r="C275">
        <v>5</v>
      </c>
      <c r="D275">
        <v>11</v>
      </c>
      <c r="E275">
        <v>0</v>
      </c>
      <c r="F275">
        <v>3</v>
      </c>
      <c r="G275">
        <v>0</v>
      </c>
      <c r="H275">
        <v>41</v>
      </c>
      <c r="I275" s="4">
        <f t="shared" si="4"/>
        <v>0.26829268292682928</v>
      </c>
    </row>
    <row r="276" spans="1:9">
      <c r="A276" t="s">
        <v>492</v>
      </c>
      <c r="B276">
        <v>7</v>
      </c>
      <c r="C276">
        <v>6</v>
      </c>
      <c r="D276">
        <v>11</v>
      </c>
      <c r="E276">
        <v>0</v>
      </c>
      <c r="F276">
        <v>3</v>
      </c>
      <c r="G276">
        <v>0</v>
      </c>
      <c r="H276">
        <v>41</v>
      </c>
      <c r="I276" s="4">
        <f t="shared" si="4"/>
        <v>0.26829268292682928</v>
      </c>
    </row>
    <row r="277" spans="1:9">
      <c r="A277" s="7" t="s">
        <v>492</v>
      </c>
      <c r="B277" s="7">
        <v>7</v>
      </c>
      <c r="C277" s="7">
        <v>7</v>
      </c>
      <c r="D277" s="7">
        <v>41</v>
      </c>
      <c r="E277" s="7">
        <v>0</v>
      </c>
      <c r="F277" s="7">
        <v>2</v>
      </c>
      <c r="G277" s="7">
        <v>0</v>
      </c>
      <c r="H277" s="7">
        <v>41</v>
      </c>
      <c r="I277" s="4">
        <f t="shared" si="4"/>
        <v>1</v>
      </c>
    </row>
    <row r="278" spans="1:9">
      <c r="A278" t="s">
        <v>493</v>
      </c>
      <c r="B278">
        <v>3</v>
      </c>
      <c r="C278">
        <v>1</v>
      </c>
      <c r="D278">
        <v>6</v>
      </c>
      <c r="E278">
        <v>0</v>
      </c>
      <c r="F278">
        <v>1</v>
      </c>
      <c r="G278">
        <v>0</v>
      </c>
      <c r="H278">
        <v>62</v>
      </c>
      <c r="I278" s="4">
        <f t="shared" si="4"/>
        <v>9.6774193548387094E-2</v>
      </c>
    </row>
    <row r="279" spans="1:9">
      <c r="A279" t="s">
        <v>493</v>
      </c>
      <c r="B279">
        <v>3</v>
      </c>
      <c r="C279">
        <v>2</v>
      </c>
      <c r="D279">
        <v>46</v>
      </c>
      <c r="E279">
        <v>0</v>
      </c>
      <c r="F279">
        <v>3</v>
      </c>
      <c r="G279">
        <v>0</v>
      </c>
      <c r="H279">
        <v>62</v>
      </c>
      <c r="I279" s="4">
        <f t="shared" si="4"/>
        <v>0.74193548387096775</v>
      </c>
    </row>
    <row r="280" spans="1:9">
      <c r="A280" t="s">
        <v>493</v>
      </c>
      <c r="B280">
        <v>3</v>
      </c>
      <c r="C280">
        <v>3</v>
      </c>
      <c r="D280">
        <v>62</v>
      </c>
      <c r="E280">
        <v>0</v>
      </c>
      <c r="F280">
        <v>0</v>
      </c>
      <c r="G280">
        <v>0</v>
      </c>
      <c r="H280">
        <v>62</v>
      </c>
      <c r="I280" s="4">
        <f t="shared" si="4"/>
        <v>1</v>
      </c>
    </row>
    <row r="281" spans="1:9">
      <c r="A281" t="s">
        <v>493</v>
      </c>
      <c r="B281">
        <v>7</v>
      </c>
      <c r="C281">
        <v>1</v>
      </c>
      <c r="D281">
        <v>3</v>
      </c>
      <c r="E281">
        <v>0</v>
      </c>
      <c r="F281">
        <v>0</v>
      </c>
      <c r="G281">
        <v>0</v>
      </c>
      <c r="H281">
        <v>56</v>
      </c>
      <c r="I281" s="4">
        <f t="shared" si="4"/>
        <v>5.3571428571428568E-2</v>
      </c>
    </row>
    <row r="282" spans="1:9">
      <c r="A282" t="s">
        <v>493</v>
      </c>
      <c r="B282">
        <v>7</v>
      </c>
      <c r="C282">
        <v>2</v>
      </c>
      <c r="D282">
        <v>4</v>
      </c>
      <c r="E282">
        <v>0</v>
      </c>
      <c r="F282">
        <v>1</v>
      </c>
      <c r="G282">
        <v>0</v>
      </c>
      <c r="H282">
        <v>56</v>
      </c>
      <c r="I282" s="4">
        <f t="shared" si="4"/>
        <v>7.1428571428571425E-2</v>
      </c>
    </row>
    <row r="283" spans="1:9">
      <c r="A283" t="s">
        <v>493</v>
      </c>
      <c r="B283">
        <v>7</v>
      </c>
      <c r="C283">
        <v>3</v>
      </c>
      <c r="D283">
        <v>16</v>
      </c>
      <c r="E283">
        <v>0</v>
      </c>
      <c r="F283">
        <v>1</v>
      </c>
      <c r="G283">
        <v>0</v>
      </c>
      <c r="H283">
        <v>56</v>
      </c>
      <c r="I283" s="4">
        <f t="shared" si="4"/>
        <v>0.2857142857142857</v>
      </c>
    </row>
    <row r="284" spans="1:9">
      <c r="A284" t="s">
        <v>493</v>
      </c>
      <c r="B284">
        <v>7</v>
      </c>
      <c r="C284">
        <v>4</v>
      </c>
      <c r="D284">
        <v>27</v>
      </c>
      <c r="E284">
        <v>0</v>
      </c>
      <c r="F284">
        <v>1</v>
      </c>
      <c r="G284">
        <v>0</v>
      </c>
      <c r="H284">
        <v>56</v>
      </c>
      <c r="I284" s="4">
        <f t="shared" si="4"/>
        <v>0.48214285714285715</v>
      </c>
    </row>
    <row r="285" spans="1:9">
      <c r="A285" t="s">
        <v>493</v>
      </c>
      <c r="B285">
        <v>7</v>
      </c>
      <c r="C285">
        <v>5</v>
      </c>
      <c r="D285">
        <v>29</v>
      </c>
      <c r="E285">
        <v>0</v>
      </c>
      <c r="F285">
        <v>1</v>
      </c>
      <c r="G285">
        <v>0</v>
      </c>
      <c r="H285">
        <v>56</v>
      </c>
      <c r="I285" s="4">
        <f t="shared" si="4"/>
        <v>0.5178571428571429</v>
      </c>
    </row>
    <row r="286" spans="1:9">
      <c r="A286" t="s">
        <v>493</v>
      </c>
      <c r="B286">
        <v>7</v>
      </c>
      <c r="C286">
        <v>6</v>
      </c>
      <c r="D286">
        <v>56</v>
      </c>
      <c r="E286">
        <v>0</v>
      </c>
      <c r="F286">
        <v>0</v>
      </c>
      <c r="G286">
        <v>0</v>
      </c>
      <c r="H286">
        <v>56</v>
      </c>
      <c r="I286" s="4">
        <f t="shared" si="4"/>
        <v>1</v>
      </c>
    </row>
    <row r="287" spans="1:9">
      <c r="A287" t="s">
        <v>493</v>
      </c>
      <c r="B287">
        <v>8</v>
      </c>
      <c r="C287">
        <v>1</v>
      </c>
      <c r="D287">
        <v>4</v>
      </c>
      <c r="E287">
        <v>0</v>
      </c>
      <c r="F287">
        <v>1</v>
      </c>
      <c r="G287">
        <v>0</v>
      </c>
      <c r="H287">
        <v>86</v>
      </c>
      <c r="I287" s="4">
        <f t="shared" si="4"/>
        <v>4.6511627906976744E-2</v>
      </c>
    </row>
    <row r="288" spans="1:9">
      <c r="A288" t="s">
        <v>493</v>
      </c>
      <c r="B288">
        <v>8</v>
      </c>
      <c r="C288">
        <v>2</v>
      </c>
      <c r="D288">
        <v>15</v>
      </c>
      <c r="E288">
        <v>0</v>
      </c>
      <c r="F288">
        <v>2</v>
      </c>
      <c r="G288">
        <v>0</v>
      </c>
      <c r="H288">
        <v>86</v>
      </c>
      <c r="I288" s="4">
        <f t="shared" si="4"/>
        <v>0.1744186046511628</v>
      </c>
    </row>
    <row r="289" spans="1:9">
      <c r="A289" t="s">
        <v>493</v>
      </c>
      <c r="B289">
        <v>8</v>
      </c>
      <c r="C289">
        <v>3</v>
      </c>
      <c r="D289">
        <v>19</v>
      </c>
      <c r="E289">
        <v>0</v>
      </c>
      <c r="F289">
        <v>2</v>
      </c>
      <c r="G289">
        <v>0</v>
      </c>
      <c r="H289">
        <v>86</v>
      </c>
      <c r="I289" s="4">
        <f t="shared" si="4"/>
        <v>0.22093023255813954</v>
      </c>
    </row>
    <row r="290" spans="1:9">
      <c r="A290" t="s">
        <v>493</v>
      </c>
      <c r="B290">
        <v>8</v>
      </c>
      <c r="C290">
        <v>4</v>
      </c>
      <c r="D290">
        <v>29</v>
      </c>
      <c r="E290">
        <v>0</v>
      </c>
      <c r="F290">
        <v>2</v>
      </c>
      <c r="G290">
        <v>0</v>
      </c>
      <c r="H290">
        <v>86</v>
      </c>
      <c r="I290" s="4">
        <f t="shared" si="4"/>
        <v>0.33720930232558138</v>
      </c>
    </row>
    <row r="291" spans="1:9">
      <c r="A291" t="s">
        <v>493</v>
      </c>
      <c r="B291">
        <v>8</v>
      </c>
      <c r="C291">
        <v>5</v>
      </c>
      <c r="D291">
        <v>31</v>
      </c>
      <c r="E291">
        <v>0</v>
      </c>
      <c r="F291">
        <v>2</v>
      </c>
      <c r="G291">
        <v>0</v>
      </c>
      <c r="H291">
        <v>86</v>
      </c>
      <c r="I291" s="4">
        <f t="shared" si="4"/>
        <v>0.36046511627906974</v>
      </c>
    </row>
    <row r="292" spans="1:9">
      <c r="A292" t="s">
        <v>493</v>
      </c>
      <c r="B292">
        <v>8</v>
      </c>
      <c r="C292">
        <v>6</v>
      </c>
      <c r="D292">
        <v>65</v>
      </c>
      <c r="E292">
        <v>0</v>
      </c>
      <c r="F292">
        <v>2</v>
      </c>
      <c r="G292">
        <v>0</v>
      </c>
      <c r="H292">
        <v>86</v>
      </c>
      <c r="I292" s="4">
        <f t="shared" si="4"/>
        <v>0.7558139534883721</v>
      </c>
    </row>
    <row r="293" spans="1:9">
      <c r="A293" t="s">
        <v>493</v>
      </c>
      <c r="B293">
        <v>8</v>
      </c>
      <c r="C293">
        <v>7</v>
      </c>
      <c r="D293">
        <v>69</v>
      </c>
      <c r="E293">
        <v>0</v>
      </c>
      <c r="F293">
        <v>3</v>
      </c>
      <c r="G293">
        <v>0</v>
      </c>
      <c r="H293">
        <v>86</v>
      </c>
      <c r="I293" s="4">
        <f t="shared" si="4"/>
        <v>0.80232558139534882</v>
      </c>
    </row>
    <row r="294" spans="1:9">
      <c r="A294" t="s">
        <v>493</v>
      </c>
      <c r="B294">
        <v>8</v>
      </c>
      <c r="C294">
        <v>8</v>
      </c>
      <c r="D294">
        <v>70</v>
      </c>
      <c r="E294">
        <v>0</v>
      </c>
      <c r="F294">
        <v>2</v>
      </c>
      <c r="G294">
        <v>0</v>
      </c>
      <c r="H294">
        <v>86</v>
      </c>
      <c r="I294" s="4">
        <f t="shared" si="4"/>
        <v>0.81395348837209303</v>
      </c>
    </row>
    <row r="295" spans="1:9">
      <c r="A295" t="s">
        <v>493</v>
      </c>
      <c r="B295">
        <v>8</v>
      </c>
      <c r="C295">
        <v>9</v>
      </c>
      <c r="D295">
        <v>75</v>
      </c>
      <c r="E295">
        <v>0</v>
      </c>
      <c r="F295">
        <v>2</v>
      </c>
      <c r="G295">
        <v>0</v>
      </c>
      <c r="H295">
        <v>86</v>
      </c>
      <c r="I295" s="4">
        <f t="shared" si="4"/>
        <v>0.87209302325581395</v>
      </c>
    </row>
    <row r="296" spans="1:9">
      <c r="A296" t="s">
        <v>493</v>
      </c>
      <c r="B296">
        <v>8</v>
      </c>
      <c r="C296">
        <v>10</v>
      </c>
      <c r="D296">
        <v>79</v>
      </c>
      <c r="E296">
        <v>0</v>
      </c>
      <c r="F296">
        <v>2</v>
      </c>
      <c r="G296">
        <v>0</v>
      </c>
      <c r="H296">
        <v>86</v>
      </c>
      <c r="I296" s="4">
        <f t="shared" si="4"/>
        <v>0.91860465116279066</v>
      </c>
    </row>
    <row r="297" spans="1:9">
      <c r="A297" t="s">
        <v>493</v>
      </c>
      <c r="B297">
        <v>8</v>
      </c>
      <c r="C297">
        <v>11</v>
      </c>
      <c r="D297">
        <v>86</v>
      </c>
      <c r="E297">
        <v>0</v>
      </c>
      <c r="F297">
        <v>0</v>
      </c>
      <c r="G297">
        <v>0</v>
      </c>
      <c r="H297">
        <v>86</v>
      </c>
      <c r="I297" s="4">
        <f t="shared" si="4"/>
        <v>1</v>
      </c>
    </row>
    <row r="298" spans="1:9">
      <c r="A298" t="s">
        <v>493</v>
      </c>
      <c r="B298">
        <v>9</v>
      </c>
      <c r="C298">
        <v>1</v>
      </c>
      <c r="D298">
        <v>4</v>
      </c>
      <c r="E298">
        <v>0</v>
      </c>
      <c r="F298">
        <v>1</v>
      </c>
      <c r="G298">
        <v>0</v>
      </c>
      <c r="H298">
        <v>46</v>
      </c>
      <c r="I298" s="4">
        <f t="shared" si="4"/>
        <v>8.6956521739130432E-2</v>
      </c>
    </row>
    <row r="299" spans="1:9">
      <c r="A299" t="s">
        <v>493</v>
      </c>
      <c r="B299">
        <v>9</v>
      </c>
      <c r="C299">
        <v>2</v>
      </c>
      <c r="D299">
        <v>9</v>
      </c>
      <c r="E299">
        <v>0</v>
      </c>
      <c r="F299">
        <v>1</v>
      </c>
      <c r="G299">
        <v>0</v>
      </c>
      <c r="H299">
        <v>46</v>
      </c>
      <c r="I299" s="4">
        <f t="shared" si="4"/>
        <v>0.19565217391304349</v>
      </c>
    </row>
    <row r="300" spans="1:9">
      <c r="A300" t="s">
        <v>493</v>
      </c>
      <c r="B300">
        <v>9</v>
      </c>
      <c r="C300">
        <v>3</v>
      </c>
      <c r="D300">
        <v>19</v>
      </c>
      <c r="E300">
        <v>0</v>
      </c>
      <c r="F300">
        <v>1</v>
      </c>
      <c r="G300">
        <v>0</v>
      </c>
      <c r="H300">
        <v>46</v>
      </c>
      <c r="I300" s="4">
        <f t="shared" si="4"/>
        <v>0.41304347826086957</v>
      </c>
    </row>
    <row r="301" spans="1:9">
      <c r="A301" t="s">
        <v>493</v>
      </c>
      <c r="B301">
        <v>9</v>
      </c>
      <c r="C301">
        <v>4</v>
      </c>
      <c r="D301">
        <v>21</v>
      </c>
      <c r="E301">
        <v>0</v>
      </c>
      <c r="F301">
        <v>1</v>
      </c>
      <c r="G301">
        <v>0</v>
      </c>
      <c r="H301">
        <v>46</v>
      </c>
      <c r="I301" s="4">
        <f t="shared" si="4"/>
        <v>0.45652173913043476</v>
      </c>
    </row>
    <row r="302" spans="1:9">
      <c r="A302" t="s">
        <v>493</v>
      </c>
      <c r="B302">
        <v>9</v>
      </c>
      <c r="C302">
        <v>5</v>
      </c>
      <c r="D302">
        <v>46</v>
      </c>
      <c r="E302">
        <v>0</v>
      </c>
      <c r="F302">
        <v>0</v>
      </c>
      <c r="G302">
        <v>0</v>
      </c>
      <c r="H302">
        <v>46</v>
      </c>
      <c r="I302" s="4">
        <f t="shared" si="4"/>
        <v>1</v>
      </c>
    </row>
    <row r="303" spans="1:9">
      <c r="A303" t="s">
        <v>493</v>
      </c>
      <c r="B303">
        <v>10</v>
      </c>
      <c r="C303">
        <v>1</v>
      </c>
      <c r="D303">
        <v>1</v>
      </c>
      <c r="E303">
        <v>0</v>
      </c>
      <c r="F303">
        <v>1</v>
      </c>
      <c r="G303">
        <v>0</v>
      </c>
      <c r="H303">
        <v>30</v>
      </c>
      <c r="I303" s="4">
        <f t="shared" si="4"/>
        <v>3.3333333333333333E-2</v>
      </c>
    </row>
    <row r="304" spans="1:9">
      <c r="A304" t="s">
        <v>493</v>
      </c>
      <c r="B304">
        <v>10</v>
      </c>
      <c r="C304">
        <v>2</v>
      </c>
      <c r="D304">
        <v>6</v>
      </c>
      <c r="E304">
        <v>0</v>
      </c>
      <c r="F304">
        <v>3</v>
      </c>
      <c r="G304">
        <v>0</v>
      </c>
      <c r="H304">
        <v>30</v>
      </c>
      <c r="I304" s="4">
        <f t="shared" si="4"/>
        <v>0.2</v>
      </c>
    </row>
    <row r="305" spans="1:9">
      <c r="A305" t="s">
        <v>493</v>
      </c>
      <c r="B305">
        <v>10</v>
      </c>
      <c r="C305">
        <v>3</v>
      </c>
      <c r="D305">
        <v>12</v>
      </c>
      <c r="E305">
        <v>0</v>
      </c>
      <c r="F305">
        <v>4</v>
      </c>
      <c r="G305">
        <v>0</v>
      </c>
      <c r="H305">
        <v>30</v>
      </c>
      <c r="I305" s="4">
        <f t="shared" si="4"/>
        <v>0.4</v>
      </c>
    </row>
    <row r="306" spans="1:9">
      <c r="A306" t="s">
        <v>493</v>
      </c>
      <c r="B306">
        <v>10</v>
      </c>
      <c r="C306">
        <v>4</v>
      </c>
      <c r="D306">
        <v>13</v>
      </c>
      <c r="E306">
        <v>0</v>
      </c>
      <c r="F306">
        <v>3</v>
      </c>
      <c r="G306">
        <v>0</v>
      </c>
      <c r="H306">
        <v>30</v>
      </c>
      <c r="I306" s="4">
        <f t="shared" si="4"/>
        <v>0.43333333333333335</v>
      </c>
    </row>
    <row r="307" spans="1:9">
      <c r="A307" t="s">
        <v>493</v>
      </c>
      <c r="B307">
        <v>10</v>
      </c>
      <c r="C307">
        <v>5</v>
      </c>
      <c r="D307">
        <v>19</v>
      </c>
      <c r="E307">
        <v>0</v>
      </c>
      <c r="F307">
        <v>4</v>
      </c>
      <c r="G307">
        <v>0</v>
      </c>
      <c r="H307">
        <v>30</v>
      </c>
      <c r="I307" s="4">
        <f t="shared" si="4"/>
        <v>0.6333333333333333</v>
      </c>
    </row>
    <row r="308" spans="1:9">
      <c r="A308" t="s">
        <v>493</v>
      </c>
      <c r="B308">
        <v>10</v>
      </c>
      <c r="C308">
        <v>6</v>
      </c>
      <c r="D308">
        <v>19</v>
      </c>
      <c r="E308">
        <v>0</v>
      </c>
      <c r="F308">
        <v>4</v>
      </c>
      <c r="G308">
        <v>0</v>
      </c>
      <c r="H308">
        <v>30</v>
      </c>
      <c r="I308" s="4">
        <f t="shared" si="4"/>
        <v>0.6333333333333333</v>
      </c>
    </row>
    <row r="309" spans="1:9">
      <c r="A309" t="s">
        <v>493</v>
      </c>
      <c r="B309">
        <v>10</v>
      </c>
      <c r="C309">
        <v>7</v>
      </c>
      <c r="D309">
        <v>20</v>
      </c>
      <c r="E309">
        <v>0</v>
      </c>
      <c r="F309">
        <v>3</v>
      </c>
      <c r="G309">
        <v>0</v>
      </c>
      <c r="H309">
        <v>30</v>
      </c>
      <c r="I309" s="4">
        <f t="shared" si="4"/>
        <v>0.66666666666666663</v>
      </c>
    </row>
    <row r="310" spans="1:9">
      <c r="A310" t="s">
        <v>493</v>
      </c>
      <c r="B310">
        <v>10</v>
      </c>
      <c r="C310">
        <v>8</v>
      </c>
      <c r="D310">
        <v>24</v>
      </c>
      <c r="E310">
        <v>0</v>
      </c>
      <c r="F310">
        <v>3</v>
      </c>
      <c r="G310">
        <v>0</v>
      </c>
      <c r="H310">
        <v>30</v>
      </c>
      <c r="I310" s="4">
        <f t="shared" si="4"/>
        <v>0.8</v>
      </c>
    </row>
    <row r="311" spans="1:9">
      <c r="A311" t="s">
        <v>493</v>
      </c>
      <c r="B311">
        <v>10</v>
      </c>
      <c r="C311">
        <v>9</v>
      </c>
      <c r="D311">
        <v>24</v>
      </c>
      <c r="E311">
        <v>0</v>
      </c>
      <c r="F311">
        <v>3</v>
      </c>
      <c r="G311">
        <v>0</v>
      </c>
      <c r="H311">
        <v>30</v>
      </c>
      <c r="I311" s="4">
        <f t="shared" si="4"/>
        <v>0.8</v>
      </c>
    </row>
    <row r="312" spans="1:9">
      <c r="A312" t="s">
        <v>493</v>
      </c>
      <c r="B312">
        <v>10</v>
      </c>
      <c r="C312">
        <v>10</v>
      </c>
      <c r="D312">
        <v>28</v>
      </c>
      <c r="E312">
        <v>0</v>
      </c>
      <c r="F312">
        <v>2</v>
      </c>
      <c r="G312">
        <v>0</v>
      </c>
      <c r="H312">
        <v>30</v>
      </c>
      <c r="I312" s="4">
        <f t="shared" si="4"/>
        <v>0.93333333333333335</v>
      </c>
    </row>
    <row r="313" spans="1:9">
      <c r="A313" t="s">
        <v>493</v>
      </c>
      <c r="B313">
        <v>10</v>
      </c>
      <c r="C313">
        <v>11</v>
      </c>
      <c r="D313">
        <v>28</v>
      </c>
      <c r="E313">
        <v>0</v>
      </c>
      <c r="F313">
        <v>2</v>
      </c>
      <c r="G313">
        <v>0</v>
      </c>
      <c r="H313">
        <v>30</v>
      </c>
      <c r="I313" s="4">
        <f t="shared" si="4"/>
        <v>0.93333333333333335</v>
      </c>
    </row>
    <row r="314" spans="1:9">
      <c r="A314" t="s">
        <v>493</v>
      </c>
      <c r="B314">
        <v>10</v>
      </c>
      <c r="C314">
        <v>12</v>
      </c>
      <c r="D314">
        <v>29</v>
      </c>
      <c r="E314">
        <v>0</v>
      </c>
      <c r="F314">
        <v>1</v>
      </c>
      <c r="G314">
        <v>0</v>
      </c>
      <c r="H314">
        <v>30</v>
      </c>
      <c r="I314" s="4">
        <f t="shared" si="4"/>
        <v>0.96666666666666667</v>
      </c>
    </row>
    <row r="315" spans="1:9">
      <c r="A315" t="s">
        <v>493</v>
      </c>
      <c r="B315">
        <v>10</v>
      </c>
      <c r="C315">
        <v>13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</row>
    <row r="316" spans="1:9">
      <c r="A316" t="s">
        <v>493</v>
      </c>
      <c r="B316">
        <v>10</v>
      </c>
      <c r="C316">
        <v>14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</row>
    <row r="317" spans="1:9">
      <c r="A317" t="s">
        <v>493</v>
      </c>
      <c r="B317">
        <v>10</v>
      </c>
      <c r="C317">
        <v>15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</row>
    <row r="318" spans="1:9">
      <c r="A318" t="s">
        <v>493</v>
      </c>
      <c r="B318">
        <v>10</v>
      </c>
      <c r="C318">
        <v>16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</row>
    <row r="319" spans="1:9">
      <c r="A319" t="s">
        <v>493</v>
      </c>
      <c r="B319">
        <v>10</v>
      </c>
      <c r="C319">
        <v>17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</row>
    <row r="320" spans="1:9">
      <c r="A320" t="s">
        <v>493</v>
      </c>
      <c r="B320">
        <v>10</v>
      </c>
      <c r="C320">
        <v>18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</row>
    <row r="321" spans="1:9">
      <c r="A321" t="s">
        <v>493</v>
      </c>
      <c r="B321">
        <v>10</v>
      </c>
      <c r="C321">
        <v>19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</row>
    <row r="322" spans="1:9">
      <c r="A322" t="s">
        <v>493</v>
      </c>
      <c r="B322">
        <v>10</v>
      </c>
      <c r="C322">
        <v>20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</row>
    <row r="323" spans="1:9">
      <c r="A323" t="s">
        <v>493</v>
      </c>
      <c r="B323">
        <v>10</v>
      </c>
      <c r="C323">
        <v>21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</row>
    <row r="324" spans="1:9">
      <c r="A324" t="s">
        <v>493</v>
      </c>
      <c r="B324">
        <v>10</v>
      </c>
      <c r="C324">
        <v>22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</row>
    <row r="325" spans="1:9">
      <c r="A325" t="s">
        <v>493</v>
      </c>
      <c r="B325">
        <v>10</v>
      </c>
      <c r="C325">
        <v>23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</row>
    <row r="326" spans="1:9">
      <c r="A326" t="s">
        <v>493</v>
      </c>
      <c r="B326">
        <v>10</v>
      </c>
      <c r="C326">
        <v>24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</row>
    <row r="327" spans="1:9">
      <c r="A327" t="s">
        <v>493</v>
      </c>
      <c r="B327">
        <v>10</v>
      </c>
      <c r="C327">
        <v>25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</row>
    <row r="328" spans="1:9">
      <c r="A328" t="s">
        <v>493</v>
      </c>
      <c r="B328">
        <v>10</v>
      </c>
      <c r="C328">
        <v>26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</row>
    <row r="329" spans="1:9">
      <c r="A329" t="s">
        <v>493</v>
      </c>
      <c r="B329">
        <v>10</v>
      </c>
      <c r="C329">
        <v>27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</row>
    <row r="330" spans="1:9">
      <c r="A330" t="s">
        <v>493</v>
      </c>
      <c r="B330">
        <v>10</v>
      </c>
      <c r="C330">
        <v>28</v>
      </c>
      <c r="D330">
        <v>30</v>
      </c>
      <c r="E330">
        <v>0</v>
      </c>
      <c r="F330">
        <v>0</v>
      </c>
      <c r="G330">
        <v>0</v>
      </c>
      <c r="H330">
        <v>30</v>
      </c>
      <c r="I330" s="4">
        <f t="shared" si="5"/>
        <v>1</v>
      </c>
    </row>
    <row r="331" spans="1:9">
      <c r="A331" t="s">
        <v>493</v>
      </c>
      <c r="B331">
        <v>10</v>
      </c>
      <c r="C331">
        <v>29</v>
      </c>
      <c r="D331">
        <v>30</v>
      </c>
      <c r="E331">
        <v>0</v>
      </c>
      <c r="F331">
        <v>0</v>
      </c>
      <c r="G331">
        <v>0</v>
      </c>
      <c r="H331">
        <v>30</v>
      </c>
      <c r="I331" s="4">
        <f t="shared" si="5"/>
        <v>1</v>
      </c>
    </row>
    <row r="332" spans="1:9">
      <c r="A332" t="s">
        <v>493</v>
      </c>
      <c r="B332">
        <v>10</v>
      </c>
      <c r="C332">
        <v>30</v>
      </c>
      <c r="D332">
        <v>30</v>
      </c>
      <c r="E332">
        <v>0</v>
      </c>
      <c r="F332">
        <v>0</v>
      </c>
      <c r="G332">
        <v>0</v>
      </c>
      <c r="H332">
        <v>30</v>
      </c>
      <c r="I332" s="4">
        <f t="shared" si="5"/>
        <v>1</v>
      </c>
    </row>
    <row r="333" spans="1:9">
      <c r="A333" t="s">
        <v>493</v>
      </c>
      <c r="B333">
        <v>10</v>
      </c>
      <c r="C333">
        <v>31</v>
      </c>
      <c r="D333">
        <v>30</v>
      </c>
      <c r="E333">
        <v>0</v>
      </c>
      <c r="F333">
        <v>0</v>
      </c>
      <c r="G333">
        <v>0</v>
      </c>
      <c r="H333">
        <v>30</v>
      </c>
      <c r="I333" s="4">
        <f t="shared" si="5"/>
        <v>1</v>
      </c>
    </row>
    <row r="334" spans="1:9">
      <c r="A334" t="s">
        <v>493</v>
      </c>
      <c r="B334">
        <v>10</v>
      </c>
      <c r="C334">
        <v>32</v>
      </c>
      <c r="D334">
        <v>30</v>
      </c>
      <c r="E334">
        <v>0</v>
      </c>
      <c r="F334">
        <v>0</v>
      </c>
      <c r="G334">
        <v>0</v>
      </c>
      <c r="H334">
        <v>30</v>
      </c>
      <c r="I334" s="4">
        <f t="shared" si="5"/>
        <v>1</v>
      </c>
    </row>
    <row r="335" spans="1:9">
      <c r="A335" t="s">
        <v>494</v>
      </c>
      <c r="B335">
        <v>3</v>
      </c>
      <c r="C335">
        <v>1</v>
      </c>
      <c r="D335">
        <v>130</v>
      </c>
      <c r="E335">
        <v>0</v>
      </c>
      <c r="F335">
        <v>3</v>
      </c>
      <c r="G335">
        <v>0</v>
      </c>
      <c r="H335">
        <v>139</v>
      </c>
      <c r="I335" s="4">
        <f t="shared" si="5"/>
        <v>0.93525179856115104</v>
      </c>
    </row>
    <row r="336" spans="1:9">
      <c r="A336" t="s">
        <v>494</v>
      </c>
      <c r="B336">
        <v>3</v>
      </c>
      <c r="C336">
        <v>2</v>
      </c>
      <c r="D336">
        <v>139</v>
      </c>
      <c r="E336">
        <v>0</v>
      </c>
      <c r="F336">
        <v>0</v>
      </c>
      <c r="G336">
        <v>0</v>
      </c>
      <c r="H336">
        <v>139</v>
      </c>
      <c r="I336" s="4">
        <f t="shared" si="5"/>
        <v>1</v>
      </c>
    </row>
    <row r="337" spans="1:9">
      <c r="A337" t="s">
        <v>495</v>
      </c>
      <c r="B337">
        <v>2</v>
      </c>
      <c r="C337">
        <v>1</v>
      </c>
      <c r="D337">
        <v>14</v>
      </c>
      <c r="E337">
        <v>0</v>
      </c>
      <c r="F337">
        <v>10</v>
      </c>
      <c r="G337">
        <v>0</v>
      </c>
      <c r="H337">
        <v>112</v>
      </c>
      <c r="I337" s="4">
        <f t="shared" si="5"/>
        <v>0.125</v>
      </c>
    </row>
    <row r="338" spans="1:9">
      <c r="A338" t="s">
        <v>495</v>
      </c>
      <c r="B338">
        <v>2</v>
      </c>
      <c r="C338">
        <v>2</v>
      </c>
      <c r="D338">
        <v>26</v>
      </c>
      <c r="E338">
        <v>0</v>
      </c>
      <c r="F338">
        <v>8</v>
      </c>
      <c r="G338">
        <v>0</v>
      </c>
      <c r="H338">
        <v>112</v>
      </c>
      <c r="I338" s="4">
        <f t="shared" si="5"/>
        <v>0.23214285714285715</v>
      </c>
    </row>
    <row r="339" spans="1:9">
      <c r="A339" t="s">
        <v>495</v>
      </c>
      <c r="B339">
        <v>2</v>
      </c>
      <c r="C339">
        <v>3</v>
      </c>
      <c r="D339">
        <v>39</v>
      </c>
      <c r="E339">
        <v>0</v>
      </c>
      <c r="F339">
        <v>6</v>
      </c>
      <c r="G339">
        <v>0</v>
      </c>
      <c r="H339">
        <v>112</v>
      </c>
      <c r="I339" s="4">
        <f t="shared" si="5"/>
        <v>0.3482142857142857</v>
      </c>
    </row>
    <row r="340" spans="1:9">
      <c r="A340" t="s">
        <v>495</v>
      </c>
      <c r="B340">
        <v>2</v>
      </c>
      <c r="C340">
        <v>4</v>
      </c>
      <c r="D340">
        <v>50</v>
      </c>
      <c r="E340">
        <v>0</v>
      </c>
      <c r="F340">
        <v>4</v>
      </c>
      <c r="G340">
        <v>0</v>
      </c>
      <c r="H340">
        <v>112</v>
      </c>
      <c r="I340" s="4">
        <f t="shared" si="5"/>
        <v>0.44642857142857145</v>
      </c>
    </row>
    <row r="341" spans="1:9">
      <c r="A341" t="s">
        <v>495</v>
      </c>
      <c r="B341">
        <v>2</v>
      </c>
      <c r="C341">
        <v>5</v>
      </c>
      <c r="D341">
        <v>62</v>
      </c>
      <c r="E341">
        <v>0</v>
      </c>
      <c r="F341">
        <v>4</v>
      </c>
      <c r="G341">
        <v>0</v>
      </c>
      <c r="H341">
        <v>112</v>
      </c>
      <c r="I341" s="4">
        <f t="shared" si="5"/>
        <v>0.5535714285714286</v>
      </c>
    </row>
    <row r="342" spans="1:9">
      <c r="A342" t="s">
        <v>495</v>
      </c>
      <c r="B342">
        <v>2</v>
      </c>
      <c r="C342">
        <v>6</v>
      </c>
      <c r="D342">
        <v>72</v>
      </c>
      <c r="E342">
        <v>0</v>
      </c>
      <c r="F342">
        <v>1</v>
      </c>
      <c r="G342">
        <v>0</v>
      </c>
      <c r="H342">
        <v>112</v>
      </c>
      <c r="I342" s="4">
        <f t="shared" si="5"/>
        <v>0.6428571428571429</v>
      </c>
    </row>
    <row r="343" spans="1:9">
      <c r="A343" t="s">
        <v>495</v>
      </c>
      <c r="B343">
        <v>2</v>
      </c>
      <c r="C343">
        <v>7</v>
      </c>
      <c r="D343">
        <v>72</v>
      </c>
      <c r="E343">
        <v>0</v>
      </c>
      <c r="F343">
        <v>1</v>
      </c>
      <c r="G343">
        <v>0</v>
      </c>
      <c r="H343">
        <v>112</v>
      </c>
      <c r="I343" s="4">
        <f t="shared" si="5"/>
        <v>0.6428571428571429</v>
      </c>
    </row>
    <row r="344" spans="1:9">
      <c r="A344" t="s">
        <v>495</v>
      </c>
      <c r="B344">
        <v>2</v>
      </c>
      <c r="C344">
        <v>8</v>
      </c>
      <c r="D344">
        <v>72</v>
      </c>
      <c r="E344">
        <v>0</v>
      </c>
      <c r="F344">
        <v>1</v>
      </c>
      <c r="G344">
        <v>0</v>
      </c>
      <c r="H344">
        <v>112</v>
      </c>
      <c r="I344" s="4">
        <f t="shared" si="5"/>
        <v>0.6428571428571429</v>
      </c>
    </row>
    <row r="345" spans="1:9">
      <c r="A345" t="s">
        <v>495</v>
      </c>
      <c r="B345">
        <v>2</v>
      </c>
      <c r="C345">
        <v>9</v>
      </c>
      <c r="D345">
        <v>72</v>
      </c>
      <c r="E345">
        <v>0</v>
      </c>
      <c r="F345">
        <v>1</v>
      </c>
      <c r="G345">
        <v>0</v>
      </c>
      <c r="H345">
        <v>112</v>
      </c>
      <c r="I345" s="4">
        <f t="shared" si="5"/>
        <v>0.6428571428571429</v>
      </c>
    </row>
    <row r="346" spans="1:9">
      <c r="A346" t="s">
        <v>495</v>
      </c>
      <c r="B346">
        <v>2</v>
      </c>
      <c r="C346">
        <v>10</v>
      </c>
      <c r="D346">
        <v>89</v>
      </c>
      <c r="E346">
        <v>0</v>
      </c>
      <c r="F346">
        <v>1</v>
      </c>
      <c r="G346">
        <v>0</v>
      </c>
      <c r="H346">
        <v>112</v>
      </c>
      <c r="I346" s="4">
        <f t="shared" si="5"/>
        <v>0.7946428571428571</v>
      </c>
    </row>
    <row r="347" spans="1:9">
      <c r="A347" t="s">
        <v>495</v>
      </c>
      <c r="B347">
        <v>2</v>
      </c>
      <c r="C347">
        <v>11</v>
      </c>
      <c r="D347">
        <v>89</v>
      </c>
      <c r="E347">
        <v>0</v>
      </c>
      <c r="F347">
        <v>1</v>
      </c>
      <c r="G347">
        <v>0</v>
      </c>
      <c r="H347">
        <v>112</v>
      </c>
      <c r="I347" s="4">
        <f t="shared" si="5"/>
        <v>0.7946428571428571</v>
      </c>
    </row>
    <row r="348" spans="1:9">
      <c r="A348" t="s">
        <v>495</v>
      </c>
      <c r="B348">
        <v>2</v>
      </c>
      <c r="C348">
        <v>12</v>
      </c>
      <c r="D348">
        <v>112</v>
      </c>
      <c r="E348">
        <v>0</v>
      </c>
      <c r="F348">
        <v>0</v>
      </c>
      <c r="G348">
        <v>0</v>
      </c>
      <c r="H348">
        <v>112</v>
      </c>
      <c r="I348" s="4">
        <f t="shared" si="5"/>
        <v>1</v>
      </c>
    </row>
    <row r="349" spans="1:9">
      <c r="A349" t="s">
        <v>495</v>
      </c>
      <c r="B349">
        <v>2</v>
      </c>
      <c r="C349">
        <v>13</v>
      </c>
      <c r="D349">
        <v>112</v>
      </c>
      <c r="E349">
        <v>0</v>
      </c>
      <c r="F349">
        <v>0</v>
      </c>
      <c r="G349">
        <v>0</v>
      </c>
      <c r="H349">
        <v>112</v>
      </c>
      <c r="I349" s="4">
        <f t="shared" si="5"/>
        <v>1</v>
      </c>
    </row>
    <row r="350" spans="1:9">
      <c r="A350" t="s">
        <v>495</v>
      </c>
      <c r="B350">
        <v>2</v>
      </c>
      <c r="C350">
        <v>14</v>
      </c>
      <c r="D350">
        <v>112</v>
      </c>
      <c r="E350">
        <v>0</v>
      </c>
      <c r="F350">
        <v>0</v>
      </c>
      <c r="G350">
        <v>0</v>
      </c>
      <c r="H350">
        <v>112</v>
      </c>
      <c r="I350" s="4">
        <f t="shared" si="5"/>
        <v>1</v>
      </c>
    </row>
    <row r="351" spans="1:9">
      <c r="A351" t="s">
        <v>495</v>
      </c>
      <c r="B351">
        <v>3</v>
      </c>
      <c r="C351">
        <v>1</v>
      </c>
      <c r="D351">
        <v>19</v>
      </c>
      <c r="E351">
        <v>0</v>
      </c>
      <c r="F351">
        <v>1</v>
      </c>
      <c r="G351">
        <v>0</v>
      </c>
      <c r="H351">
        <v>140</v>
      </c>
      <c r="I351" s="4">
        <f t="shared" si="5"/>
        <v>0.1357142857142857</v>
      </c>
    </row>
    <row r="352" spans="1:9">
      <c r="A352" t="s">
        <v>495</v>
      </c>
      <c r="B352">
        <v>3</v>
      </c>
      <c r="C352">
        <v>2</v>
      </c>
      <c r="D352">
        <v>28</v>
      </c>
      <c r="E352">
        <v>0</v>
      </c>
      <c r="F352">
        <v>7</v>
      </c>
      <c r="G352">
        <v>0</v>
      </c>
      <c r="H352">
        <v>140</v>
      </c>
      <c r="I352" s="4">
        <f t="shared" si="5"/>
        <v>0.2</v>
      </c>
    </row>
    <row r="353" spans="1:9">
      <c r="A353" t="s">
        <v>495</v>
      </c>
      <c r="B353">
        <v>3</v>
      </c>
      <c r="C353">
        <v>3</v>
      </c>
      <c r="D353">
        <v>63</v>
      </c>
      <c r="E353">
        <v>0</v>
      </c>
      <c r="F353">
        <v>5</v>
      </c>
      <c r="G353">
        <v>0</v>
      </c>
      <c r="H353">
        <v>140</v>
      </c>
      <c r="I353" s="4">
        <f t="shared" si="5"/>
        <v>0.45</v>
      </c>
    </row>
    <row r="354" spans="1:9">
      <c r="A354" t="s">
        <v>495</v>
      </c>
      <c r="B354">
        <v>3</v>
      </c>
      <c r="C354">
        <v>4</v>
      </c>
      <c r="D354">
        <v>63</v>
      </c>
      <c r="E354">
        <v>0</v>
      </c>
      <c r="F354">
        <v>5</v>
      </c>
      <c r="G354">
        <v>0</v>
      </c>
      <c r="H354">
        <v>140</v>
      </c>
      <c r="I354" s="4">
        <f t="shared" si="5"/>
        <v>0.45</v>
      </c>
    </row>
    <row r="355" spans="1:9">
      <c r="A355" t="s">
        <v>495</v>
      </c>
      <c r="B355">
        <v>3</v>
      </c>
      <c r="C355">
        <v>5</v>
      </c>
      <c r="D355">
        <v>120</v>
      </c>
      <c r="E355">
        <v>0</v>
      </c>
      <c r="F355">
        <v>3</v>
      </c>
      <c r="G355">
        <v>0</v>
      </c>
      <c r="H355">
        <v>140</v>
      </c>
      <c r="I355" s="4">
        <f t="shared" si="5"/>
        <v>0.8571428571428571</v>
      </c>
    </row>
    <row r="356" spans="1:9">
      <c r="A356" t="s">
        <v>495</v>
      </c>
      <c r="B356">
        <v>3</v>
      </c>
      <c r="C356">
        <v>6</v>
      </c>
      <c r="D356">
        <v>140</v>
      </c>
      <c r="E356">
        <v>0</v>
      </c>
      <c r="F356">
        <v>2</v>
      </c>
      <c r="G356">
        <v>0</v>
      </c>
      <c r="H356">
        <v>140</v>
      </c>
      <c r="I356" s="4">
        <f t="shared" si="5"/>
        <v>1</v>
      </c>
    </row>
    <row r="357" spans="1:9">
      <c r="A357" t="s">
        <v>495</v>
      </c>
      <c r="B357">
        <v>4</v>
      </c>
      <c r="C357">
        <v>1</v>
      </c>
      <c r="D357">
        <v>19</v>
      </c>
      <c r="E357">
        <v>0</v>
      </c>
      <c r="F357">
        <v>1</v>
      </c>
      <c r="G357">
        <v>0</v>
      </c>
      <c r="H357">
        <v>272</v>
      </c>
      <c r="I357" s="4">
        <f t="shared" si="5"/>
        <v>6.985294117647059E-2</v>
      </c>
    </row>
    <row r="358" spans="1:9">
      <c r="A358" t="s">
        <v>495</v>
      </c>
      <c r="B358">
        <v>4</v>
      </c>
      <c r="C358">
        <v>2</v>
      </c>
      <c r="D358">
        <v>31</v>
      </c>
      <c r="E358">
        <v>0</v>
      </c>
      <c r="F358">
        <v>13</v>
      </c>
      <c r="G358">
        <v>0</v>
      </c>
      <c r="H358">
        <v>272</v>
      </c>
      <c r="I358" s="4">
        <f t="shared" si="5"/>
        <v>0.11397058823529412</v>
      </c>
    </row>
    <row r="359" spans="1:9">
      <c r="A359" t="s">
        <v>495</v>
      </c>
      <c r="B359">
        <v>4</v>
      </c>
      <c r="C359">
        <v>3</v>
      </c>
      <c r="D359">
        <v>66</v>
      </c>
      <c r="E359">
        <v>0</v>
      </c>
      <c r="F359">
        <v>11</v>
      </c>
      <c r="G359">
        <v>0</v>
      </c>
      <c r="H359">
        <v>272</v>
      </c>
      <c r="I359" s="4">
        <f t="shared" si="5"/>
        <v>0.24264705882352941</v>
      </c>
    </row>
    <row r="360" spans="1:9">
      <c r="A360" t="s">
        <v>495</v>
      </c>
      <c r="B360">
        <v>4</v>
      </c>
      <c r="C360">
        <v>4</v>
      </c>
      <c r="D360">
        <v>101</v>
      </c>
      <c r="E360">
        <v>0</v>
      </c>
      <c r="F360">
        <v>9</v>
      </c>
      <c r="G360">
        <v>0</v>
      </c>
      <c r="H360">
        <v>272</v>
      </c>
      <c r="I360" s="4">
        <f t="shared" si="5"/>
        <v>0.37132352941176472</v>
      </c>
    </row>
    <row r="361" spans="1:9">
      <c r="A361" t="s">
        <v>495</v>
      </c>
      <c r="B361">
        <v>4</v>
      </c>
      <c r="C361">
        <v>5</v>
      </c>
      <c r="D361">
        <v>154</v>
      </c>
      <c r="E361">
        <v>0</v>
      </c>
      <c r="F361">
        <v>7</v>
      </c>
      <c r="G361">
        <v>0</v>
      </c>
      <c r="H361">
        <v>272</v>
      </c>
      <c r="I361" s="4">
        <f t="shared" si="5"/>
        <v>0.56617647058823528</v>
      </c>
    </row>
    <row r="362" spans="1:9">
      <c r="A362" t="s">
        <v>495</v>
      </c>
      <c r="B362">
        <v>4</v>
      </c>
      <c r="C362">
        <v>6</v>
      </c>
      <c r="D362">
        <v>175</v>
      </c>
      <c r="E362">
        <v>0</v>
      </c>
      <c r="F362">
        <v>5</v>
      </c>
      <c r="G362">
        <v>0</v>
      </c>
      <c r="H362">
        <v>272</v>
      </c>
      <c r="I362" s="4">
        <f t="shared" si="5"/>
        <v>0.64338235294117652</v>
      </c>
    </row>
    <row r="363" spans="1:9">
      <c r="A363" t="s">
        <v>495</v>
      </c>
      <c r="B363">
        <v>4</v>
      </c>
      <c r="C363">
        <v>7</v>
      </c>
      <c r="D363">
        <v>202</v>
      </c>
      <c r="E363">
        <v>0</v>
      </c>
      <c r="F363">
        <v>3</v>
      </c>
      <c r="G363">
        <v>0</v>
      </c>
      <c r="H363">
        <v>272</v>
      </c>
      <c r="I363" s="4">
        <f t="shared" si="5"/>
        <v>0.74264705882352944</v>
      </c>
    </row>
    <row r="364" spans="1:9">
      <c r="A364" t="s">
        <v>495</v>
      </c>
      <c r="B364">
        <v>4</v>
      </c>
      <c r="C364">
        <v>8</v>
      </c>
      <c r="D364">
        <v>234</v>
      </c>
      <c r="E364">
        <v>0</v>
      </c>
      <c r="F364">
        <v>1</v>
      </c>
      <c r="G364">
        <v>0</v>
      </c>
      <c r="H364">
        <v>272</v>
      </c>
      <c r="I364" s="4">
        <f t="shared" si="5"/>
        <v>0.86029411764705888</v>
      </c>
    </row>
    <row r="365" spans="1:9">
      <c r="A365" t="s">
        <v>495</v>
      </c>
      <c r="B365">
        <v>4</v>
      </c>
      <c r="C365">
        <v>9</v>
      </c>
      <c r="D365">
        <v>272</v>
      </c>
      <c r="E365">
        <v>0</v>
      </c>
      <c r="F365">
        <v>0</v>
      </c>
      <c r="G365">
        <v>0</v>
      </c>
      <c r="H365">
        <v>272</v>
      </c>
      <c r="I365" s="4">
        <f t="shared" si="5"/>
        <v>1</v>
      </c>
    </row>
    <row r="366" spans="1:9">
      <c r="A366" t="s">
        <v>495</v>
      </c>
      <c r="B366">
        <v>5</v>
      </c>
      <c r="C366">
        <v>1</v>
      </c>
      <c r="D366">
        <v>8</v>
      </c>
      <c r="E366">
        <v>0</v>
      </c>
      <c r="F366">
        <v>3</v>
      </c>
      <c r="G366">
        <v>0</v>
      </c>
      <c r="H366">
        <v>22</v>
      </c>
      <c r="I366" s="4">
        <f t="shared" si="5"/>
        <v>0.36363636363636365</v>
      </c>
    </row>
    <row r="367" spans="1:9">
      <c r="A367" t="s">
        <v>495</v>
      </c>
      <c r="B367">
        <v>5</v>
      </c>
      <c r="C367">
        <v>2</v>
      </c>
      <c r="D367">
        <v>12</v>
      </c>
      <c r="E367">
        <v>0</v>
      </c>
      <c r="F367">
        <v>3</v>
      </c>
      <c r="G367">
        <v>0</v>
      </c>
      <c r="H367">
        <v>22</v>
      </c>
      <c r="I367" s="4">
        <f t="shared" si="5"/>
        <v>0.54545454545454541</v>
      </c>
    </row>
    <row r="368" spans="1:9">
      <c r="A368" t="s">
        <v>495</v>
      </c>
      <c r="B368">
        <v>5</v>
      </c>
      <c r="C368">
        <v>3</v>
      </c>
      <c r="D368">
        <v>16</v>
      </c>
      <c r="E368">
        <v>0</v>
      </c>
      <c r="F368">
        <v>3</v>
      </c>
      <c r="G368">
        <v>0</v>
      </c>
      <c r="H368">
        <v>22</v>
      </c>
      <c r="I368" s="4">
        <f t="shared" si="5"/>
        <v>0.72727272727272729</v>
      </c>
    </row>
    <row r="369" spans="1:9">
      <c r="A369" t="s">
        <v>495</v>
      </c>
      <c r="B369">
        <v>5</v>
      </c>
      <c r="C369">
        <v>4</v>
      </c>
      <c r="D369">
        <v>17</v>
      </c>
      <c r="E369">
        <v>0</v>
      </c>
      <c r="F369">
        <v>2</v>
      </c>
      <c r="G369">
        <v>0</v>
      </c>
      <c r="H369">
        <v>22</v>
      </c>
      <c r="I369" s="4">
        <f t="shared" si="5"/>
        <v>0.77272727272727271</v>
      </c>
    </row>
    <row r="370" spans="1:9">
      <c r="A370" t="s">
        <v>495</v>
      </c>
      <c r="B370">
        <v>5</v>
      </c>
      <c r="C370">
        <v>5</v>
      </c>
      <c r="D370">
        <v>19</v>
      </c>
      <c r="E370">
        <v>0</v>
      </c>
      <c r="F370">
        <v>2</v>
      </c>
      <c r="G370">
        <v>0</v>
      </c>
      <c r="H370">
        <v>22</v>
      </c>
      <c r="I370" s="4">
        <f t="shared" si="5"/>
        <v>0.86363636363636365</v>
      </c>
    </row>
    <row r="371" spans="1:9">
      <c r="A371" t="s">
        <v>495</v>
      </c>
      <c r="B371">
        <v>5</v>
      </c>
      <c r="C371">
        <v>6</v>
      </c>
      <c r="D371">
        <v>22</v>
      </c>
      <c r="E371">
        <v>0</v>
      </c>
      <c r="F371">
        <v>0</v>
      </c>
      <c r="G371">
        <v>0</v>
      </c>
      <c r="H371">
        <v>22</v>
      </c>
      <c r="I371" s="4">
        <f t="shared" si="5"/>
        <v>1</v>
      </c>
    </row>
    <row r="372" spans="1:9">
      <c r="A372" t="s">
        <v>495</v>
      </c>
      <c r="B372">
        <v>6</v>
      </c>
      <c r="C372">
        <v>1</v>
      </c>
      <c r="D372">
        <v>6</v>
      </c>
      <c r="E372">
        <v>0</v>
      </c>
      <c r="F372">
        <v>5</v>
      </c>
      <c r="G372">
        <v>0</v>
      </c>
      <c r="H372">
        <v>21</v>
      </c>
      <c r="I372" s="4">
        <f t="shared" si="5"/>
        <v>0.2857142857142857</v>
      </c>
    </row>
    <row r="373" spans="1:9">
      <c r="A373" t="s">
        <v>495</v>
      </c>
      <c r="B373">
        <v>6</v>
      </c>
      <c r="C373">
        <v>2</v>
      </c>
      <c r="D373">
        <v>10</v>
      </c>
      <c r="E373">
        <v>0</v>
      </c>
      <c r="F373">
        <v>4</v>
      </c>
      <c r="G373">
        <v>0</v>
      </c>
      <c r="H373">
        <v>21</v>
      </c>
      <c r="I373" s="4">
        <f t="shared" si="5"/>
        <v>0.47619047619047616</v>
      </c>
    </row>
    <row r="374" spans="1:9">
      <c r="A374" t="s">
        <v>495</v>
      </c>
      <c r="B374">
        <v>6</v>
      </c>
      <c r="C374">
        <v>3</v>
      </c>
      <c r="D374">
        <v>10</v>
      </c>
      <c r="E374">
        <v>0</v>
      </c>
      <c r="F374">
        <v>4</v>
      </c>
      <c r="G374">
        <v>0</v>
      </c>
      <c r="H374">
        <v>21</v>
      </c>
      <c r="I374" s="4">
        <f t="shared" si="5"/>
        <v>0.47619047619047616</v>
      </c>
    </row>
    <row r="375" spans="1:9">
      <c r="A375" t="s">
        <v>495</v>
      </c>
      <c r="B375">
        <v>6</v>
      </c>
      <c r="C375">
        <v>4</v>
      </c>
      <c r="D375">
        <v>16</v>
      </c>
      <c r="E375">
        <v>0</v>
      </c>
      <c r="F375">
        <v>4</v>
      </c>
      <c r="G375">
        <v>0</v>
      </c>
      <c r="H375">
        <v>21</v>
      </c>
      <c r="I375" s="4">
        <f t="shared" si="5"/>
        <v>0.76190476190476186</v>
      </c>
    </row>
    <row r="376" spans="1:9">
      <c r="A376" t="s">
        <v>495</v>
      </c>
      <c r="B376">
        <v>6</v>
      </c>
      <c r="C376">
        <v>5</v>
      </c>
      <c r="D376">
        <v>18</v>
      </c>
      <c r="E376">
        <v>0</v>
      </c>
      <c r="F376">
        <v>2</v>
      </c>
      <c r="G376">
        <v>0</v>
      </c>
      <c r="H376">
        <v>21</v>
      </c>
      <c r="I376" s="4">
        <f t="shared" si="5"/>
        <v>0.8571428571428571</v>
      </c>
    </row>
    <row r="377" spans="1:9">
      <c r="A377" t="s">
        <v>495</v>
      </c>
      <c r="B377">
        <v>6</v>
      </c>
      <c r="C377">
        <v>6</v>
      </c>
      <c r="D377">
        <v>18</v>
      </c>
      <c r="E377">
        <v>0</v>
      </c>
      <c r="F377">
        <v>2</v>
      </c>
      <c r="G377">
        <v>0</v>
      </c>
      <c r="H377">
        <v>21</v>
      </c>
      <c r="I377" s="4">
        <f t="shared" si="5"/>
        <v>0.8571428571428571</v>
      </c>
    </row>
    <row r="378" spans="1:9">
      <c r="A378" t="s">
        <v>495</v>
      </c>
      <c r="B378">
        <v>6</v>
      </c>
      <c r="C378">
        <v>7</v>
      </c>
      <c r="D378">
        <v>21</v>
      </c>
      <c r="E378">
        <v>0</v>
      </c>
      <c r="F378">
        <v>0</v>
      </c>
      <c r="G378">
        <v>0</v>
      </c>
      <c r="H378">
        <v>21</v>
      </c>
      <c r="I378" s="4">
        <f t="shared" si="5"/>
        <v>1</v>
      </c>
    </row>
    <row r="379" spans="1:9">
      <c r="A379" t="s">
        <v>495</v>
      </c>
      <c r="B379">
        <v>6</v>
      </c>
      <c r="C379">
        <v>8</v>
      </c>
      <c r="D379">
        <v>21</v>
      </c>
      <c r="E379">
        <v>0</v>
      </c>
      <c r="F379">
        <v>0</v>
      </c>
      <c r="G379">
        <v>0</v>
      </c>
      <c r="H379">
        <v>21</v>
      </c>
      <c r="I379" s="4">
        <f t="shared" si="5"/>
        <v>1</v>
      </c>
    </row>
    <row r="380" spans="1:9">
      <c r="A380" t="s">
        <v>495</v>
      </c>
      <c r="B380">
        <v>6</v>
      </c>
      <c r="C380">
        <v>9</v>
      </c>
      <c r="D380">
        <v>21</v>
      </c>
      <c r="E380">
        <v>0</v>
      </c>
      <c r="F380">
        <v>0</v>
      </c>
      <c r="G380">
        <v>0</v>
      </c>
      <c r="H380">
        <v>21</v>
      </c>
      <c r="I380" s="4">
        <f t="shared" si="5"/>
        <v>1</v>
      </c>
    </row>
    <row r="381" spans="1:9">
      <c r="A381" t="s">
        <v>495</v>
      </c>
      <c r="B381">
        <v>6</v>
      </c>
      <c r="C381">
        <v>10</v>
      </c>
      <c r="D381">
        <v>21</v>
      </c>
      <c r="E381">
        <v>0</v>
      </c>
      <c r="F381">
        <v>0</v>
      </c>
      <c r="G381">
        <v>0</v>
      </c>
      <c r="H381">
        <v>21</v>
      </c>
      <c r="I381" s="4">
        <f t="shared" si="5"/>
        <v>1</v>
      </c>
    </row>
    <row r="382" spans="1:9">
      <c r="A382" t="s">
        <v>495</v>
      </c>
      <c r="B382">
        <v>7</v>
      </c>
      <c r="C382">
        <v>1</v>
      </c>
      <c r="D382">
        <v>24</v>
      </c>
      <c r="E382">
        <v>0</v>
      </c>
      <c r="F382">
        <v>7</v>
      </c>
      <c r="G382">
        <v>0</v>
      </c>
      <c r="H382">
        <v>120</v>
      </c>
      <c r="I382" s="4">
        <f t="shared" si="5"/>
        <v>0.2</v>
      </c>
    </row>
    <row r="383" spans="1:9">
      <c r="A383" t="s">
        <v>495</v>
      </c>
      <c r="B383">
        <v>7</v>
      </c>
      <c r="C383">
        <v>2</v>
      </c>
      <c r="D383">
        <v>35</v>
      </c>
      <c r="E383">
        <v>0</v>
      </c>
      <c r="F383">
        <v>7</v>
      </c>
      <c r="G383">
        <v>0</v>
      </c>
      <c r="H383">
        <v>120</v>
      </c>
      <c r="I383" s="4">
        <f t="shared" si="5"/>
        <v>0.29166666666666669</v>
      </c>
    </row>
    <row r="384" spans="1:9">
      <c r="A384" t="s">
        <v>495</v>
      </c>
      <c r="B384">
        <v>7</v>
      </c>
      <c r="C384">
        <v>3</v>
      </c>
      <c r="D384">
        <v>39</v>
      </c>
      <c r="E384">
        <v>0</v>
      </c>
      <c r="F384">
        <v>11</v>
      </c>
      <c r="G384">
        <v>0</v>
      </c>
      <c r="H384">
        <v>120</v>
      </c>
      <c r="I384" s="4">
        <f t="shared" si="5"/>
        <v>0.32500000000000001</v>
      </c>
    </row>
    <row r="385" spans="1:9">
      <c r="A385" t="s">
        <v>495</v>
      </c>
      <c r="B385">
        <v>7</v>
      </c>
      <c r="C385">
        <v>4</v>
      </c>
      <c r="D385">
        <v>52</v>
      </c>
      <c r="E385">
        <v>0</v>
      </c>
      <c r="F385">
        <v>11</v>
      </c>
      <c r="G385">
        <v>0</v>
      </c>
      <c r="H385">
        <v>120</v>
      </c>
      <c r="I385" s="4">
        <f t="shared" si="5"/>
        <v>0.43333333333333335</v>
      </c>
    </row>
    <row r="386" spans="1:9">
      <c r="A386" t="s">
        <v>495</v>
      </c>
      <c r="B386">
        <v>7</v>
      </c>
      <c r="C386">
        <v>5</v>
      </c>
      <c r="D386">
        <v>68</v>
      </c>
      <c r="E386">
        <v>0</v>
      </c>
      <c r="F386">
        <v>9</v>
      </c>
      <c r="G386">
        <v>0</v>
      </c>
      <c r="H386">
        <v>120</v>
      </c>
      <c r="I386" s="4">
        <f t="shared" si="5"/>
        <v>0.56666666666666665</v>
      </c>
    </row>
    <row r="387" spans="1:9">
      <c r="A387" t="s">
        <v>495</v>
      </c>
      <c r="B387">
        <v>7</v>
      </c>
      <c r="C387">
        <v>6</v>
      </c>
      <c r="D387">
        <v>71</v>
      </c>
      <c r="E387">
        <v>0</v>
      </c>
      <c r="F387">
        <v>7</v>
      </c>
      <c r="G387">
        <v>0</v>
      </c>
      <c r="H387">
        <v>120</v>
      </c>
      <c r="I387" s="4">
        <f t="shared" ref="I387:I450" si="6">D387/H387</f>
        <v>0.59166666666666667</v>
      </c>
    </row>
    <row r="388" spans="1:9">
      <c r="A388" t="s">
        <v>495</v>
      </c>
      <c r="B388">
        <v>7</v>
      </c>
      <c r="C388">
        <v>7</v>
      </c>
      <c r="D388">
        <v>78</v>
      </c>
      <c r="E388">
        <v>0</v>
      </c>
      <c r="F388">
        <v>5</v>
      </c>
      <c r="G388">
        <v>0</v>
      </c>
      <c r="H388">
        <v>120</v>
      </c>
      <c r="I388" s="4">
        <f t="shared" si="6"/>
        <v>0.65</v>
      </c>
    </row>
    <row r="389" spans="1:9">
      <c r="A389" t="s">
        <v>495</v>
      </c>
      <c r="B389">
        <v>7</v>
      </c>
      <c r="C389">
        <v>8</v>
      </c>
      <c r="D389">
        <v>88</v>
      </c>
      <c r="E389">
        <v>0</v>
      </c>
      <c r="F389">
        <v>3</v>
      </c>
      <c r="G389">
        <v>0</v>
      </c>
      <c r="H389">
        <v>120</v>
      </c>
      <c r="I389" s="4">
        <f t="shared" si="6"/>
        <v>0.73333333333333328</v>
      </c>
    </row>
    <row r="390" spans="1:9">
      <c r="A390" t="s">
        <v>495</v>
      </c>
      <c r="B390">
        <v>7</v>
      </c>
      <c r="C390">
        <v>9</v>
      </c>
      <c r="D390">
        <v>102</v>
      </c>
      <c r="E390">
        <v>0</v>
      </c>
      <c r="F390">
        <v>1</v>
      </c>
      <c r="G390">
        <v>0</v>
      </c>
      <c r="H390">
        <v>120</v>
      </c>
      <c r="I390" s="4">
        <f t="shared" si="6"/>
        <v>0.85</v>
      </c>
    </row>
    <row r="391" spans="1:9">
      <c r="A391" t="s">
        <v>495</v>
      </c>
      <c r="B391">
        <v>7</v>
      </c>
      <c r="C391">
        <v>10</v>
      </c>
      <c r="D391">
        <v>120</v>
      </c>
      <c r="E391">
        <v>0</v>
      </c>
      <c r="F391">
        <v>0</v>
      </c>
      <c r="G391">
        <v>0</v>
      </c>
      <c r="H391">
        <v>120</v>
      </c>
      <c r="I391" s="4">
        <f t="shared" si="6"/>
        <v>1</v>
      </c>
    </row>
    <row r="392" spans="1:9">
      <c r="A392" t="s">
        <v>495</v>
      </c>
      <c r="B392">
        <v>8</v>
      </c>
      <c r="C392">
        <v>1</v>
      </c>
      <c r="D392">
        <v>19</v>
      </c>
      <c r="E392">
        <v>0</v>
      </c>
      <c r="F392">
        <v>1</v>
      </c>
      <c r="G392">
        <v>0</v>
      </c>
      <c r="H392">
        <v>162</v>
      </c>
      <c r="I392" s="4">
        <f t="shared" si="6"/>
        <v>0.11728395061728394</v>
      </c>
    </row>
    <row r="393" spans="1:9">
      <c r="A393" t="s">
        <v>495</v>
      </c>
      <c r="B393">
        <v>8</v>
      </c>
      <c r="C393">
        <v>2</v>
      </c>
      <c r="D393">
        <v>28</v>
      </c>
      <c r="E393">
        <v>0</v>
      </c>
      <c r="F393">
        <v>7</v>
      </c>
      <c r="G393">
        <v>0</v>
      </c>
      <c r="H393">
        <v>162</v>
      </c>
      <c r="I393" s="4">
        <f t="shared" si="6"/>
        <v>0.1728395061728395</v>
      </c>
    </row>
    <row r="394" spans="1:9">
      <c r="A394" t="s">
        <v>495</v>
      </c>
      <c r="B394">
        <v>8</v>
      </c>
      <c r="C394">
        <v>3</v>
      </c>
      <c r="D394">
        <v>63</v>
      </c>
      <c r="E394">
        <v>0</v>
      </c>
      <c r="F394">
        <v>5</v>
      </c>
      <c r="G394">
        <v>0</v>
      </c>
      <c r="H394">
        <v>162</v>
      </c>
      <c r="I394" s="4">
        <f t="shared" si="6"/>
        <v>0.3888888888888889</v>
      </c>
    </row>
    <row r="395" spans="1:9">
      <c r="A395" t="s">
        <v>495</v>
      </c>
      <c r="B395">
        <v>8</v>
      </c>
      <c r="C395">
        <v>4</v>
      </c>
      <c r="D395">
        <v>107</v>
      </c>
      <c r="E395">
        <v>0</v>
      </c>
      <c r="F395">
        <v>3</v>
      </c>
      <c r="G395">
        <v>0</v>
      </c>
      <c r="H395">
        <v>162</v>
      </c>
      <c r="I395" s="4">
        <f t="shared" si="6"/>
        <v>0.66049382716049387</v>
      </c>
    </row>
    <row r="396" spans="1:9">
      <c r="A396" t="s">
        <v>495</v>
      </c>
      <c r="B396">
        <v>8</v>
      </c>
      <c r="C396">
        <v>5</v>
      </c>
      <c r="D396">
        <v>140</v>
      </c>
      <c r="E396">
        <v>0</v>
      </c>
      <c r="F396">
        <v>1</v>
      </c>
      <c r="G396">
        <v>0</v>
      </c>
      <c r="H396">
        <v>162</v>
      </c>
      <c r="I396" s="4">
        <f t="shared" si="6"/>
        <v>0.86419753086419748</v>
      </c>
    </row>
    <row r="397" spans="1:9">
      <c r="A397" t="s">
        <v>495</v>
      </c>
      <c r="B397">
        <v>8</v>
      </c>
      <c r="C397">
        <v>6</v>
      </c>
      <c r="D397">
        <v>162</v>
      </c>
      <c r="E397">
        <v>0</v>
      </c>
      <c r="F397">
        <v>0</v>
      </c>
      <c r="G397">
        <v>0</v>
      </c>
      <c r="H397">
        <v>162</v>
      </c>
      <c r="I397" s="4">
        <f t="shared" si="6"/>
        <v>1</v>
      </c>
    </row>
    <row r="398" spans="1:9">
      <c r="A398" t="s">
        <v>495</v>
      </c>
      <c r="B398">
        <v>9</v>
      </c>
      <c r="C398">
        <v>1</v>
      </c>
      <c r="D398">
        <v>19</v>
      </c>
      <c r="E398">
        <v>0</v>
      </c>
      <c r="F398">
        <v>1</v>
      </c>
      <c r="G398">
        <v>0</v>
      </c>
      <c r="H398">
        <v>258</v>
      </c>
      <c r="I398" s="4">
        <f t="shared" si="6"/>
        <v>7.3643410852713184E-2</v>
      </c>
    </row>
    <row r="399" spans="1:9">
      <c r="A399" t="s">
        <v>495</v>
      </c>
      <c r="B399">
        <v>9</v>
      </c>
      <c r="C399">
        <v>2</v>
      </c>
      <c r="D399">
        <v>31</v>
      </c>
      <c r="E399">
        <v>0</v>
      </c>
      <c r="F399">
        <v>13</v>
      </c>
      <c r="G399">
        <v>0</v>
      </c>
      <c r="H399">
        <v>258</v>
      </c>
      <c r="I399" s="4">
        <f t="shared" si="6"/>
        <v>0.12015503875968993</v>
      </c>
    </row>
    <row r="400" spans="1:9">
      <c r="A400" t="s">
        <v>495</v>
      </c>
      <c r="B400">
        <v>9</v>
      </c>
      <c r="C400">
        <v>3</v>
      </c>
      <c r="D400">
        <v>66</v>
      </c>
      <c r="E400">
        <v>0</v>
      </c>
      <c r="F400">
        <v>11</v>
      </c>
      <c r="G400">
        <v>0</v>
      </c>
      <c r="H400">
        <v>258</v>
      </c>
      <c r="I400" s="4">
        <f t="shared" si="6"/>
        <v>0.2558139534883721</v>
      </c>
    </row>
    <row r="401" spans="1:9">
      <c r="A401" t="s">
        <v>495</v>
      </c>
      <c r="B401">
        <v>9</v>
      </c>
      <c r="C401">
        <v>4</v>
      </c>
      <c r="D401">
        <v>110</v>
      </c>
      <c r="E401">
        <v>0</v>
      </c>
      <c r="F401">
        <v>9</v>
      </c>
      <c r="G401">
        <v>0</v>
      </c>
      <c r="H401">
        <v>258</v>
      </c>
      <c r="I401" s="4">
        <f t="shared" si="6"/>
        <v>0.4263565891472868</v>
      </c>
    </row>
    <row r="402" spans="1:9">
      <c r="A402" t="s">
        <v>495</v>
      </c>
      <c r="B402">
        <v>9</v>
      </c>
      <c r="C402">
        <v>5</v>
      </c>
      <c r="D402">
        <v>143</v>
      </c>
      <c r="E402">
        <v>0</v>
      </c>
      <c r="F402">
        <v>7</v>
      </c>
      <c r="G402">
        <v>0</v>
      </c>
      <c r="H402">
        <v>258</v>
      </c>
      <c r="I402" s="4">
        <f t="shared" si="6"/>
        <v>0.55426356589147285</v>
      </c>
    </row>
    <row r="403" spans="1:9">
      <c r="A403" t="s">
        <v>495</v>
      </c>
      <c r="B403">
        <v>9</v>
      </c>
      <c r="C403">
        <v>6</v>
      </c>
      <c r="D403">
        <v>165</v>
      </c>
      <c r="E403">
        <v>0</v>
      </c>
      <c r="F403">
        <v>5</v>
      </c>
      <c r="G403">
        <v>0</v>
      </c>
      <c r="H403">
        <v>258</v>
      </c>
      <c r="I403" s="4">
        <f t="shared" si="6"/>
        <v>0.63953488372093026</v>
      </c>
    </row>
    <row r="404" spans="1:9">
      <c r="A404" t="s">
        <v>495</v>
      </c>
      <c r="B404">
        <v>9</v>
      </c>
      <c r="C404">
        <v>7</v>
      </c>
      <c r="D404">
        <v>192</v>
      </c>
      <c r="E404">
        <v>0</v>
      </c>
      <c r="F404">
        <v>3</v>
      </c>
      <c r="G404">
        <v>0</v>
      </c>
      <c r="H404">
        <v>258</v>
      </c>
      <c r="I404" s="4">
        <f t="shared" si="6"/>
        <v>0.7441860465116279</v>
      </c>
    </row>
    <row r="405" spans="1:9">
      <c r="A405" t="s">
        <v>495</v>
      </c>
      <c r="B405">
        <v>9</v>
      </c>
      <c r="C405">
        <v>8</v>
      </c>
      <c r="D405">
        <v>223</v>
      </c>
      <c r="E405">
        <v>0</v>
      </c>
      <c r="F405">
        <v>1</v>
      </c>
      <c r="G405">
        <v>0</v>
      </c>
      <c r="H405">
        <v>258</v>
      </c>
      <c r="I405" s="4">
        <f t="shared" si="6"/>
        <v>0.86434108527131781</v>
      </c>
    </row>
    <row r="406" spans="1:9">
      <c r="A406" t="s">
        <v>495</v>
      </c>
      <c r="B406">
        <v>9</v>
      </c>
      <c r="C406">
        <v>9</v>
      </c>
      <c r="D406">
        <v>258</v>
      </c>
      <c r="E406">
        <v>0</v>
      </c>
      <c r="F406">
        <v>0</v>
      </c>
      <c r="G406">
        <v>0</v>
      </c>
      <c r="H406">
        <v>258</v>
      </c>
      <c r="I406" s="4">
        <f t="shared" si="6"/>
        <v>1</v>
      </c>
    </row>
    <row r="407" spans="1:9">
      <c r="A407" t="s">
        <v>495</v>
      </c>
      <c r="B407">
        <v>10</v>
      </c>
      <c r="C407">
        <v>1</v>
      </c>
      <c r="D407">
        <v>5</v>
      </c>
      <c r="E407">
        <v>0</v>
      </c>
      <c r="F407">
        <v>5</v>
      </c>
      <c r="G407">
        <v>0</v>
      </c>
      <c r="H407">
        <v>9</v>
      </c>
      <c r="I407" s="4">
        <f t="shared" si="6"/>
        <v>0.55555555555555558</v>
      </c>
    </row>
    <row r="408" spans="1:9">
      <c r="A408" s="7" t="s">
        <v>495</v>
      </c>
      <c r="B408" s="7">
        <v>10</v>
      </c>
      <c r="C408" s="7">
        <v>2</v>
      </c>
      <c r="D408" s="7">
        <v>9</v>
      </c>
      <c r="E408" s="7">
        <v>0</v>
      </c>
      <c r="F408" s="7">
        <v>1</v>
      </c>
      <c r="G408" s="7">
        <v>0</v>
      </c>
      <c r="H408" s="7">
        <v>9</v>
      </c>
      <c r="I408" s="4">
        <f t="shared" si="6"/>
        <v>1</v>
      </c>
    </row>
    <row r="409" spans="1:9">
      <c r="A409" t="s">
        <v>495</v>
      </c>
      <c r="B409">
        <v>11</v>
      </c>
      <c r="C409">
        <v>1</v>
      </c>
      <c r="D409">
        <v>18</v>
      </c>
      <c r="E409">
        <v>0</v>
      </c>
      <c r="F409">
        <v>1</v>
      </c>
      <c r="G409">
        <v>0</v>
      </c>
      <c r="H409">
        <v>53</v>
      </c>
      <c r="I409" s="4">
        <f t="shared" si="6"/>
        <v>0.33962264150943394</v>
      </c>
    </row>
    <row r="410" spans="1:9">
      <c r="A410" t="s">
        <v>495</v>
      </c>
      <c r="B410">
        <v>11</v>
      </c>
      <c r="C410">
        <v>2</v>
      </c>
      <c r="D410">
        <v>53</v>
      </c>
      <c r="E410">
        <v>0</v>
      </c>
      <c r="F410">
        <v>0</v>
      </c>
      <c r="G410">
        <v>0</v>
      </c>
      <c r="H410">
        <v>53</v>
      </c>
      <c r="I410" s="4">
        <f t="shared" si="6"/>
        <v>1</v>
      </c>
    </row>
    <row r="411" spans="1:9">
      <c r="A411" t="s">
        <v>495</v>
      </c>
      <c r="B411">
        <v>13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737</v>
      </c>
      <c r="I411" s="4">
        <f t="shared" si="6"/>
        <v>1.3568521031207597E-3</v>
      </c>
    </row>
    <row r="412" spans="1:9">
      <c r="A412" t="s">
        <v>495</v>
      </c>
      <c r="B412">
        <v>13</v>
      </c>
      <c r="C412">
        <v>2</v>
      </c>
      <c r="D412">
        <v>3</v>
      </c>
      <c r="E412">
        <v>0</v>
      </c>
      <c r="F412">
        <v>1</v>
      </c>
      <c r="G412">
        <v>0</v>
      </c>
      <c r="H412">
        <v>737</v>
      </c>
      <c r="I412" s="4">
        <f t="shared" si="6"/>
        <v>4.0705563093622792E-3</v>
      </c>
    </row>
    <row r="413" spans="1:9">
      <c r="A413" t="s">
        <v>495</v>
      </c>
      <c r="B413">
        <v>13</v>
      </c>
      <c r="C413">
        <v>3</v>
      </c>
      <c r="D413">
        <v>5</v>
      </c>
      <c r="E413">
        <v>0</v>
      </c>
      <c r="F413">
        <v>1</v>
      </c>
      <c r="G413">
        <v>0</v>
      </c>
      <c r="H413">
        <v>737</v>
      </c>
      <c r="I413" s="4">
        <f t="shared" si="6"/>
        <v>6.7842605156037995E-3</v>
      </c>
    </row>
    <row r="414" spans="1:9">
      <c r="A414" t="s">
        <v>495</v>
      </c>
      <c r="B414">
        <v>13</v>
      </c>
      <c r="C414">
        <v>4</v>
      </c>
      <c r="D414">
        <v>737</v>
      </c>
      <c r="E414">
        <v>0</v>
      </c>
      <c r="F414">
        <v>0</v>
      </c>
      <c r="G414">
        <v>0</v>
      </c>
      <c r="H414">
        <v>737</v>
      </c>
      <c r="I414" s="4">
        <f t="shared" si="6"/>
        <v>1</v>
      </c>
    </row>
    <row r="415" spans="1:9">
      <c r="A415" t="s">
        <v>495</v>
      </c>
      <c r="B415">
        <v>14</v>
      </c>
      <c r="C415">
        <v>1</v>
      </c>
      <c r="D415">
        <v>1</v>
      </c>
      <c r="E415">
        <v>0</v>
      </c>
      <c r="F415">
        <v>1</v>
      </c>
      <c r="G415">
        <v>0</v>
      </c>
      <c r="H415">
        <v>958</v>
      </c>
      <c r="I415" s="4">
        <f t="shared" si="6"/>
        <v>1.0438413361169101E-3</v>
      </c>
    </row>
    <row r="416" spans="1:9">
      <c r="A416" t="s">
        <v>495</v>
      </c>
      <c r="B416">
        <v>14</v>
      </c>
      <c r="C416">
        <v>2</v>
      </c>
      <c r="D416">
        <v>3</v>
      </c>
      <c r="E416">
        <v>0</v>
      </c>
      <c r="F416">
        <v>1</v>
      </c>
      <c r="G416">
        <v>0</v>
      </c>
      <c r="H416">
        <v>958</v>
      </c>
      <c r="I416" s="4">
        <f t="shared" si="6"/>
        <v>3.1315240083507308E-3</v>
      </c>
    </row>
    <row r="417" spans="1:9">
      <c r="A417" t="s">
        <v>495</v>
      </c>
      <c r="B417">
        <v>14</v>
      </c>
      <c r="C417">
        <v>3</v>
      </c>
      <c r="D417">
        <v>5</v>
      </c>
      <c r="E417">
        <v>0</v>
      </c>
      <c r="F417">
        <v>1</v>
      </c>
      <c r="G417">
        <v>0</v>
      </c>
      <c r="H417">
        <v>958</v>
      </c>
      <c r="I417" s="4">
        <f t="shared" si="6"/>
        <v>5.2192066805845511E-3</v>
      </c>
    </row>
    <row r="418" spans="1:9">
      <c r="A418" t="s">
        <v>495</v>
      </c>
      <c r="B418">
        <v>14</v>
      </c>
      <c r="C418">
        <v>4</v>
      </c>
      <c r="D418">
        <v>381</v>
      </c>
      <c r="E418">
        <v>0</v>
      </c>
      <c r="F418">
        <v>5</v>
      </c>
      <c r="G418">
        <v>0</v>
      </c>
      <c r="H418">
        <v>958</v>
      </c>
      <c r="I418" s="4">
        <f t="shared" si="6"/>
        <v>0.39770354906054278</v>
      </c>
    </row>
    <row r="419" spans="1:9">
      <c r="A419" t="s">
        <v>495</v>
      </c>
      <c r="B419">
        <v>14</v>
      </c>
      <c r="C419">
        <v>5</v>
      </c>
      <c r="D419">
        <v>561</v>
      </c>
      <c r="E419">
        <v>0</v>
      </c>
      <c r="F419">
        <v>3</v>
      </c>
      <c r="G419">
        <v>0</v>
      </c>
      <c r="H419">
        <v>958</v>
      </c>
      <c r="I419" s="4">
        <f t="shared" si="6"/>
        <v>0.58559498956158662</v>
      </c>
    </row>
    <row r="420" spans="1:9">
      <c r="A420" t="s">
        <v>495</v>
      </c>
      <c r="B420">
        <v>14</v>
      </c>
      <c r="C420">
        <v>6</v>
      </c>
      <c r="D420">
        <v>562</v>
      </c>
      <c r="E420">
        <v>0</v>
      </c>
      <c r="F420">
        <v>2</v>
      </c>
      <c r="G420">
        <v>0</v>
      </c>
      <c r="H420">
        <v>958</v>
      </c>
      <c r="I420" s="4">
        <f t="shared" si="6"/>
        <v>0.58663883089770352</v>
      </c>
    </row>
    <row r="421" spans="1:9">
      <c r="A421" t="s">
        <v>495</v>
      </c>
      <c r="B421">
        <v>14</v>
      </c>
      <c r="C421">
        <v>7</v>
      </c>
      <c r="D421">
        <v>564</v>
      </c>
      <c r="E421">
        <v>0</v>
      </c>
      <c r="F421">
        <v>1</v>
      </c>
      <c r="G421">
        <v>0</v>
      </c>
      <c r="H421">
        <v>958</v>
      </c>
      <c r="I421" s="4">
        <f t="shared" si="6"/>
        <v>0.58872651356993733</v>
      </c>
    </row>
    <row r="422" spans="1:9">
      <c r="A422" t="s">
        <v>495</v>
      </c>
      <c r="B422">
        <v>14</v>
      </c>
      <c r="C422">
        <v>8</v>
      </c>
      <c r="D422">
        <v>564</v>
      </c>
      <c r="E422">
        <v>0</v>
      </c>
      <c r="F422">
        <v>1</v>
      </c>
      <c r="G422">
        <v>0</v>
      </c>
      <c r="H422">
        <v>958</v>
      </c>
      <c r="I422" s="4">
        <f t="shared" si="6"/>
        <v>0.58872651356993733</v>
      </c>
    </row>
    <row r="423" spans="1:9">
      <c r="A423" t="s">
        <v>495</v>
      </c>
      <c r="B423">
        <v>14</v>
      </c>
      <c r="C423">
        <v>9</v>
      </c>
      <c r="D423">
        <v>564</v>
      </c>
      <c r="E423">
        <v>0</v>
      </c>
      <c r="F423">
        <v>1</v>
      </c>
      <c r="G423">
        <v>0</v>
      </c>
      <c r="H423">
        <v>958</v>
      </c>
      <c r="I423" s="4">
        <f t="shared" si="6"/>
        <v>0.58872651356993733</v>
      </c>
    </row>
    <row r="424" spans="1:9">
      <c r="A424" t="s">
        <v>495</v>
      </c>
      <c r="B424">
        <v>14</v>
      </c>
      <c r="C424">
        <v>10</v>
      </c>
      <c r="D424">
        <v>957</v>
      </c>
      <c r="E424">
        <v>0</v>
      </c>
      <c r="F424">
        <v>1</v>
      </c>
      <c r="G424">
        <v>0</v>
      </c>
      <c r="H424">
        <v>958</v>
      </c>
      <c r="I424" s="4">
        <f t="shared" si="6"/>
        <v>0.9989561586638831</v>
      </c>
    </row>
    <row r="425" spans="1:9">
      <c r="A425" t="s">
        <v>495</v>
      </c>
      <c r="B425">
        <v>14</v>
      </c>
      <c r="C425">
        <v>11</v>
      </c>
      <c r="D425">
        <v>958</v>
      </c>
      <c r="E425">
        <v>0</v>
      </c>
      <c r="F425">
        <v>0</v>
      </c>
      <c r="G425">
        <v>0</v>
      </c>
      <c r="H425">
        <v>958</v>
      </c>
      <c r="I425" s="4">
        <f t="shared" si="6"/>
        <v>1</v>
      </c>
    </row>
    <row r="426" spans="1:9">
      <c r="A426" t="s">
        <v>495</v>
      </c>
      <c r="B426">
        <v>15</v>
      </c>
      <c r="C426">
        <v>1</v>
      </c>
      <c r="D426">
        <v>1</v>
      </c>
      <c r="E426">
        <v>0</v>
      </c>
      <c r="F426">
        <v>1</v>
      </c>
      <c r="G426">
        <v>0</v>
      </c>
      <c r="H426">
        <v>475</v>
      </c>
      <c r="I426" s="4">
        <f t="shared" si="6"/>
        <v>2.1052631578947368E-3</v>
      </c>
    </row>
    <row r="427" spans="1:9">
      <c r="A427" t="s">
        <v>495</v>
      </c>
      <c r="B427">
        <v>15</v>
      </c>
      <c r="C427">
        <v>2</v>
      </c>
      <c r="D427">
        <v>1</v>
      </c>
      <c r="E427">
        <v>0</v>
      </c>
      <c r="F427">
        <v>1</v>
      </c>
      <c r="G427">
        <v>0</v>
      </c>
      <c r="H427">
        <v>475</v>
      </c>
      <c r="I427" s="4">
        <f t="shared" si="6"/>
        <v>2.1052631578947368E-3</v>
      </c>
    </row>
    <row r="428" spans="1:9">
      <c r="A428" t="s">
        <v>495</v>
      </c>
      <c r="B428">
        <v>15</v>
      </c>
      <c r="C428">
        <v>3</v>
      </c>
      <c r="D428">
        <v>4</v>
      </c>
      <c r="E428">
        <v>0</v>
      </c>
      <c r="F428">
        <v>2</v>
      </c>
      <c r="G428">
        <v>0</v>
      </c>
      <c r="H428">
        <v>475</v>
      </c>
      <c r="I428" s="4">
        <f t="shared" si="6"/>
        <v>8.4210526315789472E-3</v>
      </c>
    </row>
    <row r="429" spans="1:9">
      <c r="A429" t="s">
        <v>495</v>
      </c>
      <c r="B429">
        <v>15</v>
      </c>
      <c r="C429">
        <v>4</v>
      </c>
      <c r="D429">
        <v>475</v>
      </c>
      <c r="E429">
        <v>0</v>
      </c>
      <c r="F429">
        <v>1</v>
      </c>
      <c r="G429">
        <v>0</v>
      </c>
      <c r="H429">
        <v>475</v>
      </c>
      <c r="I429" s="4">
        <f t="shared" si="6"/>
        <v>1</v>
      </c>
    </row>
    <row r="430" spans="1:9">
      <c r="A430" t="s">
        <v>495</v>
      </c>
      <c r="B430">
        <v>16</v>
      </c>
      <c r="C430">
        <v>1</v>
      </c>
      <c r="D430">
        <v>1</v>
      </c>
      <c r="E430">
        <v>0</v>
      </c>
      <c r="F430">
        <v>1</v>
      </c>
      <c r="G430">
        <v>0</v>
      </c>
      <c r="H430">
        <v>607</v>
      </c>
      <c r="I430" s="4">
        <f t="shared" si="6"/>
        <v>1.6474464579901153E-3</v>
      </c>
    </row>
    <row r="431" spans="1:9">
      <c r="A431" t="s">
        <v>495</v>
      </c>
      <c r="B431">
        <v>16</v>
      </c>
      <c r="C431">
        <v>2</v>
      </c>
      <c r="D431">
        <v>3</v>
      </c>
      <c r="E431">
        <v>0</v>
      </c>
      <c r="F431">
        <v>1</v>
      </c>
      <c r="G431">
        <v>0</v>
      </c>
      <c r="H431">
        <v>607</v>
      </c>
      <c r="I431" s="4">
        <f t="shared" si="6"/>
        <v>4.9423393739703456E-3</v>
      </c>
    </row>
    <row r="432" spans="1:9">
      <c r="A432" t="s">
        <v>495</v>
      </c>
      <c r="B432">
        <v>16</v>
      </c>
      <c r="C432">
        <v>3</v>
      </c>
      <c r="D432">
        <v>5</v>
      </c>
      <c r="E432">
        <v>0</v>
      </c>
      <c r="F432">
        <v>1</v>
      </c>
      <c r="G432">
        <v>0</v>
      </c>
      <c r="H432">
        <v>607</v>
      </c>
      <c r="I432" s="4">
        <f t="shared" si="6"/>
        <v>8.2372322899505763E-3</v>
      </c>
    </row>
    <row r="433" spans="1:9">
      <c r="A433" t="s">
        <v>495</v>
      </c>
      <c r="B433">
        <v>16</v>
      </c>
      <c r="C433">
        <v>4</v>
      </c>
      <c r="D433">
        <v>607</v>
      </c>
      <c r="E433">
        <v>0</v>
      </c>
      <c r="F433">
        <v>0</v>
      </c>
      <c r="G433">
        <v>0</v>
      </c>
      <c r="H433">
        <v>607</v>
      </c>
      <c r="I433" s="4">
        <f t="shared" si="6"/>
        <v>1</v>
      </c>
    </row>
    <row r="434" spans="1:9">
      <c r="A434" t="s">
        <v>495</v>
      </c>
      <c r="B434">
        <v>20</v>
      </c>
      <c r="C434">
        <v>1</v>
      </c>
      <c r="D434">
        <v>16</v>
      </c>
      <c r="E434">
        <v>0</v>
      </c>
      <c r="F434">
        <v>2</v>
      </c>
      <c r="G434">
        <v>0</v>
      </c>
      <c r="H434">
        <v>27</v>
      </c>
      <c r="I434" s="4">
        <f t="shared" si="6"/>
        <v>0.59259259259259256</v>
      </c>
    </row>
    <row r="435" spans="1:9">
      <c r="A435" t="s">
        <v>495</v>
      </c>
      <c r="B435">
        <v>20</v>
      </c>
      <c r="C435">
        <v>2</v>
      </c>
      <c r="D435">
        <v>27</v>
      </c>
      <c r="E435">
        <v>0</v>
      </c>
      <c r="F435">
        <v>0</v>
      </c>
      <c r="G435">
        <v>0</v>
      </c>
      <c r="H435">
        <v>27</v>
      </c>
      <c r="I435" s="4">
        <f t="shared" si="6"/>
        <v>1</v>
      </c>
    </row>
    <row r="436" spans="1:9">
      <c r="A436" t="s">
        <v>495</v>
      </c>
      <c r="B436">
        <v>21</v>
      </c>
      <c r="C436">
        <v>1</v>
      </c>
      <c r="D436">
        <v>31</v>
      </c>
      <c r="E436">
        <v>0</v>
      </c>
      <c r="F436">
        <v>1</v>
      </c>
      <c r="G436">
        <v>0</v>
      </c>
      <c r="H436">
        <v>57</v>
      </c>
      <c r="I436" s="4">
        <f t="shared" si="6"/>
        <v>0.54385964912280704</v>
      </c>
    </row>
    <row r="437" spans="1:9">
      <c r="A437" t="s">
        <v>495</v>
      </c>
      <c r="B437">
        <v>21</v>
      </c>
      <c r="C437">
        <v>2</v>
      </c>
      <c r="D437">
        <v>57</v>
      </c>
      <c r="E437">
        <v>0</v>
      </c>
      <c r="F437">
        <v>0</v>
      </c>
      <c r="G437">
        <v>0</v>
      </c>
      <c r="H437">
        <v>57</v>
      </c>
      <c r="I437" s="4">
        <f t="shared" si="6"/>
        <v>1</v>
      </c>
    </row>
    <row r="438" spans="1:9">
      <c r="A438" t="s">
        <v>496</v>
      </c>
      <c r="B438">
        <v>2</v>
      </c>
      <c r="C438">
        <v>1</v>
      </c>
      <c r="D438">
        <v>47</v>
      </c>
      <c r="E438">
        <v>0</v>
      </c>
      <c r="F438">
        <v>7</v>
      </c>
      <c r="G438">
        <v>0</v>
      </c>
      <c r="H438">
        <v>63</v>
      </c>
      <c r="I438" s="4">
        <f t="shared" si="6"/>
        <v>0.74603174603174605</v>
      </c>
    </row>
    <row r="439" spans="1:9">
      <c r="A439" s="7" t="s">
        <v>496</v>
      </c>
      <c r="B439" s="7">
        <v>2</v>
      </c>
      <c r="C439" s="7">
        <v>2</v>
      </c>
      <c r="D439" s="7">
        <v>63</v>
      </c>
      <c r="E439" s="7">
        <v>0</v>
      </c>
      <c r="F439" s="7">
        <v>2</v>
      </c>
      <c r="G439" s="7">
        <v>0</v>
      </c>
      <c r="H439" s="7">
        <v>63</v>
      </c>
      <c r="I439" s="4">
        <f t="shared" si="6"/>
        <v>1</v>
      </c>
    </row>
    <row r="440" spans="1:9">
      <c r="A440" t="s">
        <v>496</v>
      </c>
      <c r="B440">
        <v>3</v>
      </c>
      <c r="C440">
        <v>1</v>
      </c>
      <c r="D440">
        <v>7</v>
      </c>
      <c r="E440">
        <v>0</v>
      </c>
      <c r="F440">
        <v>1</v>
      </c>
      <c r="G440">
        <v>0</v>
      </c>
      <c r="H440">
        <v>147</v>
      </c>
      <c r="I440" s="4">
        <f t="shared" si="6"/>
        <v>4.7619047619047616E-2</v>
      </c>
    </row>
    <row r="441" spans="1:9">
      <c r="A441" t="s">
        <v>496</v>
      </c>
      <c r="B441">
        <v>3</v>
      </c>
      <c r="C441">
        <v>2</v>
      </c>
      <c r="D441">
        <v>30</v>
      </c>
      <c r="E441">
        <v>0</v>
      </c>
      <c r="F441">
        <v>3</v>
      </c>
      <c r="G441">
        <v>0</v>
      </c>
      <c r="H441">
        <v>147</v>
      </c>
      <c r="I441" s="4">
        <f t="shared" si="6"/>
        <v>0.20408163265306123</v>
      </c>
    </row>
    <row r="442" spans="1:9">
      <c r="A442" t="s">
        <v>496</v>
      </c>
      <c r="B442">
        <v>3</v>
      </c>
      <c r="C442">
        <v>3</v>
      </c>
      <c r="D442">
        <v>45</v>
      </c>
      <c r="E442">
        <v>0</v>
      </c>
      <c r="F442">
        <v>6</v>
      </c>
      <c r="G442">
        <v>0</v>
      </c>
      <c r="H442">
        <v>147</v>
      </c>
      <c r="I442" s="4">
        <f t="shared" si="6"/>
        <v>0.30612244897959184</v>
      </c>
    </row>
    <row r="443" spans="1:9">
      <c r="A443" t="s">
        <v>496</v>
      </c>
      <c r="B443">
        <v>3</v>
      </c>
      <c r="C443">
        <v>4</v>
      </c>
      <c r="D443">
        <v>51</v>
      </c>
      <c r="E443">
        <v>0</v>
      </c>
      <c r="F443">
        <v>3</v>
      </c>
      <c r="G443">
        <v>0</v>
      </c>
      <c r="H443">
        <v>147</v>
      </c>
      <c r="I443" s="4">
        <f t="shared" si="6"/>
        <v>0.34693877551020408</v>
      </c>
    </row>
    <row r="444" spans="1:9">
      <c r="A444" t="s">
        <v>496</v>
      </c>
      <c r="B444">
        <v>3</v>
      </c>
      <c r="C444">
        <v>5</v>
      </c>
      <c r="D444">
        <v>147</v>
      </c>
      <c r="E444">
        <v>0</v>
      </c>
      <c r="F444">
        <v>0</v>
      </c>
      <c r="G444">
        <v>0</v>
      </c>
      <c r="H444">
        <v>147</v>
      </c>
      <c r="I444" s="4">
        <f t="shared" si="6"/>
        <v>1</v>
      </c>
    </row>
    <row r="445" spans="1:9">
      <c r="A445" t="s">
        <v>496</v>
      </c>
      <c r="B445">
        <v>3</v>
      </c>
      <c r="C445">
        <v>6</v>
      </c>
      <c r="D445">
        <v>147</v>
      </c>
      <c r="E445">
        <v>0</v>
      </c>
      <c r="F445">
        <v>0</v>
      </c>
      <c r="G445">
        <v>0</v>
      </c>
      <c r="H445">
        <v>147</v>
      </c>
      <c r="I445" s="4">
        <f t="shared" si="6"/>
        <v>1</v>
      </c>
    </row>
    <row r="446" spans="1:9">
      <c r="A446" t="s">
        <v>497</v>
      </c>
      <c r="B446">
        <v>0</v>
      </c>
      <c r="C446">
        <v>1</v>
      </c>
      <c r="D446">
        <v>1</v>
      </c>
      <c r="E446">
        <v>0</v>
      </c>
      <c r="F446">
        <v>1</v>
      </c>
      <c r="G446">
        <v>0</v>
      </c>
      <c r="H446">
        <v>10</v>
      </c>
      <c r="I446" s="4">
        <f t="shared" si="6"/>
        <v>0.1</v>
      </c>
    </row>
    <row r="447" spans="1:9">
      <c r="A447" t="s">
        <v>497</v>
      </c>
      <c r="B447">
        <v>0</v>
      </c>
      <c r="C447">
        <v>2</v>
      </c>
      <c r="D447">
        <v>4</v>
      </c>
      <c r="E447">
        <v>0</v>
      </c>
      <c r="F447">
        <v>5</v>
      </c>
      <c r="G447">
        <v>0</v>
      </c>
      <c r="H447">
        <v>10</v>
      </c>
      <c r="I447" s="4">
        <f t="shared" si="6"/>
        <v>0.4</v>
      </c>
    </row>
    <row r="448" spans="1:9">
      <c r="A448" t="s">
        <v>497</v>
      </c>
      <c r="B448">
        <v>0</v>
      </c>
      <c r="C448">
        <v>3</v>
      </c>
      <c r="D448">
        <v>6</v>
      </c>
      <c r="E448">
        <v>0</v>
      </c>
      <c r="F448">
        <v>4</v>
      </c>
      <c r="G448">
        <v>0</v>
      </c>
      <c r="H448">
        <v>10</v>
      </c>
      <c r="I448" s="4">
        <f t="shared" si="6"/>
        <v>0.6</v>
      </c>
    </row>
    <row r="449" spans="1:9">
      <c r="A449" t="s">
        <v>497</v>
      </c>
      <c r="B449">
        <v>0</v>
      </c>
      <c r="C449">
        <v>4</v>
      </c>
      <c r="D449">
        <v>10</v>
      </c>
      <c r="E449">
        <v>0</v>
      </c>
      <c r="F449">
        <v>0</v>
      </c>
      <c r="G449">
        <v>0</v>
      </c>
      <c r="H449">
        <v>10</v>
      </c>
      <c r="I449" s="4">
        <f t="shared" si="6"/>
        <v>1</v>
      </c>
    </row>
    <row r="450" spans="1:9">
      <c r="A450" t="s">
        <v>497</v>
      </c>
      <c r="B450">
        <v>1</v>
      </c>
      <c r="C450">
        <v>1</v>
      </c>
      <c r="D450">
        <v>11</v>
      </c>
      <c r="E450">
        <v>0</v>
      </c>
      <c r="F450">
        <v>8</v>
      </c>
      <c r="G450">
        <v>0</v>
      </c>
      <c r="H450">
        <v>113</v>
      </c>
      <c r="I450" s="4">
        <f t="shared" si="6"/>
        <v>9.7345132743362831E-2</v>
      </c>
    </row>
    <row r="451" spans="1:9">
      <c r="A451" t="s">
        <v>497</v>
      </c>
      <c r="B451">
        <v>1</v>
      </c>
      <c r="C451">
        <v>2</v>
      </c>
      <c r="D451">
        <v>30</v>
      </c>
      <c r="E451">
        <v>0</v>
      </c>
      <c r="F451">
        <v>5</v>
      </c>
      <c r="G451">
        <v>0</v>
      </c>
      <c r="H451">
        <v>113</v>
      </c>
      <c r="I451" s="4">
        <f t="shared" ref="I451:I514" si="7">D451/H451</f>
        <v>0.26548672566371684</v>
      </c>
    </row>
    <row r="452" spans="1:9">
      <c r="A452" t="s">
        <v>497</v>
      </c>
      <c r="B452">
        <v>1</v>
      </c>
      <c r="C452">
        <v>3</v>
      </c>
      <c r="D452">
        <v>58</v>
      </c>
      <c r="E452">
        <v>0</v>
      </c>
      <c r="F452">
        <v>2</v>
      </c>
      <c r="G452">
        <v>0</v>
      </c>
      <c r="H452">
        <v>113</v>
      </c>
      <c r="I452" s="4">
        <f t="shared" si="7"/>
        <v>0.51327433628318586</v>
      </c>
    </row>
    <row r="453" spans="1:9">
      <c r="A453" t="s">
        <v>497</v>
      </c>
      <c r="B453">
        <v>1</v>
      </c>
      <c r="C453">
        <v>4</v>
      </c>
      <c r="D453">
        <v>113</v>
      </c>
      <c r="E453">
        <v>0</v>
      </c>
      <c r="F453">
        <v>0</v>
      </c>
      <c r="G453">
        <v>0</v>
      </c>
      <c r="H453">
        <v>113</v>
      </c>
      <c r="I453" s="4">
        <f t="shared" si="7"/>
        <v>1</v>
      </c>
    </row>
    <row r="454" spans="1:9">
      <c r="A454" t="s">
        <v>498</v>
      </c>
      <c r="B454">
        <v>1</v>
      </c>
      <c r="C454">
        <v>1</v>
      </c>
      <c r="D454">
        <v>10</v>
      </c>
      <c r="E454">
        <v>0</v>
      </c>
      <c r="F454">
        <v>6</v>
      </c>
      <c r="G454">
        <v>0</v>
      </c>
      <c r="H454">
        <v>94</v>
      </c>
      <c r="I454" s="4">
        <f t="shared" si="7"/>
        <v>0.10638297872340426</v>
      </c>
    </row>
    <row r="455" spans="1:9">
      <c r="A455" t="s">
        <v>498</v>
      </c>
      <c r="B455">
        <v>1</v>
      </c>
      <c r="C455">
        <v>2</v>
      </c>
      <c r="D455">
        <v>17</v>
      </c>
      <c r="E455">
        <v>0</v>
      </c>
      <c r="F455">
        <v>8</v>
      </c>
      <c r="G455">
        <v>0</v>
      </c>
      <c r="H455">
        <v>94</v>
      </c>
      <c r="I455" s="4">
        <f t="shared" si="7"/>
        <v>0.18085106382978725</v>
      </c>
    </row>
    <row r="456" spans="1:9">
      <c r="A456" t="s">
        <v>498</v>
      </c>
      <c r="B456">
        <v>1</v>
      </c>
      <c r="C456">
        <v>3</v>
      </c>
      <c r="D456">
        <v>28</v>
      </c>
      <c r="E456">
        <v>0</v>
      </c>
      <c r="F456">
        <v>6</v>
      </c>
      <c r="G456">
        <v>0</v>
      </c>
      <c r="H456">
        <v>94</v>
      </c>
      <c r="I456" s="4">
        <f t="shared" si="7"/>
        <v>0.2978723404255319</v>
      </c>
    </row>
    <row r="457" spans="1:9">
      <c r="A457" t="s">
        <v>498</v>
      </c>
      <c r="B457">
        <v>1</v>
      </c>
      <c r="C457">
        <v>4</v>
      </c>
      <c r="D457">
        <v>41</v>
      </c>
      <c r="E457">
        <v>0</v>
      </c>
      <c r="F457">
        <v>6</v>
      </c>
      <c r="G457">
        <v>0</v>
      </c>
      <c r="H457">
        <v>94</v>
      </c>
      <c r="I457" s="4">
        <f t="shared" si="7"/>
        <v>0.43617021276595747</v>
      </c>
    </row>
    <row r="458" spans="1:9">
      <c r="A458" t="s">
        <v>498</v>
      </c>
      <c r="B458">
        <v>1</v>
      </c>
      <c r="C458">
        <v>5</v>
      </c>
      <c r="D458">
        <v>53</v>
      </c>
      <c r="E458">
        <v>0</v>
      </c>
      <c r="F458">
        <v>4</v>
      </c>
      <c r="G458">
        <v>0</v>
      </c>
      <c r="H458">
        <v>94</v>
      </c>
      <c r="I458" s="4">
        <f t="shared" si="7"/>
        <v>0.56382978723404253</v>
      </c>
    </row>
    <row r="459" spans="1:9">
      <c r="A459" t="s">
        <v>498</v>
      </c>
      <c r="B459">
        <v>1</v>
      </c>
      <c r="C459">
        <v>6</v>
      </c>
      <c r="D459">
        <v>65</v>
      </c>
      <c r="E459">
        <v>0</v>
      </c>
      <c r="F459">
        <v>2</v>
      </c>
      <c r="G459">
        <v>0</v>
      </c>
      <c r="H459">
        <v>94</v>
      </c>
      <c r="I459" s="4">
        <f t="shared" si="7"/>
        <v>0.69148936170212771</v>
      </c>
    </row>
    <row r="460" spans="1:9">
      <c r="A460" t="s">
        <v>498</v>
      </c>
      <c r="B460">
        <v>1</v>
      </c>
      <c r="C460">
        <v>7</v>
      </c>
      <c r="D460">
        <v>80</v>
      </c>
      <c r="E460">
        <v>0</v>
      </c>
      <c r="F460">
        <v>2</v>
      </c>
      <c r="G460">
        <v>0</v>
      </c>
      <c r="H460">
        <v>94</v>
      </c>
      <c r="I460" s="4">
        <f t="shared" si="7"/>
        <v>0.85106382978723405</v>
      </c>
    </row>
    <row r="461" spans="1:9">
      <c r="A461" t="s">
        <v>498</v>
      </c>
      <c r="B461">
        <v>1</v>
      </c>
      <c r="C461">
        <v>8</v>
      </c>
      <c r="D461">
        <v>94</v>
      </c>
      <c r="E461">
        <v>0</v>
      </c>
      <c r="F461">
        <v>0</v>
      </c>
      <c r="G461">
        <v>0</v>
      </c>
      <c r="H461">
        <v>94</v>
      </c>
      <c r="I461" s="4">
        <f t="shared" si="7"/>
        <v>1</v>
      </c>
    </row>
    <row r="462" spans="1:9">
      <c r="A462" t="s">
        <v>499</v>
      </c>
      <c r="B462">
        <v>3</v>
      </c>
      <c r="C462">
        <v>1</v>
      </c>
      <c r="D462">
        <v>626</v>
      </c>
      <c r="E462">
        <v>0</v>
      </c>
      <c r="F462">
        <v>2</v>
      </c>
      <c r="G462">
        <v>0</v>
      </c>
      <c r="H462">
        <v>654</v>
      </c>
      <c r="I462" s="4">
        <f t="shared" si="7"/>
        <v>0.95718654434250761</v>
      </c>
    </row>
    <row r="463" spans="1:9">
      <c r="A463" t="s">
        <v>499</v>
      </c>
      <c r="B463">
        <v>3</v>
      </c>
      <c r="C463">
        <v>2</v>
      </c>
      <c r="D463">
        <v>654</v>
      </c>
      <c r="E463">
        <v>0</v>
      </c>
      <c r="F463">
        <v>0</v>
      </c>
      <c r="G463">
        <v>0</v>
      </c>
      <c r="H463">
        <v>654</v>
      </c>
      <c r="I463" s="4">
        <f t="shared" si="7"/>
        <v>1</v>
      </c>
    </row>
    <row r="464" spans="1:9">
      <c r="A464" t="s">
        <v>500</v>
      </c>
      <c r="B464">
        <v>1</v>
      </c>
      <c r="C464">
        <v>1</v>
      </c>
      <c r="D464">
        <v>36</v>
      </c>
      <c r="E464">
        <v>0</v>
      </c>
      <c r="F464">
        <v>2</v>
      </c>
      <c r="G464">
        <v>0</v>
      </c>
      <c r="H464">
        <v>169</v>
      </c>
      <c r="I464" s="4">
        <f t="shared" si="7"/>
        <v>0.21301775147928995</v>
      </c>
    </row>
    <row r="465" spans="1:9">
      <c r="A465" t="s">
        <v>500</v>
      </c>
      <c r="B465">
        <v>1</v>
      </c>
      <c r="C465">
        <v>2</v>
      </c>
      <c r="D465">
        <v>69</v>
      </c>
      <c r="E465">
        <v>0</v>
      </c>
      <c r="F465">
        <v>2</v>
      </c>
      <c r="G465">
        <v>0</v>
      </c>
      <c r="H465">
        <v>169</v>
      </c>
      <c r="I465" s="4">
        <f t="shared" si="7"/>
        <v>0.40828402366863903</v>
      </c>
    </row>
    <row r="466" spans="1:9">
      <c r="A466" t="s">
        <v>500</v>
      </c>
      <c r="B466">
        <v>1</v>
      </c>
      <c r="C466">
        <v>3</v>
      </c>
      <c r="D466">
        <v>102</v>
      </c>
      <c r="E466">
        <v>0</v>
      </c>
      <c r="F466">
        <v>2</v>
      </c>
      <c r="G466">
        <v>0</v>
      </c>
      <c r="H466">
        <v>169</v>
      </c>
      <c r="I466" s="4">
        <f t="shared" si="7"/>
        <v>0.60355029585798814</v>
      </c>
    </row>
    <row r="467" spans="1:9">
      <c r="A467" t="s">
        <v>500</v>
      </c>
      <c r="B467">
        <v>1</v>
      </c>
      <c r="C467">
        <v>4</v>
      </c>
      <c r="D467">
        <v>135</v>
      </c>
      <c r="E467">
        <v>0</v>
      </c>
      <c r="F467">
        <v>2</v>
      </c>
      <c r="G467">
        <v>0</v>
      </c>
      <c r="H467">
        <v>169</v>
      </c>
      <c r="I467" s="4">
        <f t="shared" si="7"/>
        <v>0.79881656804733725</v>
      </c>
    </row>
    <row r="468" spans="1:9">
      <c r="A468" t="s">
        <v>500</v>
      </c>
      <c r="B468">
        <v>1</v>
      </c>
      <c r="C468">
        <v>5</v>
      </c>
      <c r="D468">
        <v>169</v>
      </c>
      <c r="E468">
        <v>0</v>
      </c>
      <c r="F468">
        <v>0</v>
      </c>
      <c r="G468">
        <v>0</v>
      </c>
      <c r="H468">
        <v>169</v>
      </c>
      <c r="I468" s="4">
        <f t="shared" si="7"/>
        <v>1</v>
      </c>
    </row>
    <row r="469" spans="1:9">
      <c r="A469" t="s">
        <v>501</v>
      </c>
      <c r="B469">
        <v>4</v>
      </c>
      <c r="C469">
        <v>1</v>
      </c>
      <c r="D469">
        <v>8</v>
      </c>
      <c r="E469">
        <v>0</v>
      </c>
      <c r="F469">
        <v>1</v>
      </c>
      <c r="G469">
        <v>0</v>
      </c>
      <c r="H469">
        <v>73</v>
      </c>
      <c r="I469" s="4">
        <f t="shared" si="7"/>
        <v>0.1095890410958904</v>
      </c>
    </row>
    <row r="470" spans="1:9">
      <c r="A470" t="s">
        <v>501</v>
      </c>
      <c r="B470">
        <v>4</v>
      </c>
      <c r="C470">
        <v>2</v>
      </c>
      <c r="D470">
        <v>20</v>
      </c>
      <c r="E470">
        <v>0</v>
      </c>
      <c r="F470">
        <v>2</v>
      </c>
      <c r="G470">
        <v>0</v>
      </c>
      <c r="H470">
        <v>73</v>
      </c>
      <c r="I470" s="4">
        <f t="shared" si="7"/>
        <v>0.27397260273972601</v>
      </c>
    </row>
    <row r="471" spans="1:9">
      <c r="A471" t="s">
        <v>501</v>
      </c>
      <c r="B471">
        <v>4</v>
      </c>
      <c r="C471">
        <v>3</v>
      </c>
      <c r="D471">
        <v>41</v>
      </c>
      <c r="E471">
        <v>0</v>
      </c>
      <c r="F471">
        <v>7</v>
      </c>
      <c r="G471">
        <v>0</v>
      </c>
      <c r="H471">
        <v>73</v>
      </c>
      <c r="I471" s="4">
        <f t="shared" si="7"/>
        <v>0.56164383561643838</v>
      </c>
    </row>
    <row r="472" spans="1:9">
      <c r="A472" t="s">
        <v>501</v>
      </c>
      <c r="B472">
        <v>4</v>
      </c>
      <c r="C472">
        <v>4</v>
      </c>
      <c r="D472">
        <v>43</v>
      </c>
      <c r="E472">
        <v>0</v>
      </c>
      <c r="F472">
        <v>8</v>
      </c>
      <c r="G472">
        <v>0</v>
      </c>
      <c r="H472">
        <v>73</v>
      </c>
      <c r="I472" s="4">
        <f t="shared" si="7"/>
        <v>0.58904109589041098</v>
      </c>
    </row>
    <row r="473" spans="1:9">
      <c r="A473" t="s">
        <v>501</v>
      </c>
      <c r="B473">
        <v>4</v>
      </c>
      <c r="C473">
        <v>5</v>
      </c>
      <c r="D473">
        <v>48</v>
      </c>
      <c r="E473">
        <v>0</v>
      </c>
      <c r="F473">
        <v>8</v>
      </c>
      <c r="G473">
        <v>0</v>
      </c>
      <c r="H473">
        <v>73</v>
      </c>
      <c r="I473" s="4">
        <f t="shared" si="7"/>
        <v>0.65753424657534243</v>
      </c>
    </row>
    <row r="474" spans="1:9">
      <c r="A474" t="s">
        <v>501</v>
      </c>
      <c r="B474">
        <v>4</v>
      </c>
      <c r="C474">
        <v>6</v>
      </c>
      <c r="D474">
        <v>57</v>
      </c>
      <c r="E474">
        <v>0</v>
      </c>
      <c r="F474">
        <v>6</v>
      </c>
      <c r="G474">
        <v>0</v>
      </c>
      <c r="H474">
        <v>73</v>
      </c>
      <c r="I474" s="4">
        <f t="shared" si="7"/>
        <v>0.78082191780821919</v>
      </c>
    </row>
    <row r="475" spans="1:9">
      <c r="A475" t="s">
        <v>501</v>
      </c>
      <c r="B475">
        <v>4</v>
      </c>
      <c r="C475">
        <v>7</v>
      </c>
      <c r="D475">
        <v>73</v>
      </c>
      <c r="E475">
        <v>0</v>
      </c>
      <c r="F475">
        <v>4</v>
      </c>
      <c r="G475">
        <v>0</v>
      </c>
      <c r="H475">
        <v>73</v>
      </c>
      <c r="I475" s="4">
        <f t="shared" si="7"/>
        <v>1</v>
      </c>
    </row>
    <row r="476" spans="1:9">
      <c r="A476" t="s">
        <v>501</v>
      </c>
      <c r="B476">
        <v>5</v>
      </c>
      <c r="C476">
        <v>1</v>
      </c>
      <c r="D476">
        <v>39</v>
      </c>
      <c r="E476">
        <v>0</v>
      </c>
      <c r="F476">
        <v>9</v>
      </c>
      <c r="G476">
        <v>0</v>
      </c>
      <c r="H476">
        <v>123</v>
      </c>
      <c r="I476" s="4">
        <f t="shared" si="7"/>
        <v>0.31707317073170732</v>
      </c>
    </row>
    <row r="477" spans="1:9">
      <c r="A477" t="s">
        <v>501</v>
      </c>
      <c r="B477">
        <v>5</v>
      </c>
      <c r="C477">
        <v>2</v>
      </c>
      <c r="D477">
        <v>44</v>
      </c>
      <c r="E477">
        <v>0</v>
      </c>
      <c r="F477">
        <v>9</v>
      </c>
      <c r="G477">
        <v>0</v>
      </c>
      <c r="H477">
        <v>123</v>
      </c>
      <c r="I477" s="4">
        <f t="shared" si="7"/>
        <v>0.35772357723577236</v>
      </c>
    </row>
    <row r="478" spans="1:9">
      <c r="A478" t="s">
        <v>501</v>
      </c>
      <c r="B478">
        <v>5</v>
      </c>
      <c r="C478">
        <v>3</v>
      </c>
      <c r="D478">
        <v>55</v>
      </c>
      <c r="E478">
        <v>0</v>
      </c>
      <c r="F478">
        <v>8</v>
      </c>
      <c r="G478">
        <v>0</v>
      </c>
      <c r="H478">
        <v>123</v>
      </c>
      <c r="I478" s="4">
        <f t="shared" si="7"/>
        <v>0.44715447154471544</v>
      </c>
    </row>
    <row r="479" spans="1:9">
      <c r="A479" t="s">
        <v>501</v>
      </c>
      <c r="B479">
        <v>5</v>
      </c>
      <c r="C479">
        <v>4</v>
      </c>
      <c r="D479">
        <v>71</v>
      </c>
      <c r="E479">
        <v>0</v>
      </c>
      <c r="F479">
        <v>6</v>
      </c>
      <c r="G479">
        <v>0</v>
      </c>
      <c r="H479">
        <v>123</v>
      </c>
      <c r="I479" s="4">
        <f t="shared" si="7"/>
        <v>0.57723577235772361</v>
      </c>
    </row>
    <row r="480" spans="1:9">
      <c r="A480" t="s">
        <v>501</v>
      </c>
      <c r="B480">
        <v>5</v>
      </c>
      <c r="C480">
        <v>5</v>
      </c>
      <c r="D480">
        <v>123</v>
      </c>
      <c r="E480">
        <v>0</v>
      </c>
      <c r="F480">
        <v>4</v>
      </c>
      <c r="G480">
        <v>0</v>
      </c>
      <c r="H480">
        <v>123</v>
      </c>
      <c r="I480" s="4">
        <f t="shared" si="7"/>
        <v>1</v>
      </c>
    </row>
    <row r="481" spans="1:9">
      <c r="A481" t="s">
        <v>501</v>
      </c>
      <c r="B481">
        <v>7</v>
      </c>
      <c r="C481">
        <v>1</v>
      </c>
      <c r="D481">
        <v>10</v>
      </c>
      <c r="E481">
        <v>0</v>
      </c>
      <c r="F481">
        <v>5</v>
      </c>
      <c r="G481">
        <v>0</v>
      </c>
      <c r="H481">
        <v>33</v>
      </c>
      <c r="I481" s="4">
        <f t="shared" si="7"/>
        <v>0.30303030303030304</v>
      </c>
    </row>
    <row r="482" spans="1:9">
      <c r="A482" t="s">
        <v>501</v>
      </c>
      <c r="B482">
        <v>7</v>
      </c>
      <c r="C482">
        <v>2</v>
      </c>
      <c r="D482">
        <v>22</v>
      </c>
      <c r="E482">
        <v>0</v>
      </c>
      <c r="F482">
        <v>3</v>
      </c>
      <c r="G482">
        <v>0</v>
      </c>
      <c r="H482">
        <v>33</v>
      </c>
      <c r="I482" s="4">
        <f t="shared" si="7"/>
        <v>0.66666666666666663</v>
      </c>
    </row>
    <row r="483" spans="1:9">
      <c r="A483" t="s">
        <v>501</v>
      </c>
      <c r="B483">
        <v>7</v>
      </c>
      <c r="C483">
        <v>3</v>
      </c>
      <c r="D483">
        <v>33</v>
      </c>
      <c r="E483">
        <v>0</v>
      </c>
      <c r="F483">
        <v>0</v>
      </c>
      <c r="G483">
        <v>0</v>
      </c>
      <c r="H483">
        <v>33</v>
      </c>
      <c r="I483" s="4">
        <f t="shared" si="7"/>
        <v>1</v>
      </c>
    </row>
    <row r="484" spans="1:9">
      <c r="A484" t="s">
        <v>501</v>
      </c>
      <c r="B484">
        <v>8</v>
      </c>
      <c r="C484">
        <v>1</v>
      </c>
      <c r="D484">
        <v>19</v>
      </c>
      <c r="E484">
        <v>0</v>
      </c>
      <c r="F484">
        <v>6</v>
      </c>
      <c r="G484">
        <v>0</v>
      </c>
      <c r="H484">
        <v>50</v>
      </c>
      <c r="I484" s="4">
        <f t="shared" si="7"/>
        <v>0.38</v>
      </c>
    </row>
    <row r="485" spans="1:9">
      <c r="A485" t="s">
        <v>501</v>
      </c>
      <c r="B485">
        <v>8</v>
      </c>
      <c r="C485">
        <v>2</v>
      </c>
      <c r="D485">
        <v>28</v>
      </c>
      <c r="E485">
        <v>0</v>
      </c>
      <c r="F485">
        <v>4</v>
      </c>
      <c r="G485">
        <v>0</v>
      </c>
      <c r="H485">
        <v>50</v>
      </c>
      <c r="I485" s="4">
        <f t="shared" si="7"/>
        <v>0.56000000000000005</v>
      </c>
    </row>
    <row r="486" spans="1:9">
      <c r="A486" t="s">
        <v>501</v>
      </c>
      <c r="B486">
        <v>8</v>
      </c>
      <c r="C486">
        <v>3</v>
      </c>
      <c r="D486">
        <v>34</v>
      </c>
      <c r="E486">
        <v>0</v>
      </c>
      <c r="F486">
        <v>4</v>
      </c>
      <c r="G486">
        <v>0</v>
      </c>
      <c r="H486">
        <v>50</v>
      </c>
      <c r="I486" s="4">
        <f t="shared" si="7"/>
        <v>0.68</v>
      </c>
    </row>
    <row r="487" spans="1:9">
      <c r="A487" t="s">
        <v>501</v>
      </c>
      <c r="B487">
        <v>8</v>
      </c>
      <c r="C487">
        <v>4</v>
      </c>
      <c r="D487">
        <v>44</v>
      </c>
      <c r="E487">
        <v>0</v>
      </c>
      <c r="F487">
        <v>2</v>
      </c>
      <c r="G487">
        <v>0</v>
      </c>
      <c r="H487">
        <v>50</v>
      </c>
      <c r="I487" s="4">
        <f t="shared" si="7"/>
        <v>0.88</v>
      </c>
    </row>
    <row r="488" spans="1:9">
      <c r="A488" t="s">
        <v>501</v>
      </c>
      <c r="B488">
        <v>8</v>
      </c>
      <c r="C488">
        <v>5</v>
      </c>
      <c r="D488">
        <v>50</v>
      </c>
      <c r="E488">
        <v>0</v>
      </c>
      <c r="F488">
        <v>0</v>
      </c>
      <c r="G488">
        <v>0</v>
      </c>
      <c r="H488">
        <v>50</v>
      </c>
      <c r="I488" s="4">
        <f t="shared" si="7"/>
        <v>1</v>
      </c>
    </row>
    <row r="489" spans="1:9">
      <c r="A489" t="s">
        <v>501</v>
      </c>
      <c r="B489">
        <v>9</v>
      </c>
      <c r="C489">
        <v>1</v>
      </c>
      <c r="D489">
        <v>7</v>
      </c>
      <c r="E489">
        <v>0</v>
      </c>
      <c r="F489">
        <v>5</v>
      </c>
      <c r="G489">
        <v>0</v>
      </c>
      <c r="H489">
        <v>36</v>
      </c>
      <c r="I489" s="4">
        <f t="shared" si="7"/>
        <v>0.19444444444444445</v>
      </c>
    </row>
    <row r="490" spans="1:9">
      <c r="A490" t="s">
        <v>501</v>
      </c>
      <c r="B490">
        <v>9</v>
      </c>
      <c r="C490">
        <v>2</v>
      </c>
      <c r="D490">
        <v>8</v>
      </c>
      <c r="E490">
        <v>0</v>
      </c>
      <c r="F490">
        <v>4</v>
      </c>
      <c r="G490">
        <v>0</v>
      </c>
      <c r="H490">
        <v>36</v>
      </c>
      <c r="I490" s="4">
        <f t="shared" si="7"/>
        <v>0.22222222222222221</v>
      </c>
    </row>
    <row r="491" spans="1:9">
      <c r="A491" t="s">
        <v>501</v>
      </c>
      <c r="B491">
        <v>9</v>
      </c>
      <c r="C491">
        <v>3</v>
      </c>
      <c r="D491">
        <v>12</v>
      </c>
      <c r="E491">
        <v>0</v>
      </c>
      <c r="F491">
        <v>5</v>
      </c>
      <c r="G491">
        <v>0</v>
      </c>
      <c r="H491">
        <v>36</v>
      </c>
      <c r="I491" s="4">
        <f t="shared" si="7"/>
        <v>0.33333333333333331</v>
      </c>
    </row>
    <row r="492" spans="1:9">
      <c r="A492" t="s">
        <v>501</v>
      </c>
      <c r="B492">
        <v>9</v>
      </c>
      <c r="C492">
        <v>4</v>
      </c>
      <c r="D492">
        <v>17</v>
      </c>
      <c r="E492">
        <v>0</v>
      </c>
      <c r="F492">
        <v>5</v>
      </c>
      <c r="G492">
        <v>0</v>
      </c>
      <c r="H492">
        <v>36</v>
      </c>
      <c r="I492" s="4">
        <f t="shared" si="7"/>
        <v>0.47222222222222221</v>
      </c>
    </row>
    <row r="493" spans="1:9">
      <c r="A493" t="s">
        <v>501</v>
      </c>
      <c r="B493">
        <v>9</v>
      </c>
      <c r="C493">
        <v>5</v>
      </c>
      <c r="D493">
        <v>19</v>
      </c>
      <c r="E493">
        <v>0</v>
      </c>
      <c r="F493">
        <v>5</v>
      </c>
      <c r="G493">
        <v>0</v>
      </c>
      <c r="H493">
        <v>36</v>
      </c>
      <c r="I493" s="4">
        <f t="shared" si="7"/>
        <v>0.52777777777777779</v>
      </c>
    </row>
    <row r="494" spans="1:9">
      <c r="A494" t="s">
        <v>501</v>
      </c>
      <c r="B494">
        <v>9</v>
      </c>
      <c r="C494">
        <v>6</v>
      </c>
      <c r="D494">
        <v>20</v>
      </c>
      <c r="E494">
        <v>0</v>
      </c>
      <c r="F494">
        <v>4</v>
      </c>
      <c r="G494">
        <v>0</v>
      </c>
      <c r="H494">
        <v>36</v>
      </c>
      <c r="I494" s="4">
        <f t="shared" si="7"/>
        <v>0.55555555555555558</v>
      </c>
    </row>
    <row r="495" spans="1:9">
      <c r="A495" t="s">
        <v>501</v>
      </c>
      <c r="B495">
        <v>9</v>
      </c>
      <c r="C495">
        <v>7</v>
      </c>
      <c r="D495">
        <v>23</v>
      </c>
      <c r="E495">
        <v>0</v>
      </c>
      <c r="F495">
        <v>3</v>
      </c>
      <c r="G495">
        <v>0</v>
      </c>
      <c r="H495">
        <v>36</v>
      </c>
      <c r="I495" s="4">
        <f t="shared" si="7"/>
        <v>0.63888888888888884</v>
      </c>
    </row>
    <row r="496" spans="1:9">
      <c r="A496" t="s">
        <v>501</v>
      </c>
      <c r="B496">
        <v>9</v>
      </c>
      <c r="C496">
        <v>8</v>
      </c>
      <c r="D496">
        <v>24</v>
      </c>
      <c r="E496">
        <v>0</v>
      </c>
      <c r="F496">
        <v>2</v>
      </c>
      <c r="G496">
        <v>0</v>
      </c>
      <c r="H496">
        <v>36</v>
      </c>
      <c r="I496" s="4">
        <f t="shared" si="7"/>
        <v>0.66666666666666663</v>
      </c>
    </row>
    <row r="497" spans="1:9">
      <c r="A497" t="s">
        <v>501</v>
      </c>
      <c r="B497">
        <v>9</v>
      </c>
      <c r="C497">
        <v>9</v>
      </c>
      <c r="D497">
        <v>24</v>
      </c>
      <c r="E497">
        <v>0</v>
      </c>
      <c r="F497">
        <v>2</v>
      </c>
      <c r="G497">
        <v>0</v>
      </c>
      <c r="H497">
        <v>36</v>
      </c>
      <c r="I497" s="4">
        <f t="shared" si="7"/>
        <v>0.66666666666666663</v>
      </c>
    </row>
    <row r="498" spans="1:9">
      <c r="A498" t="s">
        <v>501</v>
      </c>
      <c r="B498">
        <v>9</v>
      </c>
      <c r="C498">
        <v>10</v>
      </c>
      <c r="D498">
        <v>24</v>
      </c>
      <c r="E498">
        <v>0</v>
      </c>
      <c r="F498">
        <v>2</v>
      </c>
      <c r="G498">
        <v>0</v>
      </c>
      <c r="H498">
        <v>36</v>
      </c>
      <c r="I498" s="4">
        <f t="shared" si="7"/>
        <v>0.66666666666666663</v>
      </c>
    </row>
    <row r="499" spans="1:9">
      <c r="A499" t="s">
        <v>501</v>
      </c>
      <c r="B499">
        <v>9</v>
      </c>
      <c r="C499">
        <v>11</v>
      </c>
      <c r="D499">
        <v>24</v>
      </c>
      <c r="E499">
        <v>0</v>
      </c>
      <c r="F499">
        <v>2</v>
      </c>
      <c r="G499">
        <v>0</v>
      </c>
      <c r="H499">
        <v>36</v>
      </c>
      <c r="I499" s="4">
        <f t="shared" si="7"/>
        <v>0.66666666666666663</v>
      </c>
    </row>
    <row r="500" spans="1:9">
      <c r="A500" t="s">
        <v>501</v>
      </c>
      <c r="B500">
        <v>9</v>
      </c>
      <c r="C500">
        <v>12</v>
      </c>
      <c r="D500">
        <v>24</v>
      </c>
      <c r="E500">
        <v>0</v>
      </c>
      <c r="F500">
        <v>2</v>
      </c>
      <c r="G500">
        <v>0</v>
      </c>
      <c r="H500">
        <v>36</v>
      </c>
      <c r="I500" s="4">
        <f t="shared" si="7"/>
        <v>0.66666666666666663</v>
      </c>
    </row>
    <row r="501" spans="1:9">
      <c r="A501" t="s">
        <v>501</v>
      </c>
      <c r="B501">
        <v>9</v>
      </c>
      <c r="C501">
        <v>13</v>
      </c>
      <c r="D501">
        <v>24</v>
      </c>
      <c r="E501">
        <v>0</v>
      </c>
      <c r="F501">
        <v>2</v>
      </c>
      <c r="G501">
        <v>0</v>
      </c>
      <c r="H501">
        <v>36</v>
      </c>
      <c r="I501" s="4">
        <f t="shared" si="7"/>
        <v>0.66666666666666663</v>
      </c>
    </row>
    <row r="502" spans="1:9">
      <c r="A502" t="s">
        <v>501</v>
      </c>
      <c r="B502">
        <v>9</v>
      </c>
      <c r="C502">
        <v>14</v>
      </c>
      <c r="D502">
        <v>28</v>
      </c>
      <c r="E502">
        <v>0</v>
      </c>
      <c r="F502">
        <v>3</v>
      </c>
      <c r="G502">
        <v>0</v>
      </c>
      <c r="H502">
        <v>36</v>
      </c>
      <c r="I502" s="4">
        <f t="shared" si="7"/>
        <v>0.77777777777777779</v>
      </c>
    </row>
    <row r="503" spans="1:9">
      <c r="A503" t="s">
        <v>501</v>
      </c>
      <c r="B503">
        <v>9</v>
      </c>
      <c r="C503">
        <v>15</v>
      </c>
      <c r="D503">
        <v>35</v>
      </c>
      <c r="E503">
        <v>0</v>
      </c>
      <c r="F503">
        <v>1</v>
      </c>
      <c r="G503">
        <v>0</v>
      </c>
      <c r="H503">
        <v>36</v>
      </c>
      <c r="I503" s="4">
        <f t="shared" si="7"/>
        <v>0.97222222222222221</v>
      </c>
    </row>
    <row r="504" spans="1:9">
      <c r="A504" t="s">
        <v>501</v>
      </c>
      <c r="B504">
        <v>9</v>
      </c>
      <c r="C504">
        <v>16</v>
      </c>
      <c r="D504">
        <v>35</v>
      </c>
      <c r="E504">
        <v>0</v>
      </c>
      <c r="F504">
        <v>1</v>
      </c>
      <c r="G504">
        <v>0</v>
      </c>
      <c r="H504">
        <v>36</v>
      </c>
      <c r="I504" s="4">
        <f t="shared" si="7"/>
        <v>0.97222222222222221</v>
      </c>
    </row>
    <row r="505" spans="1:9">
      <c r="A505" t="s">
        <v>501</v>
      </c>
      <c r="B505">
        <v>9</v>
      </c>
      <c r="C505">
        <v>17</v>
      </c>
      <c r="D505">
        <v>36</v>
      </c>
      <c r="E505">
        <v>0</v>
      </c>
      <c r="F505">
        <v>0</v>
      </c>
      <c r="G505">
        <v>0</v>
      </c>
      <c r="H505">
        <v>36</v>
      </c>
      <c r="I505" s="4">
        <f t="shared" si="7"/>
        <v>1</v>
      </c>
    </row>
    <row r="506" spans="1:9">
      <c r="A506" t="s">
        <v>501</v>
      </c>
      <c r="B506">
        <v>9</v>
      </c>
      <c r="C506">
        <v>18</v>
      </c>
      <c r="D506">
        <v>36</v>
      </c>
      <c r="E506">
        <v>0</v>
      </c>
      <c r="F506">
        <v>0</v>
      </c>
      <c r="G506">
        <v>0</v>
      </c>
      <c r="H506">
        <v>36</v>
      </c>
      <c r="I506" s="4">
        <f t="shared" si="7"/>
        <v>1</v>
      </c>
    </row>
    <row r="507" spans="1:9">
      <c r="A507" t="s">
        <v>501</v>
      </c>
      <c r="B507">
        <v>10</v>
      </c>
      <c r="C507">
        <v>1</v>
      </c>
      <c r="D507">
        <v>27</v>
      </c>
      <c r="E507">
        <v>0</v>
      </c>
      <c r="F507">
        <v>3</v>
      </c>
      <c r="G507">
        <v>0</v>
      </c>
      <c r="H507">
        <v>30</v>
      </c>
      <c r="I507" s="4">
        <f t="shared" si="7"/>
        <v>0.9</v>
      </c>
    </row>
    <row r="508" spans="1:9">
      <c r="A508" t="s">
        <v>501</v>
      </c>
      <c r="B508">
        <v>10</v>
      </c>
      <c r="C508">
        <v>2</v>
      </c>
      <c r="D508">
        <v>30</v>
      </c>
      <c r="E508">
        <v>0</v>
      </c>
      <c r="F508">
        <v>0</v>
      </c>
      <c r="G508">
        <v>0</v>
      </c>
      <c r="H508">
        <v>30</v>
      </c>
      <c r="I508" s="4">
        <f t="shared" si="7"/>
        <v>1</v>
      </c>
    </row>
    <row r="509" spans="1:9">
      <c r="A509" t="s">
        <v>501</v>
      </c>
      <c r="B509">
        <v>10</v>
      </c>
      <c r="C509">
        <v>3</v>
      </c>
      <c r="D509">
        <v>30</v>
      </c>
      <c r="E509">
        <v>0</v>
      </c>
      <c r="F509">
        <v>0</v>
      </c>
      <c r="G509">
        <v>0</v>
      </c>
      <c r="H509">
        <v>30</v>
      </c>
      <c r="I509" s="4">
        <f t="shared" si="7"/>
        <v>1</v>
      </c>
    </row>
    <row r="510" spans="1:9">
      <c r="A510" t="s">
        <v>501</v>
      </c>
      <c r="B510">
        <v>10</v>
      </c>
      <c r="C510">
        <v>4</v>
      </c>
      <c r="D510">
        <v>30</v>
      </c>
      <c r="E510">
        <v>0</v>
      </c>
      <c r="F510">
        <v>0</v>
      </c>
      <c r="G510">
        <v>0</v>
      </c>
      <c r="H510">
        <v>30</v>
      </c>
      <c r="I510" s="4">
        <f t="shared" si="7"/>
        <v>1</v>
      </c>
    </row>
    <row r="511" spans="1:9">
      <c r="A511" t="s">
        <v>501</v>
      </c>
      <c r="B511">
        <v>11</v>
      </c>
      <c r="C511">
        <v>1</v>
      </c>
      <c r="D511">
        <v>7</v>
      </c>
      <c r="E511">
        <v>0</v>
      </c>
      <c r="F511">
        <v>3</v>
      </c>
      <c r="G511">
        <v>0</v>
      </c>
      <c r="H511">
        <v>88</v>
      </c>
      <c r="I511" s="4">
        <f t="shared" si="7"/>
        <v>7.9545454545454544E-2</v>
      </c>
    </row>
    <row r="512" spans="1:9">
      <c r="A512" t="s">
        <v>501</v>
      </c>
      <c r="B512">
        <v>11</v>
      </c>
      <c r="C512">
        <v>2</v>
      </c>
      <c r="D512">
        <v>34</v>
      </c>
      <c r="E512">
        <v>0</v>
      </c>
      <c r="F512">
        <v>9</v>
      </c>
      <c r="G512">
        <v>0</v>
      </c>
      <c r="H512">
        <v>88</v>
      </c>
      <c r="I512" s="4">
        <f t="shared" si="7"/>
        <v>0.38636363636363635</v>
      </c>
    </row>
    <row r="513" spans="1:9">
      <c r="A513" t="s">
        <v>501</v>
      </c>
      <c r="B513">
        <v>11</v>
      </c>
      <c r="C513">
        <v>3</v>
      </c>
      <c r="D513">
        <v>43</v>
      </c>
      <c r="E513">
        <v>0</v>
      </c>
      <c r="F513">
        <v>7</v>
      </c>
      <c r="G513">
        <v>0</v>
      </c>
      <c r="H513">
        <v>88</v>
      </c>
      <c r="I513" s="4">
        <f t="shared" si="7"/>
        <v>0.48863636363636365</v>
      </c>
    </row>
    <row r="514" spans="1:9">
      <c r="A514" t="s">
        <v>501</v>
      </c>
      <c r="B514">
        <v>11</v>
      </c>
      <c r="C514">
        <v>4</v>
      </c>
      <c r="D514">
        <v>46</v>
      </c>
      <c r="E514">
        <v>0</v>
      </c>
      <c r="F514">
        <v>5</v>
      </c>
      <c r="G514">
        <v>0</v>
      </c>
      <c r="H514">
        <v>88</v>
      </c>
      <c r="I514" s="4">
        <f t="shared" si="7"/>
        <v>0.52272727272727271</v>
      </c>
    </row>
    <row r="515" spans="1:9">
      <c r="A515" t="s">
        <v>501</v>
      </c>
      <c r="B515">
        <v>11</v>
      </c>
      <c r="C515">
        <v>5</v>
      </c>
      <c r="D515">
        <v>54</v>
      </c>
      <c r="E515">
        <v>0</v>
      </c>
      <c r="F515">
        <v>6</v>
      </c>
      <c r="G515">
        <v>0</v>
      </c>
      <c r="H515">
        <v>88</v>
      </c>
      <c r="I515" s="4">
        <f t="shared" ref="I515:I555" si="8">D515/H515</f>
        <v>0.61363636363636365</v>
      </c>
    </row>
    <row r="516" spans="1:9">
      <c r="A516" t="s">
        <v>501</v>
      </c>
      <c r="B516">
        <v>11</v>
      </c>
      <c r="C516">
        <v>6</v>
      </c>
      <c r="D516">
        <v>54</v>
      </c>
      <c r="E516">
        <v>0</v>
      </c>
      <c r="F516">
        <v>6</v>
      </c>
      <c r="G516">
        <v>0</v>
      </c>
      <c r="H516">
        <v>88</v>
      </c>
      <c r="I516" s="4">
        <f t="shared" si="8"/>
        <v>0.61363636363636365</v>
      </c>
    </row>
    <row r="517" spans="1:9">
      <c r="A517" t="s">
        <v>501</v>
      </c>
      <c r="B517">
        <v>11</v>
      </c>
      <c r="C517">
        <v>7</v>
      </c>
      <c r="D517">
        <v>54</v>
      </c>
      <c r="E517">
        <v>0</v>
      </c>
      <c r="F517">
        <v>6</v>
      </c>
      <c r="G517">
        <v>0</v>
      </c>
      <c r="H517">
        <v>88</v>
      </c>
      <c r="I517" s="4">
        <f t="shared" si="8"/>
        <v>0.61363636363636365</v>
      </c>
    </row>
    <row r="518" spans="1:9">
      <c r="A518" t="s">
        <v>501</v>
      </c>
      <c r="B518">
        <v>11</v>
      </c>
      <c r="C518">
        <v>8</v>
      </c>
      <c r="D518">
        <v>62</v>
      </c>
      <c r="E518">
        <v>0</v>
      </c>
      <c r="F518">
        <v>6</v>
      </c>
      <c r="G518">
        <v>0</v>
      </c>
      <c r="H518">
        <v>88</v>
      </c>
      <c r="I518" s="4">
        <f t="shared" si="8"/>
        <v>0.70454545454545459</v>
      </c>
    </row>
    <row r="519" spans="1:9">
      <c r="A519" t="s">
        <v>501</v>
      </c>
      <c r="B519">
        <v>11</v>
      </c>
      <c r="C519">
        <v>9</v>
      </c>
      <c r="D519">
        <v>68</v>
      </c>
      <c r="E519">
        <v>0</v>
      </c>
      <c r="F519">
        <v>3</v>
      </c>
      <c r="G519">
        <v>0</v>
      </c>
      <c r="H519">
        <v>88</v>
      </c>
      <c r="I519" s="4">
        <f t="shared" si="8"/>
        <v>0.77272727272727271</v>
      </c>
    </row>
    <row r="520" spans="1:9">
      <c r="A520" t="s">
        <v>501</v>
      </c>
      <c r="B520">
        <v>11</v>
      </c>
      <c r="C520">
        <v>10</v>
      </c>
      <c r="D520">
        <v>68</v>
      </c>
      <c r="E520">
        <v>0</v>
      </c>
      <c r="F520">
        <v>3</v>
      </c>
      <c r="G520">
        <v>0</v>
      </c>
      <c r="H520">
        <v>88</v>
      </c>
      <c r="I520" s="4">
        <f t="shared" si="8"/>
        <v>0.77272727272727271</v>
      </c>
    </row>
    <row r="521" spans="1:9">
      <c r="A521" t="s">
        <v>501</v>
      </c>
      <c r="B521">
        <v>11</v>
      </c>
      <c r="C521">
        <v>11</v>
      </c>
      <c r="D521">
        <v>68</v>
      </c>
      <c r="E521">
        <v>0</v>
      </c>
      <c r="F521">
        <v>3</v>
      </c>
      <c r="G521">
        <v>0</v>
      </c>
      <c r="H521">
        <v>88</v>
      </c>
      <c r="I521" s="4">
        <f t="shared" si="8"/>
        <v>0.77272727272727271</v>
      </c>
    </row>
    <row r="522" spans="1:9">
      <c r="A522" t="s">
        <v>501</v>
      </c>
      <c r="B522">
        <v>11</v>
      </c>
      <c r="C522">
        <v>12</v>
      </c>
      <c r="D522">
        <v>68</v>
      </c>
      <c r="E522">
        <v>0</v>
      </c>
      <c r="F522">
        <v>3</v>
      </c>
      <c r="G522">
        <v>0</v>
      </c>
      <c r="H522">
        <v>88</v>
      </c>
      <c r="I522" s="4">
        <f t="shared" si="8"/>
        <v>0.77272727272727271</v>
      </c>
    </row>
    <row r="523" spans="1:9">
      <c r="A523" t="s">
        <v>501</v>
      </c>
      <c r="B523">
        <v>11</v>
      </c>
      <c r="C523">
        <v>13</v>
      </c>
      <c r="D523">
        <v>78</v>
      </c>
      <c r="E523">
        <v>0</v>
      </c>
      <c r="F523">
        <v>3</v>
      </c>
      <c r="G523">
        <v>0</v>
      </c>
      <c r="H523">
        <v>88</v>
      </c>
      <c r="I523" s="4">
        <f t="shared" si="8"/>
        <v>0.88636363636363635</v>
      </c>
    </row>
    <row r="524" spans="1:9">
      <c r="A524" t="s">
        <v>501</v>
      </c>
      <c r="B524">
        <v>11</v>
      </c>
      <c r="C524">
        <v>14</v>
      </c>
      <c r="D524">
        <v>78</v>
      </c>
      <c r="E524">
        <v>0</v>
      </c>
      <c r="F524">
        <v>3</v>
      </c>
      <c r="G524">
        <v>0</v>
      </c>
      <c r="H524">
        <v>88</v>
      </c>
      <c r="I524" s="4">
        <f t="shared" si="8"/>
        <v>0.88636363636363635</v>
      </c>
    </row>
    <row r="525" spans="1:9">
      <c r="A525" t="s">
        <v>501</v>
      </c>
      <c r="B525">
        <v>11</v>
      </c>
      <c r="C525">
        <v>15</v>
      </c>
      <c r="D525">
        <v>88</v>
      </c>
      <c r="E525">
        <v>0</v>
      </c>
      <c r="F525">
        <v>0</v>
      </c>
      <c r="G525">
        <v>0</v>
      </c>
      <c r="H525">
        <v>88</v>
      </c>
      <c r="I525" s="4">
        <f t="shared" si="8"/>
        <v>1</v>
      </c>
    </row>
    <row r="526" spans="1:9">
      <c r="A526" t="s">
        <v>501</v>
      </c>
      <c r="B526">
        <v>11</v>
      </c>
      <c r="C526">
        <v>16</v>
      </c>
      <c r="D526">
        <v>88</v>
      </c>
      <c r="E526">
        <v>0</v>
      </c>
      <c r="F526">
        <v>0</v>
      </c>
      <c r="G526">
        <v>0</v>
      </c>
      <c r="H526">
        <v>88</v>
      </c>
      <c r="I526" s="4">
        <f t="shared" si="8"/>
        <v>1</v>
      </c>
    </row>
    <row r="527" spans="1:9">
      <c r="A527" t="s">
        <v>501</v>
      </c>
      <c r="B527">
        <v>11</v>
      </c>
      <c r="C527">
        <v>17</v>
      </c>
      <c r="D527">
        <v>88</v>
      </c>
      <c r="E527">
        <v>0</v>
      </c>
      <c r="F527">
        <v>0</v>
      </c>
      <c r="G527">
        <v>0</v>
      </c>
      <c r="H527">
        <v>88</v>
      </c>
      <c r="I527" s="4">
        <f t="shared" si="8"/>
        <v>1</v>
      </c>
    </row>
    <row r="528" spans="1:9">
      <c r="A528" t="s">
        <v>501</v>
      </c>
      <c r="B528">
        <v>11</v>
      </c>
      <c r="C528">
        <v>18</v>
      </c>
      <c r="D528">
        <v>88</v>
      </c>
      <c r="E528">
        <v>0</v>
      </c>
      <c r="F528">
        <v>0</v>
      </c>
      <c r="G528">
        <v>0</v>
      </c>
      <c r="H528">
        <v>88</v>
      </c>
      <c r="I528" s="4">
        <f t="shared" si="8"/>
        <v>1</v>
      </c>
    </row>
    <row r="529" spans="1:9">
      <c r="A529" t="s">
        <v>501</v>
      </c>
      <c r="B529">
        <v>11</v>
      </c>
      <c r="C529">
        <v>19</v>
      </c>
      <c r="D529">
        <v>88</v>
      </c>
      <c r="E529">
        <v>0</v>
      </c>
      <c r="F529">
        <v>0</v>
      </c>
      <c r="G529">
        <v>0</v>
      </c>
      <c r="H529">
        <v>88</v>
      </c>
      <c r="I529" s="4">
        <f t="shared" si="8"/>
        <v>1</v>
      </c>
    </row>
    <row r="530" spans="1:9">
      <c r="A530" t="s">
        <v>501</v>
      </c>
      <c r="B530">
        <v>12</v>
      </c>
      <c r="C530">
        <v>1</v>
      </c>
      <c r="D530">
        <v>7</v>
      </c>
      <c r="E530">
        <v>0</v>
      </c>
      <c r="F530">
        <v>3</v>
      </c>
      <c r="G530">
        <v>0</v>
      </c>
      <c r="H530">
        <v>56</v>
      </c>
      <c r="I530" s="4">
        <f t="shared" si="8"/>
        <v>0.125</v>
      </c>
    </row>
    <row r="531" spans="1:9">
      <c r="A531" t="s">
        <v>501</v>
      </c>
      <c r="B531">
        <v>12</v>
      </c>
      <c r="C531">
        <v>2</v>
      </c>
      <c r="D531">
        <v>29</v>
      </c>
      <c r="E531">
        <v>0</v>
      </c>
      <c r="F531">
        <v>7</v>
      </c>
      <c r="G531">
        <v>0</v>
      </c>
      <c r="H531">
        <v>56</v>
      </c>
      <c r="I531" s="4">
        <f t="shared" si="8"/>
        <v>0.5178571428571429</v>
      </c>
    </row>
    <row r="532" spans="1:9">
      <c r="A532" t="s">
        <v>501</v>
      </c>
      <c r="B532">
        <v>12</v>
      </c>
      <c r="C532">
        <v>3</v>
      </c>
      <c r="D532">
        <v>32</v>
      </c>
      <c r="E532">
        <v>0</v>
      </c>
      <c r="F532">
        <v>4</v>
      </c>
      <c r="G532">
        <v>0</v>
      </c>
      <c r="H532">
        <v>56</v>
      </c>
      <c r="I532" s="4">
        <f t="shared" si="8"/>
        <v>0.5714285714285714</v>
      </c>
    </row>
    <row r="533" spans="1:9">
      <c r="A533" t="s">
        <v>501</v>
      </c>
      <c r="B533">
        <v>12</v>
      </c>
      <c r="C533">
        <v>4</v>
      </c>
      <c r="D533">
        <v>43</v>
      </c>
      <c r="E533">
        <v>0</v>
      </c>
      <c r="F533">
        <v>2</v>
      </c>
      <c r="G533">
        <v>0</v>
      </c>
      <c r="H533">
        <v>56</v>
      </c>
      <c r="I533" s="4">
        <f t="shared" si="8"/>
        <v>0.7678571428571429</v>
      </c>
    </row>
    <row r="534" spans="1:9">
      <c r="A534" t="s">
        <v>501</v>
      </c>
      <c r="B534">
        <v>12</v>
      </c>
      <c r="C534">
        <v>5</v>
      </c>
      <c r="D534">
        <v>43</v>
      </c>
      <c r="E534">
        <v>0</v>
      </c>
      <c r="F534">
        <v>2</v>
      </c>
      <c r="G534">
        <v>0</v>
      </c>
      <c r="H534">
        <v>56</v>
      </c>
      <c r="I534" s="4">
        <f t="shared" si="8"/>
        <v>0.7678571428571429</v>
      </c>
    </row>
    <row r="535" spans="1:9">
      <c r="A535" t="s">
        <v>501</v>
      </c>
      <c r="B535">
        <v>12</v>
      </c>
      <c r="C535">
        <v>6</v>
      </c>
      <c r="D535">
        <v>53</v>
      </c>
      <c r="E535">
        <v>0</v>
      </c>
      <c r="F535">
        <v>3</v>
      </c>
      <c r="G535">
        <v>0</v>
      </c>
      <c r="H535">
        <v>56</v>
      </c>
      <c r="I535" s="4">
        <f t="shared" si="8"/>
        <v>0.9464285714285714</v>
      </c>
    </row>
    <row r="536" spans="1:9">
      <c r="A536" t="s">
        <v>501</v>
      </c>
      <c r="B536">
        <v>12</v>
      </c>
      <c r="C536">
        <v>7</v>
      </c>
      <c r="D536">
        <v>56</v>
      </c>
      <c r="E536">
        <v>0</v>
      </c>
      <c r="F536">
        <v>0</v>
      </c>
      <c r="G536">
        <v>0</v>
      </c>
      <c r="H536">
        <v>56</v>
      </c>
      <c r="I536" s="4">
        <f t="shared" si="8"/>
        <v>1</v>
      </c>
    </row>
    <row r="537" spans="1:9">
      <c r="A537" t="s">
        <v>501</v>
      </c>
      <c r="B537">
        <v>12</v>
      </c>
      <c r="C537">
        <v>8</v>
      </c>
      <c r="D537">
        <v>56</v>
      </c>
      <c r="E537">
        <v>0</v>
      </c>
      <c r="F537">
        <v>0</v>
      </c>
      <c r="G537">
        <v>0</v>
      </c>
      <c r="H537">
        <v>56</v>
      </c>
      <c r="I537" s="4">
        <f t="shared" si="8"/>
        <v>1</v>
      </c>
    </row>
    <row r="538" spans="1:9">
      <c r="A538" t="s">
        <v>501</v>
      </c>
      <c r="B538">
        <v>12</v>
      </c>
      <c r="C538">
        <v>9</v>
      </c>
      <c r="D538">
        <v>56</v>
      </c>
      <c r="E538">
        <v>0</v>
      </c>
      <c r="F538">
        <v>0</v>
      </c>
      <c r="G538">
        <v>0</v>
      </c>
      <c r="H538">
        <v>56</v>
      </c>
      <c r="I538" s="4">
        <f t="shared" si="8"/>
        <v>1</v>
      </c>
    </row>
    <row r="539" spans="1:9">
      <c r="A539" t="s">
        <v>501</v>
      </c>
      <c r="B539">
        <v>13</v>
      </c>
      <c r="C539">
        <v>1</v>
      </c>
      <c r="D539">
        <v>3</v>
      </c>
      <c r="E539">
        <v>0</v>
      </c>
      <c r="F539">
        <v>1</v>
      </c>
      <c r="G539">
        <v>0</v>
      </c>
      <c r="H539">
        <v>7</v>
      </c>
      <c r="I539" s="4">
        <f t="shared" si="8"/>
        <v>0.42857142857142855</v>
      </c>
    </row>
    <row r="540" spans="1:9">
      <c r="A540" t="s">
        <v>501</v>
      </c>
      <c r="B540">
        <v>13</v>
      </c>
      <c r="C540">
        <v>2</v>
      </c>
      <c r="D540">
        <v>7</v>
      </c>
      <c r="E540">
        <v>0</v>
      </c>
      <c r="F540">
        <v>0</v>
      </c>
      <c r="G540">
        <v>0</v>
      </c>
      <c r="H540">
        <v>7</v>
      </c>
      <c r="I540" s="4">
        <f t="shared" si="8"/>
        <v>1</v>
      </c>
    </row>
    <row r="541" spans="1:9">
      <c r="A541" t="s">
        <v>880</v>
      </c>
      <c r="B541">
        <v>2</v>
      </c>
      <c r="C541">
        <v>1</v>
      </c>
      <c r="D541">
        <v>25</v>
      </c>
      <c r="E541">
        <v>0</v>
      </c>
      <c r="F541">
        <v>3</v>
      </c>
      <c r="G541">
        <v>0</v>
      </c>
      <c r="H541">
        <v>71</v>
      </c>
      <c r="I541" s="4">
        <f t="shared" si="8"/>
        <v>0.352112676056338</v>
      </c>
    </row>
    <row r="542" spans="1:9">
      <c r="A542" t="s">
        <v>880</v>
      </c>
      <c r="B542">
        <v>2</v>
      </c>
      <c r="C542">
        <v>2</v>
      </c>
      <c r="D542">
        <v>50</v>
      </c>
      <c r="E542">
        <v>0</v>
      </c>
      <c r="F542">
        <v>2</v>
      </c>
      <c r="G542">
        <v>0</v>
      </c>
      <c r="H542">
        <v>71</v>
      </c>
      <c r="I542" s="4">
        <f t="shared" si="8"/>
        <v>0.70422535211267601</v>
      </c>
    </row>
    <row r="543" spans="1:9">
      <c r="A543" t="s">
        <v>880</v>
      </c>
      <c r="B543">
        <v>2</v>
      </c>
      <c r="C543">
        <v>3</v>
      </c>
      <c r="D543">
        <v>71</v>
      </c>
      <c r="E543">
        <v>0</v>
      </c>
      <c r="F543">
        <v>0</v>
      </c>
      <c r="G543">
        <v>0</v>
      </c>
      <c r="H543">
        <v>71</v>
      </c>
      <c r="I543" s="4">
        <f t="shared" si="8"/>
        <v>1</v>
      </c>
    </row>
    <row r="544" spans="1:9">
      <c r="A544" t="s">
        <v>880</v>
      </c>
      <c r="B544">
        <v>6</v>
      </c>
      <c r="C544">
        <v>1</v>
      </c>
      <c r="D544">
        <v>21</v>
      </c>
      <c r="E544">
        <v>0</v>
      </c>
      <c r="F544">
        <v>4</v>
      </c>
      <c r="G544">
        <v>0</v>
      </c>
      <c r="H544">
        <v>31</v>
      </c>
      <c r="I544" s="4">
        <f t="shared" si="8"/>
        <v>0.67741935483870963</v>
      </c>
    </row>
    <row r="545" spans="1:9">
      <c r="A545" t="s">
        <v>880</v>
      </c>
      <c r="B545">
        <v>6</v>
      </c>
      <c r="C545">
        <v>2</v>
      </c>
      <c r="D545">
        <v>23</v>
      </c>
      <c r="E545">
        <v>0</v>
      </c>
      <c r="F545">
        <v>2</v>
      </c>
      <c r="G545">
        <v>0</v>
      </c>
      <c r="H545">
        <v>31</v>
      </c>
      <c r="I545" s="4">
        <f t="shared" si="8"/>
        <v>0.74193548387096775</v>
      </c>
    </row>
    <row r="546" spans="1:9">
      <c r="A546" t="s">
        <v>880</v>
      </c>
      <c r="B546">
        <v>6</v>
      </c>
      <c r="C546">
        <v>3</v>
      </c>
      <c r="D546">
        <v>30</v>
      </c>
      <c r="E546">
        <v>0</v>
      </c>
      <c r="F546">
        <v>1</v>
      </c>
      <c r="G546">
        <v>0</v>
      </c>
      <c r="H546">
        <v>31</v>
      </c>
      <c r="I546" s="4">
        <f t="shared" si="8"/>
        <v>0.967741935483871</v>
      </c>
    </row>
    <row r="547" spans="1:9">
      <c r="A547" t="s">
        <v>880</v>
      </c>
      <c r="B547">
        <v>6</v>
      </c>
      <c r="C547">
        <v>4</v>
      </c>
      <c r="D547">
        <v>31</v>
      </c>
      <c r="E547">
        <v>0</v>
      </c>
      <c r="F547">
        <v>0</v>
      </c>
      <c r="G547">
        <v>0</v>
      </c>
      <c r="H547">
        <v>31</v>
      </c>
      <c r="I547" s="4">
        <f t="shared" si="8"/>
        <v>1</v>
      </c>
    </row>
    <row r="548" spans="1:9">
      <c r="A548" t="s">
        <v>880</v>
      </c>
      <c r="B548">
        <v>6</v>
      </c>
      <c r="C548">
        <v>5</v>
      </c>
      <c r="D548">
        <v>31</v>
      </c>
      <c r="E548">
        <v>0</v>
      </c>
      <c r="F548">
        <v>0</v>
      </c>
      <c r="G548">
        <v>0</v>
      </c>
      <c r="H548">
        <v>31</v>
      </c>
      <c r="I548" s="4">
        <f t="shared" si="8"/>
        <v>1</v>
      </c>
    </row>
    <row r="549" spans="1:9">
      <c r="A549" t="s">
        <v>880</v>
      </c>
      <c r="B549">
        <v>6</v>
      </c>
      <c r="C549">
        <v>6</v>
      </c>
      <c r="D549">
        <v>31</v>
      </c>
      <c r="E549">
        <v>0</v>
      </c>
      <c r="F549">
        <v>0</v>
      </c>
      <c r="G549">
        <v>0</v>
      </c>
      <c r="H549">
        <v>31</v>
      </c>
      <c r="I549" s="4">
        <f t="shared" si="8"/>
        <v>1</v>
      </c>
    </row>
    <row r="550" spans="1:9">
      <c r="A550" t="s">
        <v>880</v>
      </c>
      <c r="B550">
        <v>8</v>
      </c>
      <c r="C550">
        <v>1</v>
      </c>
      <c r="D550">
        <v>26</v>
      </c>
      <c r="E550">
        <v>0</v>
      </c>
      <c r="F550">
        <v>2</v>
      </c>
      <c r="G550">
        <v>0</v>
      </c>
      <c r="H550">
        <v>29</v>
      </c>
      <c r="I550" s="4">
        <f t="shared" si="8"/>
        <v>0.89655172413793105</v>
      </c>
    </row>
    <row r="551" spans="1:9">
      <c r="A551" t="s">
        <v>880</v>
      </c>
      <c r="B551">
        <v>8</v>
      </c>
      <c r="C551">
        <v>2</v>
      </c>
      <c r="D551">
        <v>29</v>
      </c>
      <c r="E551">
        <v>0</v>
      </c>
      <c r="F551">
        <v>0</v>
      </c>
      <c r="G551">
        <v>0</v>
      </c>
      <c r="H551">
        <v>29</v>
      </c>
      <c r="I551" s="4">
        <f t="shared" si="8"/>
        <v>1</v>
      </c>
    </row>
    <row r="552" spans="1:9">
      <c r="A552" t="s">
        <v>880</v>
      </c>
      <c r="B552">
        <v>11</v>
      </c>
      <c r="C552">
        <v>1</v>
      </c>
      <c r="D552">
        <v>94</v>
      </c>
      <c r="E552">
        <v>0</v>
      </c>
      <c r="F552">
        <v>2</v>
      </c>
      <c r="G552">
        <v>0</v>
      </c>
      <c r="H552">
        <v>115</v>
      </c>
      <c r="I552" s="4">
        <f t="shared" si="8"/>
        <v>0.81739130434782614</v>
      </c>
    </row>
    <row r="553" spans="1:9">
      <c r="A553" t="s">
        <v>880</v>
      </c>
      <c r="B553">
        <v>11</v>
      </c>
      <c r="C553">
        <v>2</v>
      </c>
      <c r="D553">
        <v>103</v>
      </c>
      <c r="E553">
        <v>0</v>
      </c>
      <c r="F553">
        <v>2</v>
      </c>
      <c r="G553">
        <v>0</v>
      </c>
      <c r="H553">
        <v>115</v>
      </c>
      <c r="I553" s="4">
        <f t="shared" si="8"/>
        <v>0.89565217391304353</v>
      </c>
    </row>
    <row r="554" spans="1:9">
      <c r="A554" t="s">
        <v>880</v>
      </c>
      <c r="B554">
        <v>11</v>
      </c>
      <c r="C554">
        <v>3</v>
      </c>
      <c r="D554">
        <v>114</v>
      </c>
      <c r="E554">
        <v>0</v>
      </c>
      <c r="F554">
        <v>1</v>
      </c>
      <c r="G554">
        <v>0</v>
      </c>
      <c r="H554">
        <v>115</v>
      </c>
      <c r="I554" s="4">
        <f t="shared" si="8"/>
        <v>0.99130434782608701</v>
      </c>
    </row>
    <row r="555" spans="1:9">
      <c r="A555" t="s">
        <v>880</v>
      </c>
      <c r="B555">
        <v>11</v>
      </c>
      <c r="C555">
        <v>4</v>
      </c>
      <c r="D555">
        <v>115</v>
      </c>
      <c r="E555">
        <v>0</v>
      </c>
      <c r="F555">
        <v>0</v>
      </c>
      <c r="G555">
        <v>0</v>
      </c>
      <c r="H555">
        <v>115</v>
      </c>
      <c r="I555" s="4">
        <f t="shared" si="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" sqref="A3"/>
    </sheetView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I544"/>
  <sheetViews>
    <sheetView tabSelected="1" topLeftCell="F1" workbookViewId="0">
      <selection activeCell="N5" sqref="N5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7">
      <c r="A1" t="s">
        <v>486</v>
      </c>
      <c r="B1" t="s">
        <v>487</v>
      </c>
      <c r="C1" t="s">
        <v>894</v>
      </c>
      <c r="D1" t="s">
        <v>488</v>
      </c>
      <c r="E1" t="s">
        <v>502</v>
      </c>
      <c r="F1" s="4" t="s">
        <v>889</v>
      </c>
      <c r="G1" s="4" t="s">
        <v>890</v>
      </c>
      <c r="H1" t="s">
        <v>891</v>
      </c>
      <c r="I1" t="s">
        <v>892</v>
      </c>
      <c r="J1" t="s">
        <v>967</v>
      </c>
      <c r="K1" s="8" t="s">
        <v>893</v>
      </c>
      <c r="L1" s="8" t="s">
        <v>968</v>
      </c>
      <c r="M1" s="8"/>
      <c r="N1" s="8"/>
      <c r="O1" s="8"/>
      <c r="P1" s="8"/>
      <c r="Q1" s="8" t="s">
        <v>966</v>
      </c>
      <c r="R1" s="8"/>
      <c r="S1" s="8"/>
      <c r="T1" s="8"/>
      <c r="U1" s="8"/>
      <c r="W1" t="s">
        <v>451</v>
      </c>
      <c r="X1" t="s">
        <v>894</v>
      </c>
      <c r="Y1" t="s">
        <v>894</v>
      </c>
      <c r="Z1" t="s">
        <v>894</v>
      </c>
      <c r="AA1" t="s">
        <v>894</v>
      </c>
      <c r="AB1" t="s">
        <v>894</v>
      </c>
      <c r="AC1" t="s">
        <v>894</v>
      </c>
      <c r="AD1" t="s">
        <v>894</v>
      </c>
      <c r="AE1" t="s">
        <v>894</v>
      </c>
      <c r="AF1" t="s">
        <v>894</v>
      </c>
      <c r="AG1" t="s">
        <v>894</v>
      </c>
      <c r="AH1" t="s">
        <v>894</v>
      </c>
      <c r="AI1" t="s">
        <v>894</v>
      </c>
      <c r="AJ1" t="s">
        <v>894</v>
      </c>
      <c r="AK1" t="s">
        <v>894</v>
      </c>
      <c r="AL1" t="s">
        <v>894</v>
      </c>
      <c r="AM1" t="s">
        <v>894</v>
      </c>
      <c r="AN1" t="s">
        <v>894</v>
      </c>
      <c r="AO1" t="s">
        <v>894</v>
      </c>
      <c r="AP1" t="s">
        <v>894</v>
      </c>
      <c r="AQ1" t="s">
        <v>894</v>
      </c>
      <c r="AR1" t="s">
        <v>894</v>
      </c>
      <c r="AS1" t="s">
        <v>894</v>
      </c>
      <c r="AT1" t="s">
        <v>894</v>
      </c>
      <c r="AU1" t="s">
        <v>894</v>
      </c>
      <c r="AV1" t="s">
        <v>894</v>
      </c>
      <c r="AW1" t="s">
        <v>894</v>
      </c>
      <c r="AX1" t="s">
        <v>894</v>
      </c>
      <c r="AY1" t="s">
        <v>894</v>
      </c>
      <c r="AZ1" t="s">
        <v>894</v>
      </c>
      <c r="BA1" t="s">
        <v>894</v>
      </c>
      <c r="BB1" t="s">
        <v>894</v>
      </c>
      <c r="BC1" t="s">
        <v>894</v>
      </c>
      <c r="BD1" t="s">
        <v>894</v>
      </c>
      <c r="BE1" t="s">
        <v>894</v>
      </c>
      <c r="BF1" t="s">
        <v>894</v>
      </c>
      <c r="BG1" t="s">
        <v>894</v>
      </c>
      <c r="BH1" t="s">
        <v>894</v>
      </c>
      <c r="BI1" t="s">
        <v>894</v>
      </c>
      <c r="BJ1" t="s">
        <v>894</v>
      </c>
      <c r="BK1" t="s">
        <v>894</v>
      </c>
      <c r="BL1" t="s">
        <v>894</v>
      </c>
      <c r="BM1" t="s">
        <v>894</v>
      </c>
      <c r="BN1" t="s">
        <v>894</v>
      </c>
      <c r="BO1" t="s">
        <v>894</v>
      </c>
      <c r="BP1" t="s">
        <v>894</v>
      </c>
      <c r="BQ1" t="s">
        <v>894</v>
      </c>
      <c r="BR1" t="s">
        <v>894</v>
      </c>
      <c r="BS1" t="s">
        <v>894</v>
      </c>
      <c r="BT1" t="s">
        <v>894</v>
      </c>
      <c r="BU1" t="s">
        <v>894</v>
      </c>
      <c r="BV1" t="s">
        <v>894</v>
      </c>
      <c r="BW1" t="s">
        <v>894</v>
      </c>
      <c r="BX1" t="s">
        <v>894</v>
      </c>
      <c r="BY1" t="s">
        <v>894</v>
      </c>
      <c r="BZ1" t="s">
        <v>894</v>
      </c>
      <c r="CA1" t="s">
        <v>894</v>
      </c>
      <c r="CB1" t="s">
        <v>894</v>
      </c>
      <c r="CC1" t="s">
        <v>894</v>
      </c>
      <c r="CD1" t="s">
        <v>894</v>
      </c>
      <c r="CE1" t="s">
        <v>894</v>
      </c>
      <c r="CF1" t="s">
        <v>894</v>
      </c>
      <c r="CG1" t="s">
        <v>894</v>
      </c>
      <c r="CH1" t="s">
        <v>894</v>
      </c>
      <c r="CI1" t="s">
        <v>894</v>
      </c>
    </row>
    <row r="2" spans="1:87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969</v>
      </c>
      <c r="O2" s="4" t="s">
        <v>900</v>
      </c>
      <c r="P2" s="4" t="s">
        <v>965</v>
      </c>
      <c r="Q2" s="4">
        <v>0</v>
      </c>
      <c r="R2" s="4" t="s">
        <v>899</v>
      </c>
      <c r="S2" s="4" t="s">
        <v>898</v>
      </c>
      <c r="T2" s="4" t="s">
        <v>897</v>
      </c>
      <c r="U2" s="4" t="s">
        <v>896</v>
      </c>
      <c r="V2" t="s">
        <v>895</v>
      </c>
      <c r="W2">
        <f>COUNTA(X2:CI2)</f>
        <v>64</v>
      </c>
      <c r="X2" t="s">
        <v>905</v>
      </c>
      <c r="Y2" t="s">
        <v>906</v>
      </c>
      <c r="Z2" t="s">
        <v>907</v>
      </c>
      <c r="AA2" t="s">
        <v>908</v>
      </c>
      <c r="AB2" t="s">
        <v>909</v>
      </c>
      <c r="AC2" t="s">
        <v>910</v>
      </c>
      <c r="AD2" t="s">
        <v>911</v>
      </c>
      <c r="AE2" t="s">
        <v>912</v>
      </c>
      <c r="AF2" t="s">
        <v>913</v>
      </c>
      <c r="AG2" t="s">
        <v>914</v>
      </c>
      <c r="AH2" t="s">
        <v>915</v>
      </c>
      <c r="AI2" t="s">
        <v>901</v>
      </c>
      <c r="AJ2" t="s">
        <v>903</v>
      </c>
      <c r="AK2" t="s">
        <v>902</v>
      </c>
      <c r="AL2" t="s">
        <v>904</v>
      </c>
      <c r="AM2" t="s">
        <v>916</v>
      </c>
      <c r="AN2" t="s">
        <v>917</v>
      </c>
      <c r="AO2" t="s">
        <v>918</v>
      </c>
      <c r="AP2" t="s">
        <v>919</v>
      </c>
      <c r="AQ2" t="s">
        <v>920</v>
      </c>
      <c r="AR2" t="s">
        <v>921</v>
      </c>
      <c r="AS2" t="s">
        <v>922</v>
      </c>
      <c r="AT2" t="s">
        <v>923</v>
      </c>
      <c r="AU2" t="s">
        <v>924</v>
      </c>
      <c r="AV2" t="s">
        <v>925</v>
      </c>
      <c r="AW2" t="s">
        <v>926</v>
      </c>
      <c r="AX2" t="s">
        <v>927</v>
      </c>
      <c r="AY2" t="s">
        <v>928</v>
      </c>
      <c r="AZ2" t="s">
        <v>929</v>
      </c>
      <c r="BA2" t="s">
        <v>930</v>
      </c>
      <c r="BB2" t="s">
        <v>931</v>
      </c>
      <c r="BC2" t="s">
        <v>932</v>
      </c>
      <c r="BD2" t="s">
        <v>933</v>
      </c>
      <c r="BE2" t="s">
        <v>934</v>
      </c>
      <c r="BF2" t="s">
        <v>935</v>
      </c>
      <c r="BG2" t="s">
        <v>936</v>
      </c>
      <c r="BH2" t="s">
        <v>937</v>
      </c>
      <c r="BI2" t="s">
        <v>938</v>
      </c>
      <c r="BJ2" t="s">
        <v>939</v>
      </c>
      <c r="BK2" t="s">
        <v>940</v>
      </c>
      <c r="BL2" t="s">
        <v>941</v>
      </c>
      <c r="BM2" t="s">
        <v>942</v>
      </c>
      <c r="BN2" t="s">
        <v>943</v>
      </c>
      <c r="BO2" t="s">
        <v>944</v>
      </c>
      <c r="BP2" t="s">
        <v>945</v>
      </c>
      <c r="BQ2" t="s">
        <v>946</v>
      </c>
      <c r="BR2" t="s">
        <v>947</v>
      </c>
      <c r="BS2" t="s">
        <v>948</v>
      </c>
      <c r="BT2" t="s">
        <v>949</v>
      </c>
      <c r="BU2" t="s">
        <v>950</v>
      </c>
      <c r="BV2" t="s">
        <v>951</v>
      </c>
      <c r="BW2" t="s">
        <v>952</v>
      </c>
      <c r="BX2" t="s">
        <v>953</v>
      </c>
      <c r="BY2" t="s">
        <v>954</v>
      </c>
      <c r="BZ2" t="s">
        <v>955</v>
      </c>
      <c r="CA2" t="s">
        <v>956</v>
      </c>
      <c r="CB2" t="s">
        <v>957</v>
      </c>
      <c r="CC2" t="s">
        <v>958</v>
      </c>
      <c r="CD2" t="s">
        <v>959</v>
      </c>
      <c r="CE2" t="s">
        <v>960</v>
      </c>
      <c r="CF2" t="s">
        <v>961</v>
      </c>
      <c r="CG2" t="s">
        <v>962</v>
      </c>
      <c r="CH2" t="s">
        <v>963</v>
      </c>
      <c r="CI2" t="s">
        <v>964</v>
      </c>
    </row>
    <row r="3" spans="1:87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64</v>
      </c>
      <c r="P3" t="s">
        <v>890</v>
      </c>
      <c r="Q3" s="9">
        <f>COUNTIF($X3:$CI3,"=0")</f>
        <v>30</v>
      </c>
      <c r="R3" s="9">
        <f>COUNTIFS($X3:$CI3,"&gt;0",$X3:$CI3,"&lt;0.25")</f>
        <v>21</v>
      </c>
      <c r="S3" s="9">
        <f>COUNTIFS($X3:$CI3,"&gt;=0.25",$X3:$CI3,"&lt;0.5")</f>
        <v>7</v>
      </c>
      <c r="T3" s="9">
        <f>COUNTIFS($X3:$CI3,"&gt;=0.5",$X3:$CI3,"&lt;0.75")</f>
        <v>5</v>
      </c>
      <c r="U3" s="9">
        <f>COUNTIFS($X3:$CI3,"&gt;=0.75",$X3:$CI3,"&lt;1")</f>
        <v>1</v>
      </c>
      <c r="V3" s="9">
        <f>COUNTIF($X3:$CI3,"=1")</f>
        <v>0</v>
      </c>
      <c r="W3" t="s">
        <v>890</v>
      </c>
      <c r="X3">
        <f>DMAX($A$1:$L$544,$W3,X$1:X$2)</f>
        <v>0</v>
      </c>
      <c r="Y3">
        <f>DMAX($A$1:$L$544,$W3,Y$1:Y$2)</f>
        <v>0</v>
      </c>
      <c r="Z3">
        <f>DMAX($A$1:$L$544,$W3,Z$1:Z$2)</f>
        <v>0.22222222222222221</v>
      </c>
      <c r="AA3">
        <f>DMAX($A$1:$L$544,$W3,AA$1:AA$2)</f>
        <v>0.2391304347826087</v>
      </c>
      <c r="AB3">
        <f>DMAX($A$1:$L$544,$W3,AB$1:AB$2)</f>
        <v>0</v>
      </c>
      <c r="AC3">
        <f>DMAX($A$1:$L$544,$W3,AC$1:AC$2)</f>
        <v>0</v>
      </c>
      <c r="AD3">
        <f>DMAX($A$1:$L$544,$W3,AD$1:AD$2)</f>
        <v>0</v>
      </c>
      <c r="AE3">
        <f>DMAX($A$1:$L$544,$W3,AE$1:AE$2)</f>
        <v>3.2786885245901641E-2</v>
      </c>
      <c r="AF3">
        <f>DMAX($A$1:$L$544,$W3,AF$1:AF$2)</f>
        <v>0.75886524822695034</v>
      </c>
      <c r="AG3">
        <f>DMAX($A$1:$L$544,$W3,AG$1:AG$2)</f>
        <v>4.7244094488188976E-2</v>
      </c>
      <c r="AH3">
        <f>DMAX($A$1:$L$544,$W3,AH$1:AH$2)</f>
        <v>0.70297029702970293</v>
      </c>
      <c r="AI3">
        <f>DMAX($A$1:$L$544,$W3,AI$1:AI$2)</f>
        <v>0</v>
      </c>
      <c r="AJ3">
        <f>DMAX($A$1:$L$544,$W3,AJ$1:AJ$2)</f>
        <v>4.4642857142857144E-2</v>
      </c>
      <c r="AK3">
        <f>DMAX($A$1:$L$544,$W3,AK$1:AK$2)</f>
        <v>0</v>
      </c>
      <c r="AL3">
        <f>DMAX($A$1:$L$544,$W3,AL$1:AL$2)</f>
        <v>0.58620689655172409</v>
      </c>
      <c r="AM3">
        <f>DMAX($A$1:$L$544,$W3,AM$1:AM$2)</f>
        <v>0.11979166666666667</v>
      </c>
      <c r="AN3">
        <f>DMAX($A$1:$L$544,$W3,AN$1:AN$2)</f>
        <v>8.4745762711864406E-3</v>
      </c>
      <c r="AO3">
        <f>DMAX($A$1:$L$544,$W3,AO$1:AO$2)</f>
        <v>0</v>
      </c>
      <c r="AP3">
        <f>DMAX($A$1:$L$544,$W3,AP$1:AP$2)</f>
        <v>0.24848484848484848</v>
      </c>
      <c r="AQ3">
        <f>DMAX($A$1:$L$544,$W3,AQ$1:AQ$2)</f>
        <v>0</v>
      </c>
      <c r="AR3">
        <f>DMAX($A$1:$L$544,$W3,AR$1:AR$2)</f>
        <v>0</v>
      </c>
      <c r="AS3">
        <f>DMAX($A$1:$L$544,$W3,AS$1:AS$2)</f>
        <v>0</v>
      </c>
      <c r="AT3">
        <f>DMAX($A$1:$L$544,$W3,AT$1:AT$2)</f>
        <v>7.3170731707317069E-2</v>
      </c>
      <c r="AU3">
        <f>DMAX($A$1:$L$544,$W3,AU$1:AU$2)</f>
        <v>9.6774193548387094E-2</v>
      </c>
      <c r="AV3">
        <f>DMAX($A$1:$L$544,$W3,AV$1:AV$2)</f>
        <v>0.5178571428571429</v>
      </c>
      <c r="AW3">
        <f>DMAX($A$1:$L$544,$W3,AW$1:AW$2)</f>
        <v>0.36046511627906974</v>
      </c>
      <c r="AX3">
        <f>DMAX($A$1:$L$544,$W3,AX$1:AX$2)</f>
        <v>0.19565217391304349</v>
      </c>
      <c r="AY3">
        <f>DMAX($A$1:$L$544,$W3,AY$1:AY$2)</f>
        <v>3.3333333333333333E-2</v>
      </c>
      <c r="AZ3">
        <f>DMAX($A$1:$L$544,$W3,AZ$1:AZ$2)</f>
        <v>0</v>
      </c>
      <c r="BA3">
        <f>DMAX($A$1:$L$544,$W3,BA$1:BA$2)</f>
        <v>0.23214285714285715</v>
      </c>
      <c r="BB3">
        <f>DMAX($A$1:$L$544,$W3,BB$1:BB$2)</f>
        <v>0.2</v>
      </c>
      <c r="BC3">
        <f>DMAX($A$1:$L$544,$W3,BC$1:BC$2)</f>
        <v>0.56617647058823528</v>
      </c>
      <c r="BD3">
        <f>DMAX($A$1:$L$544,$W3,BD$1:BD$2)</f>
        <v>0</v>
      </c>
      <c r="BE3">
        <f>DMAX($A$1:$L$544,$W3,BE$1:BE$2)</f>
        <v>0.2857142857142857</v>
      </c>
      <c r="BF3">
        <f>DMAX($A$1:$L$544,$W3,BF$1:BF$2)</f>
        <v>0</v>
      </c>
      <c r="BG3">
        <f>DMAX($A$1:$L$544,$W3,BG$1:BG$2)</f>
        <v>0.3888888888888889</v>
      </c>
      <c r="BH3">
        <f>DMAX($A$1:$L$544,$W3,BH$1:BH$2)</f>
        <v>0.63953488372093026</v>
      </c>
      <c r="BI3">
        <f>DMAX($A$1:$L$544,$W3,BI$1:BI$2)</f>
        <v>0</v>
      </c>
      <c r="BJ3">
        <f>DMAX($A$1:$L$544,$W3,BJ$1:BJ$2)</f>
        <v>0.33962264150943394</v>
      </c>
      <c r="BK3">
        <f>DMAX($A$1:$L$544,$W3,BK$1:BK$2)</f>
        <v>6.7842605156037995E-3</v>
      </c>
      <c r="BL3">
        <f>DMAX($A$1:$L$544,$W3,BL$1:BL$2)</f>
        <v>8.4210526315789472E-3</v>
      </c>
      <c r="BM3">
        <f>DMAX($A$1:$L$544,$W3,BM$1:BM$2)</f>
        <v>8.2372322899505763E-3</v>
      </c>
      <c r="BN3">
        <f>DMAX($A$1:$L$544,$W3,BN$1:BN$2)</f>
        <v>0</v>
      </c>
      <c r="BO3">
        <f>DMAX($A$1:$L$544,$W3,BO$1:BO$2)</f>
        <v>0</v>
      </c>
      <c r="BP3">
        <f>DMAX($A$1:$L$544,$W3,BP$1:BP$2)</f>
        <v>0</v>
      </c>
      <c r="BQ3">
        <f>DMAX($A$1:$L$544,$W3,BQ$1:BQ$2)</f>
        <v>0.20408163265306123</v>
      </c>
      <c r="BR3">
        <f>DMAX($A$1:$L$544,$W3,BR$1:BR$2)</f>
        <v>0</v>
      </c>
      <c r="BS3">
        <f>DMAX($A$1:$L$544,$W3,BS$1:BS$2)</f>
        <v>0.26548672566371684</v>
      </c>
      <c r="BT3">
        <f>DMAX($A$1:$L$544,$W3,BT$1:BT$2)</f>
        <v>0.18085106382978725</v>
      </c>
      <c r="BU3">
        <f>DMAX($A$1:$L$544,$W3,BU$1:BU$2)</f>
        <v>0</v>
      </c>
      <c r="BV3">
        <f>DMAX($A$1:$L$544,$W3,BV$1:BV$2)</f>
        <v>0</v>
      </c>
      <c r="BW3">
        <f>DMAX($A$1:$L$544,$W3,BW$1:BW$2)</f>
        <v>0.27397260273972601</v>
      </c>
      <c r="BX3">
        <f>DMAX($A$1:$L$544,$W3,BX$1:BX$2)</f>
        <v>0.31707317073170732</v>
      </c>
      <c r="BY3">
        <f>DMAX($A$1:$L$544,$W3,BY$1:BY$2)</f>
        <v>0</v>
      </c>
      <c r="BZ3">
        <f>DMAX($A$1:$L$544,$W3,BZ$1:BZ$2)</f>
        <v>0</v>
      </c>
      <c r="CA3">
        <f>DMAX($A$1:$L$544,$W3,CA$1:CA$2)</f>
        <v>0</v>
      </c>
      <c r="CB3">
        <f>DMAX($A$1:$L$544,$W3,CB$1:CB$2)</f>
        <v>0</v>
      </c>
      <c r="CC3">
        <f>DMAX($A$1:$L$544,$W3,CC$1:CC$2)</f>
        <v>7.9545454545454544E-2</v>
      </c>
      <c r="CD3">
        <f>DMAX($A$1:$L$544,$W3,CD$1:CD$2)</f>
        <v>0.125</v>
      </c>
      <c r="CE3">
        <f>DMAX($A$1:$L$544,$W3,CE$1:CE$2)</f>
        <v>0</v>
      </c>
      <c r="CF3">
        <f>DMAX($A$1:$L$544,$W3,CF$1:CF$2)</f>
        <v>0</v>
      </c>
      <c r="CG3">
        <f>DMAX($A$1:$L$544,$W3,CG$1:CG$2)</f>
        <v>0</v>
      </c>
      <c r="CH3">
        <f>DMAX($A$1:$L$544,$W3,CH$1:CH$2)</f>
        <v>0</v>
      </c>
      <c r="CI3">
        <f>DMAX($A$1:$L$544,$W3,CI$1:CI$2)</f>
        <v>0</v>
      </c>
    </row>
    <row r="4" spans="1:87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7">SUM(T4:V4)/64</f>
        <v>0.3125</v>
      </c>
      <c r="O4" s="4">
        <f t="shared" ref="O4:O7" si="8">SUM(Q4:V4)</f>
        <v>64</v>
      </c>
      <c r="P4" t="s">
        <v>891</v>
      </c>
      <c r="Q4" s="9">
        <f t="shared" ref="Q4:Q8" si="9">COUNTIF($X4:$CI4,"=0")</f>
        <v>18</v>
      </c>
      <c r="R4" s="9">
        <f t="shared" ref="R4:R8" si="10">COUNTIFS($X4:$CI4,"&gt;0",$X4:$CI4,"&lt;0.25")</f>
        <v>17</v>
      </c>
      <c r="S4" s="9">
        <f t="shared" ref="S4:S8" si="11">COUNTIFS($X4:$CI4,"&gt;=0.25",$X4:$CI4,"&lt;0.5")</f>
        <v>9</v>
      </c>
      <c r="T4" s="9">
        <f t="shared" ref="T4:T8" si="12">COUNTIFS($X4:$CI4,"&gt;=0.5",$X4:$CI4,"&lt;0.75")</f>
        <v>11</v>
      </c>
      <c r="U4" s="9">
        <f t="shared" ref="U4:U8" si="13">COUNTIFS($X4:$CI4,"&gt;=0.75",$X4:$CI4,"&lt;1")</f>
        <v>3</v>
      </c>
      <c r="V4" s="9">
        <f t="shared" ref="V4:V8" si="14">COUNTIF($X4:$CI4,"=1")</f>
        <v>6</v>
      </c>
      <c r="W4" t="s">
        <v>891</v>
      </c>
      <c r="X4">
        <f>IF(X3&lt;DMAX($A$1:$L$544,$W4,X$1:X$2),DMAX($A$1:$L$544,$W4,X$1:X$2),X3)</f>
        <v>0</v>
      </c>
      <c r="Y4">
        <f>IF(Y3&lt;DMAX($A$1:$L$544,$W4,Y$1:Y$2),DMAX($A$1:$L$544,$W4,Y$1:Y$2),Y3)</f>
        <v>0</v>
      </c>
      <c r="Z4">
        <f>IF(Z3&lt;DMAX($A$1:$L$544,$W4,Z$1:Z$2),DMAX($A$1:$L$544,$W4,Z$1:Z$2),Z3)</f>
        <v>0.22222222222222221</v>
      </c>
      <c r="AA4">
        <f>IF(AA3&lt;DMAX($A$1:$L$544,$W4,AA$1:AA$2),DMAX($A$1:$L$544,$W4,AA$1:AA$2),AA3)</f>
        <v>0.91304347826086951</v>
      </c>
      <c r="AB4">
        <f>IF(AB3&lt;DMAX($A$1:$L$544,$W4,AB$1:AB$2),DMAX($A$1:$L$544,$W4,AB$1:AB$2),AB3)</f>
        <v>0.19354838709677419</v>
      </c>
      <c r="AC4">
        <f>IF(AC3&lt;DMAX($A$1:$L$544,$W4,AC$1:AC$2),DMAX($A$1:$L$544,$W4,AC$1:AC$2),AC3)</f>
        <v>0.19354838709677419</v>
      </c>
      <c r="AD4">
        <f>IF(AD3&lt;DMAX($A$1:$L$544,$W4,AD$1:AD$2),DMAX($A$1:$L$544,$W4,AD$1:AD$2),AD3)</f>
        <v>0.125</v>
      </c>
      <c r="AE4">
        <f>IF(AE3&lt;DMAX($A$1:$L$544,$W4,AE$1:AE$2),DMAX($A$1:$L$544,$W4,AE$1:AE$2),AE3)</f>
        <v>3.2786885245901641E-2</v>
      </c>
      <c r="AF4">
        <f>IF(AF3&lt;DMAX($A$1:$L$544,$W4,AF$1:AF$2),DMAX($A$1:$L$544,$W4,AF$1:AF$2),AF3)</f>
        <v>0.75886524822695034</v>
      </c>
      <c r="AG4">
        <f>IF(AG3&lt;DMAX($A$1:$L$544,$W4,AG$1:AG$2),DMAX($A$1:$L$544,$W4,AG$1:AG$2),AG3)</f>
        <v>0.69291338582677164</v>
      </c>
      <c r="AH4">
        <f>IF(AH3&lt;DMAX($A$1:$L$544,$W4,AH$1:AH$2),DMAX($A$1:$L$544,$W4,AH$1:AH$2),AH3)</f>
        <v>0.70297029702970293</v>
      </c>
      <c r="AI4">
        <f>IF(AI3&lt;DMAX($A$1:$L$544,$W4,AI$1:AI$2),DMAX($A$1:$L$544,$W4,AI$1:AI$2),AI3)</f>
        <v>0.6470588235294118</v>
      </c>
      <c r="AJ4">
        <f>IF(AJ3&lt;DMAX($A$1:$L$544,$W4,AJ$1:AJ$2),DMAX($A$1:$L$544,$W4,AJ$1:AJ$2),AJ3)</f>
        <v>4.4642857142857144E-2</v>
      </c>
      <c r="AK4">
        <f>IF(AK3&lt;DMAX($A$1:$L$544,$W4,AK$1:AK$2),DMAX($A$1:$L$544,$W4,AK$1:AK$2),AK3)</f>
        <v>0</v>
      </c>
      <c r="AL4">
        <f>IF(AL3&lt;DMAX($A$1:$L$544,$W4,AL$1:AL$2),DMAX($A$1:$L$544,$W4,AL$1:AL$2),AL3)</f>
        <v>1</v>
      </c>
      <c r="AM4">
        <f>IF(AM3&lt;DMAX($A$1:$L$544,$W4,AM$1:AM$2),DMAX($A$1:$L$544,$W4,AM$1:AM$2),AM3)</f>
        <v>0.68229166666666663</v>
      </c>
      <c r="AN4">
        <f>IF(AN3&lt;DMAX($A$1:$L$544,$W4,AN$1:AN$2),DMAX($A$1:$L$544,$W4,AN$1:AN$2),AN3)</f>
        <v>8.4745762711864406E-3</v>
      </c>
      <c r="AO4">
        <f>IF(AO3&lt;DMAX($A$1:$L$544,$W4,AO$1:AO$2),DMAX($A$1:$L$544,$W4,AO$1:AO$2),AO3)</f>
        <v>0.20454545454545456</v>
      </c>
      <c r="AP4">
        <f>IF(AP3&lt;DMAX($A$1:$L$544,$W4,AP$1:AP$2),DMAX($A$1:$L$544,$W4,AP$1:AP$2),AP3)</f>
        <v>0.24848484848484848</v>
      </c>
      <c r="AQ4">
        <f>IF(AQ3&lt;DMAX($A$1:$L$544,$W4,AQ$1:AQ$2),DMAX($A$1:$L$544,$W4,AQ$1:AQ$2),AQ3)</f>
        <v>0</v>
      </c>
      <c r="AR4">
        <f>IF(AR3&lt;DMAX($A$1:$L$544,$W4,AR$1:AR$2),DMAX($A$1:$L$544,$W4,AR$1:AR$2),AR3)</f>
        <v>0</v>
      </c>
      <c r="AS4">
        <f>IF(AS3&lt;DMAX($A$1:$L$544,$W4,AS$1:AS$2),DMAX($A$1:$L$544,$W4,AS$1:AS$2),AS3)</f>
        <v>0</v>
      </c>
      <c r="AT4">
        <f>IF(AT3&lt;DMAX($A$1:$L$544,$W4,AT$1:AT$2),DMAX($A$1:$L$544,$W4,AT$1:AT$2),AT3)</f>
        <v>0.14634146341463414</v>
      </c>
      <c r="AU4">
        <f>IF(AU3&lt;DMAX($A$1:$L$544,$W4,AU$1:AU$2),DMAX($A$1:$L$544,$W4,AU$1:AU$2),AU3)</f>
        <v>9.6774193548387094E-2</v>
      </c>
      <c r="AV4">
        <f>IF(AV3&lt;DMAX($A$1:$L$544,$W4,AV$1:AV$2),DMAX($A$1:$L$544,$W4,AV$1:AV$2),AV3)</f>
        <v>0.5178571428571429</v>
      </c>
      <c r="AW4">
        <f>IF(AW3&lt;DMAX($A$1:$L$544,$W4,AW$1:AW$2),DMAX($A$1:$L$544,$W4,AW$1:AW$2),AW3)</f>
        <v>0.36046511627906974</v>
      </c>
      <c r="AX4">
        <f>IF(AX3&lt;DMAX($A$1:$L$544,$W4,AX$1:AX$2),DMAX($A$1:$L$544,$W4,AX$1:AX$2),AX3)</f>
        <v>0.45652173913043476</v>
      </c>
      <c r="AY4">
        <f>IF(AY3&lt;DMAX($A$1:$L$544,$W4,AY$1:AY$2),DMAX($A$1:$L$544,$W4,AY$1:AY$2),AY3)</f>
        <v>0.2</v>
      </c>
      <c r="AZ4">
        <f>IF(AZ3&lt;DMAX($A$1:$L$544,$W4,AZ$1:AZ$2),DMAX($A$1:$L$544,$W4,AZ$1:AZ$2),AZ3)</f>
        <v>0</v>
      </c>
      <c r="BA4">
        <f>IF(BA3&lt;DMAX($A$1:$L$544,$W4,BA$1:BA$2),DMAX($A$1:$L$544,$W4,BA$1:BA$2),BA3)</f>
        <v>1</v>
      </c>
      <c r="BB4">
        <f>IF(BB3&lt;DMAX($A$1:$L$544,$W4,BB$1:BB$2),DMAX($A$1:$L$544,$W4,BB$1:BB$2),BB3)</f>
        <v>0.8571428571428571</v>
      </c>
      <c r="BC4">
        <f>IF(BC3&lt;DMAX($A$1:$L$544,$W4,BC$1:BC$2),DMAX($A$1:$L$544,$W4,BC$1:BC$2),BC3)</f>
        <v>1</v>
      </c>
      <c r="BD4">
        <f>IF(BD3&lt;DMAX($A$1:$L$544,$W4,BD$1:BD$2),DMAX($A$1:$L$544,$W4,BD$1:BD$2),BD3)</f>
        <v>0</v>
      </c>
      <c r="BE4">
        <f>IF(BE3&lt;DMAX($A$1:$L$544,$W4,BE$1:BE$2),DMAX($A$1:$L$544,$W4,BE$1:BE$2),BE3)</f>
        <v>0.47619047619047616</v>
      </c>
      <c r="BF4">
        <f>IF(BF3&lt;DMAX($A$1:$L$544,$W4,BF$1:BF$2),DMAX($A$1:$L$544,$W4,BF$1:BF$2),BF3)</f>
        <v>0.73333333333333328</v>
      </c>
      <c r="BG4">
        <f>IF(BG3&lt;DMAX($A$1:$L$544,$W4,BG$1:BG$2),DMAX($A$1:$L$544,$W4,BG$1:BG$2),BG3)</f>
        <v>0.66049382716049387</v>
      </c>
      <c r="BH4">
        <f>IF(BH3&lt;DMAX($A$1:$L$544,$W4,BH$1:BH$2),DMAX($A$1:$L$544,$W4,BH$1:BH$2),BH3)</f>
        <v>1</v>
      </c>
      <c r="BI4">
        <f>IF(BI3&lt;DMAX($A$1:$L$544,$W4,BI$1:BI$2),DMAX($A$1:$L$544,$W4,BI$1:BI$2),BI3)</f>
        <v>0.55555555555555558</v>
      </c>
      <c r="BJ4">
        <f>IF(BJ3&lt;DMAX($A$1:$L$544,$W4,BJ$1:BJ$2),DMAX($A$1:$L$544,$W4,BJ$1:BJ$2),BJ3)</f>
        <v>0.33962264150943394</v>
      </c>
      <c r="BK4">
        <f>IF(BK3&lt;DMAX($A$1:$L$544,$W4,BK$1:BK$2),DMAX($A$1:$L$544,$W4,BK$1:BK$2),BK3)</f>
        <v>6.7842605156037995E-3</v>
      </c>
      <c r="BL4">
        <f>IF(BL3&lt;DMAX($A$1:$L$544,$W4,BL$1:BL$2),DMAX($A$1:$L$544,$W4,BL$1:BL$2),BL3)</f>
        <v>8.4210526315789472E-3</v>
      </c>
      <c r="BM4">
        <f>IF(BM3&lt;DMAX($A$1:$L$544,$W4,BM$1:BM$2),DMAX($A$1:$L$544,$W4,BM$1:BM$2),BM3)</f>
        <v>8.2372322899505763E-3</v>
      </c>
      <c r="BN4">
        <f>IF(BN3&lt;DMAX($A$1:$L$544,$W4,BN$1:BN$2),DMAX($A$1:$L$544,$W4,BN$1:BN$2),BN3)</f>
        <v>0</v>
      </c>
      <c r="BO4">
        <f>IF(BO3&lt;DMAX($A$1:$L$544,$W4,BO$1:BO$2),DMAX($A$1:$L$544,$W4,BO$1:BO$2),BO3)</f>
        <v>0</v>
      </c>
      <c r="BP4">
        <f>IF(BP3&lt;DMAX($A$1:$L$544,$W4,BP$1:BP$2),DMAX($A$1:$L$544,$W4,BP$1:BP$2),BP3)</f>
        <v>0</v>
      </c>
      <c r="BQ4">
        <f>IF(BQ3&lt;DMAX($A$1:$L$544,$W4,BQ$1:BQ$2),DMAX($A$1:$L$544,$W4,BQ$1:BQ$2),BQ3)</f>
        <v>0.34693877551020408</v>
      </c>
      <c r="BR4">
        <f>IF(BR3&lt;DMAX($A$1:$L$544,$W4,BR$1:BR$2),DMAX($A$1:$L$544,$W4,BR$1:BR$2),BR3)</f>
        <v>0</v>
      </c>
      <c r="BS4">
        <f>IF(BS3&lt;DMAX($A$1:$L$544,$W4,BS$1:BS$2),DMAX($A$1:$L$544,$W4,BS$1:BS$2),BS3)</f>
        <v>0.51327433628318586</v>
      </c>
      <c r="BT4">
        <f>IF(BT3&lt;DMAX($A$1:$L$544,$W4,BT$1:BT$2),DMAX($A$1:$L$544,$W4,BT$1:BT$2),BT3)</f>
        <v>1</v>
      </c>
      <c r="BU4">
        <f>IF(BU3&lt;DMAX($A$1:$L$544,$W4,BU$1:BU$2),DMAX($A$1:$L$544,$W4,BU$1:BU$2),BU3)</f>
        <v>0</v>
      </c>
      <c r="BV4">
        <f>IF(BV3&lt;DMAX($A$1:$L$544,$W4,BV$1:BV$2),DMAX($A$1:$L$544,$W4,BV$1:BV$2),BV3)</f>
        <v>1</v>
      </c>
      <c r="BW4">
        <f>IF(BW3&lt;DMAX($A$1:$L$544,$W4,BW$1:BW$2),DMAX($A$1:$L$544,$W4,BW$1:BW$2),BW3)</f>
        <v>0.65753424657534243</v>
      </c>
      <c r="BX4">
        <f>IF(BX3&lt;DMAX($A$1:$L$544,$W4,BX$1:BX$2),DMAX($A$1:$L$544,$W4,BX$1:BX$2),BX3)</f>
        <v>0.44715447154471544</v>
      </c>
      <c r="BY4">
        <f>IF(BY3&lt;DMAX($A$1:$L$544,$W4,BY$1:BY$2),DMAX($A$1:$L$544,$W4,BY$1:BY$2),BY3)</f>
        <v>0.30303030303030304</v>
      </c>
      <c r="BZ4">
        <f>IF(BZ3&lt;DMAX($A$1:$L$544,$W4,BZ$1:BZ$2),DMAX($A$1:$L$544,$W4,BZ$1:BZ$2),BZ3)</f>
        <v>0.38</v>
      </c>
      <c r="CA4">
        <f>IF(CA3&lt;DMAX($A$1:$L$544,$W4,CA$1:CA$2),DMAX($A$1:$L$544,$W4,CA$1:CA$2),CA3)</f>
        <v>0.66666666666666663</v>
      </c>
      <c r="CB4">
        <f>IF(CB3&lt;DMAX($A$1:$L$544,$W4,CB$1:CB$2),DMAX($A$1:$L$544,$W4,CB$1:CB$2),CB3)</f>
        <v>0</v>
      </c>
      <c r="CC4">
        <f>IF(CC3&lt;DMAX($A$1:$L$544,$W4,CC$1:CC$2),DMAX($A$1:$L$544,$W4,CC$1:CC$2),CC3)</f>
        <v>7.9545454545454544E-2</v>
      </c>
      <c r="CD4">
        <f>IF(CD3&lt;DMAX($A$1:$L$544,$W4,CD$1:CD$2),DMAX($A$1:$L$544,$W4,CD$1:CD$2),CD3)</f>
        <v>0.125</v>
      </c>
      <c r="CE4">
        <f>IF(CE3&lt;DMAX($A$1:$L$544,$W4,CE$1:CE$2),DMAX($A$1:$L$544,$W4,CE$1:CE$2),CE3)</f>
        <v>0</v>
      </c>
      <c r="CF4">
        <f>IF(CF3&lt;DMAX($A$1:$L$544,$W4,CF$1:CF$2),DMAX($A$1:$L$544,$W4,CF$1:CF$2),CF3)</f>
        <v>0.352112676056338</v>
      </c>
      <c r="CG4">
        <f>IF(CG3&lt;DMAX($A$1:$L$544,$W4,CG$1:CG$2),DMAX($A$1:$L$544,$W4,CG$1:CG$2),CG3)</f>
        <v>0</v>
      </c>
      <c r="CH4">
        <f>IF(CH3&lt;DMAX($A$1:$L$544,$W4,CH$1:CH$2),DMAX($A$1:$L$544,$W4,CH$1:CH$2),CH3)</f>
        <v>0</v>
      </c>
      <c r="CI4">
        <f>IF(CI3&lt;DMAX($A$1:$L$544,$W4,CI$1:CI$2),DMAX($A$1:$L$544,$W4,CI$1:CI$2),CI3)</f>
        <v>0</v>
      </c>
    </row>
    <row r="5" spans="1:87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/>
      <c r="N5" s="4">
        <f t="shared" si="7"/>
        <v>0.515625</v>
      </c>
      <c r="O5" s="4">
        <f t="shared" si="8"/>
        <v>64</v>
      </c>
      <c r="P5" t="s">
        <v>892</v>
      </c>
      <c r="Q5" s="9">
        <f t="shared" si="9"/>
        <v>12</v>
      </c>
      <c r="R5" s="9">
        <f t="shared" si="10"/>
        <v>10</v>
      </c>
      <c r="S5" s="9">
        <f t="shared" si="11"/>
        <v>9</v>
      </c>
      <c r="T5" s="9">
        <f t="shared" si="12"/>
        <v>13</v>
      </c>
      <c r="U5" s="9">
        <f t="shared" si="13"/>
        <v>5</v>
      </c>
      <c r="V5" s="9">
        <f t="shared" si="14"/>
        <v>15</v>
      </c>
      <c r="W5" t="s">
        <v>892</v>
      </c>
      <c r="X5">
        <f t="shared" ref="X5:X8" si="15">IF(X4&lt;DMAX($A$1:$L$544,$W5,X$1:X$2),DMAX($A$1:$L$544,$W5,X$1:X$2),X4)</f>
        <v>0</v>
      </c>
      <c r="Y5">
        <f>IF(Y4&lt;DMAX($A$1:$L$544,$W5,Y$1:Y$2),DMAX($A$1:$L$544,$W5,Y$1:Y$2),Y4)</f>
        <v>0.5757575757575758</v>
      </c>
      <c r="Z5">
        <f>IF(Z4&lt;DMAX($A$1:$L$544,$W5,Z$1:Z$2),DMAX($A$1:$L$544,$W5,Z$1:Z$2),Z4)</f>
        <v>0.22222222222222221</v>
      </c>
      <c r="AA5">
        <f>IF(AA4&lt;DMAX($A$1:$L$544,$W5,AA$1:AA$2),DMAX($A$1:$L$544,$W5,AA$1:AA$2),AA4)</f>
        <v>1</v>
      </c>
      <c r="AB5">
        <f>IF(AB4&lt;DMAX($A$1:$L$544,$W5,AB$1:AB$2),DMAX($A$1:$L$544,$W5,AB$1:AB$2),AB4)</f>
        <v>0.19354838709677419</v>
      </c>
      <c r="AC5">
        <f>IF(AC4&lt;DMAX($A$1:$L$544,$W5,AC$1:AC$2),DMAX($A$1:$L$544,$W5,AC$1:AC$2),AC4)</f>
        <v>0.19354838709677419</v>
      </c>
      <c r="AD5">
        <f>IF(AD4&lt;DMAX($A$1:$L$544,$W5,AD$1:AD$2),DMAX($A$1:$L$544,$W5,AD$1:AD$2),AD4)</f>
        <v>0.375</v>
      </c>
      <c r="AE5">
        <f>IF(AE4&lt;DMAX($A$1:$L$544,$W5,AE$1:AE$2),DMAX($A$1:$L$544,$W5,AE$1:AE$2),AE4)</f>
        <v>3.2786885245901641E-2</v>
      </c>
      <c r="AF5">
        <f>IF(AF4&lt;DMAX($A$1:$L$544,$W5,AF$1:AF$2),DMAX($A$1:$L$544,$W5,AF$1:AF$2),AF4)</f>
        <v>0.75886524822695034</v>
      </c>
      <c r="AG5">
        <f>IF(AG4&lt;DMAX($A$1:$L$544,$W5,AG$1:AG$2),DMAX($A$1:$L$544,$W5,AG$1:AG$2),AG4)</f>
        <v>0.69291338582677164</v>
      </c>
      <c r="AH5">
        <f>IF(AH4&lt;DMAX($A$1:$L$544,$W5,AH$1:AH$2),DMAX($A$1:$L$544,$W5,AH$1:AH$2),AH4)</f>
        <v>0.70297029702970293</v>
      </c>
      <c r="AI5">
        <f>IF(AI4&lt;DMAX($A$1:$L$544,$W5,AI$1:AI$2),DMAX($A$1:$L$544,$W5,AI$1:AI$2),AI4)</f>
        <v>0.70588235294117652</v>
      </c>
      <c r="AJ5">
        <f>IF(AJ4&lt;DMAX($A$1:$L$544,$W5,AJ$1:AJ$2),DMAX($A$1:$L$544,$W5,AJ$1:AJ$2),AJ4)</f>
        <v>0.5</v>
      </c>
      <c r="AK5">
        <f>IF(AK4&lt;DMAX($A$1:$L$544,$W5,AK$1:AK$2),DMAX($A$1:$L$544,$W5,AK$1:AK$2),AK4)</f>
        <v>0</v>
      </c>
      <c r="AL5">
        <f>IF(AL4&lt;DMAX($A$1:$L$544,$W5,AL$1:AL$2),DMAX($A$1:$L$544,$W5,AL$1:AL$2),AL4)</f>
        <v>1</v>
      </c>
      <c r="AM5">
        <f>IF(AM4&lt;DMAX($A$1:$L$544,$W5,AM$1:AM$2),DMAX($A$1:$L$544,$W5,AM$1:AM$2),AM4)</f>
        <v>0.68229166666666663</v>
      </c>
      <c r="AN5">
        <f>IF(AN4&lt;DMAX($A$1:$L$544,$W5,AN$1:AN$2),DMAX($A$1:$L$544,$W5,AN$1:AN$2),AN4)</f>
        <v>0.52542372881355937</v>
      </c>
      <c r="AO5">
        <f>IF(AO4&lt;DMAX($A$1:$L$544,$W5,AO$1:AO$2),DMAX($A$1:$L$544,$W5,AO$1:AO$2),AO4)</f>
        <v>0.38636363636363635</v>
      </c>
      <c r="AP5">
        <f>IF(AP4&lt;DMAX($A$1:$L$544,$W5,AP$1:AP$2),DMAX($A$1:$L$544,$W5,AP$1:AP$2),AP4)</f>
        <v>0.24848484848484848</v>
      </c>
      <c r="AQ5">
        <f>IF(AQ4&lt;DMAX($A$1:$L$544,$W5,AQ$1:AQ$2),DMAX($A$1:$L$544,$W5,AQ$1:AQ$2),AQ4)</f>
        <v>0</v>
      </c>
      <c r="AR5">
        <f>IF(AR4&lt;DMAX($A$1:$L$544,$W5,AR$1:AR$2),DMAX($A$1:$L$544,$W5,AR$1:AR$2),AR4)</f>
        <v>0</v>
      </c>
      <c r="AS5">
        <f>IF(AS4&lt;DMAX($A$1:$L$544,$W5,AS$1:AS$2),DMAX($A$1:$L$544,$W5,AS$1:AS$2),AS4)</f>
        <v>0</v>
      </c>
      <c r="AT5">
        <f>IF(AT4&lt;DMAX($A$1:$L$544,$W5,AT$1:AT$2),DMAX($A$1:$L$544,$W5,AT$1:AT$2),AT4)</f>
        <v>0.14634146341463414</v>
      </c>
      <c r="AU5">
        <f>IF(AU4&lt;DMAX($A$1:$L$544,$W5,AU$1:AU$2),DMAX($A$1:$L$544,$W5,AU$1:AU$2),AU4)</f>
        <v>1</v>
      </c>
      <c r="AV5">
        <f>IF(AV4&lt;DMAX($A$1:$L$544,$W5,AV$1:AV$2),DMAX($A$1:$L$544,$W5,AV$1:AV$2),AV4)</f>
        <v>0.5178571428571429</v>
      </c>
      <c r="AW5">
        <f>IF(AW4&lt;DMAX($A$1:$L$544,$W5,AW$1:AW$2),DMAX($A$1:$L$544,$W5,AW$1:AW$2),AW4)</f>
        <v>0.36046511627906974</v>
      </c>
      <c r="AX5">
        <f>IF(AX4&lt;DMAX($A$1:$L$544,$W5,AX$1:AX$2),DMAX($A$1:$L$544,$W5,AX$1:AX$2),AX4)</f>
        <v>0.45652173913043476</v>
      </c>
      <c r="AY5">
        <f>IF(AY4&lt;DMAX($A$1:$L$544,$W5,AY$1:AY$2),DMAX($A$1:$L$544,$W5,AY$1:AY$2),AY4)</f>
        <v>0.43333333333333335</v>
      </c>
      <c r="AZ5">
        <f>IF(AZ4&lt;DMAX($A$1:$L$544,$W5,AZ$1:AZ$2),DMAX($A$1:$L$544,$W5,AZ$1:AZ$2),AZ4)</f>
        <v>0</v>
      </c>
      <c r="BA5">
        <f>IF(BA4&lt;DMAX($A$1:$L$544,$W5,BA$1:BA$2),DMAX($A$1:$L$544,$W5,BA$1:BA$2),BA4)</f>
        <v>1</v>
      </c>
      <c r="BB5">
        <f>IF(BB4&lt;DMAX($A$1:$L$544,$W5,BB$1:BB$2),DMAX($A$1:$L$544,$W5,BB$1:BB$2),BB4)</f>
        <v>1</v>
      </c>
      <c r="BC5">
        <f>IF(BC4&lt;DMAX($A$1:$L$544,$W5,BC$1:BC$2),DMAX($A$1:$L$544,$W5,BC$1:BC$2),BC4)</f>
        <v>1</v>
      </c>
      <c r="BD5">
        <f>IF(BD4&lt;DMAX($A$1:$L$544,$W5,BD$1:BD$2),DMAX($A$1:$L$544,$W5,BD$1:BD$2),BD4)</f>
        <v>0.36363636363636365</v>
      </c>
      <c r="BE5">
        <f>IF(BE4&lt;DMAX($A$1:$L$544,$W5,BE$1:BE$2),DMAX($A$1:$L$544,$W5,BE$1:BE$2),BE4)</f>
        <v>0.47619047619047616</v>
      </c>
      <c r="BF5">
        <f>IF(BF4&lt;DMAX($A$1:$L$544,$W5,BF$1:BF$2),DMAX($A$1:$L$544,$W5,BF$1:BF$2),BF4)</f>
        <v>1</v>
      </c>
      <c r="BG5">
        <f>IF(BG4&lt;DMAX($A$1:$L$544,$W5,BG$1:BG$2),DMAX($A$1:$L$544,$W5,BG$1:BG$2),BG4)</f>
        <v>1</v>
      </c>
      <c r="BH5">
        <f>IF(BH4&lt;DMAX($A$1:$L$544,$W5,BH$1:BH$2),DMAX($A$1:$L$544,$W5,BH$1:BH$2),BH4)</f>
        <v>1</v>
      </c>
      <c r="BI5">
        <f>IF(BI4&lt;DMAX($A$1:$L$544,$W5,BI$1:BI$2),DMAX($A$1:$L$544,$W5,BI$1:BI$2),BI4)</f>
        <v>0.55555555555555558</v>
      </c>
      <c r="BJ5">
        <f>IF(BJ4&lt;DMAX($A$1:$L$544,$W5,BJ$1:BJ$2),DMAX($A$1:$L$544,$W5,BJ$1:BJ$2),BJ4)</f>
        <v>0.33962264150943394</v>
      </c>
      <c r="BK5">
        <f>IF(BK4&lt;DMAX($A$1:$L$544,$W5,BK$1:BK$2),DMAX($A$1:$L$544,$W5,BK$1:BK$2),BK4)</f>
        <v>6.7842605156037995E-3</v>
      </c>
      <c r="BL5">
        <f>IF(BL4&lt;DMAX($A$1:$L$544,$W5,BL$1:BL$2),DMAX($A$1:$L$544,$W5,BL$1:BL$2),BL4)</f>
        <v>8.4210526315789472E-3</v>
      </c>
      <c r="BM5">
        <f>IF(BM4&lt;DMAX($A$1:$L$544,$W5,BM$1:BM$2),DMAX($A$1:$L$544,$W5,BM$1:BM$2),BM4)</f>
        <v>8.2372322899505763E-3</v>
      </c>
      <c r="BN5">
        <f>IF(BN4&lt;DMAX($A$1:$L$544,$W5,BN$1:BN$2),DMAX($A$1:$L$544,$W5,BN$1:BN$2),BN4)</f>
        <v>1</v>
      </c>
      <c r="BO5">
        <f>IF(BO4&lt;DMAX($A$1:$L$544,$W5,BO$1:BO$2),DMAX($A$1:$L$544,$W5,BO$1:BO$2),BO4)</f>
        <v>1</v>
      </c>
      <c r="BP5">
        <f>IF(BP4&lt;DMAX($A$1:$L$544,$W5,BP$1:BP$2),DMAX($A$1:$L$544,$W5,BP$1:BP$2),BP4)</f>
        <v>0.74603174603174605</v>
      </c>
      <c r="BQ5">
        <f>IF(BQ4&lt;DMAX($A$1:$L$544,$W5,BQ$1:BQ$2),DMAX($A$1:$L$544,$W5,BQ$1:BQ$2),BQ4)</f>
        <v>0.34693877551020408</v>
      </c>
      <c r="BR5">
        <f>IF(BR4&lt;DMAX($A$1:$L$544,$W5,BR$1:BR$2),DMAX($A$1:$L$544,$W5,BR$1:BR$2),BR4)</f>
        <v>0.1</v>
      </c>
      <c r="BS5">
        <f>IF(BS4&lt;DMAX($A$1:$L$544,$W5,BS$1:BS$2),DMAX($A$1:$L$544,$W5,BS$1:BS$2),BS4)</f>
        <v>1</v>
      </c>
      <c r="BT5">
        <f>IF(BT4&lt;DMAX($A$1:$L$544,$W5,BT$1:BT$2),DMAX($A$1:$L$544,$W5,BT$1:BT$2),BT4)</f>
        <v>1</v>
      </c>
      <c r="BU5">
        <f>IF(BU4&lt;DMAX($A$1:$L$544,$W5,BU$1:BU$2),DMAX($A$1:$L$544,$W5,BU$1:BU$2),BU4)</f>
        <v>0</v>
      </c>
      <c r="BV5">
        <f>IF(BV4&lt;DMAX($A$1:$L$544,$W5,BV$1:BV$2),DMAX($A$1:$L$544,$W5,BV$1:BV$2),BV4)</f>
        <v>1</v>
      </c>
      <c r="BW5">
        <f>IF(BW4&lt;DMAX($A$1:$L$544,$W5,BW$1:BW$2),DMAX($A$1:$L$544,$W5,BW$1:BW$2),BW4)</f>
        <v>0.78082191780821919</v>
      </c>
      <c r="BX5">
        <f>IF(BX4&lt;DMAX($A$1:$L$544,$W5,BX$1:BX$2),DMAX($A$1:$L$544,$W5,BX$1:BX$2),BX4)</f>
        <v>0.57723577235772361</v>
      </c>
      <c r="BY5">
        <f>IF(BY4&lt;DMAX($A$1:$L$544,$W5,BY$1:BY$2),DMAX($A$1:$L$544,$W5,BY$1:BY$2),BY4)</f>
        <v>0.66666666666666663</v>
      </c>
      <c r="BZ5">
        <f>IF(BZ4&lt;DMAX($A$1:$L$544,$W5,BZ$1:BZ$2),DMAX($A$1:$L$544,$W5,BZ$1:BZ$2),BZ4)</f>
        <v>0.88</v>
      </c>
      <c r="CA5">
        <f>IF(CA4&lt;DMAX($A$1:$L$544,$W5,CA$1:CA$2),DMAX($A$1:$L$544,$W5,CA$1:CA$2),CA4)</f>
        <v>0.77777777777777779</v>
      </c>
      <c r="CB5">
        <f>IF(CB4&lt;DMAX($A$1:$L$544,$W5,CB$1:CB$2),DMAX($A$1:$L$544,$W5,CB$1:CB$2),CB4)</f>
        <v>0</v>
      </c>
      <c r="CC5">
        <f>IF(CC4&lt;DMAX($A$1:$L$544,$W5,CC$1:CC$2),DMAX($A$1:$L$544,$W5,CC$1:CC$2),CC4)</f>
        <v>1</v>
      </c>
      <c r="CD5">
        <f>IF(CD4&lt;DMAX($A$1:$L$544,$W5,CD$1:CD$2),DMAX($A$1:$L$544,$W5,CD$1:CD$2),CD4)</f>
        <v>0.7678571428571429</v>
      </c>
      <c r="CE5">
        <f>IF(CE4&lt;DMAX($A$1:$L$544,$W5,CE$1:CE$2),DMAX($A$1:$L$544,$W5,CE$1:CE$2),CE4)</f>
        <v>0</v>
      </c>
      <c r="CF5">
        <f>IF(CF4&lt;DMAX($A$1:$L$544,$W5,CF$1:CF$2),DMAX($A$1:$L$544,$W5,CF$1:CF$2),CF4)</f>
        <v>0.70422535211267601</v>
      </c>
      <c r="CG5">
        <f>IF(CG4&lt;DMAX($A$1:$L$544,$W5,CG$1:CG$2),DMAX($A$1:$L$544,$W5,CG$1:CG$2),CG4)</f>
        <v>0</v>
      </c>
      <c r="CH5">
        <f>IF(CH4&lt;DMAX($A$1:$L$544,$W5,CH$1:CH$2),DMAX($A$1:$L$544,$W5,CH$1:CH$2),CH4)</f>
        <v>0</v>
      </c>
      <c r="CI5">
        <f>IF(CI4&lt;DMAX($A$1:$L$544,$W5,CI$1:CI$2),DMAX($A$1:$L$544,$W5,CI$1:CI$2),CI4)</f>
        <v>0</v>
      </c>
    </row>
    <row r="6" spans="1:87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/>
      <c r="N6" s="4">
        <f t="shared" si="7"/>
        <v>0.703125</v>
      </c>
      <c r="O6" s="4">
        <f t="shared" si="8"/>
        <v>64</v>
      </c>
      <c r="P6" t="s">
        <v>967</v>
      </c>
      <c r="Q6" s="9">
        <f t="shared" si="9"/>
        <v>8</v>
      </c>
      <c r="R6" s="9">
        <f t="shared" si="10"/>
        <v>6</v>
      </c>
      <c r="S6" s="9">
        <f t="shared" si="11"/>
        <v>5</v>
      </c>
      <c r="T6" s="9">
        <f t="shared" si="12"/>
        <v>13</v>
      </c>
      <c r="U6" s="9">
        <f t="shared" si="13"/>
        <v>7</v>
      </c>
      <c r="V6" s="9">
        <f t="shared" si="14"/>
        <v>25</v>
      </c>
      <c r="W6" t="s">
        <v>967</v>
      </c>
      <c r="X6">
        <f t="shared" si="15"/>
        <v>0</v>
      </c>
      <c r="Y6">
        <f>IF(Y5&lt;DMAX($A$1:$L$544,$W6,Y$1:Y$2),DMAX($A$1:$L$544,$W6,Y$1:Y$2),Y5)</f>
        <v>0.93939393939393945</v>
      </c>
      <c r="Z6">
        <f>IF(Z5&lt;DMAX($A$1:$L$544,$W6,Z$1:Z$2),DMAX($A$1:$L$544,$W6,Z$1:Z$2),Z5)</f>
        <v>0.55555555555555558</v>
      </c>
      <c r="AA6">
        <f>IF(AA5&lt;DMAX($A$1:$L$544,$W6,AA$1:AA$2),DMAX($A$1:$L$544,$W6,AA$1:AA$2),AA5)</f>
        <v>1</v>
      </c>
      <c r="AB6">
        <f>IF(AB5&lt;DMAX($A$1:$L$544,$W6,AB$1:AB$2),DMAX($A$1:$L$544,$W6,AB$1:AB$2),AB5)</f>
        <v>0.93548387096774188</v>
      </c>
      <c r="AC6">
        <f>IF(AC5&lt;DMAX($A$1:$L$544,$W6,AC$1:AC$2),DMAX($A$1:$L$544,$W6,AC$1:AC$2),AC5)</f>
        <v>0.93548387096774188</v>
      </c>
      <c r="AD6">
        <f>IF(AD5&lt;DMAX($A$1:$L$544,$W6,AD$1:AD$2),DMAX($A$1:$L$544,$W6,AD$1:AD$2),AD5)</f>
        <v>0.625</v>
      </c>
      <c r="AE6">
        <f>IF(AE5&lt;DMAX($A$1:$L$544,$W6,AE$1:AE$2),DMAX($A$1:$L$544,$W6,AE$1:AE$2),AE5)</f>
        <v>3.2786885245901641E-2</v>
      </c>
      <c r="AF6">
        <f>IF(AF5&lt;DMAX($A$1:$L$544,$W6,AF$1:AF$2),DMAX($A$1:$L$544,$W6,AF$1:AF$2),AF5)</f>
        <v>0.75886524822695034</v>
      </c>
      <c r="AG6">
        <f>IF(AG5&lt;DMAX($A$1:$L$544,$W6,AG$1:AG$2),DMAX($A$1:$L$544,$W6,AG$1:AG$2),AG5)</f>
        <v>0.73228346456692917</v>
      </c>
      <c r="AH6">
        <f>IF(AH5&lt;DMAX($A$1:$L$544,$W6,AH$1:AH$2),DMAX($A$1:$L$544,$W6,AH$1:AH$2),AH5)</f>
        <v>0.70297029702970293</v>
      </c>
      <c r="AI6">
        <f>IF(AI5&lt;DMAX($A$1:$L$544,$W6,AI$1:AI$2),DMAX($A$1:$L$544,$W6,AI$1:AI$2),AI5)</f>
        <v>1</v>
      </c>
      <c r="AJ6">
        <f>IF(AJ5&lt;DMAX($A$1:$L$544,$W6,AJ$1:AJ$2),DMAX($A$1:$L$544,$W6,AJ$1:AJ$2),AJ5)</f>
        <v>0.5</v>
      </c>
      <c r="AK6">
        <f>IF(AK5&lt;DMAX($A$1:$L$544,$W6,AK$1:AK$2),DMAX($A$1:$L$544,$W6,AK$1:AK$2),AK5)</f>
        <v>0</v>
      </c>
      <c r="AL6">
        <f>IF(AL5&lt;DMAX($A$1:$L$544,$W6,AL$1:AL$2),DMAX($A$1:$L$544,$W6,AL$1:AL$2),AL5)</f>
        <v>1</v>
      </c>
      <c r="AM6">
        <f>IF(AM5&lt;DMAX($A$1:$L$544,$W6,AM$1:AM$2),DMAX($A$1:$L$544,$W6,AM$1:AM$2),AM5)</f>
        <v>0.68229166666666663</v>
      </c>
      <c r="AN6">
        <f>IF(AN5&lt;DMAX($A$1:$L$544,$W6,AN$1:AN$2),DMAX($A$1:$L$544,$W6,AN$1:AN$2),AN5)</f>
        <v>1</v>
      </c>
      <c r="AO6">
        <f>IF(AO5&lt;DMAX($A$1:$L$544,$W6,AO$1:AO$2),DMAX($A$1:$L$544,$W6,AO$1:AO$2),AO5)</f>
        <v>0.38636363636363635</v>
      </c>
      <c r="AP6">
        <f>IF(AP5&lt;DMAX($A$1:$L$544,$W6,AP$1:AP$2),DMAX($A$1:$L$544,$W6,AP$1:AP$2),AP5)</f>
        <v>0.24848484848484848</v>
      </c>
      <c r="AQ6">
        <f>IF(AQ5&lt;DMAX($A$1:$L$544,$W6,AQ$1:AQ$2),DMAX($A$1:$L$544,$W6,AQ$1:AQ$2),AQ5)</f>
        <v>0.84036144578313254</v>
      </c>
      <c r="AR6">
        <f>IF(AR5&lt;DMAX($A$1:$L$544,$W6,AR$1:AR$2),DMAX($A$1:$L$544,$W6,AR$1:AR$2),AR5)</f>
        <v>0</v>
      </c>
      <c r="AS6">
        <f>IF(AS5&lt;DMAX($A$1:$L$544,$W6,AS$1:AS$2),DMAX($A$1:$L$544,$W6,AS$1:AS$2),AS5)</f>
        <v>1</v>
      </c>
      <c r="AT6">
        <f>IF(AT5&lt;DMAX($A$1:$L$544,$W6,AT$1:AT$2),DMAX($A$1:$L$544,$W6,AT$1:AT$2),AT5)</f>
        <v>0.17073170731707318</v>
      </c>
      <c r="AU6">
        <f>IF(AU5&lt;DMAX($A$1:$L$544,$W6,AU$1:AU$2),DMAX($A$1:$L$544,$W6,AU$1:AU$2),AU5)</f>
        <v>1</v>
      </c>
      <c r="AV6">
        <f>IF(AV5&lt;DMAX($A$1:$L$544,$W6,AV$1:AV$2),DMAX($A$1:$L$544,$W6,AV$1:AV$2),AV5)</f>
        <v>0.5178571428571429</v>
      </c>
      <c r="AW6">
        <f>IF(AW5&lt;DMAX($A$1:$L$544,$W6,AW$1:AW$2),DMAX($A$1:$L$544,$W6,AW$1:AW$2),AW5)</f>
        <v>0.81395348837209303</v>
      </c>
      <c r="AX6">
        <f>IF(AX5&lt;DMAX($A$1:$L$544,$W6,AX$1:AX$2),DMAX($A$1:$L$544,$W6,AX$1:AX$2),AX5)</f>
        <v>0.45652173913043476</v>
      </c>
      <c r="AY6">
        <f>IF(AY5&lt;DMAX($A$1:$L$544,$W6,AY$1:AY$2),DMAX($A$1:$L$544,$W6,AY$1:AY$2),AY5)</f>
        <v>0.93333333333333335</v>
      </c>
      <c r="AZ6">
        <f>IF(AZ5&lt;DMAX($A$1:$L$544,$W6,AZ$1:AZ$2),DMAX($A$1:$L$544,$W6,AZ$1:AZ$2),AZ5)</f>
        <v>0</v>
      </c>
      <c r="BA6">
        <f>IF(BA5&lt;DMAX($A$1:$L$544,$W6,BA$1:BA$2),DMAX($A$1:$L$544,$W6,BA$1:BA$2),BA5)</f>
        <v>1</v>
      </c>
      <c r="BB6">
        <f>IF(BB5&lt;DMAX($A$1:$L$544,$W6,BB$1:BB$2),DMAX($A$1:$L$544,$W6,BB$1:BB$2),BB5)</f>
        <v>1</v>
      </c>
      <c r="BC6">
        <f>IF(BC5&lt;DMAX($A$1:$L$544,$W6,BC$1:BC$2),DMAX($A$1:$L$544,$W6,BC$1:BC$2),BC5)</f>
        <v>1</v>
      </c>
      <c r="BD6">
        <f>IF(BD5&lt;DMAX($A$1:$L$544,$W6,BD$1:BD$2),DMAX($A$1:$L$544,$W6,BD$1:BD$2),BD5)</f>
        <v>0.54545454545454541</v>
      </c>
      <c r="BE6">
        <f>IF(BE5&lt;DMAX($A$1:$L$544,$W6,BE$1:BE$2),DMAX($A$1:$L$544,$W6,BE$1:BE$2),BE5)</f>
        <v>1</v>
      </c>
      <c r="BF6">
        <f>IF(BF5&lt;DMAX($A$1:$L$544,$W6,BF$1:BF$2),DMAX($A$1:$L$544,$W6,BF$1:BF$2),BF5)</f>
        <v>1</v>
      </c>
      <c r="BG6">
        <f>IF(BG5&lt;DMAX($A$1:$L$544,$W6,BG$1:BG$2),DMAX($A$1:$L$544,$W6,BG$1:BG$2),BG5)</f>
        <v>1</v>
      </c>
      <c r="BH6">
        <f>IF(BH5&lt;DMAX($A$1:$L$544,$W6,BH$1:BH$2),DMAX($A$1:$L$544,$W6,BH$1:BH$2),BH5)</f>
        <v>1</v>
      </c>
      <c r="BI6">
        <f>IF(BI5&lt;DMAX($A$1:$L$544,$W6,BI$1:BI$2),DMAX($A$1:$L$544,$W6,BI$1:BI$2),BI5)</f>
        <v>0.55555555555555558</v>
      </c>
      <c r="BJ6">
        <f>IF(BJ5&lt;DMAX($A$1:$L$544,$W6,BJ$1:BJ$2),DMAX($A$1:$L$544,$W6,BJ$1:BJ$2),BJ5)</f>
        <v>0.33962264150943394</v>
      </c>
      <c r="BK6">
        <f>IF(BK5&lt;DMAX($A$1:$L$544,$W6,BK$1:BK$2),DMAX($A$1:$L$544,$W6,BK$1:BK$2),BK5)</f>
        <v>6.7842605156037995E-3</v>
      </c>
      <c r="BL6">
        <f>IF(BL5&lt;DMAX($A$1:$L$544,$W6,BL$1:BL$2),DMAX($A$1:$L$544,$W6,BL$1:BL$2),BL5)</f>
        <v>8.4210526315789472E-3</v>
      </c>
      <c r="BM6">
        <f>IF(BM5&lt;DMAX($A$1:$L$544,$W6,BM$1:BM$2),DMAX($A$1:$L$544,$W6,BM$1:BM$2),BM5)</f>
        <v>8.2372322899505763E-3</v>
      </c>
      <c r="BN6">
        <f>IF(BN5&lt;DMAX($A$1:$L$544,$W6,BN$1:BN$2),DMAX($A$1:$L$544,$W6,BN$1:BN$2),BN5)</f>
        <v>1</v>
      </c>
      <c r="BO6">
        <f>IF(BO5&lt;DMAX($A$1:$L$544,$W6,BO$1:BO$2),DMAX($A$1:$L$544,$W6,BO$1:BO$2),BO5)</f>
        <v>1</v>
      </c>
      <c r="BP6">
        <f>IF(BP5&lt;DMAX($A$1:$L$544,$W6,BP$1:BP$2),DMAX($A$1:$L$544,$W6,BP$1:BP$2),BP5)</f>
        <v>0.74603174603174605</v>
      </c>
      <c r="BQ6">
        <f>IF(BQ5&lt;DMAX($A$1:$L$544,$W6,BQ$1:BQ$2),DMAX($A$1:$L$544,$W6,BQ$1:BQ$2),BQ5)</f>
        <v>0.34693877551020408</v>
      </c>
      <c r="BR6">
        <f>IF(BR5&lt;DMAX($A$1:$L$544,$W6,BR$1:BR$2),DMAX($A$1:$L$544,$W6,BR$1:BR$2),BR5)</f>
        <v>0.6</v>
      </c>
      <c r="BS6">
        <f>IF(BS5&lt;DMAX($A$1:$L$544,$W6,BS$1:BS$2),DMAX($A$1:$L$544,$W6,BS$1:BS$2),BS5)</f>
        <v>1</v>
      </c>
      <c r="BT6">
        <f>IF(BT5&lt;DMAX($A$1:$L$544,$W6,BT$1:BT$2),DMAX($A$1:$L$544,$W6,BT$1:BT$2),BT5)</f>
        <v>1</v>
      </c>
      <c r="BU6">
        <f>IF(BU5&lt;DMAX($A$1:$L$544,$W6,BU$1:BU$2),DMAX($A$1:$L$544,$W6,BU$1:BU$2),BU5)</f>
        <v>0</v>
      </c>
      <c r="BV6">
        <f>IF(BV5&lt;DMAX($A$1:$L$544,$W6,BV$1:BV$2),DMAX($A$1:$L$544,$W6,BV$1:BV$2),BV5)</f>
        <v>1</v>
      </c>
      <c r="BW6">
        <f>IF(BW5&lt;DMAX($A$1:$L$544,$W6,BW$1:BW$2),DMAX($A$1:$L$544,$W6,BW$1:BW$2),BW5)</f>
        <v>1</v>
      </c>
      <c r="BX6">
        <f>IF(BX5&lt;DMAX($A$1:$L$544,$W6,BX$1:BX$2),DMAX($A$1:$L$544,$W6,BX$1:BX$2),BX5)</f>
        <v>1</v>
      </c>
      <c r="BY6">
        <f>IF(BY5&lt;DMAX($A$1:$L$544,$W6,BY$1:BY$2),DMAX($A$1:$L$544,$W6,BY$1:BY$2),BY5)</f>
        <v>0.66666666666666663</v>
      </c>
      <c r="BZ6">
        <f>IF(BZ5&lt;DMAX($A$1:$L$544,$W6,BZ$1:BZ$2),DMAX($A$1:$L$544,$W6,BZ$1:BZ$2),BZ5)</f>
        <v>1</v>
      </c>
      <c r="CA6">
        <f>IF(CA5&lt;DMAX($A$1:$L$544,$W6,CA$1:CA$2),DMAX($A$1:$L$544,$W6,CA$1:CA$2),CA5)</f>
        <v>1</v>
      </c>
      <c r="CB6">
        <f>IF(CB5&lt;DMAX($A$1:$L$544,$W6,CB$1:CB$2),DMAX($A$1:$L$544,$W6,CB$1:CB$2),CB5)</f>
        <v>0</v>
      </c>
      <c r="CC6">
        <f>IF(CC5&lt;DMAX($A$1:$L$544,$W6,CC$1:CC$2),DMAX($A$1:$L$544,$W6,CC$1:CC$2),CC5)</f>
        <v>1</v>
      </c>
      <c r="CD6">
        <f>IF(CD5&lt;DMAX($A$1:$L$544,$W6,CD$1:CD$2),DMAX($A$1:$L$544,$W6,CD$1:CD$2),CD5)</f>
        <v>1</v>
      </c>
      <c r="CE6">
        <f>IF(CE5&lt;DMAX($A$1:$L$544,$W6,CE$1:CE$2),DMAX($A$1:$L$544,$W6,CE$1:CE$2),CE5)</f>
        <v>0.42857142857142855</v>
      </c>
      <c r="CF6">
        <f>IF(CF5&lt;DMAX($A$1:$L$544,$W6,CF$1:CF$2),DMAX($A$1:$L$544,$W6,CF$1:CF$2),CF5)</f>
        <v>1</v>
      </c>
      <c r="CG6">
        <f>IF(CG5&lt;DMAX($A$1:$L$544,$W6,CG$1:CG$2),DMAX($A$1:$L$544,$W6,CG$1:CG$2),CG5)</f>
        <v>0.74193548387096775</v>
      </c>
      <c r="CH6">
        <f>IF(CH5&lt;DMAX($A$1:$L$544,$W6,CH$1:CH$2),DMAX($A$1:$L$544,$W6,CH$1:CH$2),CH5)</f>
        <v>0</v>
      </c>
      <c r="CI6">
        <f>IF(CI5&lt;DMAX($A$1:$L$544,$W6,CI$1:CI$2),DMAX($A$1:$L$544,$W6,CI$1:CI$2),CI5)</f>
        <v>0</v>
      </c>
    </row>
    <row r="7" spans="1:87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7"/>
        <v>0.984375</v>
      </c>
      <c r="O7" s="4">
        <f t="shared" si="8"/>
        <v>64</v>
      </c>
      <c r="P7" s="8" t="s">
        <v>893</v>
      </c>
      <c r="Q7" s="9">
        <f t="shared" si="9"/>
        <v>0</v>
      </c>
      <c r="R7" s="9">
        <f t="shared" si="10"/>
        <v>0</v>
      </c>
      <c r="S7" s="9">
        <f t="shared" si="11"/>
        <v>1</v>
      </c>
      <c r="T7" s="9">
        <f t="shared" si="12"/>
        <v>0</v>
      </c>
      <c r="U7" s="9">
        <f t="shared" si="13"/>
        <v>1</v>
      </c>
      <c r="V7" s="9">
        <f t="shared" si="14"/>
        <v>62</v>
      </c>
      <c r="W7" s="8" t="s">
        <v>893</v>
      </c>
      <c r="X7">
        <f t="shared" si="15"/>
        <v>1</v>
      </c>
      <c r="Y7">
        <f>IF(Y6&lt;DMAX($A$1:$L$544,$W7,Y$1:Y$2),DMAX($A$1:$L$544,$W7,Y$1:Y$2),Y6)</f>
        <v>1</v>
      </c>
      <c r="Z7">
        <f>IF(Z6&lt;DMAX($A$1:$L$544,$W7,Z$1:Z$2),DMAX($A$1:$L$544,$W7,Z$1:Z$2),Z6)</f>
        <v>1</v>
      </c>
      <c r="AA7">
        <f>IF(AA6&lt;DMAX($A$1:$L$544,$W7,AA$1:AA$2),DMAX($A$1:$L$544,$W7,AA$1:AA$2),AA6)</f>
        <v>1</v>
      </c>
      <c r="AB7">
        <f>IF(AB6&lt;DMAX($A$1:$L$544,$W7,AB$1:AB$2),DMAX($A$1:$L$544,$W7,AB$1:AB$2),AB6)</f>
        <v>1</v>
      </c>
      <c r="AC7">
        <f>IF(AC6&lt;DMAX($A$1:$L$544,$W7,AC$1:AC$2),DMAX($A$1:$L$544,$W7,AC$1:AC$2),AC6)</f>
        <v>1</v>
      </c>
      <c r="AD7">
        <f>IF(AD6&lt;DMAX($A$1:$L$544,$W7,AD$1:AD$2),DMAX($A$1:$L$544,$W7,AD$1:AD$2),AD6)</f>
        <v>1</v>
      </c>
      <c r="AE7">
        <f>IF(AE6&lt;DMAX($A$1:$L$544,$W7,AE$1:AE$2),DMAX($A$1:$L$544,$W7,AE$1:AE$2),AE6)</f>
        <v>1</v>
      </c>
      <c r="AF7">
        <f>IF(AF6&lt;DMAX($A$1:$L$544,$W7,AF$1:AF$2),DMAX($A$1:$L$544,$W7,AF$1:AF$2),AF6)</f>
        <v>1</v>
      </c>
      <c r="AG7">
        <f>IF(AG6&lt;DMAX($A$1:$L$544,$W7,AG$1:AG$2),DMAX($A$1:$L$544,$W7,AG$1:AG$2),AG6)</f>
        <v>1</v>
      </c>
      <c r="AH7">
        <f>IF(AH6&lt;DMAX($A$1:$L$544,$W7,AH$1:AH$2),DMAX($A$1:$L$544,$W7,AH$1:AH$2),AH6)</f>
        <v>1</v>
      </c>
      <c r="AI7">
        <f>IF(AI6&lt;DMAX($A$1:$L$544,$W7,AI$1:AI$2),DMAX($A$1:$L$544,$W7,AI$1:AI$2),AI6)</f>
        <v>1</v>
      </c>
      <c r="AJ7">
        <f>IF(AJ6&lt;DMAX($A$1:$L$544,$W7,AJ$1:AJ$2),DMAX($A$1:$L$544,$W7,AJ$1:AJ$2),AJ6)</f>
        <v>1</v>
      </c>
      <c r="AK7">
        <f>IF(AK6&lt;DMAX($A$1:$L$544,$W7,AK$1:AK$2),DMAX($A$1:$L$544,$W7,AK$1:AK$2),AK6)</f>
        <v>1</v>
      </c>
      <c r="AL7">
        <f>IF(AL6&lt;DMAX($A$1:$L$544,$W7,AL$1:AL$2),DMAX($A$1:$L$544,$W7,AL$1:AL$2),AL6)</f>
        <v>1</v>
      </c>
      <c r="AM7">
        <f>IF(AM6&lt;DMAX($A$1:$L$544,$W7,AM$1:AM$2),DMAX($A$1:$L$544,$W7,AM$1:AM$2),AM6)</f>
        <v>1</v>
      </c>
      <c r="AN7">
        <f>IF(AN6&lt;DMAX($A$1:$L$544,$W7,AN$1:AN$2),DMAX($A$1:$L$544,$W7,AN$1:AN$2),AN6)</f>
        <v>1</v>
      </c>
      <c r="AO7">
        <f>IF(AO6&lt;DMAX($A$1:$L$544,$W7,AO$1:AO$2),DMAX($A$1:$L$544,$W7,AO$1:AO$2),AO6)</f>
        <v>1</v>
      </c>
      <c r="AP7">
        <f>IF(AP6&lt;DMAX($A$1:$L$544,$W7,AP$1:AP$2),DMAX($A$1:$L$544,$W7,AP$1:AP$2),AP6)</f>
        <v>1</v>
      </c>
      <c r="AQ7">
        <f>IF(AQ6&lt;DMAX($A$1:$L$544,$W7,AQ$1:AQ$2),DMAX($A$1:$L$544,$W7,AQ$1:AQ$2),AQ6)</f>
        <v>1</v>
      </c>
      <c r="AR7">
        <f>IF(AR6&lt;DMAX($A$1:$L$544,$W7,AR$1:AR$2),DMAX($A$1:$L$544,$W7,AR$1:AR$2),AR6)</f>
        <v>0.99224806201550386</v>
      </c>
      <c r="AS7">
        <f>IF(AS6&lt;DMAX($A$1:$L$544,$W7,AS$1:AS$2),DMAX($A$1:$L$544,$W7,AS$1:AS$2),AS6)</f>
        <v>1</v>
      </c>
      <c r="AT7">
        <f>IF(AT6&lt;DMAX($A$1:$L$544,$W7,AT$1:AT$2),DMAX($A$1:$L$544,$W7,AT$1:AT$2),AT6)</f>
        <v>0.26829268292682928</v>
      </c>
      <c r="AU7">
        <f>IF(AU6&lt;DMAX($A$1:$L$544,$W7,AU$1:AU$2),DMAX($A$1:$L$544,$W7,AU$1:AU$2),AU6)</f>
        <v>1</v>
      </c>
      <c r="AV7">
        <f>IF(AV6&lt;DMAX($A$1:$L$544,$W7,AV$1:AV$2),DMAX($A$1:$L$544,$W7,AV$1:AV$2),AV6)</f>
        <v>1</v>
      </c>
      <c r="AW7">
        <f>IF(AW6&lt;DMAX($A$1:$L$544,$W7,AW$1:AW$2),DMAX($A$1:$L$544,$W7,AW$1:AW$2),AW6)</f>
        <v>1</v>
      </c>
      <c r="AX7">
        <f>IF(AX6&lt;DMAX($A$1:$L$544,$W7,AX$1:AX$2),DMAX($A$1:$L$544,$W7,AX$1:AX$2),AX6)</f>
        <v>1</v>
      </c>
      <c r="AY7">
        <f>IF(AY6&lt;DMAX($A$1:$L$544,$W7,AY$1:AY$2),DMAX($A$1:$L$544,$W7,AY$1:AY$2),AY6)</f>
        <v>1</v>
      </c>
      <c r="AZ7">
        <f>IF(AZ6&lt;DMAX($A$1:$L$544,$W7,AZ$1:AZ$2),DMAX($A$1:$L$544,$W7,AZ$1:AZ$2),AZ6)</f>
        <v>1</v>
      </c>
      <c r="BA7">
        <f>IF(BA6&lt;DMAX($A$1:$L$544,$W7,BA$1:BA$2),DMAX($A$1:$L$544,$W7,BA$1:BA$2),BA6)</f>
        <v>1</v>
      </c>
      <c r="BB7">
        <f>IF(BB6&lt;DMAX($A$1:$L$544,$W7,BB$1:BB$2),DMAX($A$1:$L$544,$W7,BB$1:BB$2),BB6)</f>
        <v>1</v>
      </c>
      <c r="BC7">
        <f>IF(BC6&lt;DMAX($A$1:$L$544,$W7,BC$1:BC$2),DMAX($A$1:$L$544,$W7,BC$1:BC$2),BC6)</f>
        <v>1</v>
      </c>
      <c r="BD7">
        <f>IF(BD6&lt;DMAX($A$1:$L$544,$W7,BD$1:BD$2),DMAX($A$1:$L$544,$W7,BD$1:BD$2),BD6)</f>
        <v>1</v>
      </c>
      <c r="BE7">
        <f>IF(BE6&lt;DMAX($A$1:$L$544,$W7,BE$1:BE$2),DMAX($A$1:$L$544,$W7,BE$1:BE$2),BE6)</f>
        <v>1</v>
      </c>
      <c r="BF7">
        <f>IF(BF6&lt;DMAX($A$1:$L$544,$W7,BF$1:BF$2),DMAX($A$1:$L$544,$W7,BF$1:BF$2),BF6)</f>
        <v>1</v>
      </c>
      <c r="BG7">
        <f>IF(BG6&lt;DMAX($A$1:$L$544,$W7,BG$1:BG$2),DMAX($A$1:$L$544,$W7,BG$1:BG$2),BG6)</f>
        <v>1</v>
      </c>
      <c r="BH7">
        <f>IF(BH6&lt;DMAX($A$1:$L$544,$W7,BH$1:BH$2),DMAX($A$1:$L$544,$W7,BH$1:BH$2),BH6)</f>
        <v>1</v>
      </c>
      <c r="BI7">
        <f>IF(BI6&lt;DMAX($A$1:$L$544,$W7,BI$1:BI$2),DMAX($A$1:$L$544,$W7,BI$1:BI$2),BI6)</f>
        <v>1</v>
      </c>
      <c r="BJ7">
        <f>IF(BJ6&lt;DMAX($A$1:$L$544,$W7,BJ$1:BJ$2),DMAX($A$1:$L$544,$W7,BJ$1:BJ$2),BJ6)</f>
        <v>1</v>
      </c>
      <c r="BK7">
        <f>IF(BK6&lt;DMAX($A$1:$L$544,$W7,BK$1:BK$2),DMAX($A$1:$L$544,$W7,BK$1:BK$2),BK6)</f>
        <v>1</v>
      </c>
      <c r="BL7">
        <f>IF(BL6&lt;DMAX($A$1:$L$544,$W7,BL$1:BL$2),DMAX($A$1:$L$544,$W7,BL$1:BL$2),BL6)</f>
        <v>1</v>
      </c>
      <c r="BM7">
        <f>IF(BM6&lt;DMAX($A$1:$L$544,$W7,BM$1:BM$2),DMAX($A$1:$L$544,$W7,BM$1:BM$2),BM6)</f>
        <v>1</v>
      </c>
      <c r="BN7">
        <f>IF(BN6&lt;DMAX($A$1:$L$544,$W7,BN$1:BN$2),DMAX($A$1:$L$544,$W7,BN$1:BN$2),BN6)</f>
        <v>1</v>
      </c>
      <c r="BO7">
        <f>IF(BO6&lt;DMAX($A$1:$L$544,$W7,BO$1:BO$2),DMAX($A$1:$L$544,$W7,BO$1:BO$2),BO6)</f>
        <v>1</v>
      </c>
      <c r="BP7">
        <f>IF(BP6&lt;DMAX($A$1:$L$544,$W7,BP$1:BP$2),DMAX($A$1:$L$544,$W7,BP$1:BP$2),BP6)</f>
        <v>1</v>
      </c>
      <c r="BQ7">
        <f>IF(BQ6&lt;DMAX($A$1:$L$544,$W7,BQ$1:BQ$2),DMAX($A$1:$L$544,$W7,BQ$1:BQ$2),BQ6)</f>
        <v>1</v>
      </c>
      <c r="BR7">
        <f>IF(BR6&lt;DMAX($A$1:$L$544,$W7,BR$1:BR$2),DMAX($A$1:$L$544,$W7,BR$1:BR$2),BR6)</f>
        <v>1</v>
      </c>
      <c r="BS7">
        <f>IF(BS6&lt;DMAX($A$1:$L$544,$W7,BS$1:BS$2),DMAX($A$1:$L$544,$W7,BS$1:BS$2),BS6)</f>
        <v>1</v>
      </c>
      <c r="BT7">
        <f>IF(BT6&lt;DMAX($A$1:$L$544,$W7,BT$1:BT$2),DMAX($A$1:$L$544,$W7,BT$1:BT$2),BT6)</f>
        <v>1</v>
      </c>
      <c r="BU7">
        <f>IF(BU6&lt;DMAX($A$1:$L$544,$W7,BU$1:BU$2),DMAX($A$1:$L$544,$W7,BU$1:BU$2),BU6)</f>
        <v>1</v>
      </c>
      <c r="BV7">
        <f>IF(BV6&lt;DMAX($A$1:$L$544,$W7,BV$1:BV$2),DMAX($A$1:$L$544,$W7,BV$1:BV$2),BV6)</f>
        <v>1</v>
      </c>
      <c r="BW7">
        <f>IF(BW6&lt;DMAX($A$1:$L$544,$W7,BW$1:BW$2),DMAX($A$1:$L$544,$W7,BW$1:BW$2),BW6)</f>
        <v>1</v>
      </c>
      <c r="BX7">
        <f>IF(BX6&lt;DMAX($A$1:$L$544,$W7,BX$1:BX$2),DMAX($A$1:$L$544,$W7,BX$1:BX$2),BX6)</f>
        <v>1</v>
      </c>
      <c r="BY7">
        <f>IF(BY6&lt;DMAX($A$1:$L$544,$W7,BY$1:BY$2),DMAX($A$1:$L$544,$W7,BY$1:BY$2),BY6)</f>
        <v>1</v>
      </c>
      <c r="BZ7">
        <f>IF(BZ6&lt;DMAX($A$1:$L$544,$W7,BZ$1:BZ$2),DMAX($A$1:$L$544,$W7,BZ$1:BZ$2),BZ6)</f>
        <v>1</v>
      </c>
      <c r="CA7">
        <f>IF(CA6&lt;DMAX($A$1:$L$544,$W7,CA$1:CA$2),DMAX($A$1:$L$544,$W7,CA$1:CA$2),CA6)</f>
        <v>1</v>
      </c>
      <c r="CB7">
        <f>IF(CB6&lt;DMAX($A$1:$L$544,$W7,CB$1:CB$2),DMAX($A$1:$L$544,$W7,CB$1:CB$2),CB6)</f>
        <v>1</v>
      </c>
      <c r="CC7">
        <f>IF(CC6&lt;DMAX($A$1:$L$544,$W7,CC$1:CC$2),DMAX($A$1:$L$544,$W7,CC$1:CC$2),CC6)</f>
        <v>1</v>
      </c>
      <c r="CD7">
        <f>IF(CD6&lt;DMAX($A$1:$L$544,$W7,CD$1:CD$2),DMAX($A$1:$L$544,$W7,CD$1:CD$2),CD6)</f>
        <v>1</v>
      </c>
      <c r="CE7">
        <f>IF(CE6&lt;DMAX($A$1:$L$544,$W7,CE$1:CE$2),DMAX($A$1:$L$544,$W7,CE$1:CE$2),CE6)</f>
        <v>1</v>
      </c>
      <c r="CF7">
        <f>IF(CF6&lt;DMAX($A$1:$L$544,$W7,CF$1:CF$2),DMAX($A$1:$L$544,$W7,CF$1:CF$2),CF6)</f>
        <v>1</v>
      </c>
      <c r="CG7">
        <f>IF(CG6&lt;DMAX($A$1:$L$544,$W7,CG$1:CG$2),DMAX($A$1:$L$544,$W7,CG$1:CG$2),CG6)</f>
        <v>1</v>
      </c>
      <c r="CH7">
        <f>IF(CH6&lt;DMAX($A$1:$L$544,$W7,CH$1:CH$2),DMAX($A$1:$L$544,$W7,CH$1:CH$2),CH6)</f>
        <v>1</v>
      </c>
      <c r="CI7">
        <f>IF(CI6&lt;DMAX($A$1:$L$544,$W7,CI$1:CI$2),DMAX($A$1:$L$544,$W7,CI$1:CI$2),CI6)</f>
        <v>1</v>
      </c>
    </row>
    <row r="8" spans="1:87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968</v>
      </c>
      <c r="Q8" s="9">
        <f t="shared" si="9"/>
        <v>0</v>
      </c>
      <c r="R8" s="9">
        <f t="shared" si="10"/>
        <v>0</v>
      </c>
      <c r="S8" s="9">
        <f t="shared" si="11"/>
        <v>0</v>
      </c>
      <c r="T8" s="9">
        <f t="shared" si="12"/>
        <v>0</v>
      </c>
      <c r="U8" s="9">
        <f t="shared" si="13"/>
        <v>0</v>
      </c>
      <c r="V8" s="9">
        <f t="shared" si="14"/>
        <v>64</v>
      </c>
      <c r="W8" s="8" t="s">
        <v>968</v>
      </c>
      <c r="X8">
        <f t="shared" si="15"/>
        <v>1</v>
      </c>
      <c r="Y8">
        <f>IF(Y7&lt;DMAX($A$1:$L$544,$W8,Y$1:Y$2),DMAX($A$1:$L$544,$W8,Y$1:Y$2),Y7)</f>
        <v>1</v>
      </c>
      <c r="Z8">
        <f>IF(Z7&lt;DMAX($A$1:$L$544,$W8,Z$1:Z$2),DMAX($A$1:$L$544,$W8,Z$1:Z$2),Z7)</f>
        <v>1</v>
      </c>
      <c r="AA8">
        <f>IF(AA7&lt;DMAX($A$1:$L$544,$W8,AA$1:AA$2),DMAX($A$1:$L$544,$W8,AA$1:AA$2),AA7)</f>
        <v>1</v>
      </c>
      <c r="AB8">
        <f t="shared" ref="AB8" si="16">IF(AB7&lt;DMAX($A$1:$L$544,$W8,AB$1:AB$2),DMAX($A$1:$L$544,$W8,AB$1:AB$2),AB7)</f>
        <v>1</v>
      </c>
      <c r="AC8">
        <f t="shared" ref="AC8" si="17">IF(AC7&lt;DMAX($A$1:$L$544,$W8,AC$1:AC$2),DMAX($A$1:$L$544,$W8,AC$1:AC$2),AC7)</f>
        <v>1</v>
      </c>
      <c r="AD8">
        <f t="shared" ref="AD8" si="18">IF(AD7&lt;DMAX($A$1:$L$544,$W8,AD$1:AD$2),DMAX($A$1:$L$544,$W8,AD$1:AD$2),AD7)</f>
        <v>1</v>
      </c>
      <c r="AE8">
        <f t="shared" ref="AE8" si="19">IF(AE7&lt;DMAX($A$1:$L$544,$W8,AE$1:AE$2),DMAX($A$1:$L$544,$W8,AE$1:AE$2),AE7)</f>
        <v>1</v>
      </c>
      <c r="AF8">
        <f t="shared" ref="AF8" si="20">IF(AF7&lt;DMAX($A$1:$L$544,$W8,AF$1:AF$2),DMAX($A$1:$L$544,$W8,AF$1:AF$2),AF7)</f>
        <v>1</v>
      </c>
      <c r="AG8">
        <f t="shared" ref="AG8" si="21">IF(AG7&lt;DMAX($A$1:$L$544,$W8,AG$1:AG$2),DMAX($A$1:$L$544,$W8,AG$1:AG$2),AG7)</f>
        <v>1</v>
      </c>
      <c r="AH8">
        <f t="shared" ref="AH8" si="22">IF(AH7&lt;DMAX($A$1:$L$544,$W8,AH$1:AH$2),DMAX($A$1:$L$544,$W8,AH$1:AH$2),AH7)</f>
        <v>1</v>
      </c>
      <c r="AI8">
        <f t="shared" ref="AI8" si="23">IF(AI7&lt;DMAX($A$1:$L$544,$W8,AI$1:AI$2),DMAX($A$1:$L$544,$W8,AI$1:AI$2),AI7)</f>
        <v>1</v>
      </c>
      <c r="AJ8">
        <f t="shared" ref="AJ8" si="24">IF(AJ7&lt;DMAX($A$1:$L$544,$W8,AJ$1:AJ$2),DMAX($A$1:$L$544,$W8,AJ$1:AJ$2),AJ7)</f>
        <v>1</v>
      </c>
      <c r="AK8">
        <f t="shared" ref="AK8" si="25">IF(AK7&lt;DMAX($A$1:$L$544,$W8,AK$1:AK$2),DMAX($A$1:$L$544,$W8,AK$1:AK$2),AK7)</f>
        <v>1</v>
      </c>
      <c r="AL8">
        <f t="shared" ref="AL8" si="26">IF(AL7&lt;DMAX($A$1:$L$544,$W8,AL$1:AL$2),DMAX($A$1:$L$544,$W8,AL$1:AL$2),AL7)</f>
        <v>1</v>
      </c>
      <c r="AM8">
        <f t="shared" ref="AM8" si="27">IF(AM7&lt;DMAX($A$1:$L$544,$W8,AM$1:AM$2),DMAX($A$1:$L$544,$W8,AM$1:AM$2),AM7)</f>
        <v>1</v>
      </c>
      <c r="AN8">
        <f t="shared" ref="AN8" si="28">IF(AN7&lt;DMAX($A$1:$L$544,$W8,AN$1:AN$2),DMAX($A$1:$L$544,$W8,AN$1:AN$2),AN7)</f>
        <v>1</v>
      </c>
      <c r="AO8">
        <f t="shared" ref="AO8" si="29">IF(AO7&lt;DMAX($A$1:$L$544,$W8,AO$1:AO$2),DMAX($A$1:$L$544,$W8,AO$1:AO$2),AO7)</f>
        <v>1</v>
      </c>
      <c r="AP8">
        <f t="shared" ref="AP8" si="30">IF(AP7&lt;DMAX($A$1:$L$544,$W8,AP$1:AP$2),DMAX($A$1:$L$544,$W8,AP$1:AP$2),AP7)</f>
        <v>1</v>
      </c>
      <c r="AQ8">
        <f t="shared" ref="AQ8" si="31">IF(AQ7&lt;DMAX($A$1:$L$544,$W8,AQ$1:AQ$2),DMAX($A$1:$L$544,$W8,AQ$1:AQ$2),AQ7)</f>
        <v>1</v>
      </c>
      <c r="AR8">
        <f t="shared" ref="AR8" si="32">IF(AR7&lt;DMAX($A$1:$L$544,$W8,AR$1:AR$2),DMAX($A$1:$L$544,$W8,AR$1:AR$2),AR7)</f>
        <v>1</v>
      </c>
      <c r="AS8">
        <f t="shared" ref="AS8" si="33">IF(AS7&lt;DMAX($A$1:$L$544,$W8,AS$1:AS$2),DMAX($A$1:$L$544,$W8,AS$1:AS$2),AS7)</f>
        <v>1</v>
      </c>
      <c r="AT8">
        <f t="shared" ref="AT8" si="34">IF(AT7&lt;DMAX($A$1:$L$544,$W8,AT$1:AT$2),DMAX($A$1:$L$544,$W8,AT$1:AT$2),AT7)</f>
        <v>1</v>
      </c>
      <c r="AU8">
        <f t="shared" ref="AU8" si="35">IF(AU7&lt;DMAX($A$1:$L$544,$W8,AU$1:AU$2),DMAX($A$1:$L$544,$W8,AU$1:AU$2),AU7)</f>
        <v>1</v>
      </c>
      <c r="AV8">
        <f t="shared" ref="AV8" si="36">IF(AV7&lt;DMAX($A$1:$L$544,$W8,AV$1:AV$2),DMAX($A$1:$L$544,$W8,AV$1:AV$2),AV7)</f>
        <v>1</v>
      </c>
      <c r="AW8">
        <f t="shared" ref="AW8" si="37">IF(AW7&lt;DMAX($A$1:$L$544,$W8,AW$1:AW$2),DMAX($A$1:$L$544,$W8,AW$1:AW$2),AW7)</f>
        <v>1</v>
      </c>
      <c r="AX8">
        <f t="shared" ref="AX8" si="38">IF(AX7&lt;DMAX($A$1:$L$544,$W8,AX$1:AX$2),DMAX($A$1:$L$544,$W8,AX$1:AX$2),AX7)</f>
        <v>1</v>
      </c>
      <c r="AY8">
        <f t="shared" ref="AY8" si="39">IF(AY7&lt;DMAX($A$1:$L$544,$W8,AY$1:AY$2),DMAX($A$1:$L$544,$W8,AY$1:AY$2),AY7)</f>
        <v>1</v>
      </c>
      <c r="AZ8">
        <f t="shared" ref="AZ8" si="40">IF(AZ7&lt;DMAX($A$1:$L$544,$W8,AZ$1:AZ$2),DMAX($A$1:$L$544,$W8,AZ$1:AZ$2),AZ7)</f>
        <v>1</v>
      </c>
      <c r="BA8">
        <f t="shared" ref="BA8" si="41">IF(BA7&lt;DMAX($A$1:$L$544,$W8,BA$1:BA$2),DMAX($A$1:$L$544,$W8,BA$1:BA$2),BA7)</f>
        <v>1</v>
      </c>
      <c r="BB8">
        <f t="shared" ref="BB8" si="42">IF(BB7&lt;DMAX($A$1:$L$544,$W8,BB$1:BB$2),DMAX($A$1:$L$544,$W8,BB$1:BB$2),BB7)</f>
        <v>1</v>
      </c>
      <c r="BC8">
        <f t="shared" ref="BC8" si="43">IF(BC7&lt;DMAX($A$1:$L$544,$W8,BC$1:BC$2),DMAX($A$1:$L$544,$W8,BC$1:BC$2),BC7)</f>
        <v>1</v>
      </c>
      <c r="BD8">
        <f t="shared" ref="BD8" si="44">IF(BD7&lt;DMAX($A$1:$L$544,$W8,BD$1:BD$2),DMAX($A$1:$L$544,$W8,BD$1:BD$2),BD7)</f>
        <v>1</v>
      </c>
      <c r="BE8">
        <f t="shared" ref="BE8" si="45">IF(BE7&lt;DMAX($A$1:$L$544,$W8,BE$1:BE$2),DMAX($A$1:$L$544,$W8,BE$1:BE$2),BE7)</f>
        <v>1</v>
      </c>
      <c r="BF8">
        <f t="shared" ref="BF8" si="46">IF(BF7&lt;DMAX($A$1:$L$544,$W8,BF$1:BF$2),DMAX($A$1:$L$544,$W8,BF$1:BF$2),BF7)</f>
        <v>1</v>
      </c>
      <c r="BG8">
        <f t="shared" ref="BG8" si="47">IF(BG7&lt;DMAX($A$1:$L$544,$W8,BG$1:BG$2),DMAX($A$1:$L$544,$W8,BG$1:BG$2),BG7)</f>
        <v>1</v>
      </c>
      <c r="BH8">
        <f t="shared" ref="BH8" si="48">IF(BH7&lt;DMAX($A$1:$L$544,$W8,BH$1:BH$2),DMAX($A$1:$L$544,$W8,BH$1:BH$2),BH7)</f>
        <v>1</v>
      </c>
      <c r="BI8">
        <f t="shared" ref="BI8" si="49">IF(BI7&lt;DMAX($A$1:$L$544,$W8,BI$1:BI$2),DMAX($A$1:$L$544,$W8,BI$1:BI$2),BI7)</f>
        <v>1</v>
      </c>
      <c r="BJ8">
        <f t="shared" ref="BJ8" si="50">IF(BJ7&lt;DMAX($A$1:$L$544,$W8,BJ$1:BJ$2),DMAX($A$1:$L$544,$W8,BJ$1:BJ$2),BJ7)</f>
        <v>1</v>
      </c>
      <c r="BK8">
        <f t="shared" ref="BK8" si="51">IF(BK7&lt;DMAX($A$1:$L$544,$W8,BK$1:BK$2),DMAX($A$1:$L$544,$W8,BK$1:BK$2),BK7)</f>
        <v>1</v>
      </c>
      <c r="BL8">
        <f t="shared" ref="BL8" si="52">IF(BL7&lt;DMAX($A$1:$L$544,$W8,BL$1:BL$2),DMAX($A$1:$L$544,$W8,BL$1:BL$2),BL7)</f>
        <v>1</v>
      </c>
      <c r="BM8">
        <f t="shared" ref="BM8" si="53">IF(BM7&lt;DMAX($A$1:$L$544,$W8,BM$1:BM$2),DMAX($A$1:$L$544,$W8,BM$1:BM$2),BM7)</f>
        <v>1</v>
      </c>
      <c r="BN8">
        <f t="shared" ref="BN8" si="54">IF(BN7&lt;DMAX($A$1:$L$544,$W8,BN$1:BN$2),DMAX($A$1:$L$544,$W8,BN$1:BN$2),BN7)</f>
        <v>1</v>
      </c>
      <c r="BO8">
        <f t="shared" ref="BO8" si="55">IF(BO7&lt;DMAX($A$1:$L$544,$W8,BO$1:BO$2),DMAX($A$1:$L$544,$W8,BO$1:BO$2),BO7)</f>
        <v>1</v>
      </c>
      <c r="BP8">
        <f t="shared" ref="BP8" si="56">IF(BP7&lt;DMAX($A$1:$L$544,$W8,BP$1:BP$2),DMAX($A$1:$L$544,$W8,BP$1:BP$2),BP7)</f>
        <v>1</v>
      </c>
      <c r="BQ8">
        <f t="shared" ref="BQ8" si="57">IF(BQ7&lt;DMAX($A$1:$L$544,$W8,BQ$1:BQ$2),DMAX($A$1:$L$544,$W8,BQ$1:BQ$2),BQ7)</f>
        <v>1</v>
      </c>
      <c r="BR8">
        <f t="shared" ref="BR8" si="58">IF(BR7&lt;DMAX($A$1:$L$544,$W8,BR$1:BR$2),DMAX($A$1:$L$544,$W8,BR$1:BR$2),BR7)</f>
        <v>1</v>
      </c>
      <c r="BS8">
        <f t="shared" ref="BS8" si="59">IF(BS7&lt;DMAX($A$1:$L$544,$W8,BS$1:BS$2),DMAX($A$1:$L$544,$W8,BS$1:BS$2),BS7)</f>
        <v>1</v>
      </c>
      <c r="BT8">
        <f t="shared" ref="BT8" si="60">IF(BT7&lt;DMAX($A$1:$L$544,$W8,BT$1:BT$2),DMAX($A$1:$L$544,$W8,BT$1:BT$2),BT7)</f>
        <v>1</v>
      </c>
      <c r="BU8">
        <f t="shared" ref="BU8" si="61">IF(BU7&lt;DMAX($A$1:$L$544,$W8,BU$1:BU$2),DMAX($A$1:$L$544,$W8,BU$1:BU$2),BU7)</f>
        <v>1</v>
      </c>
      <c r="BV8">
        <f t="shared" ref="BV8" si="62">IF(BV7&lt;DMAX($A$1:$L$544,$W8,BV$1:BV$2),DMAX($A$1:$L$544,$W8,BV$1:BV$2),BV7)</f>
        <v>1</v>
      </c>
      <c r="BW8">
        <f t="shared" ref="BW8" si="63">IF(BW7&lt;DMAX($A$1:$L$544,$W8,BW$1:BW$2),DMAX($A$1:$L$544,$W8,BW$1:BW$2),BW7)</f>
        <v>1</v>
      </c>
      <c r="BX8">
        <f t="shared" ref="BX8" si="64">IF(BX7&lt;DMAX($A$1:$L$544,$W8,BX$1:BX$2),DMAX($A$1:$L$544,$W8,BX$1:BX$2),BX7)</f>
        <v>1</v>
      </c>
      <c r="BY8">
        <f t="shared" ref="BY8" si="65">IF(BY7&lt;DMAX($A$1:$L$544,$W8,BY$1:BY$2),DMAX($A$1:$L$544,$W8,BY$1:BY$2),BY7)</f>
        <v>1</v>
      </c>
      <c r="BZ8">
        <f t="shared" ref="BZ8" si="66">IF(BZ7&lt;DMAX($A$1:$L$544,$W8,BZ$1:BZ$2),DMAX($A$1:$L$544,$W8,BZ$1:BZ$2),BZ7)</f>
        <v>1</v>
      </c>
      <c r="CA8">
        <f t="shared" ref="CA8" si="67">IF(CA7&lt;DMAX($A$1:$L$544,$W8,CA$1:CA$2),DMAX($A$1:$L$544,$W8,CA$1:CA$2),CA7)</f>
        <v>1</v>
      </c>
      <c r="CB8">
        <f t="shared" ref="CB8" si="68">IF(CB7&lt;DMAX($A$1:$L$544,$W8,CB$1:CB$2),DMAX($A$1:$L$544,$W8,CB$1:CB$2),CB7)</f>
        <v>1</v>
      </c>
      <c r="CC8">
        <f t="shared" ref="CC8" si="69">IF(CC7&lt;DMAX($A$1:$L$544,$W8,CC$1:CC$2),DMAX($A$1:$L$544,$W8,CC$1:CC$2),CC7)</f>
        <v>1</v>
      </c>
      <c r="CD8">
        <f t="shared" ref="CD8" si="70">IF(CD7&lt;DMAX($A$1:$L$544,$W8,CD$1:CD$2),DMAX($A$1:$L$544,$W8,CD$1:CD$2),CD7)</f>
        <v>1</v>
      </c>
      <c r="CE8">
        <f t="shared" ref="CE8" si="71">IF(CE7&lt;DMAX($A$1:$L$544,$W8,CE$1:CE$2),DMAX($A$1:$L$544,$W8,CE$1:CE$2),CE7)</f>
        <v>1</v>
      </c>
      <c r="CF8">
        <f t="shared" ref="CF8" si="72">IF(CF7&lt;DMAX($A$1:$L$544,$W8,CF$1:CF$2),DMAX($A$1:$L$544,$W8,CF$1:CF$2),CF7)</f>
        <v>1</v>
      </c>
      <c r="CG8">
        <f t="shared" ref="CG8" si="73">IF(CG7&lt;DMAX($A$1:$L$544,$W8,CG$1:CG$2),DMAX($A$1:$L$544,$W8,CG$1:CG$2),CG7)</f>
        <v>1</v>
      </c>
      <c r="CH8">
        <f t="shared" ref="CH8" si="74">IF(CH7&lt;DMAX($A$1:$L$544,$W8,CH$1:CH$2),DMAX($A$1:$L$544,$W8,CH$1:CH$2),CH7)</f>
        <v>1</v>
      </c>
      <c r="CI8">
        <f t="shared" ref="CI8" si="75">IF(CI7&lt;DMAX($A$1:$L$544,$W8,CI$1:CI$2),DMAX($A$1:$L$544,$W8,CI$1:CI$2),CI7)</f>
        <v>1</v>
      </c>
    </row>
    <row r="9" spans="1:87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7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7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7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7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7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7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7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76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77">IF(F67 &lt;= 0.2,E67,"")</f>
        <v>0.36170212765957449</v>
      </c>
      <c r="H67" s="4" t="str">
        <f t="shared" ref="H67:H130" si="78">IF(AND($F67 &gt; 0.2,$F67 &lt;= 0.4),$E67,"")</f>
        <v/>
      </c>
      <c r="I67" s="4" t="str">
        <f t="shared" ref="I67:I130" si="79">IF(AND($F67 &gt; 0.4,$F67 &lt;= 0.6),$E67,"")</f>
        <v/>
      </c>
      <c r="J67" s="4" t="str">
        <f t="shared" ref="J67:J130" si="80">IF(AND($F67 &gt; 0.6,$F67 &lt;= 0.8),$E67,"")</f>
        <v/>
      </c>
      <c r="K67" s="4" t="str">
        <f t="shared" ref="K67:K130" si="81">IF(AND($F67 &gt; 0.8, $F67 &lt;=1.1),$E67,"")</f>
        <v/>
      </c>
      <c r="L67" s="4" t="str">
        <f t="shared" ref="L67:L130" si="82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76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77"/>
        <v>0.36170212765957449</v>
      </c>
      <c r="H68" s="4" t="str">
        <f t="shared" si="78"/>
        <v/>
      </c>
      <c r="I68" s="4" t="str">
        <f t="shared" si="79"/>
        <v/>
      </c>
      <c r="J68" s="4" t="str">
        <f t="shared" si="80"/>
        <v/>
      </c>
      <c r="K68" s="4" t="str">
        <f t="shared" si="81"/>
        <v/>
      </c>
      <c r="L68" s="4" t="str">
        <f t="shared" si="82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76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77"/>
        <v>0.36170212765957449</v>
      </c>
      <c r="H69" s="4" t="str">
        <f t="shared" si="78"/>
        <v/>
      </c>
      <c r="I69" s="4" t="str">
        <f t="shared" si="79"/>
        <v/>
      </c>
      <c r="J69" s="4" t="str">
        <f t="shared" si="80"/>
        <v/>
      </c>
      <c r="K69" s="4" t="str">
        <f t="shared" si="81"/>
        <v/>
      </c>
      <c r="L69" s="4" t="str">
        <f t="shared" si="82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76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77"/>
        <v>0.36170212765957449</v>
      </c>
      <c r="H70" s="4" t="str">
        <f t="shared" si="78"/>
        <v/>
      </c>
      <c r="I70" s="4" t="str">
        <f t="shared" si="79"/>
        <v/>
      </c>
      <c r="J70" s="4" t="str">
        <f t="shared" si="80"/>
        <v/>
      </c>
      <c r="K70" s="4" t="str">
        <f t="shared" si="81"/>
        <v/>
      </c>
      <c r="L70" s="4" t="str">
        <f t="shared" si="82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76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77"/>
        <v>0.46099290780141844</v>
      </c>
      <c r="H71" s="4" t="str">
        <f t="shared" si="78"/>
        <v/>
      </c>
      <c r="I71" s="4" t="str">
        <f t="shared" si="79"/>
        <v/>
      </c>
      <c r="J71" s="4" t="str">
        <f t="shared" si="80"/>
        <v/>
      </c>
      <c r="K71" s="4" t="str">
        <f t="shared" si="81"/>
        <v/>
      </c>
      <c r="L71" s="4" t="str">
        <f t="shared" si="82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76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77"/>
        <v>0.5957446808510638</v>
      </c>
      <c r="H72" s="4" t="str">
        <f t="shared" si="78"/>
        <v/>
      </c>
      <c r="I72" s="4" t="str">
        <f t="shared" si="79"/>
        <v/>
      </c>
      <c r="J72" s="4" t="str">
        <f t="shared" si="80"/>
        <v/>
      </c>
      <c r="K72" s="4" t="str">
        <f t="shared" si="81"/>
        <v/>
      </c>
      <c r="L72" s="4" t="str">
        <f t="shared" si="82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76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77"/>
        <v>0.5957446808510638</v>
      </c>
      <c r="H73" s="4" t="str">
        <f t="shared" si="78"/>
        <v/>
      </c>
      <c r="I73" s="4" t="str">
        <f t="shared" si="79"/>
        <v/>
      </c>
      <c r="J73" s="4" t="str">
        <f t="shared" si="80"/>
        <v/>
      </c>
      <c r="K73" s="4" t="str">
        <f t="shared" si="81"/>
        <v/>
      </c>
      <c r="L73" s="4" t="str">
        <f t="shared" si="82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76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77"/>
        <v>0.63120567375886527</v>
      </c>
      <c r="H74" s="4" t="str">
        <f t="shared" si="78"/>
        <v/>
      </c>
      <c r="I74" s="4" t="str">
        <f t="shared" si="79"/>
        <v/>
      </c>
      <c r="J74" s="4" t="str">
        <f t="shared" si="80"/>
        <v/>
      </c>
      <c r="K74" s="4" t="str">
        <f t="shared" si="81"/>
        <v/>
      </c>
      <c r="L74" s="4" t="str">
        <f t="shared" si="82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76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77"/>
        <v>0.72340425531914898</v>
      </c>
      <c r="H75" s="4" t="str">
        <f t="shared" si="78"/>
        <v/>
      </c>
      <c r="I75" s="4" t="str">
        <f t="shared" si="79"/>
        <v/>
      </c>
      <c r="J75" s="4" t="str">
        <f t="shared" si="80"/>
        <v/>
      </c>
      <c r="K75" s="4" t="str">
        <f t="shared" si="81"/>
        <v/>
      </c>
      <c r="L75" s="4" t="str">
        <f t="shared" si="82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76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77"/>
        <v>0.72340425531914898</v>
      </c>
      <c r="H76" s="4" t="str">
        <f t="shared" si="78"/>
        <v/>
      </c>
      <c r="I76" s="4" t="str">
        <f t="shared" si="79"/>
        <v/>
      </c>
      <c r="J76" s="4" t="str">
        <f t="shared" si="80"/>
        <v/>
      </c>
      <c r="K76" s="4" t="str">
        <f t="shared" si="81"/>
        <v/>
      </c>
      <c r="L76" s="4" t="str">
        <f t="shared" si="82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76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77"/>
        <v>0.72340425531914898</v>
      </c>
      <c r="H77" s="4" t="str">
        <f t="shared" si="78"/>
        <v/>
      </c>
      <c r="I77" s="4" t="str">
        <f t="shared" si="79"/>
        <v/>
      </c>
      <c r="J77" s="4" t="str">
        <f t="shared" si="80"/>
        <v/>
      </c>
      <c r="K77" s="4" t="str">
        <f t="shared" si="81"/>
        <v/>
      </c>
      <c r="L77" s="4" t="str">
        <f t="shared" si="82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76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77"/>
        <v>0.75886524822695034</v>
      </c>
      <c r="H78" s="4" t="str">
        <f t="shared" si="78"/>
        <v/>
      </c>
      <c r="I78" s="4" t="str">
        <f t="shared" si="79"/>
        <v/>
      </c>
      <c r="J78" s="4" t="str">
        <f t="shared" si="80"/>
        <v/>
      </c>
      <c r="K78" s="4" t="str">
        <f t="shared" si="81"/>
        <v/>
      </c>
      <c r="L78" s="4" t="str">
        <f t="shared" si="82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76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77"/>
        <v>0.75886524822695034</v>
      </c>
      <c r="H79" s="4" t="str">
        <f t="shared" si="78"/>
        <v/>
      </c>
      <c r="I79" s="4" t="str">
        <f t="shared" si="79"/>
        <v/>
      </c>
      <c r="J79" s="4" t="str">
        <f t="shared" si="80"/>
        <v/>
      </c>
      <c r="K79" s="4" t="str">
        <f t="shared" si="81"/>
        <v/>
      </c>
      <c r="L79" s="4" t="str">
        <f t="shared" si="82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76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77"/>
        <v>0.75886524822695034</v>
      </c>
      <c r="H80" s="4" t="str">
        <f t="shared" si="78"/>
        <v/>
      </c>
      <c r="I80" s="4" t="str">
        <f t="shared" si="79"/>
        <v/>
      </c>
      <c r="J80" s="4" t="str">
        <f t="shared" si="80"/>
        <v/>
      </c>
      <c r="K80" s="4" t="str">
        <f t="shared" si="81"/>
        <v/>
      </c>
      <c r="L80" s="4" t="str">
        <f t="shared" si="82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76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77"/>
        <v/>
      </c>
      <c r="H81" s="4">
        <f t="shared" si="78"/>
        <v>0.75886524822695034</v>
      </c>
      <c r="I81" s="4" t="str">
        <f t="shared" si="79"/>
        <v/>
      </c>
      <c r="J81" s="4" t="str">
        <f t="shared" si="80"/>
        <v/>
      </c>
      <c r="K81" s="4" t="str">
        <f t="shared" si="81"/>
        <v/>
      </c>
      <c r="L81" s="4" t="str">
        <f t="shared" si="82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76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77"/>
        <v/>
      </c>
      <c r="H82" s="4">
        <f t="shared" si="78"/>
        <v>0.75886524822695034</v>
      </c>
      <c r="I82" s="4" t="str">
        <f t="shared" si="79"/>
        <v/>
      </c>
      <c r="J82" s="4" t="str">
        <f t="shared" si="80"/>
        <v/>
      </c>
      <c r="K82" s="4" t="str">
        <f t="shared" si="81"/>
        <v/>
      </c>
      <c r="L82" s="4" t="str">
        <f t="shared" si="82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76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77"/>
        <v/>
      </c>
      <c r="H83" s="4">
        <f t="shared" si="78"/>
        <v>0.75886524822695034</v>
      </c>
      <c r="I83" s="4" t="str">
        <f t="shared" si="79"/>
        <v/>
      </c>
      <c r="J83" s="4" t="str">
        <f t="shared" si="80"/>
        <v/>
      </c>
      <c r="K83" s="4" t="str">
        <f t="shared" si="81"/>
        <v/>
      </c>
      <c r="L83" s="4" t="str">
        <f t="shared" si="82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76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77"/>
        <v/>
      </c>
      <c r="H84" s="4">
        <f t="shared" si="78"/>
        <v>0.75886524822695034</v>
      </c>
      <c r="I84" s="4" t="str">
        <f t="shared" si="79"/>
        <v/>
      </c>
      <c r="J84" s="4" t="str">
        <f t="shared" si="80"/>
        <v/>
      </c>
      <c r="K84" s="4" t="str">
        <f t="shared" si="81"/>
        <v/>
      </c>
      <c r="L84" s="4" t="str">
        <f t="shared" si="82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76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77"/>
        <v/>
      </c>
      <c r="H85" s="4">
        <f t="shared" si="78"/>
        <v>0.75886524822695034</v>
      </c>
      <c r="I85" s="4" t="str">
        <f t="shared" si="79"/>
        <v/>
      </c>
      <c r="J85" s="4" t="str">
        <f t="shared" si="80"/>
        <v/>
      </c>
      <c r="K85" s="4" t="str">
        <f t="shared" si="81"/>
        <v/>
      </c>
      <c r="L85" s="4" t="str">
        <f t="shared" si="82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76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77"/>
        <v/>
      </c>
      <c r="H86" s="4">
        <f t="shared" si="78"/>
        <v>0.75886524822695034</v>
      </c>
      <c r="I86" s="4" t="str">
        <f t="shared" si="79"/>
        <v/>
      </c>
      <c r="J86" s="4" t="str">
        <f t="shared" si="80"/>
        <v/>
      </c>
      <c r="K86" s="4" t="str">
        <f t="shared" si="81"/>
        <v/>
      </c>
      <c r="L86" s="4" t="str">
        <f t="shared" si="82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76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77"/>
        <v/>
      </c>
      <c r="H87" s="4">
        <f t="shared" si="78"/>
        <v>0.75886524822695034</v>
      </c>
      <c r="I87" s="4" t="str">
        <f t="shared" si="79"/>
        <v/>
      </c>
      <c r="J87" s="4" t="str">
        <f t="shared" si="80"/>
        <v/>
      </c>
      <c r="K87" s="4" t="str">
        <f t="shared" si="81"/>
        <v/>
      </c>
      <c r="L87" s="4" t="str">
        <f t="shared" si="82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76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77"/>
        <v/>
      </c>
      <c r="H88" s="4">
        <f t="shared" si="78"/>
        <v>0.75886524822695034</v>
      </c>
      <c r="I88" s="4" t="str">
        <f t="shared" si="79"/>
        <v/>
      </c>
      <c r="J88" s="4" t="str">
        <f t="shared" si="80"/>
        <v/>
      </c>
      <c r="K88" s="4" t="str">
        <f t="shared" si="81"/>
        <v/>
      </c>
      <c r="L88" s="4" t="str">
        <f t="shared" si="82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76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77"/>
        <v/>
      </c>
      <c r="H89" s="4" t="str">
        <f t="shared" si="78"/>
        <v/>
      </c>
      <c r="I89" s="4">
        <f t="shared" si="79"/>
        <v>0.75886524822695034</v>
      </c>
      <c r="J89" s="4" t="str">
        <f t="shared" si="80"/>
        <v/>
      </c>
      <c r="K89" s="4" t="str">
        <f t="shared" si="81"/>
        <v/>
      </c>
      <c r="L89" s="4" t="str">
        <f t="shared" si="82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76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77"/>
        <v/>
      </c>
      <c r="H90" s="4" t="str">
        <f t="shared" si="78"/>
        <v/>
      </c>
      <c r="I90" s="4">
        <f t="shared" si="79"/>
        <v>0.75886524822695034</v>
      </c>
      <c r="J90" s="4" t="str">
        <f t="shared" si="80"/>
        <v/>
      </c>
      <c r="K90" s="4" t="str">
        <f t="shared" si="81"/>
        <v/>
      </c>
      <c r="L90" s="4" t="str">
        <f t="shared" si="82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76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77"/>
        <v/>
      </c>
      <c r="H91" s="4" t="str">
        <f t="shared" si="78"/>
        <v/>
      </c>
      <c r="I91" s="4">
        <f t="shared" si="79"/>
        <v>0.75886524822695034</v>
      </c>
      <c r="J91" s="4" t="str">
        <f t="shared" si="80"/>
        <v/>
      </c>
      <c r="K91" s="4" t="str">
        <f t="shared" si="81"/>
        <v/>
      </c>
      <c r="L91" s="4" t="str">
        <f t="shared" si="82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76"/>
        <v>test.Base64_18_</v>
      </c>
      <c r="D92">
        <v>40</v>
      </c>
      <c r="E92" s="4">
        <v>1</v>
      </c>
      <c r="F92" s="4">
        <v>0.90707923973923421</v>
      </c>
      <c r="G92" s="4" t="str">
        <f t="shared" si="77"/>
        <v/>
      </c>
      <c r="H92" s="4" t="str">
        <f t="shared" si="78"/>
        <v/>
      </c>
      <c r="I92" s="4" t="str">
        <f t="shared" si="79"/>
        <v/>
      </c>
      <c r="J92" s="4" t="str">
        <f t="shared" si="80"/>
        <v/>
      </c>
      <c r="K92" s="4">
        <f t="shared" si="81"/>
        <v>1</v>
      </c>
      <c r="L92" s="4" t="str">
        <f t="shared" si="82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76"/>
        <v>test.Base64_18_</v>
      </c>
      <c r="D93">
        <v>41</v>
      </c>
      <c r="E93" s="4">
        <v>1</v>
      </c>
      <c r="F93" s="4">
        <v>0.90955835093196213</v>
      </c>
      <c r="G93" s="4" t="str">
        <f t="shared" si="77"/>
        <v/>
      </c>
      <c r="H93" s="4" t="str">
        <f t="shared" si="78"/>
        <v/>
      </c>
      <c r="I93" s="4" t="str">
        <f t="shared" si="79"/>
        <v/>
      </c>
      <c r="J93" s="4" t="str">
        <f t="shared" si="80"/>
        <v/>
      </c>
      <c r="K93" s="4">
        <f t="shared" si="81"/>
        <v>1</v>
      </c>
      <c r="L93" s="4" t="str">
        <f t="shared" si="82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76"/>
        <v>test.Base64_18_</v>
      </c>
      <c r="D94">
        <v>42</v>
      </c>
      <c r="E94" s="4">
        <v>1</v>
      </c>
      <c r="F94" s="4">
        <v>0.91304747038839407</v>
      </c>
      <c r="G94" s="4" t="str">
        <f t="shared" si="77"/>
        <v/>
      </c>
      <c r="H94" s="4" t="str">
        <f t="shared" si="78"/>
        <v/>
      </c>
      <c r="I94" s="4" t="str">
        <f t="shared" si="79"/>
        <v/>
      </c>
      <c r="J94" s="4" t="str">
        <f t="shared" si="80"/>
        <v/>
      </c>
      <c r="K94" s="4">
        <f t="shared" si="81"/>
        <v>1</v>
      </c>
      <c r="L94" s="4" t="str">
        <f t="shared" si="82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76"/>
        <v>test.Base64_18_</v>
      </c>
      <c r="D95">
        <v>43</v>
      </c>
      <c r="E95" s="4">
        <v>1</v>
      </c>
      <c r="F95" s="4">
        <v>0.93802222018180148</v>
      </c>
      <c r="G95" s="4" t="str">
        <f t="shared" si="77"/>
        <v/>
      </c>
      <c r="H95" s="4" t="str">
        <f t="shared" si="78"/>
        <v/>
      </c>
      <c r="I95" s="4" t="str">
        <f t="shared" si="79"/>
        <v/>
      </c>
      <c r="J95" s="4" t="str">
        <f t="shared" si="80"/>
        <v/>
      </c>
      <c r="K95" s="4">
        <f t="shared" si="81"/>
        <v>1</v>
      </c>
      <c r="L95" s="4" t="str">
        <f t="shared" si="82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76"/>
        <v>test.Base64_18_</v>
      </c>
      <c r="D96">
        <v>44</v>
      </c>
      <c r="E96" s="4">
        <v>1</v>
      </c>
      <c r="F96" s="4">
        <v>1.0893398218712698</v>
      </c>
      <c r="G96" s="4" t="str">
        <f t="shared" si="77"/>
        <v/>
      </c>
      <c r="H96" s="4" t="str">
        <f t="shared" si="78"/>
        <v/>
      </c>
      <c r="I96" s="4" t="str">
        <f t="shared" si="79"/>
        <v/>
      </c>
      <c r="J96" s="4" t="str">
        <f t="shared" si="80"/>
        <v/>
      </c>
      <c r="K96" s="4">
        <f t="shared" si="81"/>
        <v>1</v>
      </c>
      <c r="L96" s="4" t="str">
        <f t="shared" si="82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76"/>
        <v>test.Base64_18_</v>
      </c>
      <c r="D97">
        <v>45</v>
      </c>
      <c r="E97" s="4">
        <v>1</v>
      </c>
      <c r="F97" s="4">
        <v>1.0961344229180057</v>
      </c>
      <c r="G97" s="4" t="str">
        <f t="shared" si="77"/>
        <v/>
      </c>
      <c r="H97" s="4" t="str">
        <f t="shared" si="78"/>
        <v/>
      </c>
      <c r="I97" s="4" t="str">
        <f t="shared" si="79"/>
        <v/>
      </c>
      <c r="J97" s="4" t="str">
        <f t="shared" si="80"/>
        <v/>
      </c>
      <c r="K97" s="4">
        <f t="shared" si="81"/>
        <v>1</v>
      </c>
      <c r="L97" s="4" t="str">
        <f t="shared" si="82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76"/>
        <v>test.Base64_18_</v>
      </c>
      <c r="D98">
        <v>46</v>
      </c>
      <c r="E98" s="4">
        <v>1</v>
      </c>
      <c r="F98" s="4">
        <v>1.2300982462583785</v>
      </c>
      <c r="G98" s="4" t="str">
        <f t="shared" si="77"/>
        <v/>
      </c>
      <c r="H98" s="4" t="str">
        <f t="shared" si="78"/>
        <v/>
      </c>
      <c r="I98" s="4" t="str">
        <f t="shared" si="79"/>
        <v/>
      </c>
      <c r="J98" s="4" t="str">
        <f t="shared" si="80"/>
        <v/>
      </c>
      <c r="K98" s="4" t="str">
        <f t="shared" si="81"/>
        <v/>
      </c>
      <c r="L98" s="4">
        <f t="shared" si="82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76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77"/>
        <v>2.3622047244094488E-2</v>
      </c>
      <c r="H99" s="4" t="str">
        <f t="shared" si="78"/>
        <v/>
      </c>
      <c r="I99" s="4" t="str">
        <f t="shared" si="79"/>
        <v/>
      </c>
      <c r="J99" s="4" t="str">
        <f t="shared" si="80"/>
        <v/>
      </c>
      <c r="K99" s="4" t="str">
        <f t="shared" si="81"/>
        <v/>
      </c>
      <c r="L99" s="4" t="str">
        <f t="shared" si="82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76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77"/>
        <v>4.7244094488188976E-2</v>
      </c>
      <c r="H100" s="4" t="str">
        <f t="shared" si="78"/>
        <v/>
      </c>
      <c r="I100" s="4" t="str">
        <f t="shared" si="79"/>
        <v/>
      </c>
      <c r="J100" s="4" t="str">
        <f t="shared" si="80"/>
        <v/>
      </c>
      <c r="K100" s="4" t="str">
        <f t="shared" si="81"/>
        <v/>
      </c>
      <c r="L100" s="4" t="str">
        <f t="shared" si="82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76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77"/>
        <v/>
      </c>
      <c r="H101" s="4">
        <f t="shared" si="78"/>
        <v>0.65354330708661412</v>
      </c>
      <c r="I101" s="4" t="str">
        <f t="shared" si="79"/>
        <v/>
      </c>
      <c r="J101" s="4" t="str">
        <f t="shared" si="80"/>
        <v/>
      </c>
      <c r="K101" s="4" t="str">
        <f t="shared" si="81"/>
        <v/>
      </c>
      <c r="L101" s="4" t="str">
        <f t="shared" si="82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76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77"/>
        <v/>
      </c>
      <c r="H102" s="4">
        <f t="shared" si="78"/>
        <v>0.69291338582677164</v>
      </c>
      <c r="I102" s="4" t="str">
        <f t="shared" si="79"/>
        <v/>
      </c>
      <c r="J102" s="4" t="str">
        <f t="shared" si="80"/>
        <v/>
      </c>
      <c r="K102" s="4" t="str">
        <f t="shared" si="81"/>
        <v/>
      </c>
      <c r="L102" s="4" t="str">
        <f t="shared" si="82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76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77"/>
        <v/>
      </c>
      <c r="H103" s="4" t="str">
        <f t="shared" si="78"/>
        <v/>
      </c>
      <c r="I103" s="4" t="str">
        <f t="shared" si="79"/>
        <v/>
      </c>
      <c r="J103" s="4">
        <f t="shared" si="80"/>
        <v>0.73228346456692917</v>
      </c>
      <c r="K103" s="4" t="str">
        <f t="shared" si="81"/>
        <v/>
      </c>
      <c r="L103" s="4" t="str">
        <f t="shared" si="82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76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77"/>
        <v/>
      </c>
      <c r="H104" s="4" t="str">
        <f t="shared" si="78"/>
        <v/>
      </c>
      <c r="I104" s="4" t="str">
        <f t="shared" si="79"/>
        <v/>
      </c>
      <c r="J104" s="4" t="str">
        <f t="shared" si="80"/>
        <v/>
      </c>
      <c r="K104" s="4">
        <f t="shared" si="81"/>
        <v>0.99212598425196852</v>
      </c>
      <c r="L104" s="4" t="str">
        <f t="shared" si="82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76"/>
        <v>test.Base64_19_</v>
      </c>
      <c r="D105">
        <v>7</v>
      </c>
      <c r="E105" s="4">
        <v>1</v>
      </c>
      <c r="F105" s="4">
        <v>0.90741714886901625</v>
      </c>
      <c r="G105" s="4" t="str">
        <f t="shared" si="77"/>
        <v/>
      </c>
      <c r="H105" s="4" t="str">
        <f t="shared" si="78"/>
        <v/>
      </c>
      <c r="I105" s="4" t="str">
        <f t="shared" si="79"/>
        <v/>
      </c>
      <c r="J105" s="4" t="str">
        <f t="shared" si="80"/>
        <v/>
      </c>
      <c r="K105" s="4">
        <f t="shared" si="81"/>
        <v>1</v>
      </c>
      <c r="L105" s="4" t="str">
        <f t="shared" si="82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76"/>
        <v>test.Base64_19_</v>
      </c>
      <c r="D106">
        <v>8</v>
      </c>
      <c r="E106" s="4">
        <v>1</v>
      </c>
      <c r="F106" s="4">
        <v>0.91036296685954765</v>
      </c>
      <c r="G106" s="4" t="str">
        <f t="shared" si="77"/>
        <v/>
      </c>
      <c r="H106" s="4" t="str">
        <f t="shared" si="78"/>
        <v/>
      </c>
      <c r="I106" s="4" t="str">
        <f t="shared" si="79"/>
        <v/>
      </c>
      <c r="J106" s="4" t="str">
        <f t="shared" si="80"/>
        <v/>
      </c>
      <c r="K106" s="4">
        <f t="shared" si="81"/>
        <v>1</v>
      </c>
      <c r="L106" s="4" t="str">
        <f t="shared" si="82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76"/>
        <v>test.Base64_19_</v>
      </c>
      <c r="D107">
        <v>9</v>
      </c>
      <c r="E107" s="4">
        <v>1</v>
      </c>
      <c r="F107" s="4">
        <v>0.91467648605996843</v>
      </c>
      <c r="G107" s="4" t="str">
        <f t="shared" si="77"/>
        <v/>
      </c>
      <c r="H107" s="4" t="str">
        <f t="shared" si="78"/>
        <v/>
      </c>
      <c r="I107" s="4" t="str">
        <f t="shared" si="79"/>
        <v/>
      </c>
      <c r="J107" s="4" t="str">
        <f t="shared" si="80"/>
        <v/>
      </c>
      <c r="K107" s="4">
        <f t="shared" si="81"/>
        <v>1</v>
      </c>
      <c r="L107" s="4" t="str">
        <f t="shared" si="82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76"/>
        <v>test.Base64_19_</v>
      </c>
      <c r="D108">
        <v>10</v>
      </c>
      <c r="E108" s="4">
        <v>1</v>
      </c>
      <c r="F108" s="4">
        <v>0.92004208311415048</v>
      </c>
      <c r="G108" s="4" t="str">
        <f t="shared" si="77"/>
        <v/>
      </c>
      <c r="H108" s="4" t="str">
        <f t="shared" si="78"/>
        <v/>
      </c>
      <c r="I108" s="4" t="str">
        <f t="shared" si="79"/>
        <v/>
      </c>
      <c r="J108" s="4" t="str">
        <f t="shared" si="80"/>
        <v/>
      </c>
      <c r="K108" s="4">
        <f t="shared" si="81"/>
        <v>1</v>
      </c>
      <c r="L108" s="4" t="str">
        <f t="shared" si="82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76"/>
        <v>test.Base64_19_</v>
      </c>
      <c r="D109">
        <v>11</v>
      </c>
      <c r="E109" s="4">
        <v>1</v>
      </c>
      <c r="F109" s="4">
        <v>0.92014729089952652</v>
      </c>
      <c r="G109" s="4" t="str">
        <f t="shared" si="77"/>
        <v/>
      </c>
      <c r="H109" s="4" t="str">
        <f t="shared" si="78"/>
        <v/>
      </c>
      <c r="I109" s="4" t="str">
        <f t="shared" si="79"/>
        <v/>
      </c>
      <c r="J109" s="4" t="str">
        <f t="shared" si="80"/>
        <v/>
      </c>
      <c r="K109" s="4">
        <f t="shared" si="81"/>
        <v>1</v>
      </c>
      <c r="L109" s="4" t="str">
        <f t="shared" si="82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76"/>
        <v>test.Base64_19_</v>
      </c>
      <c r="D110">
        <v>12</v>
      </c>
      <c r="E110" s="4">
        <v>1</v>
      </c>
      <c r="F110" s="4">
        <v>0.92340873224618625</v>
      </c>
      <c r="G110" s="4" t="str">
        <f t="shared" si="77"/>
        <v/>
      </c>
      <c r="H110" s="4" t="str">
        <f t="shared" si="78"/>
        <v/>
      </c>
      <c r="I110" s="4" t="str">
        <f t="shared" si="79"/>
        <v/>
      </c>
      <c r="J110" s="4" t="str">
        <f t="shared" si="80"/>
        <v/>
      </c>
      <c r="K110" s="4">
        <f t="shared" si="81"/>
        <v>1</v>
      </c>
      <c r="L110" s="4" t="str">
        <f t="shared" si="82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76"/>
        <v>test.Base64_19_</v>
      </c>
      <c r="D111">
        <v>13</v>
      </c>
      <c r="E111" s="4">
        <v>1</v>
      </c>
      <c r="F111" s="4">
        <v>0.92624934245134138</v>
      </c>
      <c r="G111" s="4" t="str">
        <f t="shared" si="77"/>
        <v/>
      </c>
      <c r="H111" s="4" t="str">
        <f t="shared" si="78"/>
        <v/>
      </c>
      <c r="I111" s="4" t="str">
        <f t="shared" si="79"/>
        <v/>
      </c>
      <c r="J111" s="4" t="str">
        <f t="shared" si="80"/>
        <v/>
      </c>
      <c r="K111" s="4">
        <f t="shared" si="81"/>
        <v>1</v>
      </c>
      <c r="L111" s="4" t="str">
        <f t="shared" si="82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76"/>
        <v>test.Base64_19_</v>
      </c>
      <c r="D112">
        <v>14</v>
      </c>
      <c r="E112" s="4">
        <v>1</v>
      </c>
      <c r="F112" s="4">
        <v>0.92740662809047869</v>
      </c>
      <c r="G112" s="4" t="str">
        <f t="shared" si="77"/>
        <v/>
      </c>
      <c r="H112" s="4" t="str">
        <f t="shared" si="78"/>
        <v/>
      </c>
      <c r="I112" s="4" t="str">
        <f t="shared" si="79"/>
        <v/>
      </c>
      <c r="J112" s="4" t="str">
        <f t="shared" si="80"/>
        <v/>
      </c>
      <c r="K112" s="4">
        <f t="shared" si="81"/>
        <v>1</v>
      </c>
      <c r="L112" s="4" t="str">
        <f t="shared" si="82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76"/>
        <v>test.Base64_19_</v>
      </c>
      <c r="D113">
        <v>15</v>
      </c>
      <c r="E113" s="4">
        <v>1</v>
      </c>
      <c r="F113" s="4">
        <v>0.92751183587585484</v>
      </c>
      <c r="G113" s="4" t="str">
        <f t="shared" si="77"/>
        <v/>
      </c>
      <c r="H113" s="4" t="str">
        <f t="shared" si="78"/>
        <v/>
      </c>
      <c r="I113" s="4" t="str">
        <f t="shared" si="79"/>
        <v/>
      </c>
      <c r="J113" s="4" t="str">
        <f t="shared" si="80"/>
        <v/>
      </c>
      <c r="K113" s="4">
        <f t="shared" si="81"/>
        <v>1</v>
      </c>
      <c r="L113" s="4" t="str">
        <f t="shared" si="82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76"/>
        <v>test.Base64_19_</v>
      </c>
      <c r="D114">
        <v>16</v>
      </c>
      <c r="E114" s="4">
        <v>1</v>
      </c>
      <c r="F114" s="4">
        <v>0.93456075749605472</v>
      </c>
      <c r="G114" s="4" t="str">
        <f t="shared" si="77"/>
        <v/>
      </c>
      <c r="H114" s="4" t="str">
        <f t="shared" si="78"/>
        <v/>
      </c>
      <c r="I114" s="4" t="str">
        <f t="shared" si="79"/>
        <v/>
      </c>
      <c r="J114" s="4" t="str">
        <f t="shared" si="80"/>
        <v/>
      </c>
      <c r="K114" s="4">
        <f t="shared" si="81"/>
        <v>1</v>
      </c>
      <c r="L114" s="4" t="str">
        <f t="shared" si="82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76"/>
        <v>test.Base64_19_</v>
      </c>
      <c r="D115">
        <v>17</v>
      </c>
      <c r="E115" s="4">
        <v>1</v>
      </c>
      <c r="F115" s="4">
        <v>0.94876380852183062</v>
      </c>
      <c r="G115" s="4" t="str">
        <f t="shared" si="77"/>
        <v/>
      </c>
      <c r="H115" s="4" t="str">
        <f t="shared" si="78"/>
        <v/>
      </c>
      <c r="I115" s="4" t="str">
        <f t="shared" si="79"/>
        <v/>
      </c>
      <c r="J115" s="4" t="str">
        <f t="shared" si="80"/>
        <v/>
      </c>
      <c r="K115" s="4">
        <f t="shared" si="81"/>
        <v>1</v>
      </c>
      <c r="L115" s="4" t="str">
        <f t="shared" si="82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76"/>
        <v>test.Base64_19_</v>
      </c>
      <c r="D116">
        <v>18</v>
      </c>
      <c r="E116" s="4">
        <v>1</v>
      </c>
      <c r="F116" s="4">
        <v>0.94928984744871125</v>
      </c>
      <c r="G116" s="4" t="str">
        <f t="shared" si="77"/>
        <v/>
      </c>
      <c r="H116" s="4" t="str">
        <f t="shared" si="78"/>
        <v/>
      </c>
      <c r="I116" s="4" t="str">
        <f t="shared" si="79"/>
        <v/>
      </c>
      <c r="J116" s="4" t="str">
        <f t="shared" si="80"/>
        <v/>
      </c>
      <c r="K116" s="4">
        <f t="shared" si="81"/>
        <v>1</v>
      </c>
      <c r="L116" s="4" t="str">
        <f t="shared" si="82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76"/>
        <v>test.Base64_19_</v>
      </c>
      <c r="D117">
        <v>19</v>
      </c>
      <c r="E117" s="4">
        <v>1</v>
      </c>
      <c r="F117" s="4">
        <v>1.0452393477117308</v>
      </c>
      <c r="G117" s="4" t="str">
        <f t="shared" si="77"/>
        <v/>
      </c>
      <c r="H117" s="4" t="str">
        <f t="shared" si="78"/>
        <v/>
      </c>
      <c r="I117" s="4" t="str">
        <f t="shared" si="79"/>
        <v/>
      </c>
      <c r="J117" s="4" t="str">
        <f t="shared" si="80"/>
        <v/>
      </c>
      <c r="K117" s="4">
        <f t="shared" si="81"/>
        <v>1</v>
      </c>
      <c r="L117" s="4" t="str">
        <f t="shared" si="82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76"/>
        <v>test.Base64_19_</v>
      </c>
      <c r="D118">
        <v>20</v>
      </c>
      <c r="E118" s="4">
        <v>1</v>
      </c>
      <c r="F118" s="4">
        <v>1.1008942661756971</v>
      </c>
      <c r="G118" s="4" t="str">
        <f t="shared" si="77"/>
        <v/>
      </c>
      <c r="H118" s="4" t="str">
        <f t="shared" si="78"/>
        <v/>
      </c>
      <c r="I118" s="4" t="str">
        <f t="shared" si="79"/>
        <v/>
      </c>
      <c r="J118" s="4" t="str">
        <f t="shared" si="80"/>
        <v/>
      </c>
      <c r="K118" s="4" t="str">
        <f t="shared" si="81"/>
        <v/>
      </c>
      <c r="L118" s="4">
        <f t="shared" si="82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76"/>
        <v>test.Base64_19_</v>
      </c>
      <c r="D119">
        <v>21</v>
      </c>
      <c r="E119" s="4">
        <v>1</v>
      </c>
      <c r="F119" s="4">
        <v>1.1049973698053657</v>
      </c>
      <c r="G119" s="4" t="str">
        <f t="shared" si="77"/>
        <v/>
      </c>
      <c r="H119" s="4" t="str">
        <f t="shared" si="78"/>
        <v/>
      </c>
      <c r="I119" s="4" t="str">
        <f t="shared" si="79"/>
        <v/>
      </c>
      <c r="J119" s="4" t="str">
        <f t="shared" si="80"/>
        <v/>
      </c>
      <c r="K119" s="4" t="str">
        <f t="shared" si="81"/>
        <v/>
      </c>
      <c r="L119" s="4">
        <f t="shared" si="82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76"/>
        <v>test.Base64_19_</v>
      </c>
      <c r="D120">
        <v>22</v>
      </c>
      <c r="E120" s="4">
        <v>1</v>
      </c>
      <c r="F120" s="4">
        <v>1.10541820094687</v>
      </c>
      <c r="G120" s="4" t="str">
        <f t="shared" si="77"/>
        <v/>
      </c>
      <c r="H120" s="4" t="str">
        <f t="shared" si="78"/>
        <v/>
      </c>
      <c r="I120" s="4" t="str">
        <f t="shared" si="79"/>
        <v/>
      </c>
      <c r="J120" s="4" t="str">
        <f t="shared" si="80"/>
        <v/>
      </c>
      <c r="K120" s="4" t="str">
        <f t="shared" si="81"/>
        <v/>
      </c>
      <c r="L120" s="4">
        <f t="shared" si="82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76"/>
        <v>test.Base64_19_</v>
      </c>
      <c r="D121">
        <v>23</v>
      </c>
      <c r="E121" s="4">
        <v>1</v>
      </c>
      <c r="F121" s="4">
        <v>1.1068911099421357</v>
      </c>
      <c r="G121" s="4" t="str">
        <f t="shared" si="77"/>
        <v/>
      </c>
      <c r="H121" s="4" t="str">
        <f t="shared" si="78"/>
        <v/>
      </c>
      <c r="I121" s="4" t="str">
        <f t="shared" si="79"/>
        <v/>
      </c>
      <c r="J121" s="4" t="str">
        <f t="shared" si="80"/>
        <v/>
      </c>
      <c r="K121" s="4" t="str">
        <f t="shared" si="81"/>
        <v/>
      </c>
      <c r="L121" s="4">
        <f t="shared" si="82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76"/>
        <v>test.Base64_19_</v>
      </c>
      <c r="D122">
        <v>24</v>
      </c>
      <c r="E122" s="4">
        <v>1</v>
      </c>
      <c r="F122" s="4">
        <v>1.1129931614939506</v>
      </c>
      <c r="G122" s="4" t="str">
        <f t="shared" si="77"/>
        <v/>
      </c>
      <c r="H122" s="4" t="str">
        <f t="shared" si="78"/>
        <v/>
      </c>
      <c r="I122" s="4" t="str">
        <f t="shared" si="79"/>
        <v/>
      </c>
      <c r="J122" s="4" t="str">
        <f t="shared" si="80"/>
        <v/>
      </c>
      <c r="K122" s="4" t="str">
        <f t="shared" si="81"/>
        <v/>
      </c>
      <c r="L122" s="4">
        <f t="shared" si="82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76"/>
        <v>test.Base64_19_</v>
      </c>
      <c r="D123">
        <v>25</v>
      </c>
      <c r="E123" s="4">
        <v>1</v>
      </c>
      <c r="F123" s="4">
        <v>1.123198316675434</v>
      </c>
      <c r="G123" s="4" t="str">
        <f t="shared" si="77"/>
        <v/>
      </c>
      <c r="H123" s="4" t="str">
        <f t="shared" si="78"/>
        <v/>
      </c>
      <c r="I123" s="4" t="str">
        <f t="shared" si="79"/>
        <v/>
      </c>
      <c r="J123" s="4" t="str">
        <f t="shared" si="80"/>
        <v/>
      </c>
      <c r="K123" s="4" t="str">
        <f t="shared" si="81"/>
        <v/>
      </c>
      <c r="L123" s="4">
        <f t="shared" si="82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76"/>
        <v>test.Base64_19_</v>
      </c>
      <c r="D124">
        <v>26</v>
      </c>
      <c r="E124" s="4">
        <v>1</v>
      </c>
      <c r="F124" s="4">
        <v>1.1372961599158338</v>
      </c>
      <c r="G124" s="4" t="str">
        <f t="shared" si="77"/>
        <v/>
      </c>
      <c r="H124" s="4" t="str">
        <f t="shared" si="78"/>
        <v/>
      </c>
      <c r="I124" s="4" t="str">
        <f t="shared" si="79"/>
        <v/>
      </c>
      <c r="J124" s="4" t="str">
        <f t="shared" si="80"/>
        <v/>
      </c>
      <c r="K124" s="4" t="str">
        <f t="shared" si="81"/>
        <v/>
      </c>
      <c r="L124" s="4">
        <f t="shared" si="82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76"/>
        <v>test.Base64_19_</v>
      </c>
      <c r="D125">
        <v>27</v>
      </c>
      <c r="E125" s="4">
        <v>1</v>
      </c>
      <c r="F125" s="4">
        <v>1.1903208837453971</v>
      </c>
      <c r="G125" s="4" t="str">
        <f t="shared" si="77"/>
        <v/>
      </c>
      <c r="H125" s="4" t="str">
        <f t="shared" si="78"/>
        <v/>
      </c>
      <c r="I125" s="4" t="str">
        <f t="shared" si="79"/>
        <v/>
      </c>
      <c r="J125" s="4" t="str">
        <f t="shared" si="80"/>
        <v/>
      </c>
      <c r="K125" s="4" t="str">
        <f t="shared" si="81"/>
        <v/>
      </c>
      <c r="L125" s="4">
        <f t="shared" si="82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76"/>
        <v>test.Base64_19_</v>
      </c>
      <c r="D126">
        <v>28</v>
      </c>
      <c r="E126" s="4">
        <v>1</v>
      </c>
      <c r="F126" s="4">
        <v>1.2702788006312467</v>
      </c>
      <c r="G126" s="4" t="str">
        <f t="shared" si="77"/>
        <v/>
      </c>
      <c r="H126" s="4" t="str">
        <f t="shared" si="78"/>
        <v/>
      </c>
      <c r="I126" s="4" t="str">
        <f t="shared" si="79"/>
        <v/>
      </c>
      <c r="J126" s="4" t="str">
        <f t="shared" si="80"/>
        <v/>
      </c>
      <c r="K126" s="4" t="str">
        <f t="shared" si="81"/>
        <v/>
      </c>
      <c r="L126" s="4">
        <f t="shared" si="82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76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77"/>
        <v>0.19801980198019803</v>
      </c>
      <c r="H127" s="4" t="str">
        <f t="shared" si="78"/>
        <v/>
      </c>
      <c r="I127" s="4" t="str">
        <f t="shared" si="79"/>
        <v/>
      </c>
      <c r="J127" s="4" t="str">
        <f t="shared" si="80"/>
        <v/>
      </c>
      <c r="K127" s="4" t="str">
        <f t="shared" si="81"/>
        <v/>
      </c>
      <c r="L127" s="4" t="str">
        <f t="shared" si="82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76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77"/>
        <v>0.22772277227722773</v>
      </c>
      <c r="H128" s="4" t="str">
        <f t="shared" si="78"/>
        <v/>
      </c>
      <c r="I128" s="4" t="str">
        <f t="shared" si="79"/>
        <v/>
      </c>
      <c r="J128" s="4" t="str">
        <f t="shared" si="80"/>
        <v/>
      </c>
      <c r="K128" s="4" t="str">
        <f t="shared" si="81"/>
        <v/>
      </c>
      <c r="L128" s="4" t="str">
        <f t="shared" si="82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76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77"/>
        <v>0.25742574257425743</v>
      </c>
      <c r="H129" s="4" t="str">
        <f t="shared" si="78"/>
        <v/>
      </c>
      <c r="I129" s="4" t="str">
        <f t="shared" si="79"/>
        <v/>
      </c>
      <c r="J129" s="4" t="str">
        <f t="shared" si="80"/>
        <v/>
      </c>
      <c r="K129" s="4" t="str">
        <f t="shared" si="81"/>
        <v/>
      </c>
      <c r="L129" s="4" t="str">
        <f t="shared" si="82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76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77"/>
        <v>0.28712871287128711</v>
      </c>
      <c r="H130" s="4" t="str">
        <f t="shared" si="78"/>
        <v/>
      </c>
      <c r="I130" s="4" t="str">
        <f t="shared" si="79"/>
        <v/>
      </c>
      <c r="J130" s="4" t="str">
        <f t="shared" si="80"/>
        <v/>
      </c>
      <c r="K130" s="4" t="str">
        <f t="shared" si="81"/>
        <v/>
      </c>
      <c r="L130" s="4" t="str">
        <f t="shared" si="82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83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84">IF(F131 &lt;= 0.2,E131,"")</f>
        <v>0.44554455445544555</v>
      </c>
      <c r="H131" s="4" t="str">
        <f t="shared" ref="H131:H194" si="85">IF(AND($F131 &gt; 0.2,$F131 &lt;= 0.4),$E131,"")</f>
        <v/>
      </c>
      <c r="I131" s="4" t="str">
        <f t="shared" ref="I131:I194" si="86">IF(AND($F131 &gt; 0.4,$F131 &lt;= 0.6),$E131,"")</f>
        <v/>
      </c>
      <c r="J131" s="4" t="str">
        <f t="shared" ref="J131:J194" si="87">IF(AND($F131 &gt; 0.6,$F131 &lt;= 0.8),$E131,"")</f>
        <v/>
      </c>
      <c r="K131" s="4" t="str">
        <f t="shared" ref="K131:K194" si="88">IF(AND($F131 &gt; 0.8, $F131 &lt;=1.1),$E131,"")</f>
        <v/>
      </c>
      <c r="L131" s="4" t="str">
        <f t="shared" ref="L131:L194" si="89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83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84"/>
        <v>0.44554455445544555</v>
      </c>
      <c r="H132" s="4" t="str">
        <f t="shared" si="85"/>
        <v/>
      </c>
      <c r="I132" s="4" t="str">
        <f t="shared" si="86"/>
        <v/>
      </c>
      <c r="J132" s="4" t="str">
        <f t="shared" si="87"/>
        <v/>
      </c>
      <c r="K132" s="4" t="str">
        <f t="shared" si="88"/>
        <v/>
      </c>
      <c r="L132" s="4" t="str">
        <f t="shared" si="89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83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84"/>
        <v>0.52475247524752477</v>
      </c>
      <c r="H133" s="4" t="str">
        <f t="shared" si="85"/>
        <v/>
      </c>
      <c r="I133" s="4" t="str">
        <f t="shared" si="86"/>
        <v/>
      </c>
      <c r="J133" s="4" t="str">
        <f t="shared" si="87"/>
        <v/>
      </c>
      <c r="K133" s="4" t="str">
        <f t="shared" si="88"/>
        <v/>
      </c>
      <c r="L133" s="4" t="str">
        <f t="shared" si="89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83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84"/>
        <v>0.52475247524752477</v>
      </c>
      <c r="H134" s="4" t="str">
        <f t="shared" si="85"/>
        <v/>
      </c>
      <c r="I134" s="4" t="str">
        <f t="shared" si="86"/>
        <v/>
      </c>
      <c r="J134" s="4" t="str">
        <f t="shared" si="87"/>
        <v/>
      </c>
      <c r="K134" s="4" t="str">
        <f t="shared" si="88"/>
        <v/>
      </c>
      <c r="L134" s="4" t="str">
        <f t="shared" si="89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83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84"/>
        <v>0.52475247524752477</v>
      </c>
      <c r="H135" s="4" t="str">
        <f t="shared" si="85"/>
        <v/>
      </c>
      <c r="I135" s="4" t="str">
        <f t="shared" si="86"/>
        <v/>
      </c>
      <c r="J135" s="4" t="str">
        <f t="shared" si="87"/>
        <v/>
      </c>
      <c r="K135" s="4" t="str">
        <f t="shared" si="88"/>
        <v/>
      </c>
      <c r="L135" s="4" t="str">
        <f t="shared" si="89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83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84"/>
        <v>0.52475247524752477</v>
      </c>
      <c r="H136" s="4" t="str">
        <f t="shared" si="85"/>
        <v/>
      </c>
      <c r="I136" s="4" t="str">
        <f t="shared" si="86"/>
        <v/>
      </c>
      <c r="J136" s="4" t="str">
        <f t="shared" si="87"/>
        <v/>
      </c>
      <c r="K136" s="4" t="str">
        <f t="shared" si="88"/>
        <v/>
      </c>
      <c r="L136" s="4" t="str">
        <f t="shared" si="89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83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84"/>
        <v>0.52475247524752477</v>
      </c>
      <c r="H137" s="4" t="str">
        <f t="shared" si="85"/>
        <v/>
      </c>
      <c r="I137" s="4" t="str">
        <f t="shared" si="86"/>
        <v/>
      </c>
      <c r="J137" s="4" t="str">
        <f t="shared" si="87"/>
        <v/>
      </c>
      <c r="K137" s="4" t="str">
        <f t="shared" si="88"/>
        <v/>
      </c>
      <c r="L137" s="4" t="str">
        <f t="shared" si="89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83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84"/>
        <v>0.52475247524752477</v>
      </c>
      <c r="H138" s="4" t="str">
        <f t="shared" si="85"/>
        <v/>
      </c>
      <c r="I138" s="4" t="str">
        <f t="shared" si="86"/>
        <v/>
      </c>
      <c r="J138" s="4" t="str">
        <f t="shared" si="87"/>
        <v/>
      </c>
      <c r="K138" s="4" t="str">
        <f t="shared" si="88"/>
        <v/>
      </c>
      <c r="L138" s="4" t="str">
        <f t="shared" si="89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83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84"/>
        <v>0.52475247524752477</v>
      </c>
      <c r="H139" s="4" t="str">
        <f t="shared" si="85"/>
        <v/>
      </c>
      <c r="I139" s="4" t="str">
        <f t="shared" si="86"/>
        <v/>
      </c>
      <c r="J139" s="4" t="str">
        <f t="shared" si="87"/>
        <v/>
      </c>
      <c r="K139" s="4" t="str">
        <f t="shared" si="88"/>
        <v/>
      </c>
      <c r="L139" s="4" t="str">
        <f t="shared" si="89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83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84"/>
        <v>0.70297029702970293</v>
      </c>
      <c r="H140" s="4" t="str">
        <f t="shared" si="85"/>
        <v/>
      </c>
      <c r="I140" s="4" t="str">
        <f t="shared" si="86"/>
        <v/>
      </c>
      <c r="J140" s="4" t="str">
        <f t="shared" si="87"/>
        <v/>
      </c>
      <c r="K140" s="4" t="str">
        <f t="shared" si="88"/>
        <v/>
      </c>
      <c r="L140" s="4" t="str">
        <f t="shared" si="89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83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84"/>
        <v>0.70297029702970293</v>
      </c>
      <c r="H141" s="4" t="str">
        <f t="shared" si="85"/>
        <v/>
      </c>
      <c r="I141" s="4" t="str">
        <f t="shared" si="86"/>
        <v/>
      </c>
      <c r="J141" s="4" t="str">
        <f t="shared" si="87"/>
        <v/>
      </c>
      <c r="K141" s="4" t="str">
        <f t="shared" si="88"/>
        <v/>
      </c>
      <c r="L141" s="4" t="str">
        <f t="shared" si="89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83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84"/>
        <v>0.70297029702970293</v>
      </c>
      <c r="H142" s="4" t="str">
        <f t="shared" si="85"/>
        <v/>
      </c>
      <c r="I142" s="4" t="str">
        <f t="shared" si="86"/>
        <v/>
      </c>
      <c r="J142" s="4" t="str">
        <f t="shared" si="87"/>
        <v/>
      </c>
      <c r="K142" s="4" t="str">
        <f t="shared" si="88"/>
        <v/>
      </c>
      <c r="L142" s="4" t="str">
        <f t="shared" si="89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83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84"/>
        <v>0.70297029702970293</v>
      </c>
      <c r="H143" s="4" t="str">
        <f t="shared" si="85"/>
        <v/>
      </c>
      <c r="I143" s="4" t="str">
        <f t="shared" si="86"/>
        <v/>
      </c>
      <c r="J143" s="4" t="str">
        <f t="shared" si="87"/>
        <v/>
      </c>
      <c r="K143" s="4" t="str">
        <f t="shared" si="88"/>
        <v/>
      </c>
      <c r="L143" s="4" t="str">
        <f t="shared" si="89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83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84"/>
        <v>0.70297029702970293</v>
      </c>
      <c r="H144" s="4" t="str">
        <f t="shared" si="85"/>
        <v/>
      </c>
      <c r="I144" s="4" t="str">
        <f t="shared" si="86"/>
        <v/>
      </c>
      <c r="J144" s="4" t="str">
        <f t="shared" si="87"/>
        <v/>
      </c>
      <c r="K144" s="4" t="str">
        <f t="shared" si="88"/>
        <v/>
      </c>
      <c r="L144" s="4" t="str">
        <f t="shared" si="89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83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84"/>
        <v>0.70297029702970293</v>
      </c>
      <c r="H145" s="4" t="str">
        <f t="shared" si="85"/>
        <v/>
      </c>
      <c r="I145" s="4" t="str">
        <f t="shared" si="86"/>
        <v/>
      </c>
      <c r="J145" s="4" t="str">
        <f t="shared" si="87"/>
        <v/>
      </c>
      <c r="K145" s="4" t="str">
        <f t="shared" si="88"/>
        <v/>
      </c>
      <c r="L145" s="4" t="str">
        <f t="shared" si="89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83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84"/>
        <v>0.70297029702970293</v>
      </c>
      <c r="H146" s="4" t="str">
        <f t="shared" si="85"/>
        <v/>
      </c>
      <c r="I146" s="4" t="str">
        <f t="shared" si="86"/>
        <v/>
      </c>
      <c r="J146" s="4" t="str">
        <f t="shared" si="87"/>
        <v/>
      </c>
      <c r="K146" s="4" t="str">
        <f t="shared" si="88"/>
        <v/>
      </c>
      <c r="L146" s="4" t="str">
        <f t="shared" si="89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83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84"/>
        <v>0.70297029702970293</v>
      </c>
      <c r="H147" s="4" t="str">
        <f t="shared" si="85"/>
        <v/>
      </c>
      <c r="I147" s="4" t="str">
        <f t="shared" si="86"/>
        <v/>
      </c>
      <c r="J147" s="4" t="str">
        <f t="shared" si="87"/>
        <v/>
      </c>
      <c r="K147" s="4" t="str">
        <f t="shared" si="88"/>
        <v/>
      </c>
      <c r="L147" s="4" t="str">
        <f t="shared" si="89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83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84"/>
        <v>0.70297029702970293</v>
      </c>
      <c r="H148" s="4" t="str">
        <f t="shared" si="85"/>
        <v/>
      </c>
      <c r="I148" s="4" t="str">
        <f t="shared" si="86"/>
        <v/>
      </c>
      <c r="J148" s="4" t="str">
        <f t="shared" si="87"/>
        <v/>
      </c>
      <c r="K148" s="4" t="str">
        <f t="shared" si="88"/>
        <v/>
      </c>
      <c r="L148" s="4" t="str">
        <f t="shared" si="89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83"/>
        <v>test.Base64_20_</v>
      </c>
      <c r="D149">
        <v>23</v>
      </c>
      <c r="E149" s="4">
        <v>1</v>
      </c>
      <c r="F149" s="4">
        <v>0.85062307816798832</v>
      </c>
      <c r="G149" s="4" t="str">
        <f t="shared" si="84"/>
        <v/>
      </c>
      <c r="H149" s="4" t="str">
        <f t="shared" si="85"/>
        <v/>
      </c>
      <c r="I149" s="4" t="str">
        <f t="shared" si="86"/>
        <v/>
      </c>
      <c r="J149" s="4" t="str">
        <f t="shared" si="87"/>
        <v/>
      </c>
      <c r="K149" s="4">
        <f t="shared" si="88"/>
        <v>1</v>
      </c>
      <c r="L149" s="4" t="str">
        <f t="shared" si="89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83"/>
        <v>test.Base64_20_</v>
      </c>
      <c r="D150">
        <v>24</v>
      </c>
      <c r="E150" s="4">
        <v>1</v>
      </c>
      <c r="F150" s="4">
        <v>0.85677294060527598</v>
      </c>
      <c r="G150" s="4" t="str">
        <f t="shared" si="84"/>
        <v/>
      </c>
      <c r="H150" s="4" t="str">
        <f t="shared" si="85"/>
        <v/>
      </c>
      <c r="I150" s="4" t="str">
        <f t="shared" si="86"/>
        <v/>
      </c>
      <c r="J150" s="4" t="str">
        <f t="shared" si="87"/>
        <v/>
      </c>
      <c r="K150" s="4">
        <f t="shared" si="88"/>
        <v>1</v>
      </c>
      <c r="L150" s="4" t="str">
        <f t="shared" si="89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83"/>
        <v>test.Base64_20_</v>
      </c>
      <c r="D151">
        <v>25</v>
      </c>
      <c r="E151" s="4">
        <v>1</v>
      </c>
      <c r="F151" s="4">
        <v>0.86033338727949504</v>
      </c>
      <c r="G151" s="4" t="str">
        <f t="shared" si="84"/>
        <v/>
      </c>
      <c r="H151" s="4" t="str">
        <f t="shared" si="85"/>
        <v/>
      </c>
      <c r="I151" s="4" t="str">
        <f t="shared" si="86"/>
        <v/>
      </c>
      <c r="J151" s="4" t="str">
        <f t="shared" si="87"/>
        <v/>
      </c>
      <c r="K151" s="4">
        <f t="shared" si="88"/>
        <v>1</v>
      </c>
      <c r="L151" s="4" t="str">
        <f t="shared" si="89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83"/>
        <v>test.Base64_20_</v>
      </c>
      <c r="D152">
        <v>26</v>
      </c>
      <c r="E152" s="4">
        <v>1</v>
      </c>
      <c r="F152" s="4">
        <v>0.87117656578734426</v>
      </c>
      <c r="G152" s="4" t="str">
        <f t="shared" si="84"/>
        <v/>
      </c>
      <c r="H152" s="4" t="str">
        <f t="shared" si="85"/>
        <v/>
      </c>
      <c r="I152" s="4" t="str">
        <f t="shared" si="86"/>
        <v/>
      </c>
      <c r="J152" s="4" t="str">
        <f t="shared" si="87"/>
        <v/>
      </c>
      <c r="K152" s="4">
        <f t="shared" si="88"/>
        <v>1</v>
      </c>
      <c r="L152" s="4" t="str">
        <f t="shared" si="89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83"/>
        <v>test.Base64_20_</v>
      </c>
      <c r="D153">
        <v>27</v>
      </c>
      <c r="E153" s="4">
        <v>1</v>
      </c>
      <c r="F153" s="4">
        <v>0.87150024275772775</v>
      </c>
      <c r="G153" s="4" t="str">
        <f t="shared" si="84"/>
        <v/>
      </c>
      <c r="H153" s="4" t="str">
        <f t="shared" si="85"/>
        <v/>
      </c>
      <c r="I153" s="4" t="str">
        <f t="shared" si="86"/>
        <v/>
      </c>
      <c r="J153" s="4" t="str">
        <f t="shared" si="87"/>
        <v/>
      </c>
      <c r="K153" s="4">
        <f t="shared" si="88"/>
        <v>1</v>
      </c>
      <c r="L153" s="4" t="str">
        <f t="shared" si="89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83"/>
        <v>test.Base64_20_</v>
      </c>
      <c r="D154">
        <v>28</v>
      </c>
      <c r="E154" s="4">
        <v>1</v>
      </c>
      <c r="F154" s="4">
        <v>0.88218158278038517</v>
      </c>
      <c r="G154" s="4" t="str">
        <f t="shared" si="84"/>
        <v/>
      </c>
      <c r="H154" s="4" t="str">
        <f t="shared" si="85"/>
        <v/>
      </c>
      <c r="I154" s="4" t="str">
        <f t="shared" si="86"/>
        <v/>
      </c>
      <c r="J154" s="4" t="str">
        <f t="shared" si="87"/>
        <v/>
      </c>
      <c r="K154" s="4">
        <f t="shared" si="88"/>
        <v>1</v>
      </c>
      <c r="L154" s="4" t="str">
        <f t="shared" si="89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83"/>
        <v>test.Base64_20_</v>
      </c>
      <c r="D155">
        <v>29</v>
      </c>
      <c r="E155" s="4">
        <v>1</v>
      </c>
      <c r="F155" s="4">
        <v>0.89707072341802885</v>
      </c>
      <c r="G155" s="4" t="str">
        <f t="shared" si="84"/>
        <v/>
      </c>
      <c r="H155" s="4" t="str">
        <f t="shared" si="85"/>
        <v/>
      </c>
      <c r="I155" s="4" t="str">
        <f t="shared" si="86"/>
        <v/>
      </c>
      <c r="J155" s="4" t="str">
        <f t="shared" si="87"/>
        <v/>
      </c>
      <c r="K155" s="4">
        <f t="shared" si="88"/>
        <v>1</v>
      </c>
      <c r="L155" s="4" t="str">
        <f t="shared" si="89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83"/>
        <v>test.Base64_20_</v>
      </c>
      <c r="D156">
        <v>30</v>
      </c>
      <c r="E156" s="4">
        <v>1</v>
      </c>
      <c r="F156" s="4">
        <v>0.90839941738145336</v>
      </c>
      <c r="G156" s="4" t="str">
        <f t="shared" si="84"/>
        <v/>
      </c>
      <c r="H156" s="4" t="str">
        <f t="shared" si="85"/>
        <v/>
      </c>
      <c r="I156" s="4" t="str">
        <f t="shared" si="86"/>
        <v/>
      </c>
      <c r="J156" s="4" t="str">
        <f t="shared" si="87"/>
        <v/>
      </c>
      <c r="K156" s="4">
        <f t="shared" si="88"/>
        <v>1</v>
      </c>
      <c r="L156" s="4" t="str">
        <f t="shared" si="89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83"/>
        <v>test.Base64_20_</v>
      </c>
      <c r="D157">
        <v>31</v>
      </c>
      <c r="E157" s="4">
        <v>1</v>
      </c>
      <c r="F157" s="4">
        <v>0.91195986405567242</v>
      </c>
      <c r="G157" s="4" t="str">
        <f t="shared" si="84"/>
        <v/>
      </c>
      <c r="H157" s="4" t="str">
        <f t="shared" si="85"/>
        <v/>
      </c>
      <c r="I157" s="4" t="str">
        <f t="shared" si="86"/>
        <v/>
      </c>
      <c r="J157" s="4" t="str">
        <f t="shared" si="87"/>
        <v/>
      </c>
      <c r="K157" s="4">
        <f t="shared" si="88"/>
        <v>1</v>
      </c>
      <c r="L157" s="4" t="str">
        <f t="shared" si="89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83"/>
        <v>test.Base64_20_</v>
      </c>
      <c r="D158">
        <v>32</v>
      </c>
      <c r="E158" s="4">
        <v>1</v>
      </c>
      <c r="F158" s="4">
        <v>0.92361223498948053</v>
      </c>
      <c r="G158" s="4" t="str">
        <f t="shared" si="84"/>
        <v/>
      </c>
      <c r="H158" s="4" t="str">
        <f t="shared" si="85"/>
        <v/>
      </c>
      <c r="I158" s="4" t="str">
        <f t="shared" si="86"/>
        <v/>
      </c>
      <c r="J158" s="4" t="str">
        <f t="shared" si="87"/>
        <v/>
      </c>
      <c r="K158" s="4">
        <f t="shared" si="88"/>
        <v>1</v>
      </c>
      <c r="L158" s="4" t="str">
        <f t="shared" si="89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83"/>
        <v>test.Base64_20_</v>
      </c>
      <c r="D159">
        <v>33</v>
      </c>
      <c r="E159" s="4">
        <v>1</v>
      </c>
      <c r="F159" s="4">
        <v>0.94092895290500078</v>
      </c>
      <c r="G159" s="4" t="str">
        <f t="shared" si="84"/>
        <v/>
      </c>
      <c r="H159" s="4" t="str">
        <f t="shared" si="85"/>
        <v/>
      </c>
      <c r="I159" s="4" t="str">
        <f t="shared" si="86"/>
        <v/>
      </c>
      <c r="J159" s="4" t="str">
        <f t="shared" si="87"/>
        <v/>
      </c>
      <c r="K159" s="4">
        <f t="shared" si="88"/>
        <v>1</v>
      </c>
      <c r="L159" s="4" t="str">
        <f t="shared" si="89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1</v>
      </c>
      <c r="C160" t="str">
        <f t="shared" si="83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84"/>
        <v/>
      </c>
      <c r="H160" s="4">
        <f t="shared" si="85"/>
        <v>0.6470588235294118</v>
      </c>
      <c r="I160" s="4" t="str">
        <f t="shared" si="86"/>
        <v/>
      </c>
      <c r="J160" s="4" t="str">
        <f t="shared" si="87"/>
        <v/>
      </c>
      <c r="K160" s="4" t="str">
        <f t="shared" si="88"/>
        <v/>
      </c>
      <c r="L160" s="4" t="str">
        <f t="shared" si="89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1</v>
      </c>
      <c r="C161" t="str">
        <f t="shared" si="83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84"/>
        <v/>
      </c>
      <c r="H161" s="4">
        <f t="shared" si="85"/>
        <v>0.6470588235294118</v>
      </c>
      <c r="I161" s="4" t="str">
        <f t="shared" si="86"/>
        <v/>
      </c>
      <c r="J161" s="4" t="str">
        <f t="shared" si="87"/>
        <v/>
      </c>
      <c r="K161" s="4" t="str">
        <f t="shared" si="88"/>
        <v/>
      </c>
      <c r="L161" s="4" t="str">
        <f t="shared" si="89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1</v>
      </c>
      <c r="C162" t="str">
        <f t="shared" si="83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84"/>
        <v/>
      </c>
      <c r="H162" s="4">
        <f t="shared" si="85"/>
        <v>0.6470588235294118</v>
      </c>
      <c r="I162" s="4" t="str">
        <f t="shared" si="86"/>
        <v/>
      </c>
      <c r="J162" s="4" t="str">
        <f t="shared" si="87"/>
        <v/>
      </c>
      <c r="K162" s="4" t="str">
        <f t="shared" si="88"/>
        <v/>
      </c>
      <c r="L162" s="4" t="str">
        <f t="shared" si="89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1</v>
      </c>
      <c r="C163" t="str">
        <f t="shared" si="83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84"/>
        <v/>
      </c>
      <c r="H163" s="4" t="str">
        <f t="shared" si="85"/>
        <v/>
      </c>
      <c r="I163" s="4">
        <f t="shared" si="86"/>
        <v>0.70588235294117652</v>
      </c>
      <c r="J163" s="4" t="str">
        <f t="shared" si="87"/>
        <v/>
      </c>
      <c r="K163" s="4" t="str">
        <f t="shared" si="88"/>
        <v/>
      </c>
      <c r="L163" s="4" t="str">
        <f t="shared" si="89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1</v>
      </c>
      <c r="C164" t="str">
        <f t="shared" si="83"/>
        <v>test.Class11_1_</v>
      </c>
      <c r="D164">
        <v>5</v>
      </c>
      <c r="E164" s="4">
        <v>1</v>
      </c>
      <c r="F164" s="4">
        <v>0.63686072692183981</v>
      </c>
      <c r="G164" s="4" t="str">
        <f t="shared" si="84"/>
        <v/>
      </c>
      <c r="H164" s="4" t="str">
        <f t="shared" si="85"/>
        <v/>
      </c>
      <c r="I164" s="4" t="str">
        <f t="shared" si="86"/>
        <v/>
      </c>
      <c r="J164" s="4">
        <f t="shared" si="87"/>
        <v>1</v>
      </c>
      <c r="K164" s="4" t="str">
        <f t="shared" si="88"/>
        <v/>
      </c>
      <c r="L164" s="4" t="str">
        <f t="shared" si="89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2</v>
      </c>
      <c r="C165" t="str">
        <f t="shared" si="83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84"/>
        <v>4.4642857142857144E-2</v>
      </c>
      <c r="H165" s="4" t="str">
        <f t="shared" si="85"/>
        <v/>
      </c>
      <c r="I165" s="4" t="str">
        <f t="shared" si="86"/>
        <v/>
      </c>
      <c r="J165" s="4" t="str">
        <f t="shared" si="87"/>
        <v/>
      </c>
      <c r="K165" s="4" t="str">
        <f t="shared" si="88"/>
        <v/>
      </c>
      <c r="L165" s="4" t="str">
        <f t="shared" si="89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2</v>
      </c>
      <c r="C166" t="str">
        <f t="shared" si="83"/>
        <v>test.Class11_2_</v>
      </c>
      <c r="D166">
        <v>2</v>
      </c>
      <c r="E166" s="4">
        <v>0.5</v>
      </c>
      <c r="F166" s="4">
        <v>0.50976138828633411</v>
      </c>
      <c r="G166" s="4" t="str">
        <f t="shared" si="84"/>
        <v/>
      </c>
      <c r="H166" s="4" t="str">
        <f t="shared" si="85"/>
        <v/>
      </c>
      <c r="I166" s="4">
        <f t="shared" si="86"/>
        <v>0.5</v>
      </c>
      <c r="J166" s="4" t="str">
        <f t="shared" si="87"/>
        <v/>
      </c>
      <c r="K166" s="4" t="str">
        <f t="shared" si="88"/>
        <v/>
      </c>
      <c r="L166" s="4" t="str">
        <f t="shared" si="89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2</v>
      </c>
      <c r="C167" t="str">
        <f t="shared" si="83"/>
        <v>test.Class11_2_</v>
      </c>
      <c r="D167">
        <v>3</v>
      </c>
      <c r="E167" s="4">
        <v>1</v>
      </c>
      <c r="F167" s="4">
        <v>0.9941431670281996</v>
      </c>
      <c r="G167" s="4" t="str">
        <f t="shared" si="84"/>
        <v/>
      </c>
      <c r="H167" s="4" t="str">
        <f t="shared" si="85"/>
        <v/>
      </c>
      <c r="I167" s="4" t="str">
        <f t="shared" si="86"/>
        <v/>
      </c>
      <c r="J167" s="4" t="str">
        <f t="shared" si="87"/>
        <v/>
      </c>
      <c r="K167" s="4">
        <f t="shared" si="88"/>
        <v>1</v>
      </c>
      <c r="L167" s="4" t="str">
        <f t="shared" si="89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3</v>
      </c>
      <c r="C168" t="str">
        <f t="shared" si="83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84"/>
        <v/>
      </c>
      <c r="H168" s="4" t="str">
        <f t="shared" si="85"/>
        <v/>
      </c>
      <c r="I168" s="4" t="str">
        <f t="shared" si="86"/>
        <v/>
      </c>
      <c r="J168" s="4" t="str">
        <f t="shared" si="87"/>
        <v/>
      </c>
      <c r="K168" s="4">
        <f t="shared" si="88"/>
        <v>0.93181818181818177</v>
      </c>
      <c r="L168" s="4" t="str">
        <f t="shared" si="89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3</v>
      </c>
      <c r="C169" t="str">
        <f t="shared" si="83"/>
        <v>test.Class11_3_</v>
      </c>
      <c r="D169">
        <v>2</v>
      </c>
      <c r="E169" s="4">
        <v>1</v>
      </c>
      <c r="F169" s="4">
        <v>1.0032310177705976</v>
      </c>
      <c r="G169" s="4" t="str">
        <f t="shared" si="84"/>
        <v/>
      </c>
      <c r="H169" s="4" t="str">
        <f t="shared" si="85"/>
        <v/>
      </c>
      <c r="I169" s="4" t="str">
        <f t="shared" si="86"/>
        <v/>
      </c>
      <c r="J169" s="4" t="str">
        <f t="shared" si="87"/>
        <v/>
      </c>
      <c r="K169" s="4">
        <f t="shared" si="88"/>
        <v>1</v>
      </c>
      <c r="L169" s="4" t="str">
        <f t="shared" si="89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7</v>
      </c>
      <c r="C170" t="str">
        <f t="shared" si="83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84"/>
        <v/>
      </c>
      <c r="H170" s="4" t="str">
        <f t="shared" si="85"/>
        <v/>
      </c>
      <c r="I170" s="4" t="str">
        <f t="shared" si="86"/>
        <v/>
      </c>
      <c r="J170" s="4" t="str">
        <f t="shared" si="87"/>
        <v/>
      </c>
      <c r="K170" s="4">
        <f t="shared" si="88"/>
        <v>0.93023255813953487</v>
      </c>
      <c r="L170" s="4" t="str">
        <f t="shared" si="89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7</v>
      </c>
      <c r="C171" t="str">
        <f t="shared" si="83"/>
        <v>test.Class11_7_</v>
      </c>
      <c r="D171">
        <v>2</v>
      </c>
      <c r="E171" s="4">
        <v>1</v>
      </c>
      <c r="F171" s="4">
        <v>1.0208333333333333</v>
      </c>
      <c r="G171" s="4" t="str">
        <f t="shared" si="84"/>
        <v/>
      </c>
      <c r="H171" s="4" t="str">
        <f t="shared" si="85"/>
        <v/>
      </c>
      <c r="I171" s="4" t="str">
        <f t="shared" si="86"/>
        <v/>
      </c>
      <c r="J171" s="4" t="str">
        <f t="shared" si="87"/>
        <v/>
      </c>
      <c r="K171" s="4">
        <f t="shared" si="88"/>
        <v>1</v>
      </c>
      <c r="L171" s="4" t="str">
        <f t="shared" si="89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83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84"/>
        <v>0.11576354679802955</v>
      </c>
      <c r="H172" s="4" t="str">
        <f t="shared" si="85"/>
        <v/>
      </c>
      <c r="I172" s="4" t="str">
        <f t="shared" si="86"/>
        <v/>
      </c>
      <c r="J172" s="4" t="str">
        <f t="shared" si="87"/>
        <v/>
      </c>
      <c r="K172" s="4" t="str">
        <f t="shared" si="88"/>
        <v/>
      </c>
      <c r="L172" s="4" t="str">
        <f t="shared" si="89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83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84"/>
        <v>0.11576354679802955</v>
      </c>
      <c r="H173" s="4" t="str">
        <f t="shared" si="85"/>
        <v/>
      </c>
      <c r="I173" s="4" t="str">
        <f t="shared" si="86"/>
        <v/>
      </c>
      <c r="J173" s="4" t="str">
        <f t="shared" si="87"/>
        <v/>
      </c>
      <c r="K173" s="4" t="str">
        <f t="shared" si="88"/>
        <v/>
      </c>
      <c r="L173" s="4" t="str">
        <f t="shared" si="89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83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84"/>
        <v>0.11576354679802955</v>
      </c>
      <c r="H174" s="4" t="str">
        <f t="shared" si="85"/>
        <v/>
      </c>
      <c r="I174" s="4" t="str">
        <f t="shared" si="86"/>
        <v/>
      </c>
      <c r="J174" s="4" t="str">
        <f t="shared" si="87"/>
        <v/>
      </c>
      <c r="K174" s="4" t="str">
        <f t="shared" si="88"/>
        <v/>
      </c>
      <c r="L174" s="4" t="str">
        <f t="shared" si="89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83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84"/>
        <v>0.11576354679802955</v>
      </c>
      <c r="H175" s="4" t="str">
        <f t="shared" si="85"/>
        <v/>
      </c>
      <c r="I175" s="4" t="str">
        <f t="shared" si="86"/>
        <v/>
      </c>
      <c r="J175" s="4" t="str">
        <f t="shared" si="87"/>
        <v/>
      </c>
      <c r="K175" s="4" t="str">
        <f t="shared" si="88"/>
        <v/>
      </c>
      <c r="L175" s="4" t="str">
        <f t="shared" si="89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83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84"/>
        <v>0.20689655172413793</v>
      </c>
      <c r="H176" s="4" t="str">
        <f t="shared" si="85"/>
        <v/>
      </c>
      <c r="I176" s="4" t="str">
        <f t="shared" si="86"/>
        <v/>
      </c>
      <c r="J176" s="4" t="str">
        <f t="shared" si="87"/>
        <v/>
      </c>
      <c r="K176" s="4" t="str">
        <f t="shared" si="88"/>
        <v/>
      </c>
      <c r="L176" s="4" t="str">
        <f t="shared" si="89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83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84"/>
        <v>0.20689655172413793</v>
      </c>
      <c r="H177" s="4" t="str">
        <f t="shared" si="85"/>
        <v/>
      </c>
      <c r="I177" s="4" t="str">
        <f t="shared" si="86"/>
        <v/>
      </c>
      <c r="J177" s="4" t="str">
        <f t="shared" si="87"/>
        <v/>
      </c>
      <c r="K177" s="4" t="str">
        <f t="shared" si="88"/>
        <v/>
      </c>
      <c r="L177" s="4" t="str">
        <f t="shared" si="89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83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84"/>
        <v>0.20689655172413793</v>
      </c>
      <c r="H178" s="4" t="str">
        <f t="shared" si="85"/>
        <v/>
      </c>
      <c r="I178" s="4" t="str">
        <f t="shared" si="86"/>
        <v/>
      </c>
      <c r="J178" s="4" t="str">
        <f t="shared" si="87"/>
        <v/>
      </c>
      <c r="K178" s="4" t="str">
        <f t="shared" si="88"/>
        <v/>
      </c>
      <c r="L178" s="4" t="str">
        <f t="shared" si="89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83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84"/>
        <v>0.20689655172413793</v>
      </c>
      <c r="H179" s="4" t="str">
        <f t="shared" si="85"/>
        <v/>
      </c>
      <c r="I179" s="4" t="str">
        <f t="shared" si="86"/>
        <v/>
      </c>
      <c r="J179" s="4" t="str">
        <f t="shared" si="87"/>
        <v/>
      </c>
      <c r="K179" s="4" t="str">
        <f t="shared" si="88"/>
        <v/>
      </c>
      <c r="L179" s="4" t="str">
        <f t="shared" si="89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83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84"/>
        <v>0.22167487684729065</v>
      </c>
      <c r="H180" s="4" t="str">
        <f t="shared" si="85"/>
        <v/>
      </c>
      <c r="I180" s="4" t="str">
        <f t="shared" si="86"/>
        <v/>
      </c>
      <c r="J180" s="4" t="str">
        <f t="shared" si="87"/>
        <v/>
      </c>
      <c r="K180" s="4" t="str">
        <f t="shared" si="88"/>
        <v/>
      </c>
      <c r="L180" s="4" t="str">
        <f t="shared" si="89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83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84"/>
        <v>0.22167487684729065</v>
      </c>
      <c r="H181" s="4" t="str">
        <f t="shared" si="85"/>
        <v/>
      </c>
      <c r="I181" s="4" t="str">
        <f t="shared" si="86"/>
        <v/>
      </c>
      <c r="J181" s="4" t="str">
        <f t="shared" si="87"/>
        <v/>
      </c>
      <c r="K181" s="4" t="str">
        <f t="shared" si="88"/>
        <v/>
      </c>
      <c r="L181" s="4" t="str">
        <f t="shared" si="89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83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84"/>
        <v>0.22167487684729065</v>
      </c>
      <c r="H182" s="4" t="str">
        <f t="shared" si="85"/>
        <v/>
      </c>
      <c r="I182" s="4" t="str">
        <f t="shared" si="86"/>
        <v/>
      </c>
      <c r="J182" s="4" t="str">
        <f t="shared" si="87"/>
        <v/>
      </c>
      <c r="K182" s="4" t="str">
        <f t="shared" si="88"/>
        <v/>
      </c>
      <c r="L182" s="4" t="str">
        <f t="shared" si="89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83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84"/>
        <v>0.22167487684729065</v>
      </c>
      <c r="H183" s="4" t="str">
        <f t="shared" si="85"/>
        <v/>
      </c>
      <c r="I183" s="4" t="str">
        <f t="shared" si="86"/>
        <v/>
      </c>
      <c r="J183" s="4" t="str">
        <f t="shared" si="87"/>
        <v/>
      </c>
      <c r="K183" s="4" t="str">
        <f t="shared" si="88"/>
        <v/>
      </c>
      <c r="L183" s="4" t="str">
        <f t="shared" si="89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83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84"/>
        <v>0.22167487684729065</v>
      </c>
      <c r="H184" s="4" t="str">
        <f t="shared" si="85"/>
        <v/>
      </c>
      <c r="I184" s="4" t="str">
        <f t="shared" si="86"/>
        <v/>
      </c>
      <c r="J184" s="4" t="str">
        <f t="shared" si="87"/>
        <v/>
      </c>
      <c r="K184" s="4" t="str">
        <f t="shared" si="88"/>
        <v/>
      </c>
      <c r="L184" s="4" t="str">
        <f t="shared" si="89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83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84"/>
        <v>0.22167487684729065</v>
      </c>
      <c r="H185" s="4" t="str">
        <f t="shared" si="85"/>
        <v/>
      </c>
      <c r="I185" s="4" t="str">
        <f t="shared" si="86"/>
        <v/>
      </c>
      <c r="J185" s="4" t="str">
        <f t="shared" si="87"/>
        <v/>
      </c>
      <c r="K185" s="4" t="str">
        <f t="shared" si="88"/>
        <v/>
      </c>
      <c r="L185" s="4" t="str">
        <f t="shared" si="89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83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84"/>
        <v>0.22167487684729065</v>
      </c>
      <c r="H186" s="4" t="str">
        <f t="shared" si="85"/>
        <v/>
      </c>
      <c r="I186" s="4" t="str">
        <f t="shared" si="86"/>
        <v/>
      </c>
      <c r="J186" s="4" t="str">
        <f t="shared" si="87"/>
        <v/>
      </c>
      <c r="K186" s="4" t="str">
        <f t="shared" si="88"/>
        <v/>
      </c>
      <c r="L186" s="4" t="str">
        <f t="shared" si="89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83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84"/>
        <v>0.22167487684729065</v>
      </c>
      <c r="H187" s="4" t="str">
        <f t="shared" si="85"/>
        <v/>
      </c>
      <c r="I187" s="4" t="str">
        <f t="shared" si="86"/>
        <v/>
      </c>
      <c r="J187" s="4" t="str">
        <f t="shared" si="87"/>
        <v/>
      </c>
      <c r="K187" s="4" t="str">
        <f t="shared" si="88"/>
        <v/>
      </c>
      <c r="L187" s="4" t="str">
        <f t="shared" si="89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83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84"/>
        <v>0.33743842364532017</v>
      </c>
      <c r="H188" s="4" t="str">
        <f t="shared" si="85"/>
        <v/>
      </c>
      <c r="I188" s="4" t="str">
        <f t="shared" si="86"/>
        <v/>
      </c>
      <c r="J188" s="4" t="str">
        <f t="shared" si="87"/>
        <v/>
      </c>
      <c r="K188" s="4" t="str">
        <f t="shared" si="88"/>
        <v/>
      </c>
      <c r="L188" s="4" t="str">
        <f t="shared" si="89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83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84"/>
        <v>0.45073891625615764</v>
      </c>
      <c r="H189" s="4" t="str">
        <f t="shared" si="85"/>
        <v/>
      </c>
      <c r="I189" s="4" t="str">
        <f t="shared" si="86"/>
        <v/>
      </c>
      <c r="J189" s="4" t="str">
        <f t="shared" si="87"/>
        <v/>
      </c>
      <c r="K189" s="4" t="str">
        <f t="shared" si="88"/>
        <v/>
      </c>
      <c r="L189" s="4" t="str">
        <f t="shared" si="89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83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84"/>
        <v>0.58620689655172409</v>
      </c>
      <c r="H190" s="4" t="str">
        <f t="shared" si="85"/>
        <v/>
      </c>
      <c r="I190" s="4" t="str">
        <f t="shared" si="86"/>
        <v/>
      </c>
      <c r="J190" s="4" t="str">
        <f t="shared" si="87"/>
        <v/>
      </c>
      <c r="K190" s="4" t="str">
        <f t="shared" si="88"/>
        <v/>
      </c>
      <c r="L190" s="4" t="str">
        <f t="shared" si="89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83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84"/>
        <v>0.58620689655172409</v>
      </c>
      <c r="H191" s="4" t="str">
        <f t="shared" si="85"/>
        <v/>
      </c>
      <c r="I191" s="4" t="str">
        <f t="shared" si="86"/>
        <v/>
      </c>
      <c r="J191" s="4" t="str">
        <f t="shared" si="87"/>
        <v/>
      </c>
      <c r="K191" s="4" t="str">
        <f t="shared" si="88"/>
        <v/>
      </c>
      <c r="L191" s="4" t="str">
        <f t="shared" si="89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83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84"/>
        <v>0.58620689655172409</v>
      </c>
      <c r="H192" s="4" t="str">
        <f t="shared" si="85"/>
        <v/>
      </c>
      <c r="I192" s="4" t="str">
        <f t="shared" si="86"/>
        <v/>
      </c>
      <c r="J192" s="4" t="str">
        <f t="shared" si="87"/>
        <v/>
      </c>
      <c r="K192" s="4" t="str">
        <f t="shared" si="88"/>
        <v/>
      </c>
      <c r="L192" s="4" t="str">
        <f t="shared" si="89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83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84"/>
        <v>0.58620689655172409</v>
      </c>
      <c r="H193" s="4" t="str">
        <f t="shared" si="85"/>
        <v/>
      </c>
      <c r="I193" s="4" t="str">
        <f t="shared" si="86"/>
        <v/>
      </c>
      <c r="J193" s="4" t="str">
        <f t="shared" si="87"/>
        <v/>
      </c>
      <c r="K193" s="4" t="str">
        <f t="shared" si="88"/>
        <v/>
      </c>
      <c r="L193" s="4" t="str">
        <f t="shared" si="89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83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84"/>
        <v/>
      </c>
      <c r="H194" s="4">
        <f t="shared" si="85"/>
        <v>0.77093596059113301</v>
      </c>
      <c r="I194" s="4" t="str">
        <f t="shared" si="86"/>
        <v/>
      </c>
      <c r="J194" s="4" t="str">
        <f t="shared" si="87"/>
        <v/>
      </c>
      <c r="K194" s="4" t="str">
        <f t="shared" si="88"/>
        <v/>
      </c>
      <c r="L194" s="4" t="str">
        <f t="shared" si="89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90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91">IF(F195 &lt;= 0.2,E195,"")</f>
        <v/>
      </c>
      <c r="H195" s="4">
        <f t="shared" ref="H195:H258" si="92">IF(AND($F195 &gt; 0.2,$F195 &lt;= 0.4),$E195,"")</f>
        <v>0.77093596059113301</v>
      </c>
      <c r="I195" s="4" t="str">
        <f t="shared" ref="I195:I258" si="93">IF(AND($F195 &gt; 0.4,$F195 &lt;= 0.6),$E195,"")</f>
        <v/>
      </c>
      <c r="J195" s="4" t="str">
        <f t="shared" ref="J195:J258" si="94">IF(AND($F195 &gt; 0.6,$F195 &lt;= 0.8),$E195,"")</f>
        <v/>
      </c>
      <c r="K195" s="4" t="str">
        <f t="shared" ref="K195:K258" si="95">IF(AND($F195 &gt; 0.8, $F195 &lt;=1.1),$E195,"")</f>
        <v/>
      </c>
      <c r="L195" s="4" t="str">
        <f t="shared" ref="L195:L258" si="96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90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91"/>
        <v/>
      </c>
      <c r="H196" s="4">
        <f t="shared" si="92"/>
        <v>0.77093596059113301</v>
      </c>
      <c r="I196" s="4" t="str">
        <f t="shared" si="93"/>
        <v/>
      </c>
      <c r="J196" s="4" t="str">
        <f t="shared" si="94"/>
        <v/>
      </c>
      <c r="K196" s="4" t="str">
        <f t="shared" si="95"/>
        <v/>
      </c>
      <c r="L196" s="4" t="str">
        <f t="shared" si="96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90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91"/>
        <v/>
      </c>
      <c r="H197" s="4">
        <f t="shared" si="92"/>
        <v>0.77093596059113301</v>
      </c>
      <c r="I197" s="4" t="str">
        <f t="shared" si="93"/>
        <v/>
      </c>
      <c r="J197" s="4" t="str">
        <f t="shared" si="94"/>
        <v/>
      </c>
      <c r="K197" s="4" t="str">
        <f t="shared" si="95"/>
        <v/>
      </c>
      <c r="L197" s="4" t="str">
        <f t="shared" si="96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90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91"/>
        <v/>
      </c>
      <c r="H198" s="4">
        <f t="shared" si="92"/>
        <v>0.77093596059113301</v>
      </c>
      <c r="I198" s="4" t="str">
        <f t="shared" si="93"/>
        <v/>
      </c>
      <c r="J198" s="4" t="str">
        <f t="shared" si="94"/>
        <v/>
      </c>
      <c r="K198" s="4" t="str">
        <f t="shared" si="95"/>
        <v/>
      </c>
      <c r="L198" s="4" t="str">
        <f t="shared" si="96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10</v>
      </c>
      <c r="C199" t="str">
        <f t="shared" si="90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91"/>
        <v/>
      </c>
      <c r="H199" s="4">
        <f t="shared" si="92"/>
        <v>0.77093596059113301</v>
      </c>
      <c r="I199" s="4" t="str">
        <f t="shared" si="93"/>
        <v/>
      </c>
      <c r="J199" s="4" t="str">
        <f t="shared" si="94"/>
        <v/>
      </c>
      <c r="K199" s="4" t="str">
        <f t="shared" si="95"/>
        <v/>
      </c>
      <c r="L199" s="4" t="str">
        <f t="shared" si="96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10</v>
      </c>
      <c r="C200" t="str">
        <f t="shared" si="90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91"/>
        <v/>
      </c>
      <c r="H200" s="4">
        <f t="shared" si="92"/>
        <v>0.77093596059113301</v>
      </c>
      <c r="I200" s="4" t="str">
        <f t="shared" si="93"/>
        <v/>
      </c>
      <c r="J200" s="4" t="str">
        <f t="shared" si="94"/>
        <v/>
      </c>
      <c r="K200" s="4" t="str">
        <f t="shared" si="95"/>
        <v/>
      </c>
      <c r="L200" s="4" t="str">
        <f t="shared" si="96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10</v>
      </c>
      <c r="C201" t="str">
        <f t="shared" si="90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91"/>
        <v/>
      </c>
      <c r="H201" s="4">
        <f t="shared" si="92"/>
        <v>0.77093596059113301</v>
      </c>
      <c r="I201" s="4" t="str">
        <f t="shared" si="93"/>
        <v/>
      </c>
      <c r="J201" s="4" t="str">
        <f t="shared" si="94"/>
        <v/>
      </c>
      <c r="K201" s="4" t="str">
        <f t="shared" si="95"/>
        <v/>
      </c>
      <c r="L201" s="4" t="str">
        <f t="shared" si="96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10</v>
      </c>
      <c r="C202" t="str">
        <f t="shared" si="90"/>
        <v>test.Class11_10_</v>
      </c>
      <c r="D202">
        <v>31</v>
      </c>
      <c r="E202" s="4">
        <v>1</v>
      </c>
      <c r="F202" s="4">
        <v>0.28045531605715668</v>
      </c>
      <c r="G202" s="4" t="str">
        <f t="shared" si="91"/>
        <v/>
      </c>
      <c r="H202" s="4">
        <f t="shared" si="92"/>
        <v>1</v>
      </c>
      <c r="I202" s="4" t="str">
        <f t="shared" si="93"/>
        <v/>
      </c>
      <c r="J202" s="4" t="str">
        <f t="shared" si="94"/>
        <v/>
      </c>
      <c r="K202" s="4" t="str">
        <f t="shared" si="95"/>
        <v/>
      </c>
      <c r="L202" s="4" t="str">
        <f t="shared" si="96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10</v>
      </c>
      <c r="C203" t="str">
        <f t="shared" si="90"/>
        <v>test.Class11_10_</v>
      </c>
      <c r="D203">
        <v>32</v>
      </c>
      <c r="E203" s="4">
        <v>1</v>
      </c>
      <c r="F203" s="4">
        <v>0.2943812061031727</v>
      </c>
      <c r="G203" s="4" t="str">
        <f t="shared" si="91"/>
        <v/>
      </c>
      <c r="H203" s="4">
        <f t="shared" si="92"/>
        <v>1</v>
      </c>
      <c r="I203" s="4" t="str">
        <f t="shared" si="93"/>
        <v/>
      </c>
      <c r="J203" s="4" t="str">
        <f t="shared" si="94"/>
        <v/>
      </c>
      <c r="K203" s="4" t="str">
        <f t="shared" si="95"/>
        <v/>
      </c>
      <c r="L203" s="4" t="str">
        <f t="shared" si="96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90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91"/>
        <v>5.208333333333333E-3</v>
      </c>
      <c r="H204" s="4" t="str">
        <f t="shared" si="92"/>
        <v/>
      </c>
      <c r="I204" s="4" t="str">
        <f t="shared" si="93"/>
        <v/>
      </c>
      <c r="J204" s="4" t="str">
        <f t="shared" si="94"/>
        <v/>
      </c>
      <c r="K204" s="4" t="str">
        <f t="shared" si="95"/>
        <v/>
      </c>
      <c r="L204" s="4" t="str">
        <f t="shared" si="96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90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91"/>
        <v>8.8541666666666671E-2</v>
      </c>
      <c r="H205" s="4" t="str">
        <f t="shared" si="92"/>
        <v/>
      </c>
      <c r="I205" s="4" t="str">
        <f t="shared" si="93"/>
        <v/>
      </c>
      <c r="J205" s="4" t="str">
        <f t="shared" si="94"/>
        <v/>
      </c>
      <c r="K205" s="4" t="str">
        <f t="shared" si="95"/>
        <v/>
      </c>
      <c r="L205" s="4" t="str">
        <f t="shared" si="96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90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91"/>
        <v>0.11979166666666667</v>
      </c>
      <c r="H206" s="4" t="str">
        <f t="shared" si="92"/>
        <v/>
      </c>
      <c r="I206" s="4" t="str">
        <f t="shared" si="93"/>
        <v/>
      </c>
      <c r="J206" s="4" t="str">
        <f t="shared" si="94"/>
        <v/>
      </c>
      <c r="K206" s="4" t="str">
        <f t="shared" si="95"/>
        <v/>
      </c>
      <c r="L206" s="4" t="str">
        <f t="shared" si="96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90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91"/>
        <v/>
      </c>
      <c r="H207" s="4">
        <f t="shared" si="92"/>
        <v>0.26041666666666669</v>
      </c>
      <c r="I207" s="4" t="str">
        <f t="shared" si="93"/>
        <v/>
      </c>
      <c r="J207" s="4" t="str">
        <f t="shared" si="94"/>
        <v/>
      </c>
      <c r="K207" s="4" t="str">
        <f t="shared" si="95"/>
        <v/>
      </c>
      <c r="L207" s="4" t="str">
        <f t="shared" si="96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90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91"/>
        <v/>
      </c>
      <c r="H208" s="4">
        <f t="shared" si="92"/>
        <v>0.40104166666666669</v>
      </c>
      <c r="I208" s="4" t="str">
        <f t="shared" si="93"/>
        <v/>
      </c>
      <c r="J208" s="4" t="str">
        <f t="shared" si="94"/>
        <v/>
      </c>
      <c r="K208" s="4" t="str">
        <f t="shared" si="95"/>
        <v/>
      </c>
      <c r="L208" s="4" t="str">
        <f t="shared" si="96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90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91"/>
        <v/>
      </c>
      <c r="H209" s="4">
        <f t="shared" si="92"/>
        <v>0.54166666666666663</v>
      </c>
      <c r="I209" s="4" t="str">
        <f t="shared" si="93"/>
        <v/>
      </c>
      <c r="J209" s="4" t="str">
        <f t="shared" si="94"/>
        <v/>
      </c>
      <c r="K209" s="4" t="str">
        <f t="shared" si="95"/>
        <v/>
      </c>
      <c r="L209" s="4" t="str">
        <f t="shared" si="96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90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91"/>
        <v/>
      </c>
      <c r="H210" s="4">
        <f t="shared" si="92"/>
        <v>0.68229166666666663</v>
      </c>
      <c r="I210" s="4" t="str">
        <f t="shared" si="93"/>
        <v/>
      </c>
      <c r="J210" s="4" t="str">
        <f t="shared" si="94"/>
        <v/>
      </c>
      <c r="K210" s="4" t="str">
        <f t="shared" si="95"/>
        <v/>
      </c>
      <c r="L210" s="4" t="str">
        <f t="shared" si="96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90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91"/>
        <v/>
      </c>
      <c r="H211" s="4">
        <f t="shared" si="92"/>
        <v>0.68229166666666663</v>
      </c>
      <c r="I211" s="4" t="str">
        <f t="shared" si="93"/>
        <v/>
      </c>
      <c r="J211" s="4" t="str">
        <f t="shared" si="94"/>
        <v/>
      </c>
      <c r="K211" s="4" t="str">
        <f t="shared" si="95"/>
        <v/>
      </c>
      <c r="L211" s="4" t="str">
        <f t="shared" si="96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11</v>
      </c>
      <c r="C212" t="str">
        <f t="shared" si="90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91"/>
        <v/>
      </c>
      <c r="H212" s="4">
        <f t="shared" si="92"/>
        <v>0.68229166666666663</v>
      </c>
      <c r="I212" s="4" t="str">
        <f t="shared" si="93"/>
        <v/>
      </c>
      <c r="J212" s="4" t="str">
        <f t="shared" si="94"/>
        <v/>
      </c>
      <c r="K212" s="4" t="str">
        <f t="shared" si="95"/>
        <v/>
      </c>
      <c r="L212" s="4" t="str">
        <f t="shared" si="96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11</v>
      </c>
      <c r="C213" t="str">
        <f t="shared" si="90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91"/>
        <v/>
      </c>
      <c r="H213" s="4">
        <f t="shared" si="92"/>
        <v>0.68229166666666663</v>
      </c>
      <c r="I213" s="4" t="str">
        <f t="shared" si="93"/>
        <v/>
      </c>
      <c r="J213" s="4" t="str">
        <f t="shared" si="94"/>
        <v/>
      </c>
      <c r="K213" s="4" t="str">
        <f t="shared" si="95"/>
        <v/>
      </c>
      <c r="L213" s="4" t="str">
        <f t="shared" si="96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11</v>
      </c>
      <c r="C214" t="str">
        <f t="shared" si="90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91"/>
        <v/>
      </c>
      <c r="H214" s="4">
        <f t="shared" si="92"/>
        <v>0.68229166666666663</v>
      </c>
      <c r="I214" s="4" t="str">
        <f t="shared" si="93"/>
        <v/>
      </c>
      <c r="J214" s="4" t="str">
        <f t="shared" si="94"/>
        <v/>
      </c>
      <c r="K214" s="4" t="str">
        <f t="shared" si="95"/>
        <v/>
      </c>
      <c r="L214" s="4" t="str">
        <f t="shared" si="96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11</v>
      </c>
      <c r="C215" t="str">
        <f t="shared" si="90"/>
        <v>test.Class11_11_</v>
      </c>
      <c r="D215">
        <v>12</v>
      </c>
      <c r="E215" s="4">
        <v>1</v>
      </c>
      <c r="F215" s="4">
        <v>0.96951386981598464</v>
      </c>
      <c r="G215" s="4" t="str">
        <f t="shared" si="91"/>
        <v/>
      </c>
      <c r="H215" s="4" t="str">
        <f t="shared" si="92"/>
        <v/>
      </c>
      <c r="I215" s="4" t="str">
        <f t="shared" si="93"/>
        <v/>
      </c>
      <c r="J215" s="4" t="str">
        <f t="shared" si="94"/>
        <v/>
      </c>
      <c r="K215" s="4">
        <f t="shared" si="95"/>
        <v>1</v>
      </c>
      <c r="L215" s="4" t="str">
        <f t="shared" si="96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11</v>
      </c>
      <c r="C216" t="str">
        <f t="shared" si="90"/>
        <v>test.Class11_11_</v>
      </c>
      <c r="D216">
        <v>13</v>
      </c>
      <c r="E216" s="4">
        <v>1</v>
      </c>
      <c r="F216" s="4">
        <v>1.0031584729469927</v>
      </c>
      <c r="G216" s="4" t="str">
        <f t="shared" si="91"/>
        <v/>
      </c>
      <c r="H216" s="4" t="str">
        <f t="shared" si="92"/>
        <v/>
      </c>
      <c r="I216" s="4" t="str">
        <f t="shared" si="93"/>
        <v/>
      </c>
      <c r="J216" s="4" t="str">
        <f t="shared" si="94"/>
        <v/>
      </c>
      <c r="K216" s="4">
        <f t="shared" si="95"/>
        <v>1</v>
      </c>
      <c r="L216" s="4" t="str">
        <f t="shared" si="96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90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91"/>
        <v>8.4745762711864406E-3</v>
      </c>
      <c r="H217" s="4" t="str">
        <f t="shared" si="92"/>
        <v/>
      </c>
      <c r="I217" s="4" t="str">
        <f t="shared" si="93"/>
        <v/>
      </c>
      <c r="J217" s="4" t="str">
        <f t="shared" si="94"/>
        <v/>
      </c>
      <c r="K217" s="4" t="str">
        <f t="shared" si="95"/>
        <v/>
      </c>
      <c r="L217" s="4" t="str">
        <f t="shared" si="96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90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91"/>
        <v/>
      </c>
      <c r="H218" s="4" t="str">
        <f t="shared" si="92"/>
        <v/>
      </c>
      <c r="I218" s="4">
        <f t="shared" si="93"/>
        <v>0.52542372881355937</v>
      </c>
      <c r="J218" s="4" t="str">
        <f t="shared" si="94"/>
        <v/>
      </c>
      <c r="K218" s="4" t="str">
        <f t="shared" si="95"/>
        <v/>
      </c>
      <c r="L218" s="4" t="str">
        <f t="shared" si="96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90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91"/>
        <v/>
      </c>
      <c r="H219" s="4" t="str">
        <f t="shared" si="92"/>
        <v/>
      </c>
      <c r="I219" s="4" t="str">
        <f t="shared" si="93"/>
        <v/>
      </c>
      <c r="J219" s="4">
        <f t="shared" si="94"/>
        <v>0.55932203389830504</v>
      </c>
      <c r="K219" s="4" t="str">
        <f t="shared" si="95"/>
        <v/>
      </c>
      <c r="L219" s="4" t="str">
        <f t="shared" si="96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90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91"/>
        <v/>
      </c>
      <c r="H220" s="4" t="str">
        <f t="shared" si="92"/>
        <v/>
      </c>
      <c r="I220" s="4" t="str">
        <f t="shared" si="93"/>
        <v/>
      </c>
      <c r="J220" s="4">
        <f t="shared" si="94"/>
        <v>0.59322033898305082</v>
      </c>
      <c r="K220" s="4" t="str">
        <f t="shared" si="95"/>
        <v/>
      </c>
      <c r="L220" s="4" t="str">
        <f t="shared" si="96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90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91"/>
        <v/>
      </c>
      <c r="H221" s="4" t="str">
        <f t="shared" si="92"/>
        <v/>
      </c>
      <c r="I221" s="4" t="str">
        <f t="shared" si="93"/>
        <v/>
      </c>
      <c r="J221" s="4">
        <f t="shared" si="94"/>
        <v>0.71186440677966101</v>
      </c>
      <c r="K221" s="4" t="str">
        <f t="shared" si="95"/>
        <v/>
      </c>
      <c r="L221" s="4" t="str">
        <f t="shared" si="96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90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91"/>
        <v/>
      </c>
      <c r="H222" s="4" t="str">
        <f t="shared" si="92"/>
        <v/>
      </c>
      <c r="I222" s="4" t="str">
        <f t="shared" si="93"/>
        <v/>
      </c>
      <c r="J222" s="4">
        <f t="shared" si="94"/>
        <v>0.88983050847457623</v>
      </c>
      <c r="K222" s="4" t="str">
        <f t="shared" si="95"/>
        <v/>
      </c>
      <c r="L222" s="4" t="str">
        <f t="shared" si="96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90"/>
        <v>test.Class11_12_</v>
      </c>
      <c r="D223">
        <v>7</v>
      </c>
      <c r="E223" s="4">
        <v>1</v>
      </c>
      <c r="F223" s="4">
        <v>0.73225595108102204</v>
      </c>
      <c r="G223" s="4" t="str">
        <f t="shared" si="91"/>
        <v/>
      </c>
      <c r="H223" s="4" t="str">
        <f t="shared" si="92"/>
        <v/>
      </c>
      <c r="I223" s="4" t="str">
        <f t="shared" si="93"/>
        <v/>
      </c>
      <c r="J223" s="4">
        <f t="shared" si="94"/>
        <v>1</v>
      </c>
      <c r="K223" s="4" t="str">
        <f t="shared" si="95"/>
        <v/>
      </c>
      <c r="L223" s="4" t="str">
        <f t="shared" si="96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90"/>
        <v>test.Class11_12_</v>
      </c>
      <c r="D224">
        <v>8</v>
      </c>
      <c r="E224" s="4">
        <v>1</v>
      </c>
      <c r="F224" s="4">
        <v>0.75496833369731386</v>
      </c>
      <c r="G224" s="4" t="str">
        <f t="shared" si="91"/>
        <v/>
      </c>
      <c r="H224" s="4" t="str">
        <f t="shared" si="92"/>
        <v/>
      </c>
      <c r="I224" s="4" t="str">
        <f t="shared" si="93"/>
        <v/>
      </c>
      <c r="J224" s="4">
        <f t="shared" si="94"/>
        <v>1</v>
      </c>
      <c r="K224" s="4" t="str">
        <f t="shared" si="95"/>
        <v/>
      </c>
      <c r="L224" s="4" t="str">
        <f t="shared" si="96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90"/>
        <v>test.Class11_12_</v>
      </c>
      <c r="D225">
        <v>9</v>
      </c>
      <c r="E225" s="4">
        <v>1</v>
      </c>
      <c r="F225" s="4">
        <v>0.79689888621969862</v>
      </c>
      <c r="G225" s="4" t="str">
        <f t="shared" si="91"/>
        <v/>
      </c>
      <c r="H225" s="4" t="str">
        <f t="shared" si="92"/>
        <v/>
      </c>
      <c r="I225" s="4" t="str">
        <f t="shared" si="93"/>
        <v/>
      </c>
      <c r="J225" s="4">
        <f t="shared" si="94"/>
        <v>1</v>
      </c>
      <c r="K225" s="4" t="str">
        <f t="shared" si="95"/>
        <v/>
      </c>
      <c r="L225" s="4" t="str">
        <f t="shared" si="96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90"/>
        <v>test.Class11_12_</v>
      </c>
      <c r="D226">
        <v>10</v>
      </c>
      <c r="E226" s="4">
        <v>1</v>
      </c>
      <c r="F226" s="4">
        <v>0.81961126883599034</v>
      </c>
      <c r="G226" s="4" t="str">
        <f t="shared" si="91"/>
        <v/>
      </c>
      <c r="H226" s="4" t="str">
        <f t="shared" si="92"/>
        <v/>
      </c>
      <c r="I226" s="4" t="str">
        <f t="shared" si="93"/>
        <v/>
      </c>
      <c r="J226" s="4" t="str">
        <f t="shared" si="94"/>
        <v/>
      </c>
      <c r="K226" s="4">
        <f t="shared" si="95"/>
        <v>1</v>
      </c>
      <c r="L226" s="4" t="str">
        <f t="shared" si="96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90"/>
        <v>test.Class11_12_</v>
      </c>
      <c r="D227">
        <v>11</v>
      </c>
      <c r="E227" s="4">
        <v>1</v>
      </c>
      <c r="F227" s="4">
        <v>0.86066826818082554</v>
      </c>
      <c r="G227" s="4" t="str">
        <f t="shared" si="91"/>
        <v/>
      </c>
      <c r="H227" s="4" t="str">
        <f t="shared" si="92"/>
        <v/>
      </c>
      <c r="I227" s="4" t="str">
        <f t="shared" si="93"/>
        <v/>
      </c>
      <c r="J227" s="4" t="str">
        <f t="shared" si="94"/>
        <v/>
      </c>
      <c r="K227" s="4">
        <f t="shared" si="95"/>
        <v>1</v>
      </c>
      <c r="L227" s="4" t="str">
        <f t="shared" si="96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90"/>
        <v>test.Class11_12_</v>
      </c>
      <c r="D228">
        <v>12</v>
      </c>
      <c r="E228" s="4">
        <v>1</v>
      </c>
      <c r="F228" s="4">
        <v>0.86547281065734871</v>
      </c>
      <c r="G228" s="4" t="str">
        <f t="shared" si="91"/>
        <v/>
      </c>
      <c r="H228" s="4" t="str">
        <f t="shared" si="92"/>
        <v/>
      </c>
      <c r="I228" s="4" t="str">
        <f t="shared" si="93"/>
        <v/>
      </c>
      <c r="J228" s="4" t="str">
        <f t="shared" si="94"/>
        <v/>
      </c>
      <c r="K228" s="4">
        <f t="shared" si="95"/>
        <v>1</v>
      </c>
      <c r="L228" s="4" t="str">
        <f t="shared" si="96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490</v>
      </c>
      <c r="B229">
        <v>12</v>
      </c>
      <c r="C229" t="str">
        <f t="shared" si="90"/>
        <v>test.Class11_12_</v>
      </c>
      <c r="D229">
        <v>13</v>
      </c>
      <c r="E229" s="4">
        <v>1</v>
      </c>
      <c r="F229" s="4">
        <v>0.86590958724612366</v>
      </c>
      <c r="G229" s="4" t="str">
        <f t="shared" si="91"/>
        <v/>
      </c>
      <c r="H229" s="4" t="str">
        <f t="shared" si="92"/>
        <v/>
      </c>
      <c r="I229" s="4" t="str">
        <f t="shared" si="93"/>
        <v/>
      </c>
      <c r="J229" s="4" t="str">
        <f t="shared" si="94"/>
        <v/>
      </c>
      <c r="K229" s="4">
        <f t="shared" si="95"/>
        <v>1</v>
      </c>
      <c r="L229" s="4" t="str">
        <f t="shared" si="96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490</v>
      </c>
      <c r="B230">
        <v>12</v>
      </c>
      <c r="C230" t="str">
        <f t="shared" si="90"/>
        <v>test.Class11_12_</v>
      </c>
      <c r="D230">
        <v>14</v>
      </c>
      <c r="E230" s="4">
        <v>1</v>
      </c>
      <c r="F230" s="4">
        <v>0.89255295916138899</v>
      </c>
      <c r="G230" s="4" t="str">
        <f t="shared" si="91"/>
        <v/>
      </c>
      <c r="H230" s="4" t="str">
        <f t="shared" si="92"/>
        <v/>
      </c>
      <c r="I230" s="4" t="str">
        <f t="shared" si="93"/>
        <v/>
      </c>
      <c r="J230" s="4" t="str">
        <f t="shared" si="94"/>
        <v/>
      </c>
      <c r="K230" s="4">
        <f t="shared" si="95"/>
        <v>1</v>
      </c>
      <c r="L230" s="4" t="str">
        <f t="shared" si="96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490</v>
      </c>
      <c r="B231">
        <v>12</v>
      </c>
      <c r="C231" t="str">
        <f t="shared" si="90"/>
        <v>test.Class11_12_</v>
      </c>
      <c r="D231">
        <v>15</v>
      </c>
      <c r="E231" s="4">
        <v>1</v>
      </c>
      <c r="F231" s="4">
        <v>0.92094343743175366</v>
      </c>
      <c r="G231" s="4" t="str">
        <f t="shared" si="91"/>
        <v/>
      </c>
      <c r="H231" s="4" t="str">
        <f t="shared" si="92"/>
        <v/>
      </c>
      <c r="I231" s="4" t="str">
        <f t="shared" si="93"/>
        <v/>
      </c>
      <c r="J231" s="4" t="str">
        <f t="shared" si="94"/>
        <v/>
      </c>
      <c r="K231" s="4">
        <f t="shared" si="95"/>
        <v>1</v>
      </c>
      <c r="L231" s="4" t="str">
        <f t="shared" si="96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490</v>
      </c>
      <c r="B232">
        <v>12</v>
      </c>
      <c r="C232" t="str">
        <f t="shared" si="90"/>
        <v>test.Class11_12_</v>
      </c>
      <c r="D232">
        <v>16</v>
      </c>
      <c r="E232" s="4">
        <v>1</v>
      </c>
      <c r="F232" s="4">
        <v>0.93863288927713473</v>
      </c>
      <c r="G232" s="4" t="str">
        <f t="shared" si="91"/>
        <v/>
      </c>
      <c r="H232" s="4" t="str">
        <f t="shared" si="92"/>
        <v/>
      </c>
      <c r="I232" s="4" t="str">
        <f t="shared" si="93"/>
        <v/>
      </c>
      <c r="J232" s="4" t="str">
        <f t="shared" si="94"/>
        <v/>
      </c>
      <c r="K232" s="4">
        <f t="shared" si="95"/>
        <v>1</v>
      </c>
      <c r="L232" s="4" t="str">
        <f t="shared" si="96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490</v>
      </c>
      <c r="B233">
        <v>12</v>
      </c>
      <c r="C233" t="str">
        <f t="shared" si="90"/>
        <v>test.Class11_12_</v>
      </c>
      <c r="D233">
        <v>17</v>
      </c>
      <c r="E233" s="4">
        <v>1</v>
      </c>
      <c r="F233" s="4">
        <v>0.99737934046735099</v>
      </c>
      <c r="G233" s="4" t="str">
        <f t="shared" si="91"/>
        <v/>
      </c>
      <c r="H233" s="4" t="str">
        <f t="shared" si="92"/>
        <v/>
      </c>
      <c r="I233" s="4" t="str">
        <f t="shared" si="93"/>
        <v/>
      </c>
      <c r="J233" s="4" t="str">
        <f t="shared" si="94"/>
        <v/>
      </c>
      <c r="K233" s="4">
        <f t="shared" si="95"/>
        <v>1</v>
      </c>
      <c r="L233" s="4" t="str">
        <f t="shared" si="96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90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91"/>
        <v/>
      </c>
      <c r="H234" s="4">
        <f t="shared" si="92"/>
        <v>0.20454545454545456</v>
      </c>
      <c r="I234" s="4" t="str">
        <f t="shared" si="93"/>
        <v/>
      </c>
      <c r="J234" s="4" t="str">
        <f t="shared" si="94"/>
        <v/>
      </c>
      <c r="K234" s="4" t="str">
        <f t="shared" si="95"/>
        <v/>
      </c>
      <c r="L234" s="4" t="str">
        <f t="shared" si="96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90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91"/>
        <v/>
      </c>
      <c r="H235" s="4" t="str">
        <f t="shared" si="92"/>
        <v/>
      </c>
      <c r="I235" s="4">
        <f t="shared" si="93"/>
        <v>0.38636363636363635</v>
      </c>
      <c r="J235" s="4" t="str">
        <f t="shared" si="94"/>
        <v/>
      </c>
      <c r="K235" s="4" t="str">
        <f t="shared" si="95"/>
        <v/>
      </c>
      <c r="L235" s="4" t="str">
        <f t="shared" si="96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491</v>
      </c>
      <c r="B236">
        <v>1</v>
      </c>
      <c r="C236" t="str">
        <f t="shared" si="90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91"/>
        <v/>
      </c>
      <c r="H236" s="4" t="str">
        <f t="shared" si="92"/>
        <v/>
      </c>
      <c r="I236" s="4">
        <f t="shared" si="93"/>
        <v>0.38636363636363635</v>
      </c>
      <c r="J236" s="4" t="str">
        <f t="shared" si="94"/>
        <v/>
      </c>
      <c r="K236" s="4" t="str">
        <f t="shared" si="95"/>
        <v/>
      </c>
      <c r="L236" s="4" t="str">
        <f t="shared" si="96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491</v>
      </c>
      <c r="B237">
        <v>1</v>
      </c>
      <c r="C237" t="str">
        <f t="shared" si="90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91"/>
        <v/>
      </c>
      <c r="H237" s="4" t="str">
        <f t="shared" si="92"/>
        <v/>
      </c>
      <c r="I237" s="4">
        <f t="shared" si="93"/>
        <v>0.38636363636363635</v>
      </c>
      <c r="J237" s="4" t="str">
        <f t="shared" si="94"/>
        <v/>
      </c>
      <c r="K237" s="4" t="str">
        <f t="shared" si="95"/>
        <v/>
      </c>
      <c r="L237" s="4" t="str">
        <f t="shared" si="96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491</v>
      </c>
      <c r="B238">
        <v>1</v>
      </c>
      <c r="C238" t="str">
        <f t="shared" si="90"/>
        <v>test.Class13_1_</v>
      </c>
      <c r="D238">
        <v>5</v>
      </c>
      <c r="E238" s="4">
        <v>1</v>
      </c>
      <c r="F238" s="4">
        <v>0.85857970131057604</v>
      </c>
      <c r="G238" s="4" t="str">
        <f t="shared" si="91"/>
        <v/>
      </c>
      <c r="H238" s="4" t="str">
        <f t="shared" si="92"/>
        <v/>
      </c>
      <c r="I238" s="4" t="str">
        <f t="shared" si="93"/>
        <v/>
      </c>
      <c r="J238" s="4" t="str">
        <f t="shared" si="94"/>
        <v/>
      </c>
      <c r="K238" s="4">
        <f t="shared" si="95"/>
        <v>1</v>
      </c>
      <c r="L238" s="4" t="str">
        <f t="shared" si="96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491</v>
      </c>
      <c r="B239">
        <v>1</v>
      </c>
      <c r="C239" t="str">
        <f t="shared" si="90"/>
        <v>test.Class13_1_</v>
      </c>
      <c r="D239">
        <v>6</v>
      </c>
      <c r="E239" s="4">
        <v>1</v>
      </c>
      <c r="F239" s="4">
        <v>0.87442852788783909</v>
      </c>
      <c r="G239" s="4" t="str">
        <f t="shared" si="91"/>
        <v/>
      </c>
      <c r="H239" s="4" t="str">
        <f t="shared" si="92"/>
        <v/>
      </c>
      <c r="I239" s="4" t="str">
        <f t="shared" si="93"/>
        <v/>
      </c>
      <c r="J239" s="4" t="str">
        <f t="shared" si="94"/>
        <v/>
      </c>
      <c r="K239" s="4">
        <f t="shared" si="95"/>
        <v>1</v>
      </c>
      <c r="L239" s="4" t="str">
        <f t="shared" si="96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491</v>
      </c>
      <c r="B240">
        <v>1</v>
      </c>
      <c r="C240" t="str">
        <f t="shared" si="90"/>
        <v>test.Class13_1_</v>
      </c>
      <c r="D240">
        <v>7</v>
      </c>
      <c r="E240" s="4">
        <v>1</v>
      </c>
      <c r="F240" s="4">
        <v>0.89119170984455953</v>
      </c>
      <c r="G240" s="4" t="str">
        <f t="shared" si="91"/>
        <v/>
      </c>
      <c r="H240" s="4" t="str">
        <f t="shared" si="92"/>
        <v/>
      </c>
      <c r="I240" s="4" t="str">
        <f t="shared" si="93"/>
        <v/>
      </c>
      <c r="J240" s="4" t="str">
        <f t="shared" si="94"/>
        <v/>
      </c>
      <c r="K240" s="4">
        <f t="shared" si="95"/>
        <v>1</v>
      </c>
      <c r="L240" s="4" t="str">
        <f t="shared" si="96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90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91"/>
        <v>7.8787878787878782E-2</v>
      </c>
      <c r="H241" s="4" t="str">
        <f t="shared" si="92"/>
        <v/>
      </c>
      <c r="I241" s="4" t="str">
        <f t="shared" si="93"/>
        <v/>
      </c>
      <c r="J241" s="4" t="str">
        <f t="shared" si="94"/>
        <v/>
      </c>
      <c r="K241" s="4" t="str">
        <f t="shared" si="95"/>
        <v/>
      </c>
      <c r="L241" s="4" t="str">
        <f t="shared" si="96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90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91"/>
        <v>9.0909090909090912E-2</v>
      </c>
      <c r="H242" s="4" t="str">
        <f t="shared" si="92"/>
        <v/>
      </c>
      <c r="I242" s="4" t="str">
        <f t="shared" si="93"/>
        <v/>
      </c>
      <c r="J242" s="4" t="str">
        <f t="shared" si="94"/>
        <v/>
      </c>
      <c r="K242" s="4" t="str">
        <f t="shared" si="95"/>
        <v/>
      </c>
      <c r="L242" s="4" t="str">
        <f t="shared" si="96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90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91"/>
        <v>0.12727272727272726</v>
      </c>
      <c r="H243" s="4" t="str">
        <f t="shared" si="92"/>
        <v/>
      </c>
      <c r="I243" s="4" t="str">
        <f t="shared" si="93"/>
        <v/>
      </c>
      <c r="J243" s="4" t="str">
        <f t="shared" si="94"/>
        <v/>
      </c>
      <c r="K243" s="4" t="str">
        <f t="shared" si="95"/>
        <v/>
      </c>
      <c r="L243" s="4" t="str">
        <f t="shared" si="96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90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91"/>
        <v>0.13333333333333333</v>
      </c>
      <c r="H244" s="4" t="str">
        <f t="shared" si="92"/>
        <v/>
      </c>
      <c r="I244" s="4" t="str">
        <f t="shared" si="93"/>
        <v/>
      </c>
      <c r="J244" s="4" t="str">
        <f t="shared" si="94"/>
        <v/>
      </c>
      <c r="K244" s="4" t="str">
        <f t="shared" si="95"/>
        <v/>
      </c>
      <c r="L244" s="4" t="str">
        <f t="shared" si="96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90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91"/>
        <v>0.14545454545454545</v>
      </c>
      <c r="H245" s="4" t="str">
        <f t="shared" si="92"/>
        <v/>
      </c>
      <c r="I245" s="4" t="str">
        <f t="shared" si="93"/>
        <v/>
      </c>
      <c r="J245" s="4" t="str">
        <f t="shared" si="94"/>
        <v/>
      </c>
      <c r="K245" s="4" t="str">
        <f t="shared" si="95"/>
        <v/>
      </c>
      <c r="L245" s="4" t="str">
        <f t="shared" si="96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90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91"/>
        <v>0.15757575757575756</v>
      </c>
      <c r="H246" s="4" t="str">
        <f t="shared" si="92"/>
        <v/>
      </c>
      <c r="I246" s="4" t="str">
        <f t="shared" si="93"/>
        <v/>
      </c>
      <c r="J246" s="4" t="str">
        <f t="shared" si="94"/>
        <v/>
      </c>
      <c r="K246" s="4" t="str">
        <f t="shared" si="95"/>
        <v/>
      </c>
      <c r="L246" s="4" t="str">
        <f t="shared" si="96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90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91"/>
        <v>0.16363636363636364</v>
      </c>
      <c r="H247" s="4" t="str">
        <f t="shared" si="92"/>
        <v/>
      </c>
      <c r="I247" s="4" t="str">
        <f t="shared" si="93"/>
        <v/>
      </c>
      <c r="J247" s="4" t="str">
        <f t="shared" si="94"/>
        <v/>
      </c>
      <c r="K247" s="4" t="str">
        <f t="shared" si="95"/>
        <v/>
      </c>
      <c r="L247" s="4" t="str">
        <f t="shared" si="96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90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91"/>
        <v>0.16969696969696971</v>
      </c>
      <c r="H248" s="4" t="str">
        <f t="shared" si="92"/>
        <v/>
      </c>
      <c r="I248" s="4" t="str">
        <f t="shared" si="93"/>
        <v/>
      </c>
      <c r="J248" s="4" t="str">
        <f t="shared" si="94"/>
        <v/>
      </c>
      <c r="K248" s="4" t="str">
        <f t="shared" si="95"/>
        <v/>
      </c>
      <c r="L248" s="4" t="str">
        <f t="shared" si="96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90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91"/>
        <v>0.18181818181818182</v>
      </c>
      <c r="H249" s="4" t="str">
        <f t="shared" si="92"/>
        <v/>
      </c>
      <c r="I249" s="4" t="str">
        <f t="shared" si="93"/>
        <v/>
      </c>
      <c r="J249" s="4" t="str">
        <f t="shared" si="94"/>
        <v/>
      </c>
      <c r="K249" s="4" t="str">
        <f t="shared" si="95"/>
        <v/>
      </c>
      <c r="L249" s="4" t="str">
        <f t="shared" si="96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90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91"/>
        <v>0.19393939393939394</v>
      </c>
      <c r="H250" s="4" t="str">
        <f t="shared" si="92"/>
        <v/>
      </c>
      <c r="I250" s="4" t="str">
        <f t="shared" si="93"/>
        <v/>
      </c>
      <c r="J250" s="4" t="str">
        <f t="shared" si="94"/>
        <v/>
      </c>
      <c r="K250" s="4" t="str">
        <f t="shared" si="95"/>
        <v/>
      </c>
      <c r="L250" s="4" t="str">
        <f t="shared" si="96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90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91"/>
        <v>0.21212121212121213</v>
      </c>
      <c r="H251" s="4" t="str">
        <f t="shared" si="92"/>
        <v/>
      </c>
      <c r="I251" s="4" t="str">
        <f t="shared" si="93"/>
        <v/>
      </c>
      <c r="J251" s="4" t="str">
        <f t="shared" si="94"/>
        <v/>
      </c>
      <c r="K251" s="4" t="str">
        <f t="shared" si="95"/>
        <v/>
      </c>
      <c r="L251" s="4" t="str">
        <f t="shared" si="96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1</v>
      </c>
      <c r="C252" t="str">
        <f t="shared" si="90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91"/>
        <v>0.21818181818181817</v>
      </c>
      <c r="H252" s="4" t="str">
        <f t="shared" si="92"/>
        <v/>
      </c>
      <c r="I252" s="4" t="str">
        <f t="shared" si="93"/>
        <v/>
      </c>
      <c r="J252" s="4" t="str">
        <f t="shared" si="94"/>
        <v/>
      </c>
      <c r="K252" s="4" t="str">
        <f t="shared" si="95"/>
        <v/>
      </c>
      <c r="L252" s="4" t="str">
        <f t="shared" si="96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1</v>
      </c>
      <c r="C253" t="str">
        <f t="shared" si="90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91"/>
        <v>0.23636363636363636</v>
      </c>
      <c r="H253" s="4" t="str">
        <f t="shared" si="92"/>
        <v/>
      </c>
      <c r="I253" s="4" t="str">
        <f t="shared" si="93"/>
        <v/>
      </c>
      <c r="J253" s="4" t="str">
        <f t="shared" si="94"/>
        <v/>
      </c>
      <c r="K253" s="4" t="str">
        <f t="shared" si="95"/>
        <v/>
      </c>
      <c r="L253" s="4" t="str">
        <f t="shared" si="96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1</v>
      </c>
      <c r="C254" t="str">
        <f t="shared" si="90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91"/>
        <v>0.24242424242424243</v>
      </c>
      <c r="H254" s="4" t="str">
        <f t="shared" si="92"/>
        <v/>
      </c>
      <c r="I254" s="4" t="str">
        <f t="shared" si="93"/>
        <v/>
      </c>
      <c r="J254" s="4" t="str">
        <f t="shared" si="94"/>
        <v/>
      </c>
      <c r="K254" s="4" t="str">
        <f t="shared" si="95"/>
        <v/>
      </c>
      <c r="L254" s="4" t="str">
        <f t="shared" si="96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1</v>
      </c>
      <c r="C255" t="str">
        <f t="shared" si="90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91"/>
        <v>0.24848484848484848</v>
      </c>
      <c r="H255" s="4" t="str">
        <f t="shared" si="92"/>
        <v/>
      </c>
      <c r="I255" s="4" t="str">
        <f t="shared" si="93"/>
        <v/>
      </c>
      <c r="J255" s="4" t="str">
        <f t="shared" si="94"/>
        <v/>
      </c>
      <c r="K255" s="4" t="str">
        <f t="shared" si="95"/>
        <v/>
      </c>
      <c r="L255" s="4" t="str">
        <f t="shared" si="96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1</v>
      </c>
      <c r="C256" t="str">
        <f t="shared" si="90"/>
        <v>test.client_1_</v>
      </c>
      <c r="D256">
        <v>16</v>
      </c>
      <c r="E256" s="4">
        <v>1</v>
      </c>
      <c r="F256" s="4">
        <v>0.9631803969114926</v>
      </c>
      <c r="G256" s="4" t="str">
        <f t="shared" si="91"/>
        <v/>
      </c>
      <c r="H256" s="4" t="str">
        <f t="shared" si="92"/>
        <v/>
      </c>
      <c r="I256" s="4" t="str">
        <f t="shared" si="93"/>
        <v/>
      </c>
      <c r="J256" s="4" t="str">
        <f t="shared" si="94"/>
        <v/>
      </c>
      <c r="K256" s="4">
        <f t="shared" si="95"/>
        <v>1</v>
      </c>
      <c r="L256" s="4" t="str">
        <f t="shared" si="96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3</v>
      </c>
      <c r="C257" t="str">
        <f t="shared" si="90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91"/>
        <v/>
      </c>
      <c r="H257" s="4" t="str">
        <f t="shared" si="92"/>
        <v/>
      </c>
      <c r="I257" s="4" t="str">
        <f t="shared" si="93"/>
        <v/>
      </c>
      <c r="J257" s="4">
        <f t="shared" si="94"/>
        <v>0.84036144578313254</v>
      </c>
      <c r="K257" s="4" t="str">
        <f t="shared" si="95"/>
        <v/>
      </c>
      <c r="L257" s="4" t="str">
        <f t="shared" si="96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3</v>
      </c>
      <c r="C258" t="str">
        <f t="shared" si="90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91"/>
        <v/>
      </c>
      <c r="H258" s="4" t="str">
        <f t="shared" si="92"/>
        <v/>
      </c>
      <c r="I258" s="4" t="str">
        <f t="shared" si="93"/>
        <v/>
      </c>
      <c r="J258" s="4" t="str">
        <f t="shared" si="94"/>
        <v/>
      </c>
      <c r="K258" s="4">
        <f t="shared" si="95"/>
        <v>0.99698795180722888</v>
      </c>
      <c r="L258" s="4" t="str">
        <f t="shared" si="96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3</v>
      </c>
      <c r="C259" t="str">
        <f t="shared" ref="C259:C322" si="97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98">IF(F259 &lt;= 0.2,E259,"")</f>
        <v/>
      </c>
      <c r="H259" s="4" t="str">
        <f t="shared" ref="H259:H322" si="99">IF(AND($F259 &gt; 0.2,$F259 &lt;= 0.4),$E259,"")</f>
        <v/>
      </c>
      <c r="I259" s="4" t="str">
        <f t="shared" ref="I259:I322" si="100">IF(AND($F259 &gt; 0.4,$F259 &lt;= 0.6),$E259,"")</f>
        <v/>
      </c>
      <c r="J259" s="4" t="str">
        <f t="shared" ref="J259:J322" si="101">IF(AND($F259 &gt; 0.6,$F259 &lt;= 0.8),$E259,"")</f>
        <v/>
      </c>
      <c r="K259" s="4">
        <f t="shared" ref="K259:K322" si="102">IF(AND($F259 &gt; 0.8, $F259 &lt;=1.1),$E259,"")</f>
        <v>1</v>
      </c>
      <c r="L259" s="4" t="str">
        <f t="shared" ref="L259:L322" si="103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97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98"/>
        <v/>
      </c>
      <c r="H260" s="4" t="str">
        <f t="shared" si="99"/>
        <v/>
      </c>
      <c r="I260" s="4" t="str">
        <f t="shared" si="100"/>
        <v/>
      </c>
      <c r="J260" s="4" t="str">
        <f t="shared" si="101"/>
        <v/>
      </c>
      <c r="K260" s="4">
        <f t="shared" si="102"/>
        <v>0.86821705426356588</v>
      </c>
      <c r="L260" s="4" t="str">
        <f t="shared" si="103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97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98"/>
        <v/>
      </c>
      <c r="H261" s="4" t="str">
        <f t="shared" si="99"/>
        <v/>
      </c>
      <c r="I261" s="4" t="str">
        <f t="shared" si="100"/>
        <v/>
      </c>
      <c r="J261" s="4" t="str">
        <f t="shared" si="101"/>
        <v/>
      </c>
      <c r="K261" s="4">
        <f t="shared" si="102"/>
        <v>0.89922480620155043</v>
      </c>
      <c r="L261" s="4" t="str">
        <f t="shared" si="103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97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98"/>
        <v/>
      </c>
      <c r="H262" s="4" t="str">
        <f t="shared" si="99"/>
        <v/>
      </c>
      <c r="I262" s="4" t="str">
        <f t="shared" si="100"/>
        <v/>
      </c>
      <c r="J262" s="4" t="str">
        <f t="shared" si="101"/>
        <v/>
      </c>
      <c r="K262" s="4">
        <f t="shared" si="102"/>
        <v>0.92248062015503873</v>
      </c>
      <c r="L262" s="4" t="str">
        <f t="shared" si="103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97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98"/>
        <v/>
      </c>
      <c r="H263" s="4" t="str">
        <f t="shared" si="99"/>
        <v/>
      </c>
      <c r="I263" s="4" t="str">
        <f t="shared" si="100"/>
        <v/>
      </c>
      <c r="J263" s="4" t="str">
        <f t="shared" si="101"/>
        <v/>
      </c>
      <c r="K263" s="4">
        <f t="shared" si="102"/>
        <v>0.99224806201550386</v>
      </c>
      <c r="L263" s="4" t="str">
        <f t="shared" si="103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4</v>
      </c>
      <c r="C264" t="str">
        <f t="shared" si="97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98"/>
        <v/>
      </c>
      <c r="H264" s="4" t="str">
        <f t="shared" si="99"/>
        <v/>
      </c>
      <c r="I264" s="4" t="str">
        <f t="shared" si="100"/>
        <v/>
      </c>
      <c r="J264" s="4" t="str">
        <f t="shared" si="101"/>
        <v/>
      </c>
      <c r="K264" s="4">
        <f t="shared" si="102"/>
        <v>0.99224806201550386</v>
      </c>
      <c r="L264" s="4" t="str">
        <f t="shared" si="103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4</v>
      </c>
      <c r="C265" t="str">
        <f t="shared" si="97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98"/>
        <v/>
      </c>
      <c r="H265" s="4" t="str">
        <f t="shared" si="99"/>
        <v/>
      </c>
      <c r="I265" s="4" t="str">
        <f t="shared" si="100"/>
        <v/>
      </c>
      <c r="J265" s="4" t="str">
        <f t="shared" si="101"/>
        <v/>
      </c>
      <c r="K265" s="4">
        <f t="shared" si="102"/>
        <v>0.99224806201550386</v>
      </c>
      <c r="L265" s="4" t="str">
        <f t="shared" si="103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4</v>
      </c>
      <c r="C266" t="str">
        <f t="shared" si="97"/>
        <v>test.client_4_</v>
      </c>
      <c r="D266">
        <v>7</v>
      </c>
      <c r="E266" s="4">
        <v>1</v>
      </c>
      <c r="F266" s="4">
        <v>1.1427769461077844</v>
      </c>
      <c r="G266" s="4" t="str">
        <f t="shared" si="98"/>
        <v/>
      </c>
      <c r="H266" s="4" t="str">
        <f t="shared" si="99"/>
        <v/>
      </c>
      <c r="I266" s="4" t="str">
        <f t="shared" si="100"/>
        <v/>
      </c>
      <c r="J266" s="4" t="str">
        <f t="shared" si="101"/>
        <v/>
      </c>
      <c r="K266" s="4" t="str">
        <f t="shared" si="102"/>
        <v/>
      </c>
      <c r="L266" s="4">
        <f t="shared" si="103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4</v>
      </c>
      <c r="C267" t="str">
        <f t="shared" si="97"/>
        <v>test.client_4_</v>
      </c>
      <c r="D267">
        <v>8</v>
      </c>
      <c r="E267" s="4">
        <v>1</v>
      </c>
      <c r="F267" s="4">
        <v>1.1483907185628743</v>
      </c>
      <c r="G267" s="4" t="str">
        <f t="shared" si="98"/>
        <v/>
      </c>
      <c r="H267" s="4" t="str">
        <f t="shared" si="99"/>
        <v/>
      </c>
      <c r="I267" s="4" t="str">
        <f t="shared" si="100"/>
        <v/>
      </c>
      <c r="J267" s="4" t="str">
        <f t="shared" si="101"/>
        <v/>
      </c>
      <c r="K267" s="4" t="str">
        <f t="shared" si="102"/>
        <v/>
      </c>
      <c r="L267" s="4">
        <f t="shared" si="103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4</v>
      </c>
      <c r="C268" t="str">
        <f t="shared" si="97"/>
        <v>test.client_4_</v>
      </c>
      <c r="D268">
        <v>9</v>
      </c>
      <c r="E268" s="4">
        <v>1</v>
      </c>
      <c r="F268" s="4">
        <v>1.1648577844311376</v>
      </c>
      <c r="G268" s="4" t="str">
        <f t="shared" si="98"/>
        <v/>
      </c>
      <c r="H268" s="4" t="str">
        <f t="shared" si="99"/>
        <v/>
      </c>
      <c r="I268" s="4" t="str">
        <f t="shared" si="100"/>
        <v/>
      </c>
      <c r="J268" s="4" t="str">
        <f t="shared" si="101"/>
        <v/>
      </c>
      <c r="K268" s="4" t="str">
        <f t="shared" si="102"/>
        <v/>
      </c>
      <c r="L268" s="4">
        <f t="shared" si="103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6</v>
      </c>
      <c r="C269" t="str">
        <f t="shared" si="97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98"/>
        <v/>
      </c>
      <c r="H269" s="4" t="str">
        <f t="shared" si="99"/>
        <v/>
      </c>
      <c r="I269" s="4" t="str">
        <f t="shared" si="100"/>
        <v/>
      </c>
      <c r="J269" s="4">
        <f t="shared" si="101"/>
        <v>0.64462809917355368</v>
      </c>
      <c r="K269" s="4" t="str">
        <f t="shared" si="102"/>
        <v/>
      </c>
      <c r="L269" s="4" t="str">
        <f t="shared" si="103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6</v>
      </c>
      <c r="C270" t="str">
        <f t="shared" si="97"/>
        <v>test.client_6_</v>
      </c>
      <c r="D270">
        <v>2</v>
      </c>
      <c r="E270" s="4">
        <v>1</v>
      </c>
      <c r="F270" s="4">
        <v>0.61874077057323129</v>
      </c>
      <c r="G270" s="4" t="str">
        <f t="shared" si="98"/>
        <v/>
      </c>
      <c r="H270" s="4" t="str">
        <f t="shared" si="99"/>
        <v/>
      </c>
      <c r="I270" s="4" t="str">
        <f t="shared" si="100"/>
        <v/>
      </c>
      <c r="J270" s="4">
        <f t="shared" si="101"/>
        <v>1</v>
      </c>
      <c r="K270" s="4" t="str">
        <f t="shared" si="102"/>
        <v/>
      </c>
      <c r="L270" s="4" t="str">
        <f t="shared" si="103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97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98"/>
        <v>2.4390243902439025E-2</v>
      </c>
      <c r="H271" s="4" t="str">
        <f t="shared" si="99"/>
        <v/>
      </c>
      <c r="I271" s="4" t="str">
        <f t="shared" si="100"/>
        <v/>
      </c>
      <c r="J271" s="4" t="str">
        <f t="shared" si="101"/>
        <v/>
      </c>
      <c r="K271" s="4" t="str">
        <f t="shared" si="102"/>
        <v/>
      </c>
      <c r="L271" s="4" t="str">
        <f t="shared" si="103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97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98"/>
        <v>7.3170731707317069E-2</v>
      </c>
      <c r="H272" s="4" t="str">
        <f t="shared" si="99"/>
        <v/>
      </c>
      <c r="I272" s="4" t="str">
        <f t="shared" si="100"/>
        <v/>
      </c>
      <c r="J272" s="4" t="str">
        <f t="shared" si="101"/>
        <v/>
      </c>
      <c r="K272" s="4" t="str">
        <f t="shared" si="102"/>
        <v/>
      </c>
      <c r="L272" s="4" t="str">
        <f t="shared" si="103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492</v>
      </c>
      <c r="B273">
        <v>7</v>
      </c>
      <c r="C273" t="str">
        <f t="shared" si="97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98"/>
        <v/>
      </c>
      <c r="H273" s="4">
        <f t="shared" si="99"/>
        <v>0.14634146341463414</v>
      </c>
      <c r="I273" s="4" t="str">
        <f t="shared" si="100"/>
        <v/>
      </c>
      <c r="J273" s="4" t="str">
        <f t="shared" si="101"/>
        <v/>
      </c>
      <c r="K273" s="4" t="str">
        <f t="shared" si="102"/>
        <v/>
      </c>
      <c r="L273" s="4" t="str">
        <f t="shared" si="103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492</v>
      </c>
      <c r="B274">
        <v>7</v>
      </c>
      <c r="C274" t="str">
        <f t="shared" si="97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98"/>
        <v/>
      </c>
      <c r="H274" s="4" t="str">
        <f t="shared" si="99"/>
        <v/>
      </c>
      <c r="I274" s="4" t="str">
        <f t="shared" si="100"/>
        <v/>
      </c>
      <c r="J274" s="4">
        <f t="shared" si="101"/>
        <v>0.17073170731707318</v>
      </c>
      <c r="K274" s="4" t="str">
        <f t="shared" si="102"/>
        <v/>
      </c>
      <c r="L274" s="4" t="str">
        <f t="shared" si="103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492</v>
      </c>
      <c r="B275">
        <v>7</v>
      </c>
      <c r="C275" t="str">
        <f t="shared" si="97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98"/>
        <v/>
      </c>
      <c r="H275" s="4" t="str">
        <f t="shared" si="99"/>
        <v/>
      </c>
      <c r="I275" s="4" t="str">
        <f t="shared" si="100"/>
        <v/>
      </c>
      <c r="J275" s="4" t="str">
        <f t="shared" si="101"/>
        <v/>
      </c>
      <c r="K275" s="4">
        <f t="shared" si="102"/>
        <v>0.26829268292682928</v>
      </c>
      <c r="L275" s="4" t="str">
        <f t="shared" si="103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492</v>
      </c>
      <c r="B276">
        <v>7</v>
      </c>
      <c r="C276" t="str">
        <f t="shared" si="97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98"/>
        <v/>
      </c>
      <c r="H276" s="4" t="str">
        <f t="shared" si="99"/>
        <v/>
      </c>
      <c r="I276" s="4" t="str">
        <f t="shared" si="100"/>
        <v/>
      </c>
      <c r="J276" s="4" t="str">
        <f t="shared" si="101"/>
        <v/>
      </c>
      <c r="K276" s="4">
        <f t="shared" si="102"/>
        <v>0.26829268292682928</v>
      </c>
      <c r="L276" s="4" t="str">
        <f t="shared" si="103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7" t="s">
        <v>492</v>
      </c>
      <c r="B277" s="7">
        <v>7</v>
      </c>
      <c r="C277" t="str">
        <f t="shared" si="97"/>
        <v>test.client_7_</v>
      </c>
      <c r="D277" s="7">
        <v>7</v>
      </c>
      <c r="E277" s="4">
        <v>1</v>
      </c>
      <c r="F277" s="4">
        <v>1.3178571428571428</v>
      </c>
      <c r="G277" s="4" t="str">
        <f t="shared" si="98"/>
        <v/>
      </c>
      <c r="H277" s="4" t="str">
        <f t="shared" si="99"/>
        <v/>
      </c>
      <c r="I277" s="4" t="str">
        <f t="shared" si="100"/>
        <v/>
      </c>
      <c r="J277" s="4" t="str">
        <f t="shared" si="101"/>
        <v/>
      </c>
      <c r="K277" s="4" t="str">
        <f t="shared" si="102"/>
        <v/>
      </c>
      <c r="L277" s="4">
        <f t="shared" si="103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3</v>
      </c>
      <c r="C278" t="str">
        <f t="shared" si="97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98"/>
        <v>9.6774193548387094E-2</v>
      </c>
      <c r="H278" s="4" t="str">
        <f t="shared" si="99"/>
        <v/>
      </c>
      <c r="I278" s="4" t="str">
        <f t="shared" si="100"/>
        <v/>
      </c>
      <c r="J278" s="4" t="str">
        <f t="shared" si="101"/>
        <v/>
      </c>
      <c r="K278" s="4" t="str">
        <f t="shared" si="102"/>
        <v/>
      </c>
      <c r="L278" s="4" t="str">
        <f t="shared" si="103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3</v>
      </c>
      <c r="C279" t="str">
        <f t="shared" si="97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98"/>
        <v/>
      </c>
      <c r="H279" s="4" t="str">
        <f t="shared" si="99"/>
        <v/>
      </c>
      <c r="I279" s="4">
        <f t="shared" si="100"/>
        <v>0.74193548387096775</v>
      </c>
      <c r="J279" s="4" t="str">
        <f t="shared" si="101"/>
        <v/>
      </c>
      <c r="K279" s="4" t="str">
        <f t="shared" si="102"/>
        <v/>
      </c>
      <c r="L279" s="4" t="str">
        <f t="shared" si="103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3</v>
      </c>
      <c r="C280" t="str">
        <f t="shared" si="97"/>
        <v>test.GeoEngine_3_</v>
      </c>
      <c r="D280">
        <v>3</v>
      </c>
      <c r="E280" s="4">
        <v>1</v>
      </c>
      <c r="F280" s="4">
        <v>0.58401026079521168</v>
      </c>
      <c r="G280" s="4" t="str">
        <f t="shared" si="98"/>
        <v/>
      </c>
      <c r="H280" s="4" t="str">
        <f t="shared" si="99"/>
        <v/>
      </c>
      <c r="I280" s="4">
        <f t="shared" si="100"/>
        <v>1</v>
      </c>
      <c r="J280" s="4" t="str">
        <f t="shared" si="101"/>
        <v/>
      </c>
      <c r="K280" s="4" t="str">
        <f t="shared" si="102"/>
        <v/>
      </c>
      <c r="L280" s="4" t="str">
        <f t="shared" si="103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97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98"/>
        <v>5.3571428571428568E-2</v>
      </c>
      <c r="H281" s="4" t="str">
        <f t="shared" si="99"/>
        <v/>
      </c>
      <c r="I281" s="4" t="str">
        <f t="shared" si="100"/>
        <v/>
      </c>
      <c r="J281" s="4" t="str">
        <f t="shared" si="101"/>
        <v/>
      </c>
      <c r="K281" s="4" t="str">
        <f t="shared" si="102"/>
        <v/>
      </c>
      <c r="L281" s="4" t="str">
        <f t="shared" si="103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7</v>
      </c>
      <c r="C282" t="str">
        <f t="shared" si="97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98"/>
        <v>7.1428571428571425E-2</v>
      </c>
      <c r="H282" s="4" t="str">
        <f t="shared" si="99"/>
        <v/>
      </c>
      <c r="I282" s="4" t="str">
        <f t="shared" si="100"/>
        <v/>
      </c>
      <c r="J282" s="4" t="str">
        <f t="shared" si="101"/>
        <v/>
      </c>
      <c r="K282" s="4" t="str">
        <f t="shared" si="102"/>
        <v/>
      </c>
      <c r="L282" s="4" t="str">
        <f t="shared" si="103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7</v>
      </c>
      <c r="C283" t="str">
        <f t="shared" si="97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98"/>
        <v>0.2857142857142857</v>
      </c>
      <c r="H283" s="4" t="str">
        <f t="shared" si="99"/>
        <v/>
      </c>
      <c r="I283" s="4" t="str">
        <f t="shared" si="100"/>
        <v/>
      </c>
      <c r="J283" s="4" t="str">
        <f t="shared" si="101"/>
        <v/>
      </c>
      <c r="K283" s="4" t="str">
        <f t="shared" si="102"/>
        <v/>
      </c>
      <c r="L283" s="4" t="str">
        <f t="shared" si="103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7</v>
      </c>
      <c r="C284" t="str">
        <f t="shared" si="97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98"/>
        <v>0.48214285714285715</v>
      </c>
      <c r="H284" s="4" t="str">
        <f t="shared" si="99"/>
        <v/>
      </c>
      <c r="I284" s="4" t="str">
        <f t="shared" si="100"/>
        <v/>
      </c>
      <c r="J284" s="4" t="str">
        <f t="shared" si="101"/>
        <v/>
      </c>
      <c r="K284" s="4" t="str">
        <f t="shared" si="102"/>
        <v/>
      </c>
      <c r="L284" s="4" t="str">
        <f t="shared" si="103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7</v>
      </c>
      <c r="C285" t="str">
        <f t="shared" si="97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98"/>
        <v>0.5178571428571429</v>
      </c>
      <c r="H285" s="4" t="str">
        <f t="shared" si="99"/>
        <v/>
      </c>
      <c r="I285" s="4" t="str">
        <f t="shared" si="100"/>
        <v/>
      </c>
      <c r="J285" s="4" t="str">
        <f t="shared" si="101"/>
        <v/>
      </c>
      <c r="K285" s="4" t="str">
        <f t="shared" si="102"/>
        <v/>
      </c>
      <c r="L285" s="4" t="str">
        <f t="shared" si="103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7</v>
      </c>
      <c r="C286" t="str">
        <f t="shared" si="97"/>
        <v>test.GeoEngine_7_</v>
      </c>
      <c r="D286">
        <v>6</v>
      </c>
      <c r="E286" s="4">
        <v>1</v>
      </c>
      <c r="F286" s="4">
        <v>0.98266686939334047</v>
      </c>
      <c r="G286" s="4" t="str">
        <f t="shared" si="98"/>
        <v/>
      </c>
      <c r="H286" s="4" t="str">
        <f t="shared" si="99"/>
        <v/>
      </c>
      <c r="I286" s="4" t="str">
        <f t="shared" si="100"/>
        <v/>
      </c>
      <c r="J286" s="4" t="str">
        <f t="shared" si="101"/>
        <v/>
      </c>
      <c r="K286" s="4">
        <f t="shared" si="102"/>
        <v>1</v>
      </c>
      <c r="L286" s="4" t="str">
        <f t="shared" si="103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97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98"/>
        <v>4.6511627906976744E-2</v>
      </c>
      <c r="H287" s="4" t="str">
        <f t="shared" si="99"/>
        <v/>
      </c>
      <c r="I287" s="4" t="str">
        <f t="shared" si="100"/>
        <v/>
      </c>
      <c r="J287" s="4" t="str">
        <f t="shared" si="101"/>
        <v/>
      </c>
      <c r="K287" s="4" t="str">
        <f t="shared" si="102"/>
        <v/>
      </c>
      <c r="L287" s="4" t="str">
        <f t="shared" si="103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97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98"/>
        <v>0.1744186046511628</v>
      </c>
      <c r="H288" s="4" t="str">
        <f t="shared" si="99"/>
        <v/>
      </c>
      <c r="I288" s="4" t="str">
        <f t="shared" si="100"/>
        <v/>
      </c>
      <c r="J288" s="4" t="str">
        <f t="shared" si="101"/>
        <v/>
      </c>
      <c r="K288" s="4" t="str">
        <f t="shared" si="102"/>
        <v/>
      </c>
      <c r="L288" s="4" t="str">
        <f t="shared" si="103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97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98"/>
        <v>0.22093023255813954</v>
      </c>
      <c r="H289" s="4" t="str">
        <f t="shared" si="99"/>
        <v/>
      </c>
      <c r="I289" s="4" t="str">
        <f t="shared" si="100"/>
        <v/>
      </c>
      <c r="J289" s="4" t="str">
        <f t="shared" si="101"/>
        <v/>
      </c>
      <c r="K289" s="4" t="str">
        <f t="shared" si="102"/>
        <v/>
      </c>
      <c r="L289" s="4" t="str">
        <f t="shared" si="103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97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98"/>
        <v>0.33720930232558138</v>
      </c>
      <c r="H290" s="4" t="str">
        <f t="shared" si="99"/>
        <v/>
      </c>
      <c r="I290" s="4" t="str">
        <f t="shared" si="100"/>
        <v/>
      </c>
      <c r="J290" s="4" t="str">
        <f t="shared" si="101"/>
        <v/>
      </c>
      <c r="K290" s="4" t="str">
        <f t="shared" si="102"/>
        <v/>
      </c>
      <c r="L290" s="4" t="str">
        <f t="shared" si="103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97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98"/>
        <v>0.36046511627906974</v>
      </c>
      <c r="H291" s="4" t="str">
        <f t="shared" si="99"/>
        <v/>
      </c>
      <c r="I291" s="4" t="str">
        <f t="shared" si="100"/>
        <v/>
      </c>
      <c r="J291" s="4" t="str">
        <f t="shared" si="101"/>
        <v/>
      </c>
      <c r="K291" s="4" t="str">
        <f t="shared" si="102"/>
        <v/>
      </c>
      <c r="L291" s="4" t="str">
        <f t="shared" si="103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97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98"/>
        <v/>
      </c>
      <c r="H292" s="4" t="str">
        <f t="shared" si="99"/>
        <v/>
      </c>
      <c r="I292" s="4" t="str">
        <f t="shared" si="100"/>
        <v/>
      </c>
      <c r="J292" s="4">
        <f t="shared" si="101"/>
        <v>0.7558139534883721</v>
      </c>
      <c r="K292" s="4" t="str">
        <f t="shared" si="102"/>
        <v/>
      </c>
      <c r="L292" s="4" t="str">
        <f t="shared" si="103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8</v>
      </c>
      <c r="C293" t="str">
        <f t="shared" si="97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98"/>
        <v/>
      </c>
      <c r="H293" s="4" t="str">
        <f t="shared" si="99"/>
        <v/>
      </c>
      <c r="I293" s="4" t="str">
        <f t="shared" si="100"/>
        <v/>
      </c>
      <c r="J293" s="4">
        <f t="shared" si="101"/>
        <v>0.80232558139534882</v>
      </c>
      <c r="K293" s="4" t="str">
        <f t="shared" si="102"/>
        <v/>
      </c>
      <c r="L293" s="4" t="str">
        <f t="shared" si="103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8</v>
      </c>
      <c r="C294" t="str">
        <f t="shared" si="97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98"/>
        <v/>
      </c>
      <c r="H294" s="4" t="str">
        <f t="shared" si="99"/>
        <v/>
      </c>
      <c r="I294" s="4" t="str">
        <f t="shared" si="100"/>
        <v/>
      </c>
      <c r="J294" s="4">
        <f t="shared" si="101"/>
        <v>0.81395348837209303</v>
      </c>
      <c r="K294" s="4" t="str">
        <f t="shared" si="102"/>
        <v/>
      </c>
      <c r="L294" s="4" t="str">
        <f t="shared" si="103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8</v>
      </c>
      <c r="C295" t="str">
        <f t="shared" si="97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98"/>
        <v/>
      </c>
      <c r="H295" s="4" t="str">
        <f t="shared" si="99"/>
        <v/>
      </c>
      <c r="I295" s="4" t="str">
        <f t="shared" si="100"/>
        <v/>
      </c>
      <c r="J295" s="4" t="str">
        <f t="shared" si="101"/>
        <v/>
      </c>
      <c r="K295" s="4">
        <f t="shared" si="102"/>
        <v>0.87209302325581395</v>
      </c>
      <c r="L295" s="4" t="str">
        <f t="shared" si="103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8</v>
      </c>
      <c r="C296" t="str">
        <f t="shared" si="97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98"/>
        <v/>
      </c>
      <c r="H296" s="4" t="str">
        <f t="shared" si="99"/>
        <v/>
      </c>
      <c r="I296" s="4" t="str">
        <f t="shared" si="100"/>
        <v/>
      </c>
      <c r="J296" s="4" t="str">
        <f t="shared" si="101"/>
        <v/>
      </c>
      <c r="K296" s="4">
        <f t="shared" si="102"/>
        <v>0.91860465116279066</v>
      </c>
      <c r="L296" s="4" t="str">
        <f t="shared" si="103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8</v>
      </c>
      <c r="C297" t="str">
        <f t="shared" si="97"/>
        <v>test.GeoEngine_8_</v>
      </c>
      <c r="D297">
        <v>11</v>
      </c>
      <c r="E297" s="4">
        <v>1</v>
      </c>
      <c r="F297" s="4">
        <v>0.92365870952493501</v>
      </c>
      <c r="G297" s="4" t="str">
        <f t="shared" si="98"/>
        <v/>
      </c>
      <c r="H297" s="4" t="str">
        <f t="shared" si="99"/>
        <v/>
      </c>
      <c r="I297" s="4" t="str">
        <f t="shared" si="100"/>
        <v/>
      </c>
      <c r="J297" s="4" t="str">
        <f t="shared" si="101"/>
        <v/>
      </c>
      <c r="K297" s="4">
        <f t="shared" si="102"/>
        <v>1</v>
      </c>
      <c r="L297" s="4" t="str">
        <f t="shared" si="103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9</v>
      </c>
      <c r="C298" t="str">
        <f t="shared" si="97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98"/>
        <v>8.6956521739130432E-2</v>
      </c>
      <c r="H298" s="4" t="str">
        <f t="shared" si="99"/>
        <v/>
      </c>
      <c r="I298" s="4" t="str">
        <f t="shared" si="100"/>
        <v/>
      </c>
      <c r="J298" s="4" t="str">
        <f t="shared" si="101"/>
        <v/>
      </c>
      <c r="K298" s="4" t="str">
        <f t="shared" si="102"/>
        <v/>
      </c>
      <c r="L298" s="4" t="str">
        <f t="shared" si="103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9</v>
      </c>
      <c r="C299" t="str">
        <f t="shared" si="97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98"/>
        <v>0.19565217391304349</v>
      </c>
      <c r="H299" s="4" t="str">
        <f t="shared" si="99"/>
        <v/>
      </c>
      <c r="I299" s="4" t="str">
        <f t="shared" si="100"/>
        <v/>
      </c>
      <c r="J299" s="4" t="str">
        <f t="shared" si="101"/>
        <v/>
      </c>
      <c r="K299" s="4" t="str">
        <f t="shared" si="102"/>
        <v/>
      </c>
      <c r="L299" s="4" t="str">
        <f t="shared" si="103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9</v>
      </c>
      <c r="C300" t="str">
        <f t="shared" si="97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98"/>
        <v/>
      </c>
      <c r="H300" s="4">
        <f t="shared" si="99"/>
        <v>0.41304347826086957</v>
      </c>
      <c r="I300" s="4" t="str">
        <f t="shared" si="100"/>
        <v/>
      </c>
      <c r="J300" s="4" t="str">
        <f t="shared" si="101"/>
        <v/>
      </c>
      <c r="K300" s="4" t="str">
        <f t="shared" si="102"/>
        <v/>
      </c>
      <c r="L300" s="4" t="str">
        <f t="shared" si="103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9</v>
      </c>
      <c r="C301" t="str">
        <f t="shared" si="97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98"/>
        <v/>
      </c>
      <c r="H301" s="4">
        <f t="shared" si="99"/>
        <v>0.45652173913043476</v>
      </c>
      <c r="I301" s="4" t="str">
        <f t="shared" si="100"/>
        <v/>
      </c>
      <c r="J301" s="4" t="str">
        <f t="shared" si="101"/>
        <v/>
      </c>
      <c r="K301" s="4" t="str">
        <f t="shared" si="102"/>
        <v/>
      </c>
      <c r="L301" s="4" t="str">
        <f t="shared" si="103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9</v>
      </c>
      <c r="C302" t="str">
        <f t="shared" si="97"/>
        <v>test.GeoEngine_9_</v>
      </c>
      <c r="D302">
        <v>5</v>
      </c>
      <c r="E302" s="4">
        <v>1</v>
      </c>
      <c r="F302" s="4">
        <v>0.97047451669595786</v>
      </c>
      <c r="G302" s="4" t="str">
        <f t="shared" si="98"/>
        <v/>
      </c>
      <c r="H302" s="4" t="str">
        <f t="shared" si="99"/>
        <v/>
      </c>
      <c r="I302" s="4" t="str">
        <f t="shared" si="100"/>
        <v/>
      </c>
      <c r="J302" s="4" t="str">
        <f t="shared" si="101"/>
        <v/>
      </c>
      <c r="K302" s="4">
        <f t="shared" si="102"/>
        <v>1</v>
      </c>
      <c r="L302" s="4" t="str">
        <f t="shared" si="103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97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98"/>
        <v>3.3333333333333333E-2</v>
      </c>
      <c r="H303" s="4" t="str">
        <f t="shared" si="99"/>
        <v/>
      </c>
      <c r="I303" s="4" t="str">
        <f t="shared" si="100"/>
        <v/>
      </c>
      <c r="J303" s="4" t="str">
        <f t="shared" si="101"/>
        <v/>
      </c>
      <c r="K303" s="4" t="str">
        <f t="shared" si="102"/>
        <v/>
      </c>
      <c r="L303" s="4" t="str">
        <f t="shared" si="103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97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98"/>
        <v/>
      </c>
      <c r="H304" s="4">
        <f t="shared" si="99"/>
        <v>0.2</v>
      </c>
      <c r="I304" s="4" t="str">
        <f t="shared" si="100"/>
        <v/>
      </c>
      <c r="J304" s="4" t="str">
        <f t="shared" si="101"/>
        <v/>
      </c>
      <c r="K304" s="4" t="str">
        <f t="shared" si="102"/>
        <v/>
      </c>
      <c r="L304" s="4" t="str">
        <f t="shared" si="103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97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98"/>
        <v/>
      </c>
      <c r="H305" s="4" t="str">
        <f t="shared" si="99"/>
        <v/>
      </c>
      <c r="I305" s="4">
        <f t="shared" si="100"/>
        <v>0.4</v>
      </c>
      <c r="J305" s="4" t="str">
        <f t="shared" si="101"/>
        <v/>
      </c>
      <c r="K305" s="4" t="str">
        <f t="shared" si="102"/>
        <v/>
      </c>
      <c r="L305" s="4" t="str">
        <f t="shared" si="103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97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98"/>
        <v/>
      </c>
      <c r="H306" s="4" t="str">
        <f t="shared" si="99"/>
        <v/>
      </c>
      <c r="I306" s="4">
        <f t="shared" si="100"/>
        <v>0.43333333333333335</v>
      </c>
      <c r="J306" s="4" t="str">
        <f t="shared" si="101"/>
        <v/>
      </c>
      <c r="K306" s="4" t="str">
        <f t="shared" si="102"/>
        <v/>
      </c>
      <c r="L306" s="4" t="str">
        <f t="shared" si="103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97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98"/>
        <v/>
      </c>
      <c r="H307" s="4" t="str">
        <f t="shared" si="99"/>
        <v/>
      </c>
      <c r="I307" s="4" t="str">
        <f t="shared" si="100"/>
        <v/>
      </c>
      <c r="J307" s="4">
        <f t="shared" si="101"/>
        <v>0.6333333333333333</v>
      </c>
      <c r="K307" s="4" t="str">
        <f t="shared" si="102"/>
        <v/>
      </c>
      <c r="L307" s="4" t="str">
        <f t="shared" si="103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97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98"/>
        <v/>
      </c>
      <c r="H308" s="4" t="str">
        <f t="shared" si="99"/>
        <v/>
      </c>
      <c r="I308" s="4" t="str">
        <f t="shared" si="100"/>
        <v/>
      </c>
      <c r="J308" s="4">
        <f t="shared" si="101"/>
        <v>0.6333333333333333</v>
      </c>
      <c r="K308" s="4" t="str">
        <f t="shared" si="102"/>
        <v/>
      </c>
      <c r="L308" s="4" t="str">
        <f t="shared" si="103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97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98"/>
        <v/>
      </c>
      <c r="H309" s="4" t="str">
        <f t="shared" si="99"/>
        <v/>
      </c>
      <c r="I309" s="4" t="str">
        <f t="shared" si="100"/>
        <v/>
      </c>
      <c r="J309" s="4">
        <f t="shared" si="101"/>
        <v>0.66666666666666663</v>
      </c>
      <c r="K309" s="4" t="str">
        <f t="shared" si="102"/>
        <v/>
      </c>
      <c r="L309" s="4" t="str">
        <f t="shared" si="103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97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98"/>
        <v/>
      </c>
      <c r="H310" s="4" t="str">
        <f t="shared" si="99"/>
        <v/>
      </c>
      <c r="I310" s="4" t="str">
        <f t="shared" si="100"/>
        <v/>
      </c>
      <c r="J310" s="4">
        <f t="shared" si="101"/>
        <v>0.8</v>
      </c>
      <c r="K310" s="4" t="str">
        <f t="shared" si="102"/>
        <v/>
      </c>
      <c r="L310" s="4" t="str">
        <f t="shared" si="103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97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98"/>
        <v/>
      </c>
      <c r="H311" s="4" t="str">
        <f t="shared" si="99"/>
        <v/>
      </c>
      <c r="I311" s="4" t="str">
        <f t="shared" si="100"/>
        <v/>
      </c>
      <c r="J311" s="4">
        <f t="shared" si="101"/>
        <v>0.8</v>
      </c>
      <c r="K311" s="4" t="str">
        <f t="shared" si="102"/>
        <v/>
      </c>
      <c r="L311" s="4" t="str">
        <f t="shared" si="103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97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98"/>
        <v/>
      </c>
      <c r="H312" s="4" t="str">
        <f t="shared" si="99"/>
        <v/>
      </c>
      <c r="I312" s="4" t="str">
        <f t="shared" si="100"/>
        <v/>
      </c>
      <c r="J312" s="4">
        <f t="shared" si="101"/>
        <v>0.93333333333333335</v>
      </c>
      <c r="K312" s="4" t="str">
        <f t="shared" si="102"/>
        <v/>
      </c>
      <c r="L312" s="4" t="str">
        <f t="shared" si="103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97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98"/>
        <v/>
      </c>
      <c r="H313" s="4" t="str">
        <f t="shared" si="99"/>
        <v/>
      </c>
      <c r="I313" s="4" t="str">
        <f t="shared" si="100"/>
        <v/>
      </c>
      <c r="J313" s="4">
        <f t="shared" si="101"/>
        <v>0.93333333333333335</v>
      </c>
      <c r="K313" s="4" t="str">
        <f t="shared" si="102"/>
        <v/>
      </c>
      <c r="L313" s="4" t="str">
        <f t="shared" si="103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97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98"/>
        <v/>
      </c>
      <c r="H314" s="4" t="str">
        <f t="shared" si="99"/>
        <v/>
      </c>
      <c r="I314" s="4" t="str">
        <f t="shared" si="100"/>
        <v/>
      </c>
      <c r="J314" s="4" t="str">
        <f t="shared" si="101"/>
        <v/>
      </c>
      <c r="K314" s="4">
        <f t="shared" si="102"/>
        <v>0.96666666666666667</v>
      </c>
      <c r="L314" s="4" t="str">
        <f t="shared" si="103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97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98"/>
        <v/>
      </c>
      <c r="H315" s="4" t="str">
        <f t="shared" si="99"/>
        <v/>
      </c>
      <c r="I315" s="4" t="str">
        <f t="shared" si="100"/>
        <v/>
      </c>
      <c r="J315" s="4" t="str">
        <f t="shared" si="101"/>
        <v/>
      </c>
      <c r="K315" s="4">
        <f t="shared" si="102"/>
        <v>1</v>
      </c>
      <c r="L315" s="4" t="str">
        <f t="shared" si="103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97"/>
        <v>test.GeoEngine_10_</v>
      </c>
      <c r="D316">
        <v>14</v>
      </c>
      <c r="E316" s="4">
        <v>1</v>
      </c>
      <c r="F316" s="4">
        <v>0.8067796610169492</v>
      </c>
      <c r="G316" s="4" t="str">
        <f t="shared" si="98"/>
        <v/>
      </c>
      <c r="H316" s="4" t="str">
        <f t="shared" si="99"/>
        <v/>
      </c>
      <c r="I316" s="4" t="str">
        <f t="shared" si="100"/>
        <v/>
      </c>
      <c r="J316" s="4" t="str">
        <f t="shared" si="101"/>
        <v/>
      </c>
      <c r="K316" s="4">
        <f t="shared" si="102"/>
        <v>1</v>
      </c>
      <c r="L316" s="4" t="str">
        <f t="shared" si="103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97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98"/>
        <v/>
      </c>
      <c r="H317" s="4" t="str">
        <f t="shared" si="99"/>
        <v/>
      </c>
      <c r="I317" s="4" t="str">
        <f t="shared" si="100"/>
        <v/>
      </c>
      <c r="J317" s="4" t="str">
        <f t="shared" si="101"/>
        <v/>
      </c>
      <c r="K317" s="4">
        <f t="shared" si="102"/>
        <v>1</v>
      </c>
      <c r="L317" s="4" t="str">
        <f t="shared" si="103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97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98"/>
        <v/>
      </c>
      <c r="H318" s="4" t="str">
        <f t="shared" si="99"/>
        <v/>
      </c>
      <c r="I318" s="4" t="str">
        <f t="shared" si="100"/>
        <v/>
      </c>
      <c r="J318" s="4" t="str">
        <f t="shared" si="101"/>
        <v/>
      </c>
      <c r="K318" s="4">
        <f t="shared" si="102"/>
        <v>1</v>
      </c>
      <c r="L318" s="4" t="str">
        <f t="shared" si="103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97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98"/>
        <v/>
      </c>
      <c r="H319" s="4" t="str">
        <f t="shared" si="99"/>
        <v/>
      </c>
      <c r="I319" s="4" t="str">
        <f t="shared" si="100"/>
        <v/>
      </c>
      <c r="J319" s="4" t="str">
        <f t="shared" si="101"/>
        <v/>
      </c>
      <c r="K319" s="4">
        <f t="shared" si="102"/>
        <v>1</v>
      </c>
      <c r="L319" s="4" t="str">
        <f t="shared" si="103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97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98"/>
        <v/>
      </c>
      <c r="H320" s="4" t="str">
        <f t="shared" si="99"/>
        <v/>
      </c>
      <c r="I320" s="4" t="str">
        <f t="shared" si="100"/>
        <v/>
      </c>
      <c r="J320" s="4" t="str">
        <f t="shared" si="101"/>
        <v/>
      </c>
      <c r="K320" s="4">
        <f t="shared" si="102"/>
        <v>1</v>
      </c>
      <c r="L320" s="4" t="str">
        <f t="shared" si="103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97"/>
        <v>test.GeoEngine_10_</v>
      </c>
      <c r="D321">
        <v>19</v>
      </c>
      <c r="E321" s="4">
        <v>1</v>
      </c>
      <c r="F321" s="4">
        <v>0.8771186440677966</v>
      </c>
      <c r="G321" s="4" t="str">
        <f t="shared" si="98"/>
        <v/>
      </c>
      <c r="H321" s="4" t="str">
        <f t="shared" si="99"/>
        <v/>
      </c>
      <c r="I321" s="4" t="str">
        <f t="shared" si="100"/>
        <v/>
      </c>
      <c r="J321" s="4" t="str">
        <f t="shared" si="101"/>
        <v/>
      </c>
      <c r="K321" s="4">
        <f t="shared" si="102"/>
        <v>1</v>
      </c>
      <c r="L321" s="4" t="str">
        <f t="shared" si="103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97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98"/>
        <v/>
      </c>
      <c r="H322" s="4" t="str">
        <f t="shared" si="99"/>
        <v/>
      </c>
      <c r="I322" s="4" t="str">
        <f t="shared" si="100"/>
        <v/>
      </c>
      <c r="J322" s="4" t="str">
        <f t="shared" si="101"/>
        <v/>
      </c>
      <c r="K322" s="4">
        <f t="shared" si="102"/>
        <v>1</v>
      </c>
      <c r="L322" s="4" t="str">
        <f t="shared" si="103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104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105">IF(F323 &lt;= 0.2,E323,"")</f>
        <v/>
      </c>
      <c r="H323" s="4" t="str">
        <f t="shared" ref="H323:H386" si="106">IF(AND($F323 &gt; 0.2,$F323 &lt;= 0.4),$E323,"")</f>
        <v/>
      </c>
      <c r="I323" s="4" t="str">
        <f t="shared" ref="I323:I386" si="107">IF(AND($F323 &gt; 0.4,$F323 &lt;= 0.6),$E323,"")</f>
        <v/>
      </c>
      <c r="J323" s="4" t="str">
        <f t="shared" ref="J323:J386" si="108">IF(AND($F323 &gt; 0.6,$F323 &lt;= 0.8),$E323,"")</f>
        <v/>
      </c>
      <c r="K323" s="4">
        <f t="shared" ref="K323:K386" si="109">IF(AND($F323 &gt; 0.8, $F323 &lt;=1.1),$E323,"")</f>
        <v>1</v>
      </c>
      <c r="L323" s="4" t="str">
        <f t="shared" ref="L323:L386" si="110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104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105"/>
        <v/>
      </c>
      <c r="H324" s="4" t="str">
        <f t="shared" si="106"/>
        <v/>
      </c>
      <c r="I324" s="4" t="str">
        <f t="shared" si="107"/>
        <v/>
      </c>
      <c r="J324" s="4" t="str">
        <f t="shared" si="108"/>
        <v/>
      </c>
      <c r="K324" s="4">
        <f t="shared" si="109"/>
        <v>1</v>
      </c>
      <c r="L324" s="4" t="str">
        <f t="shared" si="110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104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105"/>
        <v/>
      </c>
      <c r="H325" s="4" t="str">
        <f t="shared" si="106"/>
        <v/>
      </c>
      <c r="I325" s="4" t="str">
        <f t="shared" si="107"/>
        <v/>
      </c>
      <c r="J325" s="4" t="str">
        <f t="shared" si="108"/>
        <v/>
      </c>
      <c r="K325" s="4">
        <f t="shared" si="109"/>
        <v>1</v>
      </c>
      <c r="L325" s="4" t="str">
        <f t="shared" si="110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104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105"/>
        <v/>
      </c>
      <c r="H326" s="4" t="str">
        <f t="shared" si="106"/>
        <v/>
      </c>
      <c r="I326" s="4" t="str">
        <f t="shared" si="107"/>
        <v/>
      </c>
      <c r="J326" s="4" t="str">
        <f t="shared" si="108"/>
        <v/>
      </c>
      <c r="K326" s="4">
        <f t="shared" si="109"/>
        <v>1</v>
      </c>
      <c r="L326" s="4" t="str">
        <f t="shared" si="110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104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105"/>
        <v/>
      </c>
      <c r="H327" s="4" t="str">
        <f t="shared" si="106"/>
        <v/>
      </c>
      <c r="I327" s="4" t="str">
        <f t="shared" si="107"/>
        <v/>
      </c>
      <c r="J327" s="4" t="str">
        <f t="shared" si="108"/>
        <v/>
      </c>
      <c r="K327" s="4">
        <f t="shared" si="109"/>
        <v>1</v>
      </c>
      <c r="L327" s="4" t="str">
        <f t="shared" si="110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104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105"/>
        <v/>
      </c>
      <c r="H328" s="4" t="str">
        <f t="shared" si="106"/>
        <v/>
      </c>
      <c r="I328" s="4" t="str">
        <f t="shared" si="107"/>
        <v/>
      </c>
      <c r="J328" s="4" t="str">
        <f t="shared" si="108"/>
        <v/>
      </c>
      <c r="K328" s="4">
        <f t="shared" si="109"/>
        <v>1</v>
      </c>
      <c r="L328" s="4" t="str">
        <f t="shared" si="110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104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105"/>
        <v/>
      </c>
      <c r="H329" s="4" t="str">
        <f t="shared" si="106"/>
        <v/>
      </c>
      <c r="I329" s="4" t="str">
        <f t="shared" si="107"/>
        <v/>
      </c>
      <c r="J329" s="4" t="str">
        <f t="shared" si="108"/>
        <v/>
      </c>
      <c r="K329" s="4">
        <f t="shared" si="109"/>
        <v>1</v>
      </c>
      <c r="L329" s="4" t="str">
        <f t="shared" si="110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493</v>
      </c>
      <c r="B330">
        <v>10</v>
      </c>
      <c r="C330" t="str">
        <f t="shared" si="104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105"/>
        <v/>
      </c>
      <c r="H330" s="4" t="str">
        <f t="shared" si="106"/>
        <v/>
      </c>
      <c r="I330" s="4" t="str">
        <f t="shared" si="107"/>
        <v/>
      </c>
      <c r="J330" s="4" t="str">
        <f t="shared" si="108"/>
        <v/>
      </c>
      <c r="K330" s="4">
        <f t="shared" si="109"/>
        <v>1</v>
      </c>
      <c r="L330" s="4" t="str">
        <f t="shared" si="110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493</v>
      </c>
      <c r="B331">
        <v>10</v>
      </c>
      <c r="C331" t="str">
        <f t="shared" si="104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105"/>
        <v/>
      </c>
      <c r="H331" s="4" t="str">
        <f t="shared" si="106"/>
        <v/>
      </c>
      <c r="I331" s="4" t="str">
        <f t="shared" si="107"/>
        <v/>
      </c>
      <c r="J331" s="4" t="str">
        <f t="shared" si="108"/>
        <v/>
      </c>
      <c r="K331" s="4">
        <f t="shared" si="109"/>
        <v>1</v>
      </c>
      <c r="L331" s="4" t="str">
        <f t="shared" si="110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493</v>
      </c>
      <c r="B332">
        <v>10</v>
      </c>
      <c r="C332" t="str">
        <f t="shared" si="104"/>
        <v>test.GeoEngine_10_</v>
      </c>
      <c r="D332">
        <v>30</v>
      </c>
      <c r="E332" s="4">
        <v>1</v>
      </c>
      <c r="F332" s="4">
        <v>0.9720338983050848</v>
      </c>
      <c r="G332" s="4" t="str">
        <f t="shared" si="105"/>
        <v/>
      </c>
      <c r="H332" s="4" t="str">
        <f t="shared" si="106"/>
        <v/>
      </c>
      <c r="I332" s="4" t="str">
        <f t="shared" si="107"/>
        <v/>
      </c>
      <c r="J332" s="4" t="str">
        <f t="shared" si="108"/>
        <v/>
      </c>
      <c r="K332" s="4">
        <f t="shared" si="109"/>
        <v>1</v>
      </c>
      <c r="L332" s="4" t="str">
        <f t="shared" si="110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493</v>
      </c>
      <c r="B333">
        <v>10</v>
      </c>
      <c r="C333" t="str">
        <f t="shared" si="104"/>
        <v>test.GeoEngine_10_</v>
      </c>
      <c r="D333">
        <v>31</v>
      </c>
      <c r="E333" s="4">
        <v>1</v>
      </c>
      <c r="F333" s="4">
        <v>1.0076271186440677</v>
      </c>
      <c r="G333" s="4" t="str">
        <f t="shared" si="105"/>
        <v/>
      </c>
      <c r="H333" s="4" t="str">
        <f t="shared" si="106"/>
        <v/>
      </c>
      <c r="I333" s="4" t="str">
        <f t="shared" si="107"/>
        <v/>
      </c>
      <c r="J333" s="4" t="str">
        <f t="shared" si="108"/>
        <v/>
      </c>
      <c r="K333" s="4">
        <f t="shared" si="109"/>
        <v>1</v>
      </c>
      <c r="L333" s="4" t="str">
        <f t="shared" si="110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493</v>
      </c>
      <c r="B334">
        <v>10</v>
      </c>
      <c r="C334" t="str">
        <f t="shared" si="104"/>
        <v>test.GeoEngine_10_</v>
      </c>
      <c r="D334">
        <v>32</v>
      </c>
      <c r="E334" s="4">
        <v>1</v>
      </c>
      <c r="F334" s="4">
        <v>1.0271186440677966</v>
      </c>
      <c r="G334" s="4" t="str">
        <f t="shared" si="105"/>
        <v/>
      </c>
      <c r="H334" s="4" t="str">
        <f t="shared" si="106"/>
        <v/>
      </c>
      <c r="I334" s="4" t="str">
        <f t="shared" si="107"/>
        <v/>
      </c>
      <c r="J334" s="4" t="str">
        <f t="shared" si="108"/>
        <v/>
      </c>
      <c r="K334" s="4">
        <f t="shared" si="109"/>
        <v>1</v>
      </c>
      <c r="L334" s="4" t="str">
        <f t="shared" si="110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494</v>
      </c>
      <c r="B335">
        <v>3</v>
      </c>
      <c r="C335" t="str">
        <f t="shared" si="104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105"/>
        <v/>
      </c>
      <c r="H335" s="4" t="str">
        <f t="shared" si="106"/>
        <v/>
      </c>
      <c r="I335" s="4" t="str">
        <f t="shared" si="107"/>
        <v/>
      </c>
      <c r="J335" s="4" t="str">
        <f t="shared" si="108"/>
        <v/>
      </c>
      <c r="K335" s="4">
        <f t="shared" si="109"/>
        <v>0.93525179856115104</v>
      </c>
      <c r="L335" s="4" t="str">
        <f t="shared" si="110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494</v>
      </c>
      <c r="B336">
        <v>3</v>
      </c>
      <c r="C336" t="str">
        <f t="shared" si="104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105"/>
        <v/>
      </c>
      <c r="H336" s="4" t="str">
        <f t="shared" si="106"/>
        <v/>
      </c>
      <c r="I336" s="4" t="str">
        <f t="shared" si="107"/>
        <v/>
      </c>
      <c r="J336" s="4" t="str">
        <f t="shared" si="108"/>
        <v/>
      </c>
      <c r="K336" s="4">
        <f t="shared" si="109"/>
        <v>1</v>
      </c>
      <c r="L336" s="4" t="str">
        <f t="shared" si="110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104"/>
        <v>test.ImageData_2_</v>
      </c>
      <c r="D337">
        <v>1</v>
      </c>
      <c r="E337" s="4">
        <v>0.125</v>
      </c>
      <c r="F337" s="4">
        <v>0.19204604918890633</v>
      </c>
      <c r="G337" s="4">
        <f t="shared" si="105"/>
        <v>0.125</v>
      </c>
      <c r="H337" s="4" t="str">
        <f t="shared" si="106"/>
        <v/>
      </c>
      <c r="I337" s="4" t="str">
        <f t="shared" si="107"/>
        <v/>
      </c>
      <c r="J337" s="4" t="str">
        <f t="shared" si="108"/>
        <v/>
      </c>
      <c r="K337" s="4" t="str">
        <f t="shared" si="109"/>
        <v/>
      </c>
      <c r="L337" s="4" t="str">
        <f t="shared" si="110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104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105"/>
        <v>0.23214285714285715</v>
      </c>
      <c r="H338" s="4" t="str">
        <f t="shared" si="106"/>
        <v/>
      </c>
      <c r="I338" s="4" t="str">
        <f t="shared" si="107"/>
        <v/>
      </c>
      <c r="J338" s="4" t="str">
        <f t="shared" si="108"/>
        <v/>
      </c>
      <c r="K338" s="4" t="str">
        <f t="shared" si="109"/>
        <v/>
      </c>
      <c r="L338" s="4" t="str">
        <f t="shared" si="110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104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105"/>
        <v/>
      </c>
      <c r="H339" s="4">
        <f t="shared" si="106"/>
        <v>0.3482142857142857</v>
      </c>
      <c r="I339" s="4" t="str">
        <f t="shared" si="107"/>
        <v/>
      </c>
      <c r="J339" s="4" t="str">
        <f t="shared" si="108"/>
        <v/>
      </c>
      <c r="K339" s="4" t="str">
        <f t="shared" si="109"/>
        <v/>
      </c>
      <c r="L339" s="4" t="str">
        <f t="shared" si="110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104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105"/>
        <v/>
      </c>
      <c r="H340" s="4">
        <f t="shared" si="106"/>
        <v>0.44642857142857145</v>
      </c>
      <c r="I340" s="4" t="str">
        <f t="shared" si="107"/>
        <v/>
      </c>
      <c r="J340" s="4" t="str">
        <f t="shared" si="108"/>
        <v/>
      </c>
      <c r="K340" s="4" t="str">
        <f t="shared" si="109"/>
        <v/>
      </c>
      <c r="L340" s="4" t="str">
        <f t="shared" si="110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104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105"/>
        <v/>
      </c>
      <c r="H341" s="4">
        <f t="shared" si="106"/>
        <v>0.5535714285714286</v>
      </c>
      <c r="I341" s="4" t="str">
        <f t="shared" si="107"/>
        <v/>
      </c>
      <c r="J341" s="4" t="str">
        <f t="shared" si="108"/>
        <v/>
      </c>
      <c r="K341" s="4" t="str">
        <f t="shared" si="109"/>
        <v/>
      </c>
      <c r="L341" s="4" t="str">
        <f t="shared" si="110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104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105"/>
        <v/>
      </c>
      <c r="H342" s="4">
        <f t="shared" si="106"/>
        <v>0.6428571428571429</v>
      </c>
      <c r="I342" s="4" t="str">
        <f t="shared" si="107"/>
        <v/>
      </c>
      <c r="J342" s="4" t="str">
        <f t="shared" si="108"/>
        <v/>
      </c>
      <c r="K342" s="4" t="str">
        <f t="shared" si="109"/>
        <v/>
      </c>
      <c r="L342" s="4" t="str">
        <f t="shared" si="110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104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105"/>
        <v/>
      </c>
      <c r="H343" s="4">
        <f t="shared" si="106"/>
        <v>0.6428571428571429</v>
      </c>
      <c r="I343" s="4" t="str">
        <f t="shared" si="107"/>
        <v/>
      </c>
      <c r="J343" s="4" t="str">
        <f t="shared" si="108"/>
        <v/>
      </c>
      <c r="K343" s="4" t="str">
        <f t="shared" si="109"/>
        <v/>
      </c>
      <c r="L343" s="4" t="str">
        <f t="shared" si="110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104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105"/>
        <v/>
      </c>
      <c r="H344" s="4">
        <f t="shared" si="106"/>
        <v>0.6428571428571429</v>
      </c>
      <c r="I344" s="4" t="str">
        <f t="shared" si="107"/>
        <v/>
      </c>
      <c r="J344" s="4" t="str">
        <f t="shared" si="108"/>
        <v/>
      </c>
      <c r="K344" s="4" t="str">
        <f t="shared" si="109"/>
        <v/>
      </c>
      <c r="L344" s="4" t="str">
        <f t="shared" si="110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104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105"/>
        <v/>
      </c>
      <c r="H345" s="4">
        <f t="shared" si="106"/>
        <v>0.6428571428571429</v>
      </c>
      <c r="I345" s="4" t="str">
        <f t="shared" si="107"/>
        <v/>
      </c>
      <c r="J345" s="4" t="str">
        <f t="shared" si="108"/>
        <v/>
      </c>
      <c r="K345" s="4" t="str">
        <f t="shared" si="109"/>
        <v/>
      </c>
      <c r="L345" s="4" t="str">
        <f t="shared" si="110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2</v>
      </c>
      <c r="C346" t="str">
        <f t="shared" si="104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105"/>
        <v/>
      </c>
      <c r="H346" s="4">
        <f t="shared" si="106"/>
        <v>0.7946428571428571</v>
      </c>
      <c r="I346" s="4" t="str">
        <f t="shared" si="107"/>
        <v/>
      </c>
      <c r="J346" s="4" t="str">
        <f t="shared" si="108"/>
        <v/>
      </c>
      <c r="K346" s="4" t="str">
        <f t="shared" si="109"/>
        <v/>
      </c>
      <c r="L346" s="4" t="str">
        <f t="shared" si="110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2</v>
      </c>
      <c r="C347" t="str">
        <f t="shared" si="104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105"/>
        <v/>
      </c>
      <c r="H347" s="4">
        <f t="shared" si="106"/>
        <v>0.7946428571428571</v>
      </c>
      <c r="I347" s="4" t="str">
        <f t="shared" si="107"/>
        <v/>
      </c>
      <c r="J347" s="4" t="str">
        <f t="shared" si="108"/>
        <v/>
      </c>
      <c r="K347" s="4" t="str">
        <f t="shared" si="109"/>
        <v/>
      </c>
      <c r="L347" s="4" t="str">
        <f t="shared" si="110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2</v>
      </c>
      <c r="C348" t="str">
        <f t="shared" si="104"/>
        <v>test.ImageData_2_</v>
      </c>
      <c r="D348">
        <v>12</v>
      </c>
      <c r="E348" s="4">
        <v>1</v>
      </c>
      <c r="F348" s="4">
        <v>0.36682365253793825</v>
      </c>
      <c r="G348" s="4" t="str">
        <f t="shared" si="105"/>
        <v/>
      </c>
      <c r="H348" s="4">
        <f t="shared" si="106"/>
        <v>1</v>
      </c>
      <c r="I348" s="4" t="str">
        <f t="shared" si="107"/>
        <v/>
      </c>
      <c r="J348" s="4" t="str">
        <f t="shared" si="108"/>
        <v/>
      </c>
      <c r="K348" s="4" t="str">
        <f t="shared" si="109"/>
        <v/>
      </c>
      <c r="L348" s="4" t="str">
        <f t="shared" si="110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2</v>
      </c>
      <c r="C349" t="str">
        <f t="shared" si="104"/>
        <v>test.ImageData_2_</v>
      </c>
      <c r="D349">
        <v>13</v>
      </c>
      <c r="E349" s="4">
        <v>1</v>
      </c>
      <c r="F349" s="4">
        <v>0.42046049188906331</v>
      </c>
      <c r="G349" s="4" t="str">
        <f t="shared" si="105"/>
        <v/>
      </c>
      <c r="H349" s="4" t="str">
        <f t="shared" si="106"/>
        <v/>
      </c>
      <c r="I349" s="4">
        <f t="shared" si="107"/>
        <v>1</v>
      </c>
      <c r="J349" s="4" t="str">
        <f t="shared" si="108"/>
        <v/>
      </c>
      <c r="K349" s="4" t="str">
        <f t="shared" si="109"/>
        <v/>
      </c>
      <c r="L349" s="4" t="str">
        <f t="shared" si="110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2</v>
      </c>
      <c r="C350" t="str">
        <f t="shared" si="104"/>
        <v>test.ImageData_2_</v>
      </c>
      <c r="D350">
        <v>14</v>
      </c>
      <c r="E350" s="4">
        <v>1</v>
      </c>
      <c r="F350" s="4">
        <v>0.45290423861852436</v>
      </c>
      <c r="G350" s="4" t="str">
        <f t="shared" si="105"/>
        <v/>
      </c>
      <c r="H350" s="4" t="str">
        <f t="shared" si="106"/>
        <v/>
      </c>
      <c r="I350" s="4">
        <f t="shared" si="107"/>
        <v>1</v>
      </c>
      <c r="J350" s="4" t="str">
        <f t="shared" si="108"/>
        <v/>
      </c>
      <c r="K350" s="4" t="str">
        <f t="shared" si="109"/>
        <v/>
      </c>
      <c r="L350" s="4" t="str">
        <f t="shared" si="110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104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105"/>
        <v>0.1357142857142857</v>
      </c>
      <c r="H351" s="4" t="str">
        <f t="shared" si="106"/>
        <v/>
      </c>
      <c r="I351" s="4" t="str">
        <f t="shared" si="107"/>
        <v/>
      </c>
      <c r="J351" s="4" t="str">
        <f t="shared" si="108"/>
        <v/>
      </c>
      <c r="K351" s="4" t="str">
        <f t="shared" si="109"/>
        <v/>
      </c>
      <c r="L351" s="4" t="str">
        <f t="shared" si="110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3</v>
      </c>
      <c r="C352" t="str">
        <f t="shared" si="104"/>
        <v>test.ImageData_3_</v>
      </c>
      <c r="D352">
        <v>2</v>
      </c>
      <c r="E352" s="4">
        <v>0.2</v>
      </c>
      <c r="F352" s="4">
        <v>0.16397664835164835</v>
      </c>
      <c r="G352" s="4">
        <f t="shared" si="105"/>
        <v>0.2</v>
      </c>
      <c r="H352" s="4" t="str">
        <f t="shared" si="106"/>
        <v/>
      </c>
      <c r="I352" s="4" t="str">
        <f t="shared" si="107"/>
        <v/>
      </c>
      <c r="J352" s="4" t="str">
        <f t="shared" si="108"/>
        <v/>
      </c>
      <c r="K352" s="4" t="str">
        <f t="shared" si="109"/>
        <v/>
      </c>
      <c r="L352" s="4" t="str">
        <f t="shared" si="110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3</v>
      </c>
      <c r="C353" t="str">
        <f t="shared" si="104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105"/>
        <v/>
      </c>
      <c r="H353" s="4">
        <f t="shared" si="106"/>
        <v>0.45</v>
      </c>
      <c r="I353" s="4" t="str">
        <f t="shared" si="107"/>
        <v/>
      </c>
      <c r="J353" s="4" t="str">
        <f t="shared" si="108"/>
        <v/>
      </c>
      <c r="K353" s="4" t="str">
        <f t="shared" si="109"/>
        <v/>
      </c>
      <c r="L353" s="4" t="str">
        <f t="shared" si="110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3</v>
      </c>
      <c r="C354" t="str">
        <f t="shared" si="104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105"/>
        <v/>
      </c>
      <c r="H354" s="4">
        <f t="shared" si="106"/>
        <v>0.45</v>
      </c>
      <c r="I354" s="4" t="str">
        <f t="shared" si="107"/>
        <v/>
      </c>
      <c r="J354" s="4" t="str">
        <f t="shared" si="108"/>
        <v/>
      </c>
      <c r="K354" s="4" t="str">
        <f t="shared" si="109"/>
        <v/>
      </c>
      <c r="L354" s="4" t="str">
        <f t="shared" si="110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3</v>
      </c>
      <c r="C355" t="str">
        <f t="shared" si="104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105"/>
        <v/>
      </c>
      <c r="H355" s="4">
        <f t="shared" si="106"/>
        <v>0.8571428571428571</v>
      </c>
      <c r="I355" s="4" t="str">
        <f t="shared" si="107"/>
        <v/>
      </c>
      <c r="J355" s="4" t="str">
        <f t="shared" si="108"/>
        <v/>
      </c>
      <c r="K355" s="4" t="str">
        <f t="shared" si="109"/>
        <v/>
      </c>
      <c r="L355" s="4" t="str">
        <f t="shared" si="110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3</v>
      </c>
      <c r="C356" t="str">
        <f t="shared" si="104"/>
        <v>test.ImageData_3_</v>
      </c>
      <c r="D356">
        <v>6</v>
      </c>
      <c r="E356" s="4">
        <v>1</v>
      </c>
      <c r="F356" s="4">
        <v>0.58628090659340659</v>
      </c>
      <c r="G356" s="4" t="str">
        <f t="shared" si="105"/>
        <v/>
      </c>
      <c r="H356" s="4" t="str">
        <f t="shared" si="106"/>
        <v/>
      </c>
      <c r="I356" s="4">
        <f t="shared" si="107"/>
        <v>1</v>
      </c>
      <c r="J356" s="4" t="str">
        <f t="shared" si="108"/>
        <v/>
      </c>
      <c r="K356" s="4" t="str">
        <f t="shared" si="109"/>
        <v/>
      </c>
      <c r="L356" s="4" t="str">
        <f t="shared" si="110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104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105"/>
        <v>6.985294117647059E-2</v>
      </c>
      <c r="H357" s="4" t="str">
        <f t="shared" si="106"/>
        <v/>
      </c>
      <c r="I357" s="4" t="str">
        <f t="shared" si="107"/>
        <v/>
      </c>
      <c r="J357" s="4" t="str">
        <f t="shared" si="108"/>
        <v/>
      </c>
      <c r="K357" s="4" t="str">
        <f t="shared" si="109"/>
        <v/>
      </c>
      <c r="L357" s="4" t="str">
        <f t="shared" si="110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104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105"/>
        <v>0.11397058823529412</v>
      </c>
      <c r="H358" s="4" t="str">
        <f t="shared" si="106"/>
        <v/>
      </c>
      <c r="I358" s="4" t="str">
        <f t="shared" si="107"/>
        <v/>
      </c>
      <c r="J358" s="4" t="str">
        <f t="shared" si="108"/>
        <v/>
      </c>
      <c r="K358" s="4" t="str">
        <f t="shared" si="109"/>
        <v/>
      </c>
      <c r="L358" s="4" t="str">
        <f t="shared" si="110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104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105"/>
        <v>0.24264705882352941</v>
      </c>
      <c r="H359" s="4" t="str">
        <f t="shared" si="106"/>
        <v/>
      </c>
      <c r="I359" s="4" t="str">
        <f t="shared" si="107"/>
        <v/>
      </c>
      <c r="J359" s="4" t="str">
        <f t="shared" si="108"/>
        <v/>
      </c>
      <c r="K359" s="4" t="str">
        <f t="shared" si="109"/>
        <v/>
      </c>
      <c r="L359" s="4" t="str">
        <f t="shared" si="110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104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105"/>
        <v>0.37132352941176472</v>
      </c>
      <c r="H360" s="4" t="str">
        <f t="shared" si="106"/>
        <v/>
      </c>
      <c r="I360" s="4" t="str">
        <f t="shared" si="107"/>
        <v/>
      </c>
      <c r="J360" s="4" t="str">
        <f t="shared" si="108"/>
        <v/>
      </c>
      <c r="K360" s="4" t="str">
        <f t="shared" si="109"/>
        <v/>
      </c>
      <c r="L360" s="4" t="str">
        <f t="shared" si="110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4</v>
      </c>
      <c r="C361" t="str">
        <f t="shared" si="104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105"/>
        <v>0.56617647058823528</v>
      </c>
      <c r="H361" s="4" t="str">
        <f t="shared" si="106"/>
        <v/>
      </c>
      <c r="I361" s="4" t="str">
        <f t="shared" si="107"/>
        <v/>
      </c>
      <c r="J361" s="4" t="str">
        <f t="shared" si="108"/>
        <v/>
      </c>
      <c r="K361" s="4" t="str">
        <f t="shared" si="109"/>
        <v/>
      </c>
      <c r="L361" s="4" t="str">
        <f t="shared" si="110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4</v>
      </c>
      <c r="C362" t="str">
        <f t="shared" si="104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105"/>
        <v/>
      </c>
      <c r="H362" s="4">
        <f t="shared" si="106"/>
        <v>0.64338235294117652</v>
      </c>
      <c r="I362" s="4" t="str">
        <f t="shared" si="107"/>
        <v/>
      </c>
      <c r="J362" s="4" t="str">
        <f t="shared" si="108"/>
        <v/>
      </c>
      <c r="K362" s="4" t="str">
        <f t="shared" si="109"/>
        <v/>
      </c>
      <c r="L362" s="4" t="str">
        <f t="shared" si="110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4</v>
      </c>
      <c r="C363" t="str">
        <f t="shared" si="104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105"/>
        <v/>
      </c>
      <c r="H363" s="4">
        <f t="shared" si="106"/>
        <v>0.74264705882352944</v>
      </c>
      <c r="I363" s="4" t="str">
        <f t="shared" si="107"/>
        <v/>
      </c>
      <c r="J363" s="4" t="str">
        <f t="shared" si="108"/>
        <v/>
      </c>
      <c r="K363" s="4" t="str">
        <f t="shared" si="109"/>
        <v/>
      </c>
      <c r="L363" s="4" t="str">
        <f t="shared" si="110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4</v>
      </c>
      <c r="C364" t="str">
        <f t="shared" si="104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105"/>
        <v/>
      </c>
      <c r="H364" s="4">
        <f t="shared" si="106"/>
        <v>0.86029411764705888</v>
      </c>
      <c r="I364" s="4" t="str">
        <f t="shared" si="107"/>
        <v/>
      </c>
      <c r="J364" s="4" t="str">
        <f t="shared" si="108"/>
        <v/>
      </c>
      <c r="K364" s="4" t="str">
        <f t="shared" si="109"/>
        <v/>
      </c>
      <c r="L364" s="4" t="str">
        <f t="shared" si="110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4</v>
      </c>
      <c r="C365" t="str">
        <f t="shared" si="104"/>
        <v>test.ImageData_4_</v>
      </c>
      <c r="D365">
        <v>9</v>
      </c>
      <c r="E365" s="4">
        <v>1</v>
      </c>
      <c r="F365" s="4">
        <v>0.27186288002001752</v>
      </c>
      <c r="G365" s="4" t="str">
        <f t="shared" si="105"/>
        <v/>
      </c>
      <c r="H365" s="4">
        <f t="shared" si="106"/>
        <v>1</v>
      </c>
      <c r="I365" s="4" t="str">
        <f t="shared" si="107"/>
        <v/>
      </c>
      <c r="J365" s="4" t="str">
        <f t="shared" si="108"/>
        <v/>
      </c>
      <c r="K365" s="4" t="str">
        <f t="shared" si="109"/>
        <v/>
      </c>
      <c r="L365" s="4" t="str">
        <f t="shared" si="110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104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105"/>
        <v/>
      </c>
      <c r="H366" s="4" t="str">
        <f t="shared" si="106"/>
        <v/>
      </c>
      <c r="I366" s="4">
        <f t="shared" si="107"/>
        <v>0.36363636363636365</v>
      </c>
      <c r="J366" s="4" t="str">
        <f t="shared" si="108"/>
        <v/>
      </c>
      <c r="K366" s="4" t="str">
        <f t="shared" si="109"/>
        <v/>
      </c>
      <c r="L366" s="4" t="str">
        <f t="shared" si="110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5</v>
      </c>
      <c r="C367" t="str">
        <f t="shared" si="104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105"/>
        <v/>
      </c>
      <c r="H367" s="4" t="str">
        <f t="shared" si="106"/>
        <v/>
      </c>
      <c r="I367" s="4" t="str">
        <f t="shared" si="107"/>
        <v/>
      </c>
      <c r="J367" s="4">
        <f t="shared" si="108"/>
        <v>0.54545454545454541</v>
      </c>
      <c r="K367" s="4" t="str">
        <f t="shared" si="109"/>
        <v/>
      </c>
      <c r="L367" s="4" t="str">
        <f t="shared" si="110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5</v>
      </c>
      <c r="C368" t="str">
        <f t="shared" si="104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105"/>
        <v/>
      </c>
      <c r="H368" s="4" t="str">
        <f t="shared" si="106"/>
        <v/>
      </c>
      <c r="I368" s="4" t="str">
        <f t="shared" si="107"/>
        <v/>
      </c>
      <c r="J368" s="4" t="str">
        <f t="shared" si="108"/>
        <v/>
      </c>
      <c r="K368" s="4">
        <f t="shared" si="109"/>
        <v>0.72727272727272729</v>
      </c>
      <c r="L368" s="4" t="str">
        <f t="shared" si="110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5</v>
      </c>
      <c r="C369" t="str">
        <f t="shared" si="104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105"/>
        <v/>
      </c>
      <c r="H369" s="4" t="str">
        <f t="shared" si="106"/>
        <v/>
      </c>
      <c r="I369" s="4" t="str">
        <f t="shared" si="107"/>
        <v/>
      </c>
      <c r="J369" s="4" t="str">
        <f t="shared" si="108"/>
        <v/>
      </c>
      <c r="K369" s="4">
        <f t="shared" si="109"/>
        <v>0.77272727272727271</v>
      </c>
      <c r="L369" s="4" t="str">
        <f t="shared" si="110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5</v>
      </c>
      <c r="C370" t="str">
        <f t="shared" si="104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105"/>
        <v/>
      </c>
      <c r="H370" s="4" t="str">
        <f t="shared" si="106"/>
        <v/>
      </c>
      <c r="I370" s="4" t="str">
        <f t="shared" si="107"/>
        <v/>
      </c>
      <c r="J370" s="4" t="str">
        <f t="shared" si="108"/>
        <v/>
      </c>
      <c r="K370" s="4">
        <f t="shared" si="109"/>
        <v>0.86363636363636365</v>
      </c>
      <c r="L370" s="4" t="str">
        <f t="shared" si="110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5</v>
      </c>
      <c r="C371" t="str">
        <f t="shared" si="104"/>
        <v>test.ImageData_5_</v>
      </c>
      <c r="D371">
        <v>6</v>
      </c>
      <c r="E371" s="4">
        <v>1</v>
      </c>
      <c r="F371" s="4">
        <v>1.0838445807770962</v>
      </c>
      <c r="G371" s="4" t="str">
        <f t="shared" si="105"/>
        <v/>
      </c>
      <c r="H371" s="4" t="str">
        <f t="shared" si="106"/>
        <v/>
      </c>
      <c r="I371" s="4" t="str">
        <f t="shared" si="107"/>
        <v/>
      </c>
      <c r="J371" s="4" t="str">
        <f t="shared" si="108"/>
        <v/>
      </c>
      <c r="K371" s="4">
        <f t="shared" si="109"/>
        <v>1</v>
      </c>
      <c r="L371" s="4" t="str">
        <f t="shared" si="110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104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105"/>
        <v>0.2857142857142857</v>
      </c>
      <c r="H372" s="4" t="str">
        <f t="shared" si="106"/>
        <v/>
      </c>
      <c r="I372" s="4" t="str">
        <f t="shared" si="107"/>
        <v/>
      </c>
      <c r="J372" s="4" t="str">
        <f t="shared" si="108"/>
        <v/>
      </c>
      <c r="K372" s="4" t="str">
        <f t="shared" si="109"/>
        <v/>
      </c>
      <c r="L372" s="4" t="str">
        <f t="shared" si="110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104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105"/>
        <v/>
      </c>
      <c r="H373" s="4">
        <f t="shared" si="106"/>
        <v>0.47619047619047616</v>
      </c>
      <c r="I373" s="4" t="str">
        <f t="shared" si="107"/>
        <v/>
      </c>
      <c r="J373" s="4" t="str">
        <f t="shared" si="108"/>
        <v/>
      </c>
      <c r="K373" s="4" t="str">
        <f t="shared" si="109"/>
        <v/>
      </c>
      <c r="L373" s="4" t="str">
        <f t="shared" si="110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104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105"/>
        <v/>
      </c>
      <c r="H374" s="4" t="str">
        <f t="shared" si="106"/>
        <v/>
      </c>
      <c r="I374" s="4">
        <f t="shared" si="107"/>
        <v>0.47619047619047616</v>
      </c>
      <c r="J374" s="4" t="str">
        <f t="shared" si="108"/>
        <v/>
      </c>
      <c r="K374" s="4" t="str">
        <f t="shared" si="109"/>
        <v/>
      </c>
      <c r="L374" s="4" t="str">
        <f t="shared" si="110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104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105"/>
        <v/>
      </c>
      <c r="H375" s="4" t="str">
        <f t="shared" si="106"/>
        <v/>
      </c>
      <c r="I375" s="4" t="str">
        <f t="shared" si="107"/>
        <v/>
      </c>
      <c r="J375" s="4">
        <f t="shared" si="108"/>
        <v>0.76190476190476186</v>
      </c>
      <c r="K375" s="4" t="str">
        <f t="shared" si="109"/>
        <v/>
      </c>
      <c r="L375" s="4" t="str">
        <f t="shared" si="110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104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105"/>
        <v/>
      </c>
      <c r="H376" s="4" t="str">
        <f t="shared" si="106"/>
        <v/>
      </c>
      <c r="I376" s="4" t="str">
        <f t="shared" si="107"/>
        <v/>
      </c>
      <c r="J376" s="4">
        <f t="shared" si="108"/>
        <v>0.8571428571428571</v>
      </c>
      <c r="K376" s="4" t="str">
        <f t="shared" si="109"/>
        <v/>
      </c>
      <c r="L376" s="4" t="str">
        <f t="shared" si="110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6</v>
      </c>
      <c r="C377" t="str">
        <f t="shared" si="104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105"/>
        <v/>
      </c>
      <c r="H377" s="4" t="str">
        <f t="shared" si="106"/>
        <v/>
      </c>
      <c r="I377" s="4" t="str">
        <f t="shared" si="107"/>
        <v/>
      </c>
      <c r="J377" s="4">
        <f t="shared" si="108"/>
        <v>0.8571428571428571</v>
      </c>
      <c r="K377" s="4" t="str">
        <f t="shared" si="109"/>
        <v/>
      </c>
      <c r="L377" s="4" t="str">
        <f t="shared" si="110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6</v>
      </c>
      <c r="C378" t="str">
        <f t="shared" si="104"/>
        <v>test.ImageData_6_</v>
      </c>
      <c r="D378">
        <v>7</v>
      </c>
      <c r="E378" s="4">
        <v>1</v>
      </c>
      <c r="F378" s="4">
        <v>0.71623419827012647</v>
      </c>
      <c r="G378" s="4" t="str">
        <f t="shared" si="105"/>
        <v/>
      </c>
      <c r="H378" s="4" t="str">
        <f t="shared" si="106"/>
        <v/>
      </c>
      <c r="I378" s="4" t="str">
        <f t="shared" si="107"/>
        <v/>
      </c>
      <c r="J378" s="4">
        <f t="shared" si="108"/>
        <v>1</v>
      </c>
      <c r="K378" s="4" t="str">
        <f t="shared" si="109"/>
        <v/>
      </c>
      <c r="L378" s="4" t="str">
        <f t="shared" si="110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6</v>
      </c>
      <c r="C379" t="str">
        <f t="shared" si="104"/>
        <v>test.ImageData_6_</v>
      </c>
      <c r="D379">
        <v>8</v>
      </c>
      <c r="E379" s="4">
        <v>1</v>
      </c>
      <c r="F379" s="4">
        <v>0.77312042581503659</v>
      </c>
      <c r="G379" s="4" t="str">
        <f t="shared" si="105"/>
        <v/>
      </c>
      <c r="H379" s="4" t="str">
        <f t="shared" si="106"/>
        <v/>
      </c>
      <c r="I379" s="4" t="str">
        <f t="shared" si="107"/>
        <v/>
      </c>
      <c r="J379" s="4">
        <f t="shared" si="108"/>
        <v>1</v>
      </c>
      <c r="K379" s="4" t="str">
        <f t="shared" si="109"/>
        <v/>
      </c>
      <c r="L379" s="4" t="str">
        <f t="shared" si="110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6</v>
      </c>
      <c r="C380" t="str">
        <f t="shared" si="104"/>
        <v>test.ImageData_6_</v>
      </c>
      <c r="D380">
        <v>9</v>
      </c>
      <c r="E380" s="4">
        <v>1</v>
      </c>
      <c r="F380" s="4">
        <v>0.86660013306719896</v>
      </c>
      <c r="G380" s="4" t="str">
        <f t="shared" si="105"/>
        <v/>
      </c>
      <c r="H380" s="4" t="str">
        <f t="shared" si="106"/>
        <v/>
      </c>
      <c r="I380" s="4" t="str">
        <f t="shared" si="107"/>
        <v/>
      </c>
      <c r="J380" s="4" t="str">
        <f t="shared" si="108"/>
        <v/>
      </c>
      <c r="K380" s="4">
        <f t="shared" si="109"/>
        <v>1</v>
      </c>
      <c r="L380" s="4" t="str">
        <f t="shared" si="110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6</v>
      </c>
      <c r="C381" t="str">
        <f t="shared" si="104"/>
        <v>test.ImageData_6_</v>
      </c>
      <c r="D381">
        <v>10</v>
      </c>
      <c r="E381" s="4">
        <v>1</v>
      </c>
      <c r="F381" s="4">
        <v>0.98536260811709908</v>
      </c>
      <c r="G381" s="4" t="str">
        <f t="shared" si="105"/>
        <v/>
      </c>
      <c r="H381" s="4" t="str">
        <f t="shared" si="106"/>
        <v/>
      </c>
      <c r="I381" s="4" t="str">
        <f t="shared" si="107"/>
        <v/>
      </c>
      <c r="J381" s="4" t="str">
        <f t="shared" si="108"/>
        <v/>
      </c>
      <c r="K381" s="4">
        <f t="shared" si="109"/>
        <v>1</v>
      </c>
      <c r="L381" s="4" t="str">
        <f t="shared" si="110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104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105"/>
        <v/>
      </c>
      <c r="H382" s="4">
        <f t="shared" si="106"/>
        <v>0.2</v>
      </c>
      <c r="I382" s="4" t="str">
        <f t="shared" si="107"/>
        <v/>
      </c>
      <c r="J382" s="4" t="str">
        <f t="shared" si="108"/>
        <v/>
      </c>
      <c r="K382" s="4" t="str">
        <f t="shared" si="109"/>
        <v/>
      </c>
      <c r="L382" s="4" t="str">
        <f t="shared" si="110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104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105"/>
        <v/>
      </c>
      <c r="H383" s="4">
        <f t="shared" si="106"/>
        <v>0.29166666666666669</v>
      </c>
      <c r="I383" s="4" t="str">
        <f t="shared" si="107"/>
        <v/>
      </c>
      <c r="J383" s="4" t="str">
        <f t="shared" si="108"/>
        <v/>
      </c>
      <c r="K383" s="4" t="str">
        <f t="shared" si="109"/>
        <v/>
      </c>
      <c r="L383" s="4" t="str">
        <f t="shared" si="110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104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105"/>
        <v/>
      </c>
      <c r="H384" s="4">
        <f t="shared" si="106"/>
        <v>0.32500000000000001</v>
      </c>
      <c r="I384" s="4" t="str">
        <f t="shared" si="107"/>
        <v/>
      </c>
      <c r="J384" s="4" t="str">
        <f t="shared" si="108"/>
        <v/>
      </c>
      <c r="K384" s="4" t="str">
        <f t="shared" si="109"/>
        <v/>
      </c>
      <c r="L384" s="4" t="str">
        <f t="shared" si="110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104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105"/>
        <v/>
      </c>
      <c r="H385" s="4">
        <f t="shared" si="106"/>
        <v>0.43333333333333335</v>
      </c>
      <c r="I385" s="4" t="str">
        <f t="shared" si="107"/>
        <v/>
      </c>
      <c r="J385" s="4" t="str">
        <f t="shared" si="108"/>
        <v/>
      </c>
      <c r="K385" s="4" t="str">
        <f t="shared" si="109"/>
        <v/>
      </c>
      <c r="L385" s="4" t="str">
        <f t="shared" si="110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104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105"/>
        <v/>
      </c>
      <c r="H386" s="4">
        <f t="shared" si="106"/>
        <v>0.56666666666666665</v>
      </c>
      <c r="I386" s="4" t="str">
        <f t="shared" si="107"/>
        <v/>
      </c>
      <c r="J386" s="4" t="str">
        <f t="shared" si="108"/>
        <v/>
      </c>
      <c r="K386" s="4" t="str">
        <f t="shared" si="109"/>
        <v/>
      </c>
      <c r="L386" s="4" t="str">
        <f t="shared" si="110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7</v>
      </c>
      <c r="C387" t="str">
        <f t="shared" ref="C387:C450" si="111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50" si="112">IF(F387 &lt;= 0.2,E387,"")</f>
        <v/>
      </c>
      <c r="H387" s="4">
        <f t="shared" ref="H387:H450" si="113">IF(AND($F387 &gt; 0.2,$F387 &lt;= 0.4),$E387,"")</f>
        <v>0.59166666666666667</v>
      </c>
      <c r="I387" s="4" t="str">
        <f t="shared" ref="I387:I450" si="114">IF(AND($F387 &gt; 0.4,$F387 &lt;= 0.6),$E387,"")</f>
        <v/>
      </c>
      <c r="J387" s="4" t="str">
        <f t="shared" ref="J387:J450" si="115">IF(AND($F387 &gt; 0.6,$F387 &lt;= 0.8),$E387,"")</f>
        <v/>
      </c>
      <c r="K387" s="4" t="str">
        <f t="shared" ref="K387:K450" si="116">IF(AND($F387 &gt; 0.8, $F387 &lt;=1.1),$E387,"")</f>
        <v/>
      </c>
      <c r="L387" s="4" t="str">
        <f t="shared" ref="L387:L450" si="117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7</v>
      </c>
      <c r="C388" t="str">
        <f t="shared" si="111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112"/>
        <v/>
      </c>
      <c r="H388" s="4">
        <f t="shared" si="113"/>
        <v>0.65</v>
      </c>
      <c r="I388" s="4" t="str">
        <f t="shared" si="114"/>
        <v/>
      </c>
      <c r="J388" s="4" t="str">
        <f t="shared" si="115"/>
        <v/>
      </c>
      <c r="K388" s="4" t="str">
        <f t="shared" si="116"/>
        <v/>
      </c>
      <c r="L388" s="4" t="str">
        <f t="shared" si="117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7</v>
      </c>
      <c r="C389" t="str">
        <f t="shared" si="111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112"/>
        <v/>
      </c>
      <c r="H389" s="4">
        <f t="shared" si="113"/>
        <v>0.73333333333333328</v>
      </c>
      <c r="I389" s="4" t="str">
        <f t="shared" si="114"/>
        <v/>
      </c>
      <c r="J389" s="4" t="str">
        <f t="shared" si="115"/>
        <v/>
      </c>
      <c r="K389" s="4" t="str">
        <f t="shared" si="116"/>
        <v/>
      </c>
      <c r="L389" s="4" t="str">
        <f t="shared" si="117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7</v>
      </c>
      <c r="C390" t="str">
        <f t="shared" si="111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112"/>
        <v/>
      </c>
      <c r="H390" s="4" t="str">
        <f t="shared" si="113"/>
        <v/>
      </c>
      <c r="I390" s="4">
        <f t="shared" si="114"/>
        <v>0.85</v>
      </c>
      <c r="J390" s="4" t="str">
        <f t="shared" si="115"/>
        <v/>
      </c>
      <c r="K390" s="4" t="str">
        <f t="shared" si="116"/>
        <v/>
      </c>
      <c r="L390" s="4" t="str">
        <f t="shared" si="117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7</v>
      </c>
      <c r="C391" t="str">
        <f t="shared" si="111"/>
        <v>test.ImageData_7_</v>
      </c>
      <c r="D391">
        <v>10</v>
      </c>
      <c r="E391" s="4">
        <v>1</v>
      </c>
      <c r="F391" s="4">
        <v>0.42031614407877688</v>
      </c>
      <c r="G391" s="4" t="str">
        <f t="shared" si="112"/>
        <v/>
      </c>
      <c r="H391" s="4" t="str">
        <f t="shared" si="113"/>
        <v/>
      </c>
      <c r="I391" s="4">
        <f t="shared" si="114"/>
        <v>1</v>
      </c>
      <c r="J391" s="4" t="str">
        <f t="shared" si="115"/>
        <v/>
      </c>
      <c r="K391" s="4" t="str">
        <f t="shared" si="116"/>
        <v/>
      </c>
      <c r="L391" s="4" t="str">
        <f t="shared" si="117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111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112"/>
        <v>0.11728395061728394</v>
      </c>
      <c r="H392" s="4" t="str">
        <f t="shared" si="113"/>
        <v/>
      </c>
      <c r="I392" s="4" t="str">
        <f t="shared" si="114"/>
        <v/>
      </c>
      <c r="J392" s="4" t="str">
        <f t="shared" si="115"/>
        <v/>
      </c>
      <c r="K392" s="4" t="str">
        <f t="shared" si="116"/>
        <v/>
      </c>
      <c r="L392" s="4" t="str">
        <f t="shared" si="117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8</v>
      </c>
      <c r="C393" t="str">
        <f t="shared" si="111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112"/>
        <v>0.1728395061728395</v>
      </c>
      <c r="H393" s="4" t="str">
        <f t="shared" si="113"/>
        <v/>
      </c>
      <c r="I393" s="4" t="str">
        <f t="shared" si="114"/>
        <v/>
      </c>
      <c r="J393" s="4" t="str">
        <f t="shared" si="115"/>
        <v/>
      </c>
      <c r="K393" s="4" t="str">
        <f t="shared" si="116"/>
        <v/>
      </c>
      <c r="L393" s="4" t="str">
        <f t="shared" si="117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8</v>
      </c>
      <c r="C394" t="str">
        <f t="shared" si="111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112"/>
        <v>0.3888888888888889</v>
      </c>
      <c r="H394" s="4" t="str">
        <f t="shared" si="113"/>
        <v/>
      </c>
      <c r="I394" s="4" t="str">
        <f t="shared" si="114"/>
        <v/>
      </c>
      <c r="J394" s="4" t="str">
        <f t="shared" si="115"/>
        <v/>
      </c>
      <c r="K394" s="4" t="str">
        <f t="shared" si="116"/>
        <v/>
      </c>
      <c r="L394" s="4" t="str">
        <f t="shared" si="117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8</v>
      </c>
      <c r="C395" t="str">
        <f t="shared" si="111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112"/>
        <v/>
      </c>
      <c r="H395" s="4">
        <f t="shared" si="113"/>
        <v>0.66049382716049387</v>
      </c>
      <c r="I395" s="4" t="str">
        <f t="shared" si="114"/>
        <v/>
      </c>
      <c r="J395" s="4" t="str">
        <f t="shared" si="115"/>
        <v/>
      </c>
      <c r="K395" s="4" t="str">
        <f t="shared" si="116"/>
        <v/>
      </c>
      <c r="L395" s="4" t="str">
        <f t="shared" si="117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8</v>
      </c>
      <c r="C396" t="str">
        <f t="shared" si="111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112"/>
        <v/>
      </c>
      <c r="H396" s="4" t="str">
        <f t="shared" si="113"/>
        <v/>
      </c>
      <c r="I396" s="4">
        <f t="shared" si="114"/>
        <v>0.86419753086419748</v>
      </c>
      <c r="J396" s="4" t="str">
        <f t="shared" si="115"/>
        <v/>
      </c>
      <c r="K396" s="4" t="str">
        <f t="shared" si="116"/>
        <v/>
      </c>
      <c r="L396" s="4" t="str">
        <f t="shared" si="117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8</v>
      </c>
      <c r="C397" t="str">
        <f t="shared" si="111"/>
        <v>test.ImageData_8_</v>
      </c>
      <c r="D397">
        <v>6</v>
      </c>
      <c r="E397" s="4">
        <v>1</v>
      </c>
      <c r="F397" s="4">
        <v>0.49041396040378749</v>
      </c>
      <c r="G397" s="4" t="str">
        <f t="shared" si="112"/>
        <v/>
      </c>
      <c r="H397" s="4" t="str">
        <f t="shared" si="113"/>
        <v/>
      </c>
      <c r="I397" s="4">
        <f t="shared" si="114"/>
        <v>1</v>
      </c>
      <c r="J397" s="4" t="str">
        <f t="shared" si="115"/>
        <v/>
      </c>
      <c r="K397" s="4" t="str">
        <f t="shared" si="116"/>
        <v/>
      </c>
      <c r="L397" s="4" t="str">
        <f t="shared" si="117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111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112"/>
        <v>7.3643410852713184E-2</v>
      </c>
      <c r="H398" s="4" t="str">
        <f t="shared" si="113"/>
        <v/>
      </c>
      <c r="I398" s="4" t="str">
        <f t="shared" si="114"/>
        <v/>
      </c>
      <c r="J398" s="4" t="str">
        <f t="shared" si="115"/>
        <v/>
      </c>
      <c r="K398" s="4" t="str">
        <f t="shared" si="116"/>
        <v/>
      </c>
      <c r="L398" s="4" t="str">
        <f t="shared" si="117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111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112"/>
        <v>0.12015503875968993</v>
      </c>
      <c r="H399" s="4" t="str">
        <f t="shared" si="113"/>
        <v/>
      </c>
      <c r="I399" s="4" t="str">
        <f t="shared" si="114"/>
        <v/>
      </c>
      <c r="J399" s="4" t="str">
        <f t="shared" si="115"/>
        <v/>
      </c>
      <c r="K399" s="4" t="str">
        <f t="shared" si="116"/>
        <v/>
      </c>
      <c r="L399" s="4" t="str">
        <f t="shared" si="117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111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112"/>
        <v>0.2558139534883721</v>
      </c>
      <c r="H400" s="4" t="str">
        <f t="shared" si="113"/>
        <v/>
      </c>
      <c r="I400" s="4" t="str">
        <f t="shared" si="114"/>
        <v/>
      </c>
      <c r="J400" s="4" t="str">
        <f t="shared" si="115"/>
        <v/>
      </c>
      <c r="K400" s="4" t="str">
        <f t="shared" si="116"/>
        <v/>
      </c>
      <c r="L400" s="4" t="str">
        <f t="shared" si="117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111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112"/>
        <v>0.4263565891472868</v>
      </c>
      <c r="H401" s="4" t="str">
        <f t="shared" si="113"/>
        <v/>
      </c>
      <c r="I401" s="4" t="str">
        <f t="shared" si="114"/>
        <v/>
      </c>
      <c r="J401" s="4" t="str">
        <f t="shared" si="115"/>
        <v/>
      </c>
      <c r="K401" s="4" t="str">
        <f t="shared" si="116"/>
        <v/>
      </c>
      <c r="L401" s="4" t="str">
        <f t="shared" si="117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9</v>
      </c>
      <c r="C402" t="str">
        <f t="shared" si="111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112"/>
        <v>0.55426356589147285</v>
      </c>
      <c r="H402" s="4" t="str">
        <f t="shared" si="113"/>
        <v/>
      </c>
      <c r="I402" s="4" t="str">
        <f t="shared" si="114"/>
        <v/>
      </c>
      <c r="J402" s="4" t="str">
        <f t="shared" si="115"/>
        <v/>
      </c>
      <c r="K402" s="4" t="str">
        <f t="shared" si="116"/>
        <v/>
      </c>
      <c r="L402" s="4" t="str">
        <f t="shared" si="117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9</v>
      </c>
      <c r="C403" t="str">
        <f t="shared" si="111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112"/>
        <v>0.63953488372093026</v>
      </c>
      <c r="H403" s="4" t="str">
        <f t="shared" si="113"/>
        <v/>
      </c>
      <c r="I403" s="4" t="str">
        <f t="shared" si="114"/>
        <v/>
      </c>
      <c r="J403" s="4" t="str">
        <f t="shared" si="115"/>
        <v/>
      </c>
      <c r="K403" s="4" t="str">
        <f t="shared" si="116"/>
        <v/>
      </c>
      <c r="L403" s="4" t="str">
        <f t="shared" si="117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9</v>
      </c>
      <c r="C404" t="str">
        <f t="shared" si="111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112"/>
        <v/>
      </c>
      <c r="H404" s="4">
        <f t="shared" si="113"/>
        <v>0.7441860465116279</v>
      </c>
      <c r="I404" s="4" t="str">
        <f t="shared" si="114"/>
        <v/>
      </c>
      <c r="J404" s="4" t="str">
        <f t="shared" si="115"/>
        <v/>
      </c>
      <c r="K404" s="4" t="str">
        <f t="shared" si="116"/>
        <v/>
      </c>
      <c r="L404" s="4" t="str">
        <f t="shared" si="117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9</v>
      </c>
      <c r="C405" t="str">
        <f t="shared" si="111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112"/>
        <v/>
      </c>
      <c r="H405" s="4">
        <f t="shared" si="113"/>
        <v>0.86434108527131781</v>
      </c>
      <c r="I405" s="4" t="str">
        <f t="shared" si="114"/>
        <v/>
      </c>
      <c r="J405" s="4" t="str">
        <f t="shared" si="115"/>
        <v/>
      </c>
      <c r="K405" s="4" t="str">
        <f t="shared" si="116"/>
        <v/>
      </c>
      <c r="L405" s="4" t="str">
        <f t="shared" si="117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9</v>
      </c>
      <c r="C406" t="str">
        <f t="shared" si="111"/>
        <v>test.ImageData_9_</v>
      </c>
      <c r="D406">
        <v>9</v>
      </c>
      <c r="E406" s="4">
        <v>1</v>
      </c>
      <c r="F406" s="4">
        <v>0.26625590716037567</v>
      </c>
      <c r="G406" s="4" t="str">
        <f t="shared" si="112"/>
        <v/>
      </c>
      <c r="H406" s="4">
        <f t="shared" si="113"/>
        <v>1</v>
      </c>
      <c r="I406" s="4" t="str">
        <f t="shared" si="114"/>
        <v/>
      </c>
      <c r="J406" s="4" t="str">
        <f t="shared" si="115"/>
        <v/>
      </c>
      <c r="K406" s="4" t="str">
        <f t="shared" si="116"/>
        <v/>
      </c>
      <c r="L406" s="4" t="str">
        <f t="shared" si="117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10</v>
      </c>
      <c r="C407" t="str">
        <f t="shared" si="111"/>
        <v>test.ImageData_10_</v>
      </c>
      <c r="D407">
        <v>1</v>
      </c>
      <c r="E407" s="4">
        <v>0.55555555555555558</v>
      </c>
      <c r="F407" s="4">
        <v>0.21706161137440758</v>
      </c>
      <c r="G407" s="4" t="str">
        <f t="shared" si="112"/>
        <v/>
      </c>
      <c r="H407" s="4">
        <f t="shared" si="113"/>
        <v>0.55555555555555558</v>
      </c>
      <c r="I407" s="4" t="str">
        <f t="shared" si="114"/>
        <v/>
      </c>
      <c r="J407" s="4" t="str">
        <f t="shared" si="115"/>
        <v/>
      </c>
      <c r="K407" s="4" t="str">
        <f t="shared" si="116"/>
        <v/>
      </c>
      <c r="L407" s="4" t="str">
        <f t="shared" si="117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s="7" t="s">
        <v>495</v>
      </c>
      <c r="B408" s="7">
        <v>10</v>
      </c>
      <c r="C408" t="str">
        <f t="shared" si="111"/>
        <v>test.ImageData_10_</v>
      </c>
      <c r="D408" s="7">
        <v>2</v>
      </c>
      <c r="E408" s="4">
        <v>1</v>
      </c>
      <c r="F408" s="4">
        <v>0.95450236966824642</v>
      </c>
      <c r="G408" s="4" t="str">
        <f t="shared" si="112"/>
        <v/>
      </c>
      <c r="H408" s="4" t="str">
        <f t="shared" si="113"/>
        <v/>
      </c>
      <c r="I408" s="4" t="str">
        <f t="shared" si="114"/>
        <v/>
      </c>
      <c r="J408" s="4" t="str">
        <f t="shared" si="115"/>
        <v/>
      </c>
      <c r="K408" s="4">
        <f t="shared" si="116"/>
        <v>1</v>
      </c>
      <c r="L408" s="4" t="str">
        <f t="shared" si="117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11</v>
      </c>
      <c r="C409" t="str">
        <f t="shared" si="111"/>
        <v>test.ImageData_11_</v>
      </c>
      <c r="D409">
        <v>1</v>
      </c>
      <c r="E409" s="4">
        <v>0.33962264150943394</v>
      </c>
      <c r="F409" s="4">
        <v>4.495732660175502E-2</v>
      </c>
      <c r="G409" s="4">
        <f t="shared" si="112"/>
        <v>0.33962264150943394</v>
      </c>
      <c r="H409" s="4" t="str">
        <f t="shared" si="113"/>
        <v/>
      </c>
      <c r="I409" s="4" t="str">
        <f t="shared" si="114"/>
        <v/>
      </c>
      <c r="J409" s="4" t="str">
        <f t="shared" si="115"/>
        <v/>
      </c>
      <c r="K409" s="4" t="str">
        <f t="shared" si="116"/>
        <v/>
      </c>
      <c r="L409" s="4" t="str">
        <f t="shared" si="117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11</v>
      </c>
      <c r="C410" t="str">
        <f t="shared" si="111"/>
        <v>test.ImageData_11_</v>
      </c>
      <c r="D410">
        <v>2</v>
      </c>
      <c r="E410" s="4">
        <v>1</v>
      </c>
      <c r="F410" s="4">
        <v>0.96874624353888683</v>
      </c>
      <c r="G410" s="4" t="str">
        <f t="shared" si="112"/>
        <v/>
      </c>
      <c r="H410" s="4" t="str">
        <f t="shared" si="113"/>
        <v/>
      </c>
      <c r="I410" s="4" t="str">
        <f t="shared" si="114"/>
        <v/>
      </c>
      <c r="J410" s="4" t="str">
        <f t="shared" si="115"/>
        <v/>
      </c>
      <c r="K410" s="4">
        <f t="shared" si="116"/>
        <v>1</v>
      </c>
      <c r="L410" s="4" t="str">
        <f t="shared" si="117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13</v>
      </c>
      <c r="C411" t="str">
        <f t="shared" si="111"/>
        <v>test.ImageData_13_</v>
      </c>
      <c r="D411">
        <v>1</v>
      </c>
      <c r="E411" s="4">
        <v>1.3568521031207597E-3</v>
      </c>
      <c r="F411" s="4">
        <v>5.3726429212810539E-2</v>
      </c>
      <c r="G411" s="4">
        <f t="shared" si="112"/>
        <v>1.3568521031207597E-3</v>
      </c>
      <c r="H411" s="4" t="str">
        <f t="shared" si="113"/>
        <v/>
      </c>
      <c r="I411" s="4" t="str">
        <f t="shared" si="114"/>
        <v/>
      </c>
      <c r="J411" s="4" t="str">
        <f t="shared" si="115"/>
        <v/>
      </c>
      <c r="K411" s="4" t="str">
        <f t="shared" si="116"/>
        <v/>
      </c>
      <c r="L411" s="4" t="str">
        <f t="shared" si="117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13</v>
      </c>
      <c r="C412" t="str">
        <f t="shared" si="111"/>
        <v>test.ImageData_13_</v>
      </c>
      <c r="D412">
        <v>2</v>
      </c>
      <c r="E412" s="4">
        <v>4.0705563093622792E-3</v>
      </c>
      <c r="F412" s="4">
        <v>5.4137982639928167E-2</v>
      </c>
      <c r="G412" s="4">
        <f t="shared" si="112"/>
        <v>4.0705563093622792E-3</v>
      </c>
      <c r="H412" s="4" t="str">
        <f t="shared" si="113"/>
        <v/>
      </c>
      <c r="I412" s="4" t="str">
        <f t="shared" si="114"/>
        <v/>
      </c>
      <c r="J412" s="4" t="str">
        <f t="shared" si="115"/>
        <v/>
      </c>
      <c r="K412" s="4" t="str">
        <f t="shared" si="116"/>
        <v/>
      </c>
      <c r="L412" s="4" t="str">
        <f t="shared" si="117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13</v>
      </c>
      <c r="C413" t="str">
        <f t="shared" si="111"/>
        <v>test.ImageData_13_</v>
      </c>
      <c r="D413">
        <v>3</v>
      </c>
      <c r="E413" s="4">
        <v>6.7842605156037995E-3</v>
      </c>
      <c r="F413" s="4">
        <v>5.9787488775815627E-2</v>
      </c>
      <c r="G413" s="4">
        <f t="shared" si="112"/>
        <v>6.7842605156037995E-3</v>
      </c>
      <c r="H413" s="4" t="str">
        <f t="shared" si="113"/>
        <v/>
      </c>
      <c r="I413" s="4" t="str">
        <f t="shared" si="114"/>
        <v/>
      </c>
      <c r="J413" s="4" t="str">
        <f t="shared" si="115"/>
        <v/>
      </c>
      <c r="K413" s="4" t="str">
        <f t="shared" si="116"/>
        <v/>
      </c>
      <c r="L413" s="4" t="str">
        <f t="shared" si="117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13</v>
      </c>
      <c r="C414" t="str">
        <f t="shared" si="111"/>
        <v>test.ImageData_13_</v>
      </c>
      <c r="D414">
        <v>4</v>
      </c>
      <c r="E414" s="4">
        <v>1</v>
      </c>
      <c r="F414" s="4">
        <v>1.013020053876085</v>
      </c>
      <c r="G414" s="4" t="str">
        <f t="shared" si="112"/>
        <v/>
      </c>
      <c r="H414" s="4" t="str">
        <f t="shared" si="113"/>
        <v/>
      </c>
      <c r="I414" s="4" t="str">
        <f t="shared" si="114"/>
        <v/>
      </c>
      <c r="J414" s="4" t="str">
        <f t="shared" si="115"/>
        <v/>
      </c>
      <c r="K414" s="4">
        <f t="shared" si="116"/>
        <v>1</v>
      </c>
      <c r="L414" s="4" t="str">
        <f t="shared" si="117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15</v>
      </c>
      <c r="C415" t="str">
        <f t="shared" si="111"/>
        <v>test.ImageData_15_</v>
      </c>
      <c r="D415">
        <v>1</v>
      </c>
      <c r="E415" s="4">
        <v>2.1052631578947368E-3</v>
      </c>
      <c r="F415" s="4">
        <v>4.2488924687877565E-2</v>
      </c>
      <c r="G415" s="4">
        <f t="shared" si="112"/>
        <v>2.1052631578947368E-3</v>
      </c>
      <c r="H415" s="4" t="str">
        <f t="shared" si="113"/>
        <v/>
      </c>
      <c r="I415" s="4" t="str">
        <f t="shared" si="114"/>
        <v/>
      </c>
      <c r="J415" s="4" t="str">
        <f t="shared" si="115"/>
        <v/>
      </c>
      <c r="K415" s="4" t="str">
        <f t="shared" si="116"/>
        <v/>
      </c>
      <c r="L415" s="4" t="str">
        <f t="shared" si="117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15</v>
      </c>
      <c r="C416" t="str">
        <f t="shared" si="111"/>
        <v>test.ImageData_15_</v>
      </c>
      <c r="D416">
        <v>2</v>
      </c>
      <c r="E416" s="4">
        <v>2.1052631578947368E-3</v>
      </c>
      <c r="F416" s="4">
        <v>4.5962545308095043E-2</v>
      </c>
      <c r="G416" s="4">
        <f t="shared" si="112"/>
        <v>2.1052631578947368E-3</v>
      </c>
      <c r="H416" s="4" t="str">
        <f t="shared" si="113"/>
        <v/>
      </c>
      <c r="I416" s="4" t="str">
        <f t="shared" si="114"/>
        <v/>
      </c>
      <c r="J416" s="4" t="str">
        <f t="shared" si="115"/>
        <v/>
      </c>
      <c r="K416" s="4" t="str">
        <f t="shared" si="116"/>
        <v/>
      </c>
      <c r="L416" s="4" t="str">
        <f t="shared" si="117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15</v>
      </c>
      <c r="C417" t="str">
        <f t="shared" si="111"/>
        <v>test.ImageData_15_</v>
      </c>
      <c r="D417">
        <v>3</v>
      </c>
      <c r="E417" s="4">
        <v>8.4210526315789472E-3</v>
      </c>
      <c r="F417" s="4">
        <v>5.0040273862263389E-2</v>
      </c>
      <c r="G417" s="4">
        <f t="shared" si="112"/>
        <v>8.4210526315789472E-3</v>
      </c>
      <c r="H417" s="4" t="str">
        <f t="shared" si="113"/>
        <v/>
      </c>
      <c r="I417" s="4" t="str">
        <f t="shared" si="114"/>
        <v/>
      </c>
      <c r="J417" s="4" t="str">
        <f t="shared" si="115"/>
        <v/>
      </c>
      <c r="K417" s="4" t="str">
        <f t="shared" si="116"/>
        <v/>
      </c>
      <c r="L417" s="4" t="str">
        <f t="shared" si="117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15</v>
      </c>
      <c r="C418" t="str">
        <f t="shared" si="111"/>
        <v>test.ImageData_15_</v>
      </c>
      <c r="D418">
        <v>4</v>
      </c>
      <c r="E418" s="4">
        <v>1</v>
      </c>
      <c r="F418" s="4">
        <v>0.98086991542488922</v>
      </c>
      <c r="G418" s="4" t="str">
        <f t="shared" si="112"/>
        <v/>
      </c>
      <c r="H418" s="4" t="str">
        <f t="shared" si="113"/>
        <v/>
      </c>
      <c r="I418" s="4" t="str">
        <f t="shared" si="114"/>
        <v/>
      </c>
      <c r="J418" s="4" t="str">
        <f t="shared" si="115"/>
        <v/>
      </c>
      <c r="K418" s="4">
        <f t="shared" si="116"/>
        <v>1</v>
      </c>
      <c r="L418" s="4" t="str">
        <f t="shared" si="117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16</v>
      </c>
      <c r="C419" t="str">
        <f t="shared" si="111"/>
        <v>test.ImageData_16_</v>
      </c>
      <c r="D419">
        <v>1</v>
      </c>
      <c r="E419" s="4">
        <v>1.6474464579901153E-3</v>
      </c>
      <c r="F419" s="4">
        <v>2.712067883550244E-2</v>
      </c>
      <c r="G419" s="4">
        <f t="shared" si="112"/>
        <v>1.6474464579901153E-3</v>
      </c>
      <c r="H419" s="4" t="str">
        <f t="shared" si="113"/>
        <v/>
      </c>
      <c r="I419" s="4" t="str">
        <f t="shared" si="114"/>
        <v/>
      </c>
      <c r="J419" s="4" t="str">
        <f t="shared" si="115"/>
        <v/>
      </c>
      <c r="K419" s="4" t="str">
        <f t="shared" si="116"/>
        <v/>
      </c>
      <c r="L419" s="4" t="str">
        <f t="shared" si="117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16</v>
      </c>
      <c r="C420" t="str">
        <f t="shared" si="111"/>
        <v>test.ImageData_16_</v>
      </c>
      <c r="D420">
        <v>2</v>
      </c>
      <c r="E420" s="4">
        <v>4.9423393739703456E-3</v>
      </c>
      <c r="F420" s="4">
        <v>3.0613080134239176E-2</v>
      </c>
      <c r="G420" s="4">
        <f t="shared" si="112"/>
        <v>4.9423393739703456E-3</v>
      </c>
      <c r="H420" s="4" t="str">
        <f t="shared" si="113"/>
        <v/>
      </c>
      <c r="I420" s="4" t="str">
        <f t="shared" si="114"/>
        <v/>
      </c>
      <c r="J420" s="4" t="str">
        <f t="shared" si="115"/>
        <v/>
      </c>
      <c r="K420" s="4" t="str">
        <f t="shared" si="116"/>
        <v/>
      </c>
      <c r="L420" s="4" t="str">
        <f t="shared" si="117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16</v>
      </c>
      <c r="C421" t="str">
        <f t="shared" si="111"/>
        <v>test.ImageData_16_</v>
      </c>
      <c r="D421">
        <v>3</v>
      </c>
      <c r="E421" s="4">
        <v>8.2372322899505763E-3</v>
      </c>
      <c r="F421" s="4">
        <v>3.1431611688630595E-2</v>
      </c>
      <c r="G421" s="4">
        <f t="shared" si="112"/>
        <v>8.2372322899505763E-3</v>
      </c>
      <c r="H421" s="4" t="str">
        <f t="shared" si="113"/>
        <v/>
      </c>
      <c r="I421" s="4" t="str">
        <f t="shared" si="114"/>
        <v/>
      </c>
      <c r="J421" s="4" t="str">
        <f t="shared" si="115"/>
        <v/>
      </c>
      <c r="K421" s="4" t="str">
        <f t="shared" si="116"/>
        <v/>
      </c>
      <c r="L421" s="4" t="str">
        <f t="shared" si="117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16</v>
      </c>
      <c r="C422" t="str">
        <f t="shared" si="111"/>
        <v>test.ImageData_16_</v>
      </c>
      <c r="D422">
        <v>4</v>
      </c>
      <c r="E422" s="4">
        <v>1</v>
      </c>
      <c r="F422" s="4">
        <v>0.98008239884314208</v>
      </c>
      <c r="G422" s="4" t="str">
        <f t="shared" si="112"/>
        <v/>
      </c>
      <c r="H422" s="4" t="str">
        <f t="shared" si="113"/>
        <v/>
      </c>
      <c r="I422" s="4" t="str">
        <f t="shared" si="114"/>
        <v/>
      </c>
      <c r="J422" s="4" t="str">
        <f t="shared" si="115"/>
        <v/>
      </c>
      <c r="K422" s="4">
        <f t="shared" si="116"/>
        <v>1</v>
      </c>
      <c r="L422" s="4" t="str">
        <f t="shared" si="117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20</v>
      </c>
      <c r="C423" t="str">
        <f t="shared" si="111"/>
        <v>test.ImageData_20_</v>
      </c>
      <c r="D423">
        <v>1</v>
      </c>
      <c r="E423" s="4">
        <v>0.59259259259259256</v>
      </c>
      <c r="F423" s="4">
        <v>0.53751600512163888</v>
      </c>
      <c r="G423" s="4" t="str">
        <f t="shared" si="112"/>
        <v/>
      </c>
      <c r="H423" s="4" t="str">
        <f t="shared" si="113"/>
        <v/>
      </c>
      <c r="I423" s="4">
        <f t="shared" si="114"/>
        <v>0.59259259259259256</v>
      </c>
      <c r="J423" s="4" t="str">
        <f t="shared" si="115"/>
        <v/>
      </c>
      <c r="K423" s="4" t="str">
        <f t="shared" si="116"/>
        <v/>
      </c>
      <c r="L423" s="4" t="str">
        <f t="shared" si="117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20</v>
      </c>
      <c r="C424" t="str">
        <f t="shared" si="111"/>
        <v>test.ImageData_20_</v>
      </c>
      <c r="D424">
        <v>2</v>
      </c>
      <c r="E424" s="4">
        <v>1</v>
      </c>
      <c r="F424" s="4">
        <v>0.5551856594110115</v>
      </c>
      <c r="G424" s="4" t="str">
        <f t="shared" si="112"/>
        <v/>
      </c>
      <c r="H424" s="4" t="str">
        <f t="shared" si="113"/>
        <v/>
      </c>
      <c r="I424" s="4">
        <f t="shared" si="114"/>
        <v>1</v>
      </c>
      <c r="J424" s="4" t="str">
        <f t="shared" si="115"/>
        <v/>
      </c>
      <c r="K424" s="4" t="str">
        <f t="shared" si="116"/>
        <v/>
      </c>
      <c r="L424" s="4" t="str">
        <f t="shared" si="117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495</v>
      </c>
      <c r="B425">
        <v>21</v>
      </c>
      <c r="C425" t="str">
        <f t="shared" si="111"/>
        <v>test.ImageData_21_</v>
      </c>
      <c r="D425">
        <v>1</v>
      </c>
      <c r="E425" s="4">
        <v>0.54385964912280704</v>
      </c>
      <c r="F425" s="4">
        <v>0.51263838228706726</v>
      </c>
      <c r="G425" s="4" t="str">
        <f t="shared" si="112"/>
        <v/>
      </c>
      <c r="H425" s="4" t="str">
        <f t="shared" si="113"/>
        <v/>
      </c>
      <c r="I425" s="4">
        <f t="shared" si="114"/>
        <v>0.54385964912280704</v>
      </c>
      <c r="J425" s="4" t="str">
        <f t="shared" si="115"/>
        <v/>
      </c>
      <c r="K425" s="4" t="str">
        <f t="shared" si="116"/>
        <v/>
      </c>
      <c r="L425" s="4" t="str">
        <f t="shared" si="117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495</v>
      </c>
      <c r="B426">
        <v>21</v>
      </c>
      <c r="C426" t="str">
        <f t="shared" si="111"/>
        <v>test.ImageData_21_</v>
      </c>
      <c r="D426">
        <v>2</v>
      </c>
      <c r="E426" s="4">
        <v>1</v>
      </c>
      <c r="F426" s="4">
        <v>0.5155180136942471</v>
      </c>
      <c r="G426" s="4" t="str">
        <f t="shared" si="112"/>
        <v/>
      </c>
      <c r="H426" s="4" t="str">
        <f t="shared" si="113"/>
        <v/>
      </c>
      <c r="I426" s="4">
        <f t="shared" si="114"/>
        <v>1</v>
      </c>
      <c r="J426" s="4" t="str">
        <f t="shared" si="115"/>
        <v/>
      </c>
      <c r="K426" s="4" t="str">
        <f t="shared" si="116"/>
        <v/>
      </c>
      <c r="L426" s="4" t="str">
        <f t="shared" si="117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496</v>
      </c>
      <c r="B427">
        <v>2</v>
      </c>
      <c r="C427" t="str">
        <f t="shared" si="111"/>
        <v>test.MapViewer_2_</v>
      </c>
      <c r="D427">
        <v>1</v>
      </c>
      <c r="E427" s="4">
        <v>0.74603174603174605</v>
      </c>
      <c r="F427" s="4">
        <v>0.58735824074607101</v>
      </c>
      <c r="G427" s="4" t="str">
        <f t="shared" si="112"/>
        <v/>
      </c>
      <c r="H427" s="4" t="str">
        <f t="shared" si="113"/>
        <v/>
      </c>
      <c r="I427" s="4">
        <f t="shared" si="114"/>
        <v>0.74603174603174605</v>
      </c>
      <c r="J427" s="4" t="str">
        <f t="shared" si="115"/>
        <v/>
      </c>
      <c r="K427" s="4" t="str">
        <f t="shared" si="116"/>
        <v/>
      </c>
      <c r="L427" s="4" t="str">
        <f t="shared" si="117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s="7" t="s">
        <v>496</v>
      </c>
      <c r="B428" s="7">
        <v>2</v>
      </c>
      <c r="C428" t="str">
        <f t="shared" si="111"/>
        <v>test.MapViewer_2_</v>
      </c>
      <c r="D428" s="7">
        <v>2</v>
      </c>
      <c r="E428" s="4">
        <v>1</v>
      </c>
      <c r="F428" s="4">
        <v>0.88141154798226928</v>
      </c>
      <c r="G428" s="4" t="str">
        <f t="shared" si="112"/>
        <v/>
      </c>
      <c r="H428" s="4" t="str">
        <f t="shared" si="113"/>
        <v/>
      </c>
      <c r="I428" s="4" t="str">
        <f t="shared" si="114"/>
        <v/>
      </c>
      <c r="J428" s="4" t="str">
        <f t="shared" si="115"/>
        <v/>
      </c>
      <c r="K428" s="4">
        <f t="shared" si="116"/>
        <v>1</v>
      </c>
      <c r="L428" s="4" t="str">
        <f t="shared" si="117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496</v>
      </c>
      <c r="B429">
        <v>3</v>
      </c>
      <c r="C429" t="str">
        <f t="shared" si="111"/>
        <v>test.MapViewer_3_</v>
      </c>
      <c r="D429">
        <v>1</v>
      </c>
      <c r="E429" s="4">
        <v>4.7619047619047616E-2</v>
      </c>
      <c r="F429" s="4">
        <v>3.7646998930916865E-2</v>
      </c>
      <c r="G429" s="4">
        <f t="shared" si="112"/>
        <v>4.7619047619047616E-2</v>
      </c>
      <c r="H429" s="4" t="str">
        <f t="shared" si="113"/>
        <v/>
      </c>
      <c r="I429" s="4" t="str">
        <f t="shared" si="114"/>
        <v/>
      </c>
      <c r="J429" s="4" t="str">
        <f t="shared" si="115"/>
        <v/>
      </c>
      <c r="K429" s="4" t="str">
        <f t="shared" si="116"/>
        <v/>
      </c>
      <c r="L429" s="4" t="str">
        <f t="shared" si="117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496</v>
      </c>
      <c r="B430">
        <v>3</v>
      </c>
      <c r="C430" t="str">
        <f t="shared" si="111"/>
        <v>test.MapViewer_3_</v>
      </c>
      <c r="D430">
        <v>2</v>
      </c>
      <c r="E430" s="4">
        <v>0.20408163265306123</v>
      </c>
      <c r="F430" s="4">
        <v>0.14488621900931631</v>
      </c>
      <c r="G430" s="4">
        <f t="shared" si="112"/>
        <v>0.20408163265306123</v>
      </c>
      <c r="H430" s="4" t="str">
        <f t="shared" si="113"/>
        <v/>
      </c>
      <c r="I430" s="4" t="str">
        <f t="shared" si="114"/>
        <v/>
      </c>
      <c r="J430" s="4" t="str">
        <f t="shared" si="115"/>
        <v/>
      </c>
      <c r="K430" s="4" t="str">
        <f t="shared" si="116"/>
        <v/>
      </c>
      <c r="L430" s="4" t="str">
        <f t="shared" si="117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496</v>
      </c>
      <c r="B431">
        <v>3</v>
      </c>
      <c r="C431" t="str">
        <f t="shared" si="111"/>
        <v>test.MapViewer_3_</v>
      </c>
      <c r="D431">
        <v>3</v>
      </c>
      <c r="E431" s="4">
        <v>0.30612244897959184</v>
      </c>
      <c r="F431" s="4">
        <v>0.20549305095962939</v>
      </c>
      <c r="G431" s="4" t="str">
        <f t="shared" si="112"/>
        <v/>
      </c>
      <c r="H431" s="4">
        <f t="shared" si="113"/>
        <v>0.30612244897959184</v>
      </c>
      <c r="I431" s="4" t="str">
        <f t="shared" si="114"/>
        <v/>
      </c>
      <c r="J431" s="4" t="str">
        <f t="shared" si="115"/>
        <v/>
      </c>
      <c r="K431" s="4" t="str">
        <f t="shared" si="116"/>
        <v/>
      </c>
      <c r="L431" s="4" t="str">
        <f t="shared" si="117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496</v>
      </c>
      <c r="B432">
        <v>3</v>
      </c>
      <c r="C432" t="str">
        <f t="shared" si="111"/>
        <v>test.MapViewer_3_</v>
      </c>
      <c r="D432">
        <v>4</v>
      </c>
      <c r="E432" s="4">
        <v>0.34693877551020408</v>
      </c>
      <c r="F432" s="4">
        <v>0.261849004734511</v>
      </c>
      <c r="G432" s="4" t="str">
        <f t="shared" si="112"/>
        <v/>
      </c>
      <c r="H432" s="4">
        <f t="shared" si="113"/>
        <v>0.34693877551020408</v>
      </c>
      <c r="I432" s="4" t="str">
        <f t="shared" si="114"/>
        <v/>
      </c>
      <c r="J432" s="4" t="str">
        <f t="shared" si="115"/>
        <v/>
      </c>
      <c r="K432" s="4" t="str">
        <f t="shared" si="116"/>
        <v/>
      </c>
      <c r="L432" s="4" t="str">
        <f t="shared" si="117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496</v>
      </c>
      <c r="B433">
        <v>3</v>
      </c>
      <c r="C433" t="str">
        <f t="shared" si="111"/>
        <v>test.MapViewer_3_</v>
      </c>
      <c r="D433">
        <v>5</v>
      </c>
      <c r="E433" s="4">
        <v>1</v>
      </c>
      <c r="F433" s="4">
        <v>0.92442600417451515</v>
      </c>
      <c r="G433" s="4" t="str">
        <f t="shared" si="112"/>
        <v/>
      </c>
      <c r="H433" s="4" t="str">
        <f t="shared" si="113"/>
        <v/>
      </c>
      <c r="I433" s="4" t="str">
        <f t="shared" si="114"/>
        <v/>
      </c>
      <c r="J433" s="4" t="str">
        <f t="shared" si="115"/>
        <v/>
      </c>
      <c r="K433" s="4">
        <f t="shared" si="116"/>
        <v>1</v>
      </c>
      <c r="L433" s="4" t="str">
        <f t="shared" si="117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496</v>
      </c>
      <c r="B434">
        <v>3</v>
      </c>
      <c r="C434" t="str">
        <f t="shared" si="111"/>
        <v>test.MapViewer_3_</v>
      </c>
      <c r="D434">
        <v>6</v>
      </c>
      <c r="E434" s="4">
        <v>1</v>
      </c>
      <c r="F434" s="4">
        <v>1.0061854095606577</v>
      </c>
      <c r="G434" s="4" t="str">
        <f t="shared" si="112"/>
        <v/>
      </c>
      <c r="H434" s="4" t="str">
        <f t="shared" si="113"/>
        <v/>
      </c>
      <c r="I434" s="4" t="str">
        <f t="shared" si="114"/>
        <v/>
      </c>
      <c r="J434" s="4" t="str">
        <f t="shared" si="115"/>
        <v/>
      </c>
      <c r="K434" s="4">
        <f t="shared" si="116"/>
        <v>1</v>
      </c>
      <c r="L434" s="4" t="str">
        <f t="shared" si="117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0</v>
      </c>
      <c r="C435" t="str">
        <f t="shared" si="111"/>
        <v>test.QRCodeDataBlockReader_0_</v>
      </c>
      <c r="D435">
        <v>1</v>
      </c>
      <c r="E435" s="4">
        <v>0.1</v>
      </c>
      <c r="F435" s="4">
        <v>0.52747252747252749</v>
      </c>
      <c r="G435" s="4" t="str">
        <f t="shared" si="112"/>
        <v/>
      </c>
      <c r="H435" s="4" t="str">
        <f t="shared" si="113"/>
        <v/>
      </c>
      <c r="I435" s="4">
        <f t="shared" si="114"/>
        <v>0.1</v>
      </c>
      <c r="J435" s="4" t="str">
        <f t="shared" si="115"/>
        <v/>
      </c>
      <c r="K435" s="4" t="str">
        <f t="shared" si="116"/>
        <v/>
      </c>
      <c r="L435" s="4" t="str">
        <f t="shared" si="117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0</v>
      </c>
      <c r="C436" t="str">
        <f t="shared" si="111"/>
        <v>test.QRCodeDataBlockReader_0_</v>
      </c>
      <c r="D436">
        <v>2</v>
      </c>
      <c r="E436" s="4">
        <v>0.4</v>
      </c>
      <c r="F436" s="4">
        <v>0.73076923076923073</v>
      </c>
      <c r="G436" s="4" t="str">
        <f t="shared" si="112"/>
        <v/>
      </c>
      <c r="H436" s="4" t="str">
        <f t="shared" si="113"/>
        <v/>
      </c>
      <c r="I436" s="4" t="str">
        <f t="shared" si="114"/>
        <v/>
      </c>
      <c r="J436" s="4">
        <f t="shared" si="115"/>
        <v>0.4</v>
      </c>
      <c r="K436" s="4" t="str">
        <f t="shared" si="116"/>
        <v/>
      </c>
      <c r="L436" s="4" t="str">
        <f t="shared" si="117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0</v>
      </c>
      <c r="C437" t="str">
        <f t="shared" si="111"/>
        <v>test.QRCodeDataBlockReader_0_</v>
      </c>
      <c r="D437">
        <v>3</v>
      </c>
      <c r="E437" s="4">
        <v>0.6</v>
      </c>
      <c r="F437" s="4">
        <v>0.78021978021978022</v>
      </c>
      <c r="G437" s="4" t="str">
        <f t="shared" si="112"/>
        <v/>
      </c>
      <c r="H437" s="4" t="str">
        <f t="shared" si="113"/>
        <v/>
      </c>
      <c r="I437" s="4" t="str">
        <f t="shared" si="114"/>
        <v/>
      </c>
      <c r="J437" s="4">
        <f t="shared" si="115"/>
        <v>0.6</v>
      </c>
      <c r="K437" s="4" t="str">
        <f t="shared" si="116"/>
        <v/>
      </c>
      <c r="L437" s="4" t="str">
        <f t="shared" si="117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0</v>
      </c>
      <c r="C438" t="str">
        <f t="shared" si="111"/>
        <v>test.QRCodeDataBlockReader_0_</v>
      </c>
      <c r="D438">
        <v>4</v>
      </c>
      <c r="E438" s="4">
        <v>1</v>
      </c>
      <c r="F438" s="4">
        <v>0.99450549450549453</v>
      </c>
      <c r="G438" s="4" t="str">
        <f t="shared" si="112"/>
        <v/>
      </c>
      <c r="H438" s="4" t="str">
        <f t="shared" si="113"/>
        <v/>
      </c>
      <c r="I438" s="4" t="str">
        <f t="shared" si="114"/>
        <v/>
      </c>
      <c r="J438" s="4" t="str">
        <f t="shared" si="115"/>
        <v/>
      </c>
      <c r="K438" s="4">
        <f t="shared" si="116"/>
        <v>1</v>
      </c>
      <c r="L438" s="4" t="str">
        <f t="shared" si="117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497</v>
      </c>
      <c r="B439">
        <v>1</v>
      </c>
      <c r="C439" t="str">
        <f t="shared" si="111"/>
        <v>test.QRCodeDataBlockReader_1_</v>
      </c>
      <c r="D439">
        <v>1</v>
      </c>
      <c r="E439" s="4">
        <v>9.7345132743362831E-2</v>
      </c>
      <c r="F439" s="4">
        <v>8.318789994182664E-2</v>
      </c>
      <c r="G439" s="4">
        <f t="shared" si="112"/>
        <v>9.7345132743362831E-2</v>
      </c>
      <c r="H439" s="4" t="str">
        <f t="shared" si="113"/>
        <v/>
      </c>
      <c r="I439" s="4" t="str">
        <f t="shared" si="114"/>
        <v/>
      </c>
      <c r="J439" s="4" t="str">
        <f t="shared" si="115"/>
        <v/>
      </c>
      <c r="K439" s="4" t="str">
        <f t="shared" si="116"/>
        <v/>
      </c>
      <c r="L439" s="4" t="str">
        <f t="shared" si="117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497</v>
      </c>
      <c r="B440">
        <v>1</v>
      </c>
      <c r="C440" t="str">
        <f t="shared" si="111"/>
        <v>test.QRCodeDataBlockReader_1_</v>
      </c>
      <c r="D440">
        <v>2</v>
      </c>
      <c r="E440" s="4">
        <v>0.26548672566371684</v>
      </c>
      <c r="F440" s="4">
        <v>0.19740159007174715</v>
      </c>
      <c r="G440" s="4">
        <f t="shared" si="112"/>
        <v>0.26548672566371684</v>
      </c>
      <c r="H440" s="4" t="str">
        <f t="shared" si="113"/>
        <v/>
      </c>
      <c r="I440" s="4" t="str">
        <f t="shared" si="114"/>
        <v/>
      </c>
      <c r="J440" s="4" t="str">
        <f t="shared" si="115"/>
        <v/>
      </c>
      <c r="K440" s="4" t="str">
        <f t="shared" si="116"/>
        <v/>
      </c>
      <c r="L440" s="4" t="str">
        <f t="shared" si="117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497</v>
      </c>
      <c r="B441">
        <v>1</v>
      </c>
      <c r="C441" t="str">
        <f t="shared" si="111"/>
        <v>test.QRCodeDataBlockReader_1_</v>
      </c>
      <c r="D441">
        <v>3</v>
      </c>
      <c r="E441" s="4">
        <v>0.51327433628318586</v>
      </c>
      <c r="F441" s="4">
        <v>0.28233469071165407</v>
      </c>
      <c r="G441" s="4" t="str">
        <f t="shared" si="112"/>
        <v/>
      </c>
      <c r="H441" s="4">
        <f t="shared" si="113"/>
        <v>0.51327433628318586</v>
      </c>
      <c r="I441" s="4" t="str">
        <f t="shared" si="114"/>
        <v/>
      </c>
      <c r="J441" s="4" t="str">
        <f t="shared" si="115"/>
        <v/>
      </c>
      <c r="K441" s="4" t="str">
        <f t="shared" si="116"/>
        <v/>
      </c>
      <c r="L441" s="4" t="str">
        <f t="shared" si="117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497</v>
      </c>
      <c r="B442">
        <v>1</v>
      </c>
      <c r="C442" t="str">
        <f t="shared" si="111"/>
        <v>test.QRCodeDataBlockReader_1_</v>
      </c>
      <c r="D442">
        <v>4</v>
      </c>
      <c r="E442" s="4">
        <v>1</v>
      </c>
      <c r="F442" s="4">
        <v>0.59773123909249559</v>
      </c>
      <c r="G442" s="4" t="str">
        <f t="shared" si="112"/>
        <v/>
      </c>
      <c r="H442" s="4" t="str">
        <f t="shared" si="113"/>
        <v/>
      </c>
      <c r="I442" s="4">
        <f t="shared" si="114"/>
        <v>1</v>
      </c>
      <c r="J442" s="4" t="str">
        <f t="shared" si="115"/>
        <v/>
      </c>
      <c r="K442" s="4" t="str">
        <f t="shared" si="116"/>
        <v/>
      </c>
      <c r="L442" s="4" t="str">
        <f t="shared" si="117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111"/>
        <v>test.StructurePanel_1_</v>
      </c>
      <c r="D443">
        <v>1</v>
      </c>
      <c r="E443" s="4">
        <v>0.10638297872340426</v>
      </c>
      <c r="F443" s="4">
        <v>0.10911548860563924</v>
      </c>
      <c r="G443" s="4">
        <f t="shared" si="112"/>
        <v>0.10638297872340426</v>
      </c>
      <c r="H443" s="4" t="str">
        <f t="shared" si="113"/>
        <v/>
      </c>
      <c r="I443" s="4" t="str">
        <f t="shared" si="114"/>
        <v/>
      </c>
      <c r="J443" s="4" t="str">
        <f t="shared" si="115"/>
        <v/>
      </c>
      <c r="K443" s="4" t="str">
        <f t="shared" si="116"/>
        <v/>
      </c>
      <c r="L443" s="4" t="str">
        <f t="shared" si="117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111"/>
        <v>test.StructurePanel_1_</v>
      </c>
      <c r="D444">
        <v>2</v>
      </c>
      <c r="E444" s="4">
        <v>0.18085106382978725</v>
      </c>
      <c r="F444" s="4">
        <v>0.1096948628814214</v>
      </c>
      <c r="G444" s="4">
        <f t="shared" si="112"/>
        <v>0.18085106382978725</v>
      </c>
      <c r="H444" s="4" t="str">
        <f t="shared" si="113"/>
        <v/>
      </c>
      <c r="I444" s="4" t="str">
        <f t="shared" si="114"/>
        <v/>
      </c>
      <c r="J444" s="4" t="str">
        <f t="shared" si="115"/>
        <v/>
      </c>
      <c r="K444" s="4" t="str">
        <f t="shared" si="116"/>
        <v/>
      </c>
      <c r="L444" s="4" t="str">
        <f t="shared" si="117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111"/>
        <v>test.StructurePanel_1_</v>
      </c>
      <c r="D445">
        <v>3</v>
      </c>
      <c r="E445" s="4">
        <v>0.2978723404255319</v>
      </c>
      <c r="F445" s="4">
        <v>0.22286597141753572</v>
      </c>
      <c r="G445" s="4" t="str">
        <f t="shared" si="112"/>
        <v/>
      </c>
      <c r="H445" s="4">
        <f t="shared" si="113"/>
        <v>0.2978723404255319</v>
      </c>
      <c r="I445" s="4" t="str">
        <f t="shared" si="114"/>
        <v/>
      </c>
      <c r="J445" s="4" t="str">
        <f t="shared" si="115"/>
        <v/>
      </c>
      <c r="K445" s="4" t="str">
        <f t="shared" si="116"/>
        <v/>
      </c>
      <c r="L445" s="4" t="str">
        <f t="shared" si="117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111"/>
        <v>test.StructurePanel_1_</v>
      </c>
      <c r="D446">
        <v>4</v>
      </c>
      <c r="E446" s="4">
        <v>0.43617021276595747</v>
      </c>
      <c r="F446" s="4">
        <v>0.22537659327925841</v>
      </c>
      <c r="G446" s="4" t="str">
        <f t="shared" si="112"/>
        <v/>
      </c>
      <c r="H446" s="4">
        <f t="shared" si="113"/>
        <v>0.43617021276595747</v>
      </c>
      <c r="I446" s="4" t="str">
        <f t="shared" si="114"/>
        <v/>
      </c>
      <c r="J446" s="4" t="str">
        <f t="shared" si="115"/>
        <v/>
      </c>
      <c r="K446" s="4" t="str">
        <f t="shared" si="116"/>
        <v/>
      </c>
      <c r="L446" s="4" t="str">
        <f t="shared" si="117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498</v>
      </c>
      <c r="B447">
        <v>1</v>
      </c>
      <c r="C447" t="str">
        <f t="shared" si="111"/>
        <v>test.StructurePanel_1_</v>
      </c>
      <c r="D447">
        <v>5</v>
      </c>
      <c r="E447" s="4">
        <v>0.56382978723404253</v>
      </c>
      <c r="F447" s="4">
        <v>0.23677095403630746</v>
      </c>
      <c r="G447" s="4" t="str">
        <f t="shared" si="112"/>
        <v/>
      </c>
      <c r="H447" s="4">
        <f t="shared" si="113"/>
        <v>0.56382978723404253</v>
      </c>
      <c r="I447" s="4" t="str">
        <f t="shared" si="114"/>
        <v/>
      </c>
      <c r="J447" s="4" t="str">
        <f t="shared" si="115"/>
        <v/>
      </c>
      <c r="K447" s="4" t="str">
        <f t="shared" si="116"/>
        <v/>
      </c>
      <c r="L447" s="4" t="str">
        <f t="shared" si="117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498</v>
      </c>
      <c r="B448">
        <v>1</v>
      </c>
      <c r="C448" t="str">
        <f t="shared" si="111"/>
        <v>test.StructurePanel_1_</v>
      </c>
      <c r="D448">
        <v>6</v>
      </c>
      <c r="E448" s="4">
        <v>0.69148936170212771</v>
      </c>
      <c r="F448" s="4">
        <v>0.23908845113943608</v>
      </c>
      <c r="G448" s="4" t="str">
        <f t="shared" si="112"/>
        <v/>
      </c>
      <c r="H448" s="4">
        <f t="shared" si="113"/>
        <v>0.69148936170212771</v>
      </c>
      <c r="I448" s="4" t="str">
        <f t="shared" si="114"/>
        <v/>
      </c>
      <c r="J448" s="4" t="str">
        <f t="shared" si="115"/>
        <v/>
      </c>
      <c r="K448" s="4" t="str">
        <f t="shared" si="116"/>
        <v/>
      </c>
      <c r="L448" s="4" t="str">
        <f t="shared" si="117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498</v>
      </c>
      <c r="B449">
        <v>1</v>
      </c>
      <c r="C449" t="str">
        <f t="shared" si="111"/>
        <v>test.StructurePanel_1_</v>
      </c>
      <c r="D449">
        <v>7</v>
      </c>
      <c r="E449" s="4">
        <v>0.85106382978723405</v>
      </c>
      <c r="F449" s="4">
        <v>0.24488219389725763</v>
      </c>
      <c r="G449" s="4" t="str">
        <f t="shared" si="112"/>
        <v/>
      </c>
      <c r="H449" s="4">
        <f t="shared" si="113"/>
        <v>0.85106382978723405</v>
      </c>
      <c r="I449" s="4" t="str">
        <f t="shared" si="114"/>
        <v/>
      </c>
      <c r="J449" s="4" t="str">
        <f t="shared" si="115"/>
        <v/>
      </c>
      <c r="K449" s="4" t="str">
        <f t="shared" si="116"/>
        <v/>
      </c>
      <c r="L449" s="4" t="str">
        <f t="shared" si="117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498</v>
      </c>
      <c r="B450">
        <v>1</v>
      </c>
      <c r="C450" t="str">
        <f t="shared" si="111"/>
        <v>test.StructurePanel_1_</v>
      </c>
      <c r="D450">
        <v>8</v>
      </c>
      <c r="E450" s="4">
        <v>1</v>
      </c>
      <c r="F450" s="4">
        <v>0.30030899961375046</v>
      </c>
      <c r="G450" s="4" t="str">
        <f t="shared" si="112"/>
        <v/>
      </c>
      <c r="H450" s="4">
        <f t="shared" si="113"/>
        <v>1</v>
      </c>
      <c r="I450" s="4" t="str">
        <f t="shared" si="114"/>
        <v/>
      </c>
      <c r="J450" s="4" t="str">
        <f t="shared" si="115"/>
        <v/>
      </c>
      <c r="K450" s="4" t="str">
        <f t="shared" si="116"/>
        <v/>
      </c>
      <c r="L450" s="4" t="str">
        <f t="shared" si="117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499</v>
      </c>
      <c r="B451">
        <v>3</v>
      </c>
      <c r="C451" t="str">
        <f t="shared" ref="C451:C514" si="118">CONCATENATE(A451, "_",B451,"_")</f>
        <v>test.TileRenderor_3_</v>
      </c>
      <c r="D451">
        <v>1</v>
      </c>
      <c r="E451" s="4">
        <v>0.95718654434250761</v>
      </c>
      <c r="F451" s="4">
        <v>0.87494612499002311</v>
      </c>
      <c r="G451" s="4" t="str">
        <f t="shared" ref="G451:G514" si="119">IF(F451 &lt;= 0.2,E451,"")</f>
        <v/>
      </c>
      <c r="H451" s="4" t="str">
        <f t="shared" ref="H451:H514" si="120">IF(AND($F451 &gt; 0.2,$F451 &lt;= 0.4),$E451,"")</f>
        <v/>
      </c>
      <c r="I451" s="4" t="str">
        <f t="shared" ref="I451:I514" si="121">IF(AND($F451 &gt; 0.4,$F451 &lt;= 0.6),$E451,"")</f>
        <v/>
      </c>
      <c r="J451" s="4" t="str">
        <f t="shared" ref="J451:J514" si="122">IF(AND($F451 &gt; 0.6,$F451 &lt;= 0.8),$E451,"")</f>
        <v/>
      </c>
      <c r="K451" s="4">
        <f t="shared" ref="K451:K514" si="123">IF(AND($F451 &gt; 0.8, $F451 &lt;=1.1),$E451,"")</f>
        <v>0.95718654434250761</v>
      </c>
      <c r="L451" s="4" t="str">
        <f t="shared" ref="L451:L514" si="124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499</v>
      </c>
      <c r="B452">
        <v>3</v>
      </c>
      <c r="C452" t="str">
        <f t="shared" si="118"/>
        <v>test.TileRenderor_3_</v>
      </c>
      <c r="D452">
        <v>2</v>
      </c>
      <c r="E452" s="4">
        <v>1</v>
      </c>
      <c r="F452" s="4">
        <v>0.88768457179343918</v>
      </c>
      <c r="G452" s="4" t="str">
        <f t="shared" si="119"/>
        <v/>
      </c>
      <c r="H452" s="4" t="str">
        <f t="shared" si="120"/>
        <v/>
      </c>
      <c r="I452" s="4" t="str">
        <f t="shared" si="121"/>
        <v/>
      </c>
      <c r="J452" s="4" t="str">
        <f t="shared" si="122"/>
        <v/>
      </c>
      <c r="K452" s="4">
        <f t="shared" si="123"/>
        <v>1</v>
      </c>
      <c r="L452" s="4" t="str">
        <f t="shared" si="124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500</v>
      </c>
      <c r="B453">
        <v>1</v>
      </c>
      <c r="C453" t="str">
        <f t="shared" si="118"/>
        <v>test.WorldController_1_</v>
      </c>
      <c r="D453">
        <v>1</v>
      </c>
      <c r="E453" s="4">
        <v>0.21301775147928995</v>
      </c>
      <c r="F453" s="4">
        <v>0.21003238186615494</v>
      </c>
      <c r="G453" s="4" t="str">
        <f t="shared" si="119"/>
        <v/>
      </c>
      <c r="H453" s="4">
        <f t="shared" si="120"/>
        <v>0.21301775147928995</v>
      </c>
      <c r="I453" s="4" t="str">
        <f t="shared" si="121"/>
        <v/>
      </c>
      <c r="J453" s="4" t="str">
        <f t="shared" si="122"/>
        <v/>
      </c>
      <c r="K453" s="4" t="str">
        <f t="shared" si="123"/>
        <v/>
      </c>
      <c r="L453" s="4" t="str">
        <f t="shared" si="124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500</v>
      </c>
      <c r="B454">
        <v>1</v>
      </c>
      <c r="C454" t="str">
        <f t="shared" si="118"/>
        <v>test.WorldController_1_</v>
      </c>
      <c r="D454">
        <v>2</v>
      </c>
      <c r="E454" s="4">
        <v>0.40828402366863903</v>
      </c>
      <c r="F454" s="4">
        <v>0.23998560805948668</v>
      </c>
      <c r="G454" s="4" t="str">
        <f t="shared" si="119"/>
        <v/>
      </c>
      <c r="H454" s="4">
        <f t="shared" si="120"/>
        <v>0.40828402366863903</v>
      </c>
      <c r="I454" s="4" t="str">
        <f t="shared" si="121"/>
        <v/>
      </c>
      <c r="J454" s="4" t="str">
        <f t="shared" si="122"/>
        <v/>
      </c>
      <c r="K454" s="4" t="str">
        <f t="shared" si="123"/>
        <v/>
      </c>
      <c r="L454" s="4" t="str">
        <f t="shared" si="124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500</v>
      </c>
      <c r="B455">
        <v>1</v>
      </c>
      <c r="C455" t="str">
        <f t="shared" si="118"/>
        <v>test.WorldController_1_</v>
      </c>
      <c r="D455">
        <v>3</v>
      </c>
      <c r="E455" s="4">
        <v>0.60355029585798814</v>
      </c>
      <c r="F455" s="4">
        <v>0.25494722955145116</v>
      </c>
      <c r="G455" s="4" t="str">
        <f t="shared" si="119"/>
        <v/>
      </c>
      <c r="H455" s="4">
        <f t="shared" si="120"/>
        <v>0.60355029585798814</v>
      </c>
      <c r="I455" s="4" t="str">
        <f t="shared" si="121"/>
        <v/>
      </c>
      <c r="J455" s="4" t="str">
        <f t="shared" si="122"/>
        <v/>
      </c>
      <c r="K455" s="4" t="str">
        <f t="shared" si="123"/>
        <v/>
      </c>
      <c r="L455" s="4" t="str">
        <f t="shared" si="124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500</v>
      </c>
      <c r="B456">
        <v>1</v>
      </c>
      <c r="C456" t="str">
        <f t="shared" si="118"/>
        <v>test.WorldController_1_</v>
      </c>
      <c r="D456">
        <v>4</v>
      </c>
      <c r="E456" s="4">
        <v>0.79881656804733725</v>
      </c>
      <c r="F456" s="4">
        <v>0.28565003597985128</v>
      </c>
      <c r="G456" s="4" t="str">
        <f t="shared" si="119"/>
        <v/>
      </c>
      <c r="H456" s="4">
        <f t="shared" si="120"/>
        <v>0.79881656804733725</v>
      </c>
      <c r="I456" s="4" t="str">
        <f t="shared" si="121"/>
        <v/>
      </c>
      <c r="J456" s="4" t="str">
        <f t="shared" si="122"/>
        <v/>
      </c>
      <c r="K456" s="4" t="str">
        <f t="shared" si="123"/>
        <v/>
      </c>
      <c r="L456" s="4" t="str">
        <f t="shared" si="124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500</v>
      </c>
      <c r="B457">
        <v>1</v>
      </c>
      <c r="C457" t="str">
        <f t="shared" si="118"/>
        <v>test.WorldController_1_</v>
      </c>
      <c r="D457">
        <v>5</v>
      </c>
      <c r="E457" s="4">
        <v>1</v>
      </c>
      <c r="F457" s="4">
        <v>0.30067162389062124</v>
      </c>
      <c r="G457" s="4" t="str">
        <f t="shared" si="119"/>
        <v/>
      </c>
      <c r="H457" s="4">
        <f t="shared" si="120"/>
        <v>1</v>
      </c>
      <c r="I457" s="4" t="str">
        <f t="shared" si="121"/>
        <v/>
      </c>
      <c r="J457" s="4" t="str">
        <f t="shared" si="122"/>
        <v/>
      </c>
      <c r="K457" s="4" t="str">
        <f t="shared" si="123"/>
        <v/>
      </c>
      <c r="L457" s="4" t="str">
        <f t="shared" si="124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4</v>
      </c>
      <c r="C458" t="str">
        <f t="shared" si="118"/>
        <v>test.TIFFFaxDecoder_4_</v>
      </c>
      <c r="D458">
        <v>1</v>
      </c>
      <c r="E458" s="4">
        <v>0.1095890410958904</v>
      </c>
      <c r="F458" s="4">
        <v>1.1935824127019375E-2</v>
      </c>
      <c r="G458" s="4">
        <f t="shared" si="119"/>
        <v>0.1095890410958904</v>
      </c>
      <c r="H458" s="4" t="str">
        <f t="shared" si="120"/>
        <v/>
      </c>
      <c r="I458" s="4" t="str">
        <f t="shared" si="121"/>
        <v/>
      </c>
      <c r="J458" s="4" t="str">
        <f t="shared" si="122"/>
        <v/>
      </c>
      <c r="K458" s="4" t="str">
        <f t="shared" si="123"/>
        <v/>
      </c>
      <c r="L458" s="4" t="str">
        <f t="shared" si="124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4</v>
      </c>
      <c r="C459" t="str">
        <f t="shared" si="118"/>
        <v>test.TIFFFaxDecoder_4_</v>
      </c>
      <c r="D459">
        <v>2</v>
      </c>
      <c r="E459" s="4">
        <v>0.27397260273972601</v>
      </c>
      <c r="F459" s="4">
        <v>0.11497251984677732</v>
      </c>
      <c r="G459" s="4">
        <f t="shared" si="119"/>
        <v>0.27397260273972601</v>
      </c>
      <c r="H459" s="4" t="str">
        <f t="shared" si="120"/>
        <v/>
      </c>
      <c r="I459" s="4" t="str">
        <f t="shared" si="121"/>
        <v/>
      </c>
      <c r="J459" s="4" t="str">
        <f t="shared" si="122"/>
        <v/>
      </c>
      <c r="K459" s="4" t="str">
        <f t="shared" si="123"/>
        <v/>
      </c>
      <c r="L459" s="4" t="str">
        <f t="shared" si="124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4</v>
      </c>
      <c r="C460" t="str">
        <f t="shared" si="118"/>
        <v>test.TIFFFaxDecoder_4_</v>
      </c>
      <c r="D460">
        <v>3</v>
      </c>
      <c r="E460" s="4">
        <v>0.56164383561643838</v>
      </c>
      <c r="F460" s="4">
        <v>0.31238549936157217</v>
      </c>
      <c r="G460" s="4" t="str">
        <f t="shared" si="119"/>
        <v/>
      </c>
      <c r="H460" s="4">
        <f t="shared" si="120"/>
        <v>0.56164383561643838</v>
      </c>
      <c r="I460" s="4" t="str">
        <f t="shared" si="121"/>
        <v/>
      </c>
      <c r="J460" s="4" t="str">
        <f t="shared" si="122"/>
        <v/>
      </c>
      <c r="K460" s="4" t="str">
        <f t="shared" si="123"/>
        <v/>
      </c>
      <c r="L460" s="4" t="str">
        <f t="shared" si="124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4</v>
      </c>
      <c r="C461" t="str">
        <f t="shared" si="118"/>
        <v>test.TIFFFaxDecoder_4_</v>
      </c>
      <c r="D461">
        <v>4</v>
      </c>
      <c r="E461" s="4">
        <v>0.58904109589041098</v>
      </c>
      <c r="F461" s="4">
        <v>0.31321823127741077</v>
      </c>
      <c r="G461" s="4" t="str">
        <f t="shared" si="119"/>
        <v/>
      </c>
      <c r="H461" s="4">
        <f t="shared" si="120"/>
        <v>0.58904109589041098</v>
      </c>
      <c r="I461" s="4" t="str">
        <f t="shared" si="121"/>
        <v/>
      </c>
      <c r="J461" s="4" t="str">
        <f t="shared" si="122"/>
        <v/>
      </c>
      <c r="K461" s="4" t="str">
        <f t="shared" si="123"/>
        <v/>
      </c>
      <c r="L461" s="4" t="str">
        <f t="shared" si="124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4</v>
      </c>
      <c r="C462" t="str">
        <f t="shared" si="118"/>
        <v>test.TIFFFaxDecoder_4_</v>
      </c>
      <c r="D462">
        <v>5</v>
      </c>
      <c r="E462" s="4">
        <v>0.65753424657534243</v>
      </c>
      <c r="F462" s="4">
        <v>0.32842946760672848</v>
      </c>
      <c r="G462" s="4" t="str">
        <f t="shared" si="119"/>
        <v/>
      </c>
      <c r="H462" s="4">
        <f t="shared" si="120"/>
        <v>0.65753424657534243</v>
      </c>
      <c r="I462" s="4" t="str">
        <f t="shared" si="121"/>
        <v/>
      </c>
      <c r="J462" s="4" t="str">
        <f t="shared" si="122"/>
        <v/>
      </c>
      <c r="K462" s="4" t="str">
        <f t="shared" si="123"/>
        <v/>
      </c>
      <c r="L462" s="4" t="str">
        <f t="shared" si="124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4</v>
      </c>
      <c r="C463" t="str">
        <f t="shared" si="118"/>
        <v>test.TIFFFaxDecoder_4_</v>
      </c>
      <c r="D463">
        <v>6</v>
      </c>
      <c r="E463" s="4">
        <v>0.78082191780821919</v>
      </c>
      <c r="F463" s="4">
        <v>0.48625992338866375</v>
      </c>
      <c r="G463" s="4" t="str">
        <f t="shared" si="119"/>
        <v/>
      </c>
      <c r="H463" s="4" t="str">
        <f t="shared" si="120"/>
        <v/>
      </c>
      <c r="I463" s="4">
        <f t="shared" si="121"/>
        <v>0.78082191780821919</v>
      </c>
      <c r="J463" s="4" t="str">
        <f t="shared" si="122"/>
        <v/>
      </c>
      <c r="K463" s="4" t="str">
        <f t="shared" si="123"/>
        <v/>
      </c>
      <c r="L463" s="4" t="str">
        <f t="shared" si="124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4</v>
      </c>
      <c r="C464" t="str">
        <f t="shared" si="118"/>
        <v>test.TIFFFaxDecoder_4_</v>
      </c>
      <c r="D464">
        <v>7</v>
      </c>
      <c r="E464" s="4">
        <v>1</v>
      </c>
      <c r="F464" s="4">
        <v>0.78071392882917889</v>
      </c>
      <c r="G464" s="4" t="str">
        <f t="shared" si="119"/>
        <v/>
      </c>
      <c r="H464" s="4" t="str">
        <f t="shared" si="120"/>
        <v/>
      </c>
      <c r="I464" s="4" t="str">
        <f t="shared" si="121"/>
        <v/>
      </c>
      <c r="J464" s="4">
        <f t="shared" si="122"/>
        <v>1</v>
      </c>
      <c r="K464" s="4" t="str">
        <f t="shared" si="123"/>
        <v/>
      </c>
      <c r="L464" s="4" t="str">
        <f t="shared" si="124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5</v>
      </c>
      <c r="C465" t="str">
        <f t="shared" si="118"/>
        <v>test.TIFFFaxDecoder_5_</v>
      </c>
      <c r="D465">
        <v>1</v>
      </c>
      <c r="E465" s="4">
        <v>0.31707317073170732</v>
      </c>
      <c r="F465" s="4">
        <v>0.19977346278317151</v>
      </c>
      <c r="G465" s="4">
        <f t="shared" si="119"/>
        <v>0.31707317073170732</v>
      </c>
      <c r="H465" s="4" t="str">
        <f t="shared" si="120"/>
        <v/>
      </c>
      <c r="I465" s="4" t="str">
        <f t="shared" si="121"/>
        <v/>
      </c>
      <c r="J465" s="4" t="str">
        <f t="shared" si="122"/>
        <v/>
      </c>
      <c r="K465" s="4" t="str">
        <f t="shared" si="123"/>
        <v/>
      </c>
      <c r="L465" s="4" t="str">
        <f t="shared" si="124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5</v>
      </c>
      <c r="C466" t="str">
        <f t="shared" si="118"/>
        <v>test.TIFFFaxDecoder_5_</v>
      </c>
      <c r="D466">
        <v>2</v>
      </c>
      <c r="E466" s="4">
        <v>0.35772357723577236</v>
      </c>
      <c r="F466" s="4">
        <v>0.20398058252427184</v>
      </c>
      <c r="G466" s="4" t="str">
        <f t="shared" si="119"/>
        <v/>
      </c>
      <c r="H466" s="4">
        <f t="shared" si="120"/>
        <v>0.35772357723577236</v>
      </c>
      <c r="I466" s="4" t="str">
        <f t="shared" si="121"/>
        <v/>
      </c>
      <c r="J466" s="4" t="str">
        <f t="shared" si="122"/>
        <v/>
      </c>
      <c r="K466" s="4" t="str">
        <f t="shared" si="123"/>
        <v/>
      </c>
      <c r="L466" s="4" t="str">
        <f t="shared" si="124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5</v>
      </c>
      <c r="C467" t="str">
        <f t="shared" si="118"/>
        <v>test.TIFFFaxDecoder_5_</v>
      </c>
      <c r="D467">
        <v>3</v>
      </c>
      <c r="E467" s="4">
        <v>0.44715447154471544</v>
      </c>
      <c r="F467" s="4">
        <v>0.30171521035598703</v>
      </c>
      <c r="G467" s="4" t="str">
        <f t="shared" si="119"/>
        <v/>
      </c>
      <c r="H467" s="4">
        <f t="shared" si="120"/>
        <v>0.44715447154471544</v>
      </c>
      <c r="I467" s="4" t="str">
        <f t="shared" si="121"/>
        <v/>
      </c>
      <c r="J467" s="4" t="str">
        <f t="shared" si="122"/>
        <v/>
      </c>
      <c r="K467" s="4" t="str">
        <f t="shared" si="123"/>
        <v/>
      </c>
      <c r="L467" s="4" t="str">
        <f t="shared" si="124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5</v>
      </c>
      <c r="C468" t="str">
        <f t="shared" si="118"/>
        <v>test.TIFFFaxDecoder_5_</v>
      </c>
      <c r="D468">
        <v>4</v>
      </c>
      <c r="E468" s="4">
        <v>0.57723577235772361</v>
      </c>
      <c r="F468" s="4">
        <v>0.48702265372168285</v>
      </c>
      <c r="G468" s="4" t="str">
        <f t="shared" si="119"/>
        <v/>
      </c>
      <c r="H468" s="4" t="str">
        <f t="shared" si="120"/>
        <v/>
      </c>
      <c r="I468" s="4">
        <f t="shared" si="121"/>
        <v>0.57723577235772361</v>
      </c>
      <c r="J468" s="4" t="str">
        <f t="shared" si="122"/>
        <v/>
      </c>
      <c r="K468" s="4" t="str">
        <f t="shared" si="123"/>
        <v/>
      </c>
      <c r="L468" s="4" t="str">
        <f t="shared" si="124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5</v>
      </c>
      <c r="C469" t="str">
        <f t="shared" si="118"/>
        <v>test.TIFFFaxDecoder_5_</v>
      </c>
      <c r="D469">
        <v>5</v>
      </c>
      <c r="E469" s="4">
        <v>1</v>
      </c>
      <c r="F469" s="4">
        <v>0.66660194174757281</v>
      </c>
      <c r="G469" s="4" t="str">
        <f t="shared" si="119"/>
        <v/>
      </c>
      <c r="H469" s="4" t="str">
        <f t="shared" si="120"/>
        <v/>
      </c>
      <c r="I469" s="4" t="str">
        <f t="shared" si="121"/>
        <v/>
      </c>
      <c r="J469" s="4">
        <f t="shared" si="122"/>
        <v>1</v>
      </c>
      <c r="K469" s="4" t="str">
        <f t="shared" si="123"/>
        <v/>
      </c>
      <c r="L469" s="4" t="str">
        <f t="shared" si="124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7</v>
      </c>
      <c r="C470" t="str">
        <f t="shared" si="118"/>
        <v>test.TIFFFaxDecoder_7_</v>
      </c>
      <c r="D470">
        <v>1</v>
      </c>
      <c r="E470" s="4">
        <v>0.30303030303030304</v>
      </c>
      <c r="F470" s="4">
        <v>0.28118811881188122</v>
      </c>
      <c r="G470" s="4" t="str">
        <f t="shared" si="119"/>
        <v/>
      </c>
      <c r="H470" s="4">
        <f t="shared" si="120"/>
        <v>0.30303030303030304</v>
      </c>
      <c r="I470" s="4" t="str">
        <f t="shared" si="121"/>
        <v/>
      </c>
      <c r="J470" s="4" t="str">
        <f t="shared" si="122"/>
        <v/>
      </c>
      <c r="K470" s="4" t="str">
        <f t="shared" si="123"/>
        <v/>
      </c>
      <c r="L470" s="4" t="str">
        <f t="shared" si="124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7</v>
      </c>
      <c r="C471" t="str">
        <f t="shared" si="118"/>
        <v>test.TIFFFaxDecoder_7_</v>
      </c>
      <c r="D471">
        <v>2</v>
      </c>
      <c r="E471" s="4">
        <v>0.66666666666666663</v>
      </c>
      <c r="F471" s="4">
        <v>0.51485148514851486</v>
      </c>
      <c r="G471" s="4" t="str">
        <f t="shared" si="119"/>
        <v/>
      </c>
      <c r="H471" s="4" t="str">
        <f t="shared" si="120"/>
        <v/>
      </c>
      <c r="I471" s="4">
        <f t="shared" si="121"/>
        <v>0.66666666666666663</v>
      </c>
      <c r="J471" s="4" t="str">
        <f t="shared" si="122"/>
        <v/>
      </c>
      <c r="K471" s="4" t="str">
        <f t="shared" si="123"/>
        <v/>
      </c>
      <c r="L471" s="4" t="str">
        <f t="shared" si="124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7</v>
      </c>
      <c r="C472" t="str">
        <f t="shared" si="118"/>
        <v>test.TIFFFaxDecoder_7_</v>
      </c>
      <c r="D472">
        <v>3</v>
      </c>
      <c r="E472" s="4">
        <v>1</v>
      </c>
      <c r="F472" s="4">
        <v>0.87425742574257426</v>
      </c>
      <c r="G472" s="4" t="str">
        <f t="shared" si="119"/>
        <v/>
      </c>
      <c r="H472" s="4" t="str">
        <f t="shared" si="120"/>
        <v/>
      </c>
      <c r="I472" s="4" t="str">
        <f t="shared" si="121"/>
        <v/>
      </c>
      <c r="J472" s="4" t="str">
        <f t="shared" si="122"/>
        <v/>
      </c>
      <c r="K472" s="4">
        <f t="shared" si="123"/>
        <v>1</v>
      </c>
      <c r="L472" s="4" t="str">
        <f t="shared" si="124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8</v>
      </c>
      <c r="C473" t="str">
        <f t="shared" si="118"/>
        <v>test.TIFFFaxDecoder_8_</v>
      </c>
      <c r="D473">
        <v>1</v>
      </c>
      <c r="E473" s="4">
        <v>0.38</v>
      </c>
      <c r="F473" s="4">
        <v>0.29706115965051627</v>
      </c>
      <c r="G473" s="4" t="str">
        <f t="shared" si="119"/>
        <v/>
      </c>
      <c r="H473" s="4">
        <f t="shared" si="120"/>
        <v>0.38</v>
      </c>
      <c r="I473" s="4" t="str">
        <f t="shared" si="121"/>
        <v/>
      </c>
      <c r="J473" s="4" t="str">
        <f t="shared" si="122"/>
        <v/>
      </c>
      <c r="K473" s="4" t="str">
        <f t="shared" si="123"/>
        <v/>
      </c>
      <c r="L473" s="4" t="str">
        <f t="shared" si="124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8</v>
      </c>
      <c r="C474" t="str">
        <f t="shared" si="118"/>
        <v>test.TIFFFaxDecoder_8_</v>
      </c>
      <c r="D474">
        <v>2</v>
      </c>
      <c r="E474" s="4">
        <v>0.56000000000000005</v>
      </c>
      <c r="F474" s="4">
        <v>0.49960285941223193</v>
      </c>
      <c r="G474" s="4" t="str">
        <f t="shared" si="119"/>
        <v/>
      </c>
      <c r="H474" s="4" t="str">
        <f t="shared" si="120"/>
        <v/>
      </c>
      <c r="I474" s="4">
        <f t="shared" si="121"/>
        <v>0.56000000000000005</v>
      </c>
      <c r="J474" s="4" t="str">
        <f t="shared" si="122"/>
        <v/>
      </c>
      <c r="K474" s="4" t="str">
        <f t="shared" si="123"/>
        <v/>
      </c>
      <c r="L474" s="4" t="str">
        <f t="shared" si="124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8</v>
      </c>
      <c r="C475" t="str">
        <f t="shared" si="118"/>
        <v>test.TIFFFaxDecoder_8_</v>
      </c>
      <c r="D475">
        <v>3</v>
      </c>
      <c r="E475" s="4">
        <v>0.68</v>
      </c>
      <c r="F475" s="4">
        <v>0.5289912629070691</v>
      </c>
      <c r="G475" s="4" t="str">
        <f t="shared" si="119"/>
        <v/>
      </c>
      <c r="H475" s="4" t="str">
        <f t="shared" si="120"/>
        <v/>
      </c>
      <c r="I475" s="4">
        <f t="shared" si="121"/>
        <v>0.68</v>
      </c>
      <c r="J475" s="4" t="str">
        <f t="shared" si="122"/>
        <v/>
      </c>
      <c r="K475" s="4" t="str">
        <f t="shared" si="123"/>
        <v/>
      </c>
      <c r="L475" s="4" t="str">
        <f t="shared" si="124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8</v>
      </c>
      <c r="C476" t="str">
        <f t="shared" si="118"/>
        <v>test.TIFFFaxDecoder_8_</v>
      </c>
      <c r="D476">
        <v>4</v>
      </c>
      <c r="E476" s="4">
        <v>0.88</v>
      </c>
      <c r="F476" s="4">
        <v>0.52978554408260525</v>
      </c>
      <c r="G476" s="4" t="str">
        <f t="shared" si="119"/>
        <v/>
      </c>
      <c r="H476" s="4" t="str">
        <f t="shared" si="120"/>
        <v/>
      </c>
      <c r="I476" s="4">
        <f t="shared" si="121"/>
        <v>0.88</v>
      </c>
      <c r="J476" s="4" t="str">
        <f t="shared" si="122"/>
        <v/>
      </c>
      <c r="K476" s="4" t="str">
        <f t="shared" si="123"/>
        <v/>
      </c>
      <c r="L476" s="4" t="str">
        <f t="shared" si="124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8</v>
      </c>
      <c r="C477" t="str">
        <f t="shared" si="118"/>
        <v>test.TIFFFaxDecoder_8_</v>
      </c>
      <c r="D477">
        <v>5</v>
      </c>
      <c r="E477" s="4">
        <v>1</v>
      </c>
      <c r="F477" s="4">
        <v>0.73073868149324861</v>
      </c>
      <c r="G477" s="4" t="str">
        <f t="shared" si="119"/>
        <v/>
      </c>
      <c r="H477" s="4" t="str">
        <f t="shared" si="120"/>
        <v/>
      </c>
      <c r="I477" s="4" t="str">
        <f t="shared" si="121"/>
        <v/>
      </c>
      <c r="J477" s="4">
        <f t="shared" si="122"/>
        <v>1</v>
      </c>
      <c r="K477" s="4" t="str">
        <f t="shared" si="123"/>
        <v/>
      </c>
      <c r="L477" s="4" t="str">
        <f t="shared" si="124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9</v>
      </c>
      <c r="C478" t="str">
        <f t="shared" si="118"/>
        <v>test.TIFFFaxDecoder_9_</v>
      </c>
      <c r="D478">
        <v>1</v>
      </c>
      <c r="E478" s="4">
        <v>0.19444444444444445</v>
      </c>
      <c r="F478" s="4">
        <v>0.23406193078324225</v>
      </c>
      <c r="G478" s="4" t="str">
        <f t="shared" si="119"/>
        <v/>
      </c>
      <c r="H478" s="4">
        <f t="shared" si="120"/>
        <v>0.19444444444444445</v>
      </c>
      <c r="I478" s="4" t="str">
        <f t="shared" si="121"/>
        <v/>
      </c>
      <c r="J478" s="4" t="str">
        <f t="shared" si="122"/>
        <v/>
      </c>
      <c r="K478" s="4" t="str">
        <f t="shared" si="123"/>
        <v/>
      </c>
      <c r="L478" s="4" t="str">
        <f t="shared" si="124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9</v>
      </c>
      <c r="C479" t="str">
        <f t="shared" si="118"/>
        <v>test.TIFFFaxDecoder_9_</v>
      </c>
      <c r="D479">
        <v>2</v>
      </c>
      <c r="E479" s="4">
        <v>0.22222222222222221</v>
      </c>
      <c r="F479" s="4">
        <v>0.24225865209471767</v>
      </c>
      <c r="G479" s="4" t="str">
        <f t="shared" si="119"/>
        <v/>
      </c>
      <c r="H479" s="4">
        <f t="shared" si="120"/>
        <v>0.22222222222222221</v>
      </c>
      <c r="I479" s="4" t="str">
        <f t="shared" si="121"/>
        <v/>
      </c>
      <c r="J479" s="4" t="str">
        <f t="shared" si="122"/>
        <v/>
      </c>
      <c r="K479" s="4" t="str">
        <f t="shared" si="123"/>
        <v/>
      </c>
      <c r="L479" s="4" t="str">
        <f t="shared" si="124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9</v>
      </c>
      <c r="C480" t="str">
        <f t="shared" si="118"/>
        <v>test.TIFFFaxDecoder_9_</v>
      </c>
      <c r="D480">
        <v>3</v>
      </c>
      <c r="E480" s="4">
        <v>0.33333333333333331</v>
      </c>
      <c r="F480" s="4">
        <v>0.24954462659380691</v>
      </c>
      <c r="G480" s="4" t="str">
        <f t="shared" si="119"/>
        <v/>
      </c>
      <c r="H480" s="4">
        <f t="shared" si="120"/>
        <v>0.33333333333333331</v>
      </c>
      <c r="I480" s="4" t="str">
        <f t="shared" si="121"/>
        <v/>
      </c>
      <c r="J480" s="4" t="str">
        <f t="shared" si="122"/>
        <v/>
      </c>
      <c r="K480" s="4" t="str">
        <f t="shared" si="123"/>
        <v/>
      </c>
      <c r="L480" s="4" t="str">
        <f t="shared" si="124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9</v>
      </c>
      <c r="C481" t="str">
        <f t="shared" si="118"/>
        <v>test.TIFFFaxDecoder_9_</v>
      </c>
      <c r="D481">
        <v>4</v>
      </c>
      <c r="E481" s="4">
        <v>0.47222222222222221</v>
      </c>
      <c r="F481" s="4">
        <v>0.27322404371584702</v>
      </c>
      <c r="G481" s="4" t="str">
        <f t="shared" si="119"/>
        <v/>
      </c>
      <c r="H481" s="4">
        <f t="shared" si="120"/>
        <v>0.47222222222222221</v>
      </c>
      <c r="I481" s="4" t="str">
        <f t="shared" si="121"/>
        <v/>
      </c>
      <c r="J481" s="4" t="str">
        <f t="shared" si="122"/>
        <v/>
      </c>
      <c r="K481" s="4" t="str">
        <f t="shared" si="123"/>
        <v/>
      </c>
      <c r="L481" s="4" t="str">
        <f t="shared" si="124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9</v>
      </c>
      <c r="C482" t="str">
        <f t="shared" si="118"/>
        <v>test.TIFFFaxDecoder_9_</v>
      </c>
      <c r="D482">
        <v>5</v>
      </c>
      <c r="E482" s="4">
        <v>0.52777777777777779</v>
      </c>
      <c r="F482" s="4">
        <v>0.30236794171220399</v>
      </c>
      <c r="G482" s="4" t="str">
        <f t="shared" si="119"/>
        <v/>
      </c>
      <c r="H482" s="4">
        <f t="shared" si="120"/>
        <v>0.52777777777777779</v>
      </c>
      <c r="I482" s="4" t="str">
        <f t="shared" si="121"/>
        <v/>
      </c>
      <c r="J482" s="4" t="str">
        <f t="shared" si="122"/>
        <v/>
      </c>
      <c r="K482" s="4" t="str">
        <f t="shared" si="123"/>
        <v/>
      </c>
      <c r="L482" s="4" t="str">
        <f t="shared" si="124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9</v>
      </c>
      <c r="C483" t="str">
        <f t="shared" si="118"/>
        <v>test.TIFFFaxDecoder_9_</v>
      </c>
      <c r="D483">
        <v>6</v>
      </c>
      <c r="E483" s="4">
        <v>0.55555555555555558</v>
      </c>
      <c r="F483" s="4">
        <v>0.30965391621129323</v>
      </c>
      <c r="G483" s="4" t="str">
        <f t="shared" si="119"/>
        <v/>
      </c>
      <c r="H483" s="4">
        <f t="shared" si="120"/>
        <v>0.55555555555555558</v>
      </c>
      <c r="I483" s="4" t="str">
        <f t="shared" si="121"/>
        <v/>
      </c>
      <c r="J483" s="4" t="str">
        <f t="shared" si="122"/>
        <v/>
      </c>
      <c r="K483" s="4" t="str">
        <f t="shared" si="123"/>
        <v/>
      </c>
      <c r="L483" s="4" t="str">
        <f t="shared" si="124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9</v>
      </c>
      <c r="C484" t="str">
        <f t="shared" si="118"/>
        <v>test.TIFFFaxDecoder_9_</v>
      </c>
      <c r="D484">
        <v>7</v>
      </c>
      <c r="E484" s="4">
        <v>0.63888888888888884</v>
      </c>
      <c r="F484" s="4">
        <v>0.31056466302367941</v>
      </c>
      <c r="G484" s="4" t="str">
        <f t="shared" si="119"/>
        <v/>
      </c>
      <c r="H484" s="4">
        <f t="shared" si="120"/>
        <v>0.63888888888888884</v>
      </c>
      <c r="I484" s="4" t="str">
        <f t="shared" si="121"/>
        <v/>
      </c>
      <c r="J484" s="4" t="str">
        <f t="shared" si="122"/>
        <v/>
      </c>
      <c r="K484" s="4" t="str">
        <f t="shared" si="123"/>
        <v/>
      </c>
      <c r="L484" s="4" t="str">
        <f t="shared" si="124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9</v>
      </c>
      <c r="C485" t="str">
        <f t="shared" si="118"/>
        <v>test.TIFFFaxDecoder_9_</v>
      </c>
      <c r="D485">
        <v>8</v>
      </c>
      <c r="E485" s="4">
        <v>0.66666666666666663</v>
      </c>
      <c r="F485" s="4">
        <v>0.31329690346083788</v>
      </c>
      <c r="G485" s="4" t="str">
        <f t="shared" si="119"/>
        <v/>
      </c>
      <c r="H485" s="4">
        <f t="shared" si="120"/>
        <v>0.66666666666666663</v>
      </c>
      <c r="I485" s="4" t="str">
        <f t="shared" si="121"/>
        <v/>
      </c>
      <c r="J485" s="4" t="str">
        <f t="shared" si="122"/>
        <v/>
      </c>
      <c r="K485" s="4" t="str">
        <f t="shared" si="123"/>
        <v/>
      </c>
      <c r="L485" s="4" t="str">
        <f t="shared" si="124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9</v>
      </c>
      <c r="C486" t="str">
        <f t="shared" si="118"/>
        <v>test.TIFFFaxDecoder_9_</v>
      </c>
      <c r="D486">
        <v>9</v>
      </c>
      <c r="E486" s="4">
        <v>0.66666666666666663</v>
      </c>
      <c r="F486" s="4">
        <v>0.31602914389799636</v>
      </c>
      <c r="G486" s="4" t="str">
        <f t="shared" si="119"/>
        <v/>
      </c>
      <c r="H486" s="4">
        <f t="shared" si="120"/>
        <v>0.66666666666666663</v>
      </c>
      <c r="I486" s="4" t="str">
        <f t="shared" si="121"/>
        <v/>
      </c>
      <c r="J486" s="4" t="str">
        <f t="shared" si="122"/>
        <v/>
      </c>
      <c r="K486" s="4" t="str">
        <f t="shared" si="123"/>
        <v/>
      </c>
      <c r="L486" s="4" t="str">
        <f t="shared" si="124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9</v>
      </c>
      <c r="C487" t="str">
        <f t="shared" si="118"/>
        <v>test.TIFFFaxDecoder_9_</v>
      </c>
      <c r="D487">
        <v>10</v>
      </c>
      <c r="E487" s="4">
        <v>0.66666666666666663</v>
      </c>
      <c r="F487" s="4">
        <v>0.31785063752276865</v>
      </c>
      <c r="G487" s="4" t="str">
        <f t="shared" si="119"/>
        <v/>
      </c>
      <c r="H487" s="4">
        <f t="shared" si="120"/>
        <v>0.66666666666666663</v>
      </c>
      <c r="I487" s="4" t="str">
        <f t="shared" si="121"/>
        <v/>
      </c>
      <c r="J487" s="4" t="str">
        <f t="shared" si="122"/>
        <v/>
      </c>
      <c r="K487" s="4" t="str">
        <f t="shared" si="123"/>
        <v/>
      </c>
      <c r="L487" s="4" t="str">
        <f t="shared" si="124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9</v>
      </c>
      <c r="C488" t="str">
        <f t="shared" si="118"/>
        <v>test.TIFFFaxDecoder_9_</v>
      </c>
      <c r="D488">
        <v>11</v>
      </c>
      <c r="E488" s="4">
        <v>0.66666666666666663</v>
      </c>
      <c r="F488" s="4">
        <v>0.3214936247723133</v>
      </c>
      <c r="G488" s="4" t="str">
        <f t="shared" si="119"/>
        <v/>
      </c>
      <c r="H488" s="4">
        <f t="shared" si="120"/>
        <v>0.66666666666666663</v>
      </c>
      <c r="I488" s="4" t="str">
        <f t="shared" si="121"/>
        <v/>
      </c>
      <c r="J488" s="4" t="str">
        <f t="shared" si="122"/>
        <v/>
      </c>
      <c r="K488" s="4" t="str">
        <f t="shared" si="123"/>
        <v/>
      </c>
      <c r="L488" s="4" t="str">
        <f t="shared" si="124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9</v>
      </c>
      <c r="C489" t="str">
        <f t="shared" si="118"/>
        <v>test.TIFFFaxDecoder_9_</v>
      </c>
      <c r="D489">
        <v>12</v>
      </c>
      <c r="E489" s="4">
        <v>0.66666666666666663</v>
      </c>
      <c r="F489" s="4">
        <v>0.38069216757741348</v>
      </c>
      <c r="G489" s="4" t="str">
        <f t="shared" si="119"/>
        <v/>
      </c>
      <c r="H489" s="4">
        <f t="shared" si="120"/>
        <v>0.66666666666666663</v>
      </c>
      <c r="I489" s="4" t="str">
        <f t="shared" si="121"/>
        <v/>
      </c>
      <c r="J489" s="4" t="str">
        <f t="shared" si="122"/>
        <v/>
      </c>
      <c r="K489" s="4" t="str">
        <f t="shared" si="123"/>
        <v/>
      </c>
      <c r="L489" s="4" t="str">
        <f t="shared" si="124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9</v>
      </c>
      <c r="C490" t="str">
        <f t="shared" si="118"/>
        <v>test.TIFFFaxDecoder_9_</v>
      </c>
      <c r="D490">
        <v>13</v>
      </c>
      <c r="E490" s="4">
        <v>0.66666666666666663</v>
      </c>
      <c r="F490" s="4">
        <v>0.40346083788706738</v>
      </c>
      <c r="G490" s="4" t="str">
        <f t="shared" si="119"/>
        <v/>
      </c>
      <c r="H490" s="4" t="str">
        <f t="shared" si="120"/>
        <v/>
      </c>
      <c r="I490" s="4">
        <f t="shared" si="121"/>
        <v>0.66666666666666663</v>
      </c>
      <c r="J490" s="4" t="str">
        <f t="shared" si="122"/>
        <v/>
      </c>
      <c r="K490" s="4" t="str">
        <f t="shared" si="123"/>
        <v/>
      </c>
      <c r="L490" s="4" t="str">
        <f t="shared" si="124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9</v>
      </c>
      <c r="C491" t="str">
        <f t="shared" si="118"/>
        <v>test.TIFFFaxDecoder_9_</v>
      </c>
      <c r="D491">
        <v>14</v>
      </c>
      <c r="E491" s="4">
        <v>0.77777777777777779</v>
      </c>
      <c r="F491" s="4">
        <v>0.44171220400728595</v>
      </c>
      <c r="G491" s="4" t="str">
        <f t="shared" si="119"/>
        <v/>
      </c>
      <c r="H491" s="4" t="str">
        <f t="shared" si="120"/>
        <v/>
      </c>
      <c r="I491" s="4">
        <f t="shared" si="121"/>
        <v>0.77777777777777779</v>
      </c>
      <c r="J491" s="4" t="str">
        <f t="shared" si="122"/>
        <v/>
      </c>
      <c r="K491" s="4" t="str">
        <f t="shared" si="123"/>
        <v/>
      </c>
      <c r="L491" s="4" t="str">
        <f t="shared" si="124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9</v>
      </c>
      <c r="C492" t="str">
        <f t="shared" si="118"/>
        <v>test.TIFFFaxDecoder_9_</v>
      </c>
      <c r="D492">
        <v>15</v>
      </c>
      <c r="E492" s="4">
        <v>0.97222222222222221</v>
      </c>
      <c r="F492" s="4">
        <v>0.60382513661202186</v>
      </c>
      <c r="G492" s="4" t="str">
        <f t="shared" si="119"/>
        <v/>
      </c>
      <c r="H492" s="4" t="str">
        <f t="shared" si="120"/>
        <v/>
      </c>
      <c r="I492" s="4" t="str">
        <f t="shared" si="121"/>
        <v/>
      </c>
      <c r="J492" s="4">
        <f t="shared" si="122"/>
        <v>0.97222222222222221</v>
      </c>
      <c r="K492" s="4" t="str">
        <f t="shared" si="123"/>
        <v/>
      </c>
      <c r="L492" s="4" t="str">
        <f t="shared" si="124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9</v>
      </c>
      <c r="C493" t="str">
        <f t="shared" si="118"/>
        <v>test.TIFFFaxDecoder_9_</v>
      </c>
      <c r="D493">
        <v>16</v>
      </c>
      <c r="E493" s="4">
        <v>0.97222222222222221</v>
      </c>
      <c r="F493" s="4">
        <v>0.63479052823315119</v>
      </c>
      <c r="G493" s="4" t="str">
        <f t="shared" si="119"/>
        <v/>
      </c>
      <c r="H493" s="4" t="str">
        <f t="shared" si="120"/>
        <v/>
      </c>
      <c r="I493" s="4" t="str">
        <f t="shared" si="121"/>
        <v/>
      </c>
      <c r="J493" s="4">
        <f t="shared" si="122"/>
        <v>0.97222222222222221</v>
      </c>
      <c r="K493" s="4" t="str">
        <f t="shared" si="123"/>
        <v/>
      </c>
      <c r="L493" s="4" t="str">
        <f t="shared" si="124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9</v>
      </c>
      <c r="C494" t="str">
        <f t="shared" si="118"/>
        <v>test.TIFFFaxDecoder_9_</v>
      </c>
      <c r="D494">
        <v>17</v>
      </c>
      <c r="E494" s="4">
        <v>1</v>
      </c>
      <c r="F494" s="4">
        <v>0.67486338797814205</v>
      </c>
      <c r="G494" s="4" t="str">
        <f t="shared" si="119"/>
        <v/>
      </c>
      <c r="H494" s="4" t="str">
        <f t="shared" si="120"/>
        <v/>
      </c>
      <c r="I494" s="4" t="str">
        <f t="shared" si="121"/>
        <v/>
      </c>
      <c r="J494" s="4">
        <f t="shared" si="122"/>
        <v>1</v>
      </c>
      <c r="K494" s="4" t="str">
        <f t="shared" si="123"/>
        <v/>
      </c>
      <c r="L494" s="4" t="str">
        <f t="shared" si="124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9</v>
      </c>
      <c r="C495" t="str">
        <f t="shared" si="118"/>
        <v>test.TIFFFaxDecoder_9_</v>
      </c>
      <c r="D495">
        <v>18</v>
      </c>
      <c r="E495" s="4">
        <v>1</v>
      </c>
      <c r="F495" s="4">
        <v>0.68670309653916206</v>
      </c>
      <c r="G495" s="4" t="str">
        <f t="shared" si="119"/>
        <v/>
      </c>
      <c r="H495" s="4" t="str">
        <f t="shared" si="120"/>
        <v/>
      </c>
      <c r="I495" s="4" t="str">
        <f t="shared" si="121"/>
        <v/>
      </c>
      <c r="J495" s="4">
        <f t="shared" si="122"/>
        <v>1</v>
      </c>
      <c r="K495" s="4" t="str">
        <f t="shared" si="123"/>
        <v/>
      </c>
      <c r="L495" s="4" t="str">
        <f t="shared" si="124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10</v>
      </c>
      <c r="C496" t="str">
        <f t="shared" si="118"/>
        <v>test.TIFFFaxDecoder_10_</v>
      </c>
      <c r="D496">
        <v>1</v>
      </c>
      <c r="E496" s="4">
        <v>0.9</v>
      </c>
      <c r="F496" s="4">
        <v>0.93979671618451921</v>
      </c>
      <c r="G496" s="4" t="str">
        <f t="shared" si="119"/>
        <v/>
      </c>
      <c r="H496" s="4" t="str">
        <f t="shared" si="120"/>
        <v/>
      </c>
      <c r="I496" s="4" t="str">
        <f t="shared" si="121"/>
        <v/>
      </c>
      <c r="J496" s="4" t="str">
        <f t="shared" si="122"/>
        <v/>
      </c>
      <c r="K496" s="4">
        <f t="shared" si="123"/>
        <v>0.9</v>
      </c>
      <c r="L496" s="4" t="str">
        <f t="shared" si="124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10</v>
      </c>
      <c r="C497" t="str">
        <f t="shared" si="118"/>
        <v>test.TIFFFaxDecoder_10_</v>
      </c>
      <c r="D497">
        <v>2</v>
      </c>
      <c r="E497" s="4">
        <v>1</v>
      </c>
      <c r="F497" s="4">
        <v>0.94370602032838158</v>
      </c>
      <c r="G497" s="4" t="str">
        <f t="shared" si="119"/>
        <v/>
      </c>
      <c r="H497" s="4" t="str">
        <f t="shared" si="120"/>
        <v/>
      </c>
      <c r="I497" s="4" t="str">
        <f t="shared" si="121"/>
        <v/>
      </c>
      <c r="J497" s="4" t="str">
        <f t="shared" si="122"/>
        <v/>
      </c>
      <c r="K497" s="4">
        <f t="shared" si="123"/>
        <v>1</v>
      </c>
      <c r="L497" s="4" t="str">
        <f t="shared" si="124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10</v>
      </c>
      <c r="C498" t="str">
        <f t="shared" si="118"/>
        <v>test.TIFFFaxDecoder_10_</v>
      </c>
      <c r="D498">
        <v>3</v>
      </c>
      <c r="E498" s="4">
        <v>1</v>
      </c>
      <c r="F498" s="4">
        <v>0.94605160281469902</v>
      </c>
      <c r="G498" s="4" t="str">
        <f t="shared" si="119"/>
        <v/>
      </c>
      <c r="H498" s="4" t="str">
        <f t="shared" si="120"/>
        <v/>
      </c>
      <c r="I498" s="4" t="str">
        <f t="shared" si="121"/>
        <v/>
      </c>
      <c r="J498" s="4" t="str">
        <f t="shared" si="122"/>
        <v/>
      </c>
      <c r="K498" s="4">
        <f t="shared" si="123"/>
        <v>1</v>
      </c>
      <c r="L498" s="4" t="str">
        <f t="shared" si="124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10</v>
      </c>
      <c r="C499" t="str">
        <f t="shared" si="118"/>
        <v>test.TIFFFaxDecoder_10_</v>
      </c>
      <c r="D499">
        <v>4</v>
      </c>
      <c r="E499" s="4">
        <v>1</v>
      </c>
      <c r="F499" s="4">
        <v>0.96403440187646594</v>
      </c>
      <c r="G499" s="4" t="str">
        <f t="shared" si="119"/>
        <v/>
      </c>
      <c r="H499" s="4" t="str">
        <f t="shared" si="120"/>
        <v/>
      </c>
      <c r="I499" s="4" t="str">
        <f t="shared" si="121"/>
        <v/>
      </c>
      <c r="J499" s="4" t="str">
        <f t="shared" si="122"/>
        <v/>
      </c>
      <c r="K499" s="4">
        <f t="shared" si="123"/>
        <v>1</v>
      </c>
      <c r="L499" s="4" t="str">
        <f t="shared" si="124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118"/>
        <v>test.TIFFFaxDecoder_11_</v>
      </c>
      <c r="D500">
        <v>1</v>
      </c>
      <c r="E500" s="4">
        <v>7.9545454545454544E-2</v>
      </c>
      <c r="F500" s="4">
        <v>0.11727559765448804</v>
      </c>
      <c r="G500" s="4">
        <f t="shared" si="119"/>
        <v>7.9545454545454544E-2</v>
      </c>
      <c r="H500" s="4" t="str">
        <f t="shared" si="120"/>
        <v/>
      </c>
      <c r="I500" s="4" t="str">
        <f t="shared" si="121"/>
        <v/>
      </c>
      <c r="J500" s="4" t="str">
        <f t="shared" si="122"/>
        <v/>
      </c>
      <c r="K500" s="4" t="str">
        <f t="shared" si="123"/>
        <v/>
      </c>
      <c r="L500" s="4" t="str">
        <f t="shared" si="124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11</v>
      </c>
      <c r="C501" t="str">
        <f t="shared" si="118"/>
        <v>test.TIFFFaxDecoder_11_</v>
      </c>
      <c r="D501">
        <v>2</v>
      </c>
      <c r="E501" s="4">
        <v>0.38636363636363635</v>
      </c>
      <c r="F501" s="4">
        <v>0.4316644113667118</v>
      </c>
      <c r="G501" s="4" t="str">
        <f t="shared" si="119"/>
        <v/>
      </c>
      <c r="H501" s="4" t="str">
        <f t="shared" si="120"/>
        <v/>
      </c>
      <c r="I501" s="4">
        <f t="shared" si="121"/>
        <v>0.38636363636363635</v>
      </c>
      <c r="J501" s="4" t="str">
        <f t="shared" si="122"/>
        <v/>
      </c>
      <c r="K501" s="4" t="str">
        <f t="shared" si="123"/>
        <v/>
      </c>
      <c r="L501" s="4" t="str">
        <f t="shared" si="124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11</v>
      </c>
      <c r="C502" t="str">
        <f t="shared" si="118"/>
        <v>test.TIFFFaxDecoder_11_</v>
      </c>
      <c r="D502">
        <v>3</v>
      </c>
      <c r="E502" s="4">
        <v>0.48863636363636365</v>
      </c>
      <c r="F502" s="4">
        <v>0.4654939106901218</v>
      </c>
      <c r="G502" s="4" t="str">
        <f t="shared" si="119"/>
        <v/>
      </c>
      <c r="H502" s="4" t="str">
        <f t="shared" si="120"/>
        <v/>
      </c>
      <c r="I502" s="4">
        <f t="shared" si="121"/>
        <v>0.48863636363636365</v>
      </c>
      <c r="J502" s="4" t="str">
        <f t="shared" si="122"/>
        <v/>
      </c>
      <c r="K502" s="4" t="str">
        <f t="shared" si="123"/>
        <v/>
      </c>
      <c r="L502" s="4" t="str">
        <f t="shared" si="124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11</v>
      </c>
      <c r="C503" t="str">
        <f t="shared" si="118"/>
        <v>test.TIFFFaxDecoder_11_</v>
      </c>
      <c r="D503">
        <v>4</v>
      </c>
      <c r="E503" s="4">
        <v>0.52272727272727271</v>
      </c>
      <c r="F503" s="4">
        <v>0.46639603067207941</v>
      </c>
      <c r="G503" s="4" t="str">
        <f t="shared" si="119"/>
        <v/>
      </c>
      <c r="H503" s="4" t="str">
        <f t="shared" si="120"/>
        <v/>
      </c>
      <c r="I503" s="4">
        <f t="shared" si="121"/>
        <v>0.52272727272727271</v>
      </c>
      <c r="J503" s="4" t="str">
        <f t="shared" si="122"/>
        <v/>
      </c>
      <c r="K503" s="4" t="str">
        <f t="shared" si="123"/>
        <v/>
      </c>
      <c r="L503" s="4" t="str">
        <f t="shared" si="124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11</v>
      </c>
      <c r="C504" t="str">
        <f t="shared" si="118"/>
        <v>test.TIFFFaxDecoder_11_</v>
      </c>
      <c r="D504">
        <v>5</v>
      </c>
      <c r="E504" s="4">
        <v>0.61363636363636365</v>
      </c>
      <c r="F504" s="4">
        <v>0.47135769057284621</v>
      </c>
      <c r="G504" s="4" t="str">
        <f t="shared" si="119"/>
        <v/>
      </c>
      <c r="H504" s="4" t="str">
        <f t="shared" si="120"/>
        <v/>
      </c>
      <c r="I504" s="4">
        <f t="shared" si="121"/>
        <v>0.61363636363636365</v>
      </c>
      <c r="J504" s="4" t="str">
        <f t="shared" si="122"/>
        <v/>
      </c>
      <c r="K504" s="4" t="str">
        <f t="shared" si="123"/>
        <v/>
      </c>
      <c r="L504" s="4" t="str">
        <f t="shared" si="124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11</v>
      </c>
      <c r="C505" t="str">
        <f t="shared" si="118"/>
        <v>test.TIFFFaxDecoder_11_</v>
      </c>
      <c r="D505">
        <v>6</v>
      </c>
      <c r="E505" s="4">
        <v>0.61363636363636365</v>
      </c>
      <c r="F505" s="4">
        <v>0.48624267027514662</v>
      </c>
      <c r="G505" s="4" t="str">
        <f t="shared" si="119"/>
        <v/>
      </c>
      <c r="H505" s="4" t="str">
        <f t="shared" si="120"/>
        <v/>
      </c>
      <c r="I505" s="4">
        <f t="shared" si="121"/>
        <v>0.61363636363636365</v>
      </c>
      <c r="J505" s="4" t="str">
        <f t="shared" si="122"/>
        <v/>
      </c>
      <c r="K505" s="4" t="str">
        <f t="shared" si="123"/>
        <v/>
      </c>
      <c r="L505" s="4" t="str">
        <f t="shared" si="124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11</v>
      </c>
      <c r="C506" t="str">
        <f t="shared" si="118"/>
        <v>test.TIFFFaxDecoder_11_</v>
      </c>
      <c r="D506">
        <v>7</v>
      </c>
      <c r="E506" s="4">
        <v>0.61363636363636365</v>
      </c>
      <c r="F506" s="4">
        <v>0.48894903022101938</v>
      </c>
      <c r="G506" s="4" t="str">
        <f t="shared" si="119"/>
        <v/>
      </c>
      <c r="H506" s="4" t="str">
        <f t="shared" si="120"/>
        <v/>
      </c>
      <c r="I506" s="4">
        <f t="shared" si="121"/>
        <v>0.61363636363636365</v>
      </c>
      <c r="J506" s="4" t="str">
        <f t="shared" si="122"/>
        <v/>
      </c>
      <c r="K506" s="4" t="str">
        <f t="shared" si="123"/>
        <v/>
      </c>
      <c r="L506" s="4" t="str">
        <f t="shared" si="124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11</v>
      </c>
      <c r="C507" t="str">
        <f t="shared" si="118"/>
        <v>test.TIFFFaxDecoder_11_</v>
      </c>
      <c r="D507">
        <v>8</v>
      </c>
      <c r="E507" s="4">
        <v>0.70454545454545459</v>
      </c>
      <c r="F507" s="4">
        <v>0.54262516914749659</v>
      </c>
      <c r="G507" s="4" t="str">
        <f t="shared" si="119"/>
        <v/>
      </c>
      <c r="H507" s="4" t="str">
        <f t="shared" si="120"/>
        <v/>
      </c>
      <c r="I507" s="4">
        <f t="shared" si="121"/>
        <v>0.70454545454545459</v>
      </c>
      <c r="J507" s="4" t="str">
        <f t="shared" si="122"/>
        <v/>
      </c>
      <c r="K507" s="4" t="str">
        <f t="shared" si="123"/>
        <v/>
      </c>
      <c r="L507" s="4" t="str">
        <f t="shared" si="124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11</v>
      </c>
      <c r="C508" t="str">
        <f t="shared" si="118"/>
        <v>test.TIFFFaxDecoder_11_</v>
      </c>
      <c r="D508">
        <v>9</v>
      </c>
      <c r="E508" s="4">
        <v>0.77272727272727271</v>
      </c>
      <c r="F508" s="4">
        <v>0.54352728912945425</v>
      </c>
      <c r="G508" s="4" t="str">
        <f t="shared" si="119"/>
        <v/>
      </c>
      <c r="H508" s="4" t="str">
        <f t="shared" si="120"/>
        <v/>
      </c>
      <c r="I508" s="4">
        <f t="shared" si="121"/>
        <v>0.77272727272727271</v>
      </c>
      <c r="J508" s="4" t="str">
        <f t="shared" si="122"/>
        <v/>
      </c>
      <c r="K508" s="4" t="str">
        <f t="shared" si="123"/>
        <v/>
      </c>
      <c r="L508" s="4" t="str">
        <f t="shared" si="124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11</v>
      </c>
      <c r="C509" t="str">
        <f t="shared" si="118"/>
        <v>test.TIFFFaxDecoder_11_</v>
      </c>
      <c r="D509">
        <v>10</v>
      </c>
      <c r="E509" s="4">
        <v>0.77272727272727271</v>
      </c>
      <c r="F509" s="4">
        <v>0.54848894903022105</v>
      </c>
      <c r="G509" s="4" t="str">
        <f t="shared" si="119"/>
        <v/>
      </c>
      <c r="H509" s="4" t="str">
        <f t="shared" si="120"/>
        <v/>
      </c>
      <c r="I509" s="4">
        <f t="shared" si="121"/>
        <v>0.77272727272727271</v>
      </c>
      <c r="J509" s="4" t="str">
        <f t="shared" si="122"/>
        <v/>
      </c>
      <c r="K509" s="4" t="str">
        <f t="shared" si="123"/>
        <v/>
      </c>
      <c r="L509" s="4" t="str">
        <f t="shared" si="124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11</v>
      </c>
      <c r="C510" t="str">
        <f t="shared" si="118"/>
        <v>test.TIFFFaxDecoder_11_</v>
      </c>
      <c r="D510">
        <v>11</v>
      </c>
      <c r="E510" s="4">
        <v>0.77272727272727271</v>
      </c>
      <c r="F510" s="4">
        <v>0.55615696887686061</v>
      </c>
      <c r="G510" s="4" t="str">
        <f t="shared" si="119"/>
        <v/>
      </c>
      <c r="H510" s="4" t="str">
        <f t="shared" si="120"/>
        <v/>
      </c>
      <c r="I510" s="4">
        <f t="shared" si="121"/>
        <v>0.77272727272727271</v>
      </c>
      <c r="J510" s="4" t="str">
        <f t="shared" si="122"/>
        <v/>
      </c>
      <c r="K510" s="4" t="str">
        <f t="shared" si="123"/>
        <v/>
      </c>
      <c r="L510" s="4" t="str">
        <f t="shared" si="124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11</v>
      </c>
      <c r="C511" t="str">
        <f t="shared" si="118"/>
        <v>test.TIFFFaxDecoder_11_</v>
      </c>
      <c r="D511">
        <v>12</v>
      </c>
      <c r="E511" s="4">
        <v>0.77272727272727271</v>
      </c>
      <c r="F511" s="4">
        <v>0.56608028867839422</v>
      </c>
      <c r="G511" s="4" t="str">
        <f t="shared" si="119"/>
        <v/>
      </c>
      <c r="H511" s="4" t="str">
        <f t="shared" si="120"/>
        <v/>
      </c>
      <c r="I511" s="4">
        <f t="shared" si="121"/>
        <v>0.77272727272727271</v>
      </c>
      <c r="J511" s="4" t="str">
        <f t="shared" si="122"/>
        <v/>
      </c>
      <c r="K511" s="4" t="str">
        <f t="shared" si="123"/>
        <v/>
      </c>
      <c r="L511" s="4" t="str">
        <f t="shared" si="124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501</v>
      </c>
      <c r="B512">
        <v>11</v>
      </c>
      <c r="C512" t="str">
        <f t="shared" si="118"/>
        <v>test.TIFFFaxDecoder_11_</v>
      </c>
      <c r="D512">
        <v>13</v>
      </c>
      <c r="E512" s="4">
        <v>0.88636363636363635</v>
      </c>
      <c r="F512" s="4">
        <v>0.57194406856111868</v>
      </c>
      <c r="G512" s="4" t="str">
        <f t="shared" si="119"/>
        <v/>
      </c>
      <c r="H512" s="4" t="str">
        <f t="shared" si="120"/>
        <v/>
      </c>
      <c r="I512" s="4">
        <f t="shared" si="121"/>
        <v>0.88636363636363635</v>
      </c>
      <c r="J512" s="4" t="str">
        <f t="shared" si="122"/>
        <v/>
      </c>
      <c r="K512" s="4" t="str">
        <f t="shared" si="123"/>
        <v/>
      </c>
      <c r="L512" s="4" t="str">
        <f t="shared" si="124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501</v>
      </c>
      <c r="B513">
        <v>11</v>
      </c>
      <c r="C513" t="str">
        <f t="shared" si="118"/>
        <v>test.TIFFFaxDecoder_11_</v>
      </c>
      <c r="D513">
        <v>14</v>
      </c>
      <c r="E513" s="4">
        <v>0.88636363636363635</v>
      </c>
      <c r="F513" s="4">
        <v>0.58051420838971579</v>
      </c>
      <c r="G513" s="4" t="str">
        <f t="shared" si="119"/>
        <v/>
      </c>
      <c r="H513" s="4" t="str">
        <f t="shared" si="120"/>
        <v/>
      </c>
      <c r="I513" s="4">
        <f t="shared" si="121"/>
        <v>0.88636363636363635</v>
      </c>
      <c r="J513" s="4" t="str">
        <f t="shared" si="122"/>
        <v/>
      </c>
      <c r="K513" s="4" t="str">
        <f t="shared" si="123"/>
        <v/>
      </c>
      <c r="L513" s="4" t="str">
        <f t="shared" si="124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501</v>
      </c>
      <c r="B514">
        <v>11</v>
      </c>
      <c r="C514" t="str">
        <f t="shared" si="118"/>
        <v>test.TIFFFaxDecoder_11_</v>
      </c>
      <c r="D514">
        <v>15</v>
      </c>
      <c r="E514" s="4">
        <v>1</v>
      </c>
      <c r="F514" s="4">
        <v>0.58096526838069462</v>
      </c>
      <c r="G514" s="4" t="str">
        <f t="shared" si="119"/>
        <v/>
      </c>
      <c r="H514" s="4" t="str">
        <f t="shared" si="120"/>
        <v/>
      </c>
      <c r="I514" s="4">
        <f t="shared" si="121"/>
        <v>1</v>
      </c>
      <c r="J514" s="4" t="str">
        <f t="shared" si="122"/>
        <v/>
      </c>
      <c r="K514" s="4" t="str">
        <f t="shared" si="123"/>
        <v/>
      </c>
      <c r="L514" s="4" t="str">
        <f t="shared" si="124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501</v>
      </c>
      <c r="B515">
        <v>11</v>
      </c>
      <c r="C515" t="str">
        <f t="shared" ref="C515:C544" si="125">CONCATENATE(A515, "_",B515,"_")</f>
        <v>test.TIFFFaxDecoder_11_</v>
      </c>
      <c r="D515">
        <v>16</v>
      </c>
      <c r="E515" s="4">
        <v>1</v>
      </c>
      <c r="F515" s="4">
        <v>0.58953540820929184</v>
      </c>
      <c r="G515" s="4" t="str">
        <f t="shared" ref="G515:G544" si="126">IF(F515 &lt;= 0.2,E515,"")</f>
        <v/>
      </c>
      <c r="H515" s="4" t="str">
        <f t="shared" ref="H515:H544" si="127">IF(AND($F515 &gt; 0.2,$F515 &lt;= 0.4),$E515,"")</f>
        <v/>
      </c>
      <c r="I515" s="4">
        <f t="shared" ref="I515:I544" si="128">IF(AND($F515 &gt; 0.4,$F515 &lt;= 0.6),$E515,"")</f>
        <v>1</v>
      </c>
      <c r="J515" s="4" t="str">
        <f t="shared" ref="J515:J544" si="129">IF(AND($F515 &gt; 0.6,$F515 &lt;= 0.8),$E515,"")</f>
        <v/>
      </c>
      <c r="K515" s="4" t="str">
        <f t="shared" ref="K515:K544" si="130">IF(AND($F515 &gt; 0.8, $F515 &lt;=1.1),$E515,"")</f>
        <v/>
      </c>
      <c r="L515" s="4" t="str">
        <f t="shared" ref="L515:L544" si="131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501</v>
      </c>
      <c r="B516">
        <v>11</v>
      </c>
      <c r="C516" t="str">
        <f t="shared" si="125"/>
        <v>test.TIFFFaxDecoder_11_</v>
      </c>
      <c r="D516">
        <v>17</v>
      </c>
      <c r="E516" s="4">
        <v>1</v>
      </c>
      <c r="F516" s="4">
        <v>0.600360847992783</v>
      </c>
      <c r="G516" s="4" t="str">
        <f t="shared" si="126"/>
        <v/>
      </c>
      <c r="H516" s="4" t="str">
        <f t="shared" si="127"/>
        <v/>
      </c>
      <c r="I516" s="4" t="str">
        <f t="shared" si="128"/>
        <v/>
      </c>
      <c r="J516" s="4">
        <f t="shared" si="129"/>
        <v>1</v>
      </c>
      <c r="K516" s="4" t="str">
        <f t="shared" si="130"/>
        <v/>
      </c>
      <c r="L516" s="4" t="str">
        <f t="shared" si="131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501</v>
      </c>
      <c r="B517">
        <v>11</v>
      </c>
      <c r="C517" t="str">
        <f t="shared" si="125"/>
        <v>test.TIFFFaxDecoder_11_</v>
      </c>
      <c r="D517">
        <v>18</v>
      </c>
      <c r="E517" s="4">
        <v>1</v>
      </c>
      <c r="F517" s="4">
        <v>0.61705006765899861</v>
      </c>
      <c r="G517" s="4" t="str">
        <f t="shared" si="126"/>
        <v/>
      </c>
      <c r="H517" s="4" t="str">
        <f t="shared" si="127"/>
        <v/>
      </c>
      <c r="I517" s="4" t="str">
        <f t="shared" si="128"/>
        <v/>
      </c>
      <c r="J517" s="4">
        <f t="shared" si="129"/>
        <v>1</v>
      </c>
      <c r="K517" s="4" t="str">
        <f t="shared" si="130"/>
        <v/>
      </c>
      <c r="L517" s="4" t="str">
        <f t="shared" si="131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501</v>
      </c>
      <c r="B518">
        <v>11</v>
      </c>
      <c r="C518" t="str">
        <f t="shared" si="125"/>
        <v>test.TIFFFaxDecoder_11_</v>
      </c>
      <c r="D518">
        <v>19</v>
      </c>
      <c r="E518" s="4">
        <v>1</v>
      </c>
      <c r="F518" s="4">
        <v>0.61930536761389265</v>
      </c>
      <c r="G518" s="4" t="str">
        <f t="shared" si="126"/>
        <v/>
      </c>
      <c r="H518" s="4" t="str">
        <f t="shared" si="127"/>
        <v/>
      </c>
      <c r="I518" s="4" t="str">
        <f t="shared" si="128"/>
        <v/>
      </c>
      <c r="J518" s="4">
        <f t="shared" si="129"/>
        <v>1</v>
      </c>
      <c r="K518" s="4" t="str">
        <f t="shared" si="130"/>
        <v/>
      </c>
      <c r="L518" s="4" t="str">
        <f t="shared" si="131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501</v>
      </c>
      <c r="B519">
        <v>12</v>
      </c>
      <c r="C519" t="str">
        <f t="shared" si="125"/>
        <v>test.TIFFFaxDecoder_12_</v>
      </c>
      <c r="D519">
        <v>1</v>
      </c>
      <c r="E519" s="4">
        <v>0.125</v>
      </c>
      <c r="F519" s="4">
        <v>0.17660550458715596</v>
      </c>
      <c r="G519" s="4">
        <f t="shared" si="126"/>
        <v>0.125</v>
      </c>
      <c r="H519" s="4" t="str">
        <f t="shared" si="127"/>
        <v/>
      </c>
      <c r="I519" s="4" t="str">
        <f t="shared" si="128"/>
        <v/>
      </c>
      <c r="J519" s="4" t="str">
        <f t="shared" si="129"/>
        <v/>
      </c>
      <c r="K519" s="4" t="str">
        <f t="shared" si="130"/>
        <v/>
      </c>
      <c r="L519" s="4" t="str">
        <f t="shared" si="131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501</v>
      </c>
      <c r="B520">
        <v>12</v>
      </c>
      <c r="C520" t="str">
        <f t="shared" si="125"/>
        <v>test.TIFFFaxDecoder_12_</v>
      </c>
      <c r="D520">
        <v>2</v>
      </c>
      <c r="E520" s="4">
        <v>0.5178571428571429</v>
      </c>
      <c r="F520" s="4">
        <v>0.57951070336391441</v>
      </c>
      <c r="G520" s="4" t="str">
        <f t="shared" si="126"/>
        <v/>
      </c>
      <c r="H520" s="4" t="str">
        <f t="shared" si="127"/>
        <v/>
      </c>
      <c r="I520" s="4">
        <f t="shared" si="128"/>
        <v>0.5178571428571429</v>
      </c>
      <c r="J520" s="4" t="str">
        <f t="shared" si="129"/>
        <v/>
      </c>
      <c r="K520" s="4" t="str">
        <f t="shared" si="130"/>
        <v/>
      </c>
      <c r="L520" s="4" t="str">
        <f t="shared" si="131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501</v>
      </c>
      <c r="B521">
        <v>12</v>
      </c>
      <c r="C521" t="str">
        <f t="shared" si="125"/>
        <v>test.TIFFFaxDecoder_12_</v>
      </c>
      <c r="D521">
        <v>3</v>
      </c>
      <c r="E521" s="4">
        <v>0.5714285714285714</v>
      </c>
      <c r="F521" s="4">
        <v>0.58103975535168195</v>
      </c>
      <c r="G521" s="4" t="str">
        <f t="shared" si="126"/>
        <v/>
      </c>
      <c r="H521" s="4" t="str">
        <f t="shared" si="127"/>
        <v/>
      </c>
      <c r="I521" s="4">
        <f t="shared" si="128"/>
        <v>0.5714285714285714</v>
      </c>
      <c r="J521" s="4" t="str">
        <f t="shared" si="129"/>
        <v/>
      </c>
      <c r="K521" s="4" t="str">
        <f t="shared" si="130"/>
        <v/>
      </c>
      <c r="L521" s="4" t="str">
        <f t="shared" si="131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501</v>
      </c>
      <c r="B522">
        <v>12</v>
      </c>
      <c r="C522" t="str">
        <f t="shared" si="125"/>
        <v>test.TIFFFaxDecoder_12_</v>
      </c>
      <c r="D522">
        <v>4</v>
      </c>
      <c r="E522" s="4">
        <v>0.7678571428571429</v>
      </c>
      <c r="F522" s="4">
        <v>0.59785932721712542</v>
      </c>
      <c r="G522" s="4" t="str">
        <f t="shared" si="126"/>
        <v/>
      </c>
      <c r="H522" s="4" t="str">
        <f t="shared" si="127"/>
        <v/>
      </c>
      <c r="I522" s="4">
        <f t="shared" si="128"/>
        <v>0.7678571428571429</v>
      </c>
      <c r="J522" s="4" t="str">
        <f t="shared" si="129"/>
        <v/>
      </c>
      <c r="K522" s="4" t="str">
        <f t="shared" si="130"/>
        <v/>
      </c>
      <c r="L522" s="4" t="str">
        <f t="shared" si="131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501</v>
      </c>
      <c r="B523">
        <v>12</v>
      </c>
      <c r="C523" t="str">
        <f t="shared" si="125"/>
        <v>test.TIFFFaxDecoder_12_</v>
      </c>
      <c r="D523">
        <v>5</v>
      </c>
      <c r="E523" s="4">
        <v>0.7678571428571429</v>
      </c>
      <c r="F523" s="4">
        <v>0.61238532110091748</v>
      </c>
      <c r="G523" s="4" t="str">
        <f t="shared" si="126"/>
        <v/>
      </c>
      <c r="H523" s="4" t="str">
        <f t="shared" si="127"/>
        <v/>
      </c>
      <c r="I523" s="4" t="str">
        <f t="shared" si="128"/>
        <v/>
      </c>
      <c r="J523" s="4">
        <f t="shared" si="129"/>
        <v>0.7678571428571429</v>
      </c>
      <c r="K523" s="4" t="str">
        <f t="shared" si="130"/>
        <v/>
      </c>
      <c r="L523" s="4" t="str">
        <f t="shared" si="131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501</v>
      </c>
      <c r="B524">
        <v>12</v>
      </c>
      <c r="C524" t="str">
        <f t="shared" si="125"/>
        <v>test.TIFFFaxDecoder_12_</v>
      </c>
      <c r="D524">
        <v>6</v>
      </c>
      <c r="E524" s="4">
        <v>0.9464285714285714</v>
      </c>
      <c r="F524" s="4">
        <v>0.62920489296636084</v>
      </c>
      <c r="G524" s="4" t="str">
        <f t="shared" si="126"/>
        <v/>
      </c>
      <c r="H524" s="4" t="str">
        <f t="shared" si="127"/>
        <v/>
      </c>
      <c r="I524" s="4" t="str">
        <f t="shared" si="128"/>
        <v/>
      </c>
      <c r="J524" s="4">
        <f t="shared" si="129"/>
        <v>0.9464285714285714</v>
      </c>
      <c r="K524" s="4" t="str">
        <f t="shared" si="130"/>
        <v/>
      </c>
      <c r="L524" s="4" t="str">
        <f t="shared" si="131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501</v>
      </c>
      <c r="B525">
        <v>12</v>
      </c>
      <c r="C525" t="str">
        <f t="shared" si="125"/>
        <v>test.TIFFFaxDecoder_12_</v>
      </c>
      <c r="D525">
        <v>7</v>
      </c>
      <c r="E525" s="4">
        <v>1</v>
      </c>
      <c r="F525" s="4">
        <v>0.64678899082568808</v>
      </c>
      <c r="G525" s="4" t="str">
        <f t="shared" si="126"/>
        <v/>
      </c>
      <c r="H525" s="4" t="str">
        <f t="shared" si="127"/>
        <v/>
      </c>
      <c r="I525" s="4" t="str">
        <f t="shared" si="128"/>
        <v/>
      </c>
      <c r="J525" s="4">
        <f t="shared" si="129"/>
        <v>1</v>
      </c>
      <c r="K525" s="4" t="str">
        <f t="shared" si="130"/>
        <v/>
      </c>
      <c r="L525" s="4" t="str">
        <f t="shared" si="131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501</v>
      </c>
      <c r="B526">
        <v>12</v>
      </c>
      <c r="C526" t="str">
        <f t="shared" si="125"/>
        <v>test.TIFFFaxDecoder_12_</v>
      </c>
      <c r="D526">
        <v>8</v>
      </c>
      <c r="E526" s="4">
        <v>1</v>
      </c>
      <c r="F526" s="4">
        <v>0.65596330275229353</v>
      </c>
      <c r="G526" s="4" t="str">
        <f t="shared" si="126"/>
        <v/>
      </c>
      <c r="H526" s="4" t="str">
        <f t="shared" si="127"/>
        <v/>
      </c>
      <c r="I526" s="4" t="str">
        <f t="shared" si="128"/>
        <v/>
      </c>
      <c r="J526" s="4">
        <f t="shared" si="129"/>
        <v>1</v>
      </c>
      <c r="K526" s="4" t="str">
        <f t="shared" si="130"/>
        <v/>
      </c>
      <c r="L526" s="4" t="str">
        <f t="shared" si="131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501</v>
      </c>
      <c r="B527">
        <v>12</v>
      </c>
      <c r="C527" t="str">
        <f t="shared" si="125"/>
        <v>test.TIFFFaxDecoder_12_</v>
      </c>
      <c r="D527">
        <v>9</v>
      </c>
      <c r="E527" s="4">
        <v>1</v>
      </c>
      <c r="F527" s="4">
        <v>0.67966360856269115</v>
      </c>
      <c r="G527" s="4" t="str">
        <f t="shared" si="126"/>
        <v/>
      </c>
      <c r="H527" s="4" t="str">
        <f t="shared" si="127"/>
        <v/>
      </c>
      <c r="I527" s="4" t="str">
        <f t="shared" si="128"/>
        <v/>
      </c>
      <c r="J527" s="4">
        <f t="shared" si="129"/>
        <v>1</v>
      </c>
      <c r="K527" s="4" t="str">
        <f t="shared" si="130"/>
        <v/>
      </c>
      <c r="L527" s="4" t="str">
        <f t="shared" si="131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501</v>
      </c>
      <c r="B528">
        <v>13</v>
      </c>
      <c r="C528" t="str">
        <f t="shared" si="125"/>
        <v>test.TIFFFaxDecoder_13_</v>
      </c>
      <c r="D528">
        <v>1</v>
      </c>
      <c r="E528" s="4">
        <v>0.42857142857142855</v>
      </c>
      <c r="F528" s="4">
        <v>0.65020576131687247</v>
      </c>
      <c r="G528" s="4" t="str">
        <f t="shared" si="126"/>
        <v/>
      </c>
      <c r="H528" s="4" t="str">
        <f t="shared" si="127"/>
        <v/>
      </c>
      <c r="I528" s="4" t="str">
        <f t="shared" si="128"/>
        <v/>
      </c>
      <c r="J528" s="4">
        <f t="shared" si="129"/>
        <v>0.42857142857142855</v>
      </c>
      <c r="K528" s="4" t="str">
        <f t="shared" si="130"/>
        <v/>
      </c>
      <c r="L528" s="4" t="str">
        <f t="shared" si="131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501</v>
      </c>
      <c r="B529">
        <v>13</v>
      </c>
      <c r="C529" t="str">
        <f t="shared" si="125"/>
        <v>test.TIFFFaxDecoder_13_</v>
      </c>
      <c r="D529">
        <v>2</v>
      </c>
      <c r="E529" s="4">
        <v>1</v>
      </c>
      <c r="F529" s="4">
        <v>0.94650205761316875</v>
      </c>
      <c r="G529" s="4" t="str">
        <f t="shared" si="126"/>
        <v/>
      </c>
      <c r="H529" s="4" t="str">
        <f t="shared" si="127"/>
        <v/>
      </c>
      <c r="I529" s="4" t="str">
        <f t="shared" si="128"/>
        <v/>
      </c>
      <c r="J529" s="4" t="str">
        <f t="shared" si="129"/>
        <v/>
      </c>
      <c r="K529" s="4">
        <f t="shared" si="130"/>
        <v>1</v>
      </c>
      <c r="L529" s="4" t="str">
        <f t="shared" si="131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880</v>
      </c>
      <c r="B530">
        <v>2</v>
      </c>
      <c r="C530" t="str">
        <f t="shared" si="125"/>
        <v>test.TIFFFaxEncoder_2_</v>
      </c>
      <c r="D530">
        <v>1</v>
      </c>
      <c r="E530" s="4">
        <v>0.352112676056338</v>
      </c>
      <c r="F530" s="4">
        <v>0.31107011070110702</v>
      </c>
      <c r="G530" s="4" t="str">
        <f t="shared" si="126"/>
        <v/>
      </c>
      <c r="H530" s="4">
        <f t="shared" si="127"/>
        <v>0.352112676056338</v>
      </c>
      <c r="I530" s="4" t="str">
        <f t="shared" si="128"/>
        <v/>
      </c>
      <c r="J530" s="4" t="str">
        <f t="shared" si="129"/>
        <v/>
      </c>
      <c r="K530" s="4" t="str">
        <f t="shared" si="130"/>
        <v/>
      </c>
      <c r="L530" s="4" t="str">
        <f t="shared" si="131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880</v>
      </c>
      <c r="B531">
        <v>2</v>
      </c>
      <c r="C531" t="str">
        <f t="shared" si="125"/>
        <v>test.TIFFFaxEncoder_2_</v>
      </c>
      <c r="D531">
        <v>2</v>
      </c>
      <c r="E531" s="4">
        <v>0.70422535211267601</v>
      </c>
      <c r="F531" s="4">
        <v>0.45719557195571958</v>
      </c>
      <c r="G531" s="4" t="str">
        <f t="shared" si="126"/>
        <v/>
      </c>
      <c r="H531" s="4" t="str">
        <f t="shared" si="127"/>
        <v/>
      </c>
      <c r="I531" s="4">
        <f t="shared" si="128"/>
        <v>0.70422535211267601</v>
      </c>
      <c r="J531" s="4" t="str">
        <f t="shared" si="129"/>
        <v/>
      </c>
      <c r="K531" s="4" t="str">
        <f t="shared" si="130"/>
        <v/>
      </c>
      <c r="L531" s="4" t="str">
        <f t="shared" si="131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880</v>
      </c>
      <c r="B532">
        <v>2</v>
      </c>
      <c r="C532" t="str">
        <f t="shared" si="125"/>
        <v>test.TIFFFaxEncoder_2_</v>
      </c>
      <c r="D532">
        <v>3</v>
      </c>
      <c r="E532" s="4">
        <v>1</v>
      </c>
      <c r="F532" s="4">
        <v>0.65867158671586712</v>
      </c>
      <c r="G532" s="4" t="str">
        <f t="shared" si="126"/>
        <v/>
      </c>
      <c r="H532" s="4" t="str">
        <f t="shared" si="127"/>
        <v/>
      </c>
      <c r="I532" s="4" t="str">
        <f t="shared" si="128"/>
        <v/>
      </c>
      <c r="J532" s="4">
        <f t="shared" si="129"/>
        <v>1</v>
      </c>
      <c r="K532" s="4" t="str">
        <f t="shared" si="130"/>
        <v/>
      </c>
      <c r="L532" s="4" t="str">
        <f t="shared" si="131"/>
        <v/>
      </c>
      <c r="M532" s="4"/>
      <c r="N532" s="4"/>
      <c r="O532" s="4"/>
      <c r="P532" s="4"/>
      <c r="Q532" s="4"/>
      <c r="R532" s="4"/>
      <c r="S532" s="4"/>
      <c r="T532" s="4"/>
      <c r="U532" s="4"/>
    </row>
    <row r="533" spans="1:21">
      <c r="A533" t="s">
        <v>880</v>
      </c>
      <c r="B533">
        <v>6</v>
      </c>
      <c r="C533" t="str">
        <f t="shared" si="125"/>
        <v>test.TIFFFaxEncoder_6_</v>
      </c>
      <c r="D533">
        <v>1</v>
      </c>
      <c r="E533" s="4">
        <v>0.67741935483870963</v>
      </c>
      <c r="F533" s="4">
        <v>0.76618705035971224</v>
      </c>
      <c r="G533" s="4" t="str">
        <f t="shared" si="126"/>
        <v/>
      </c>
      <c r="H533" s="4" t="str">
        <f t="shared" si="127"/>
        <v/>
      </c>
      <c r="I533" s="4" t="str">
        <f t="shared" si="128"/>
        <v/>
      </c>
      <c r="J533" s="4">
        <f t="shared" si="129"/>
        <v>0.67741935483870963</v>
      </c>
      <c r="K533" s="4" t="str">
        <f t="shared" si="130"/>
        <v/>
      </c>
      <c r="L533" s="4" t="str">
        <f t="shared" si="131"/>
        <v/>
      </c>
      <c r="M533" s="4"/>
      <c r="N533" s="4"/>
      <c r="O533" s="4"/>
      <c r="P533" s="4"/>
      <c r="Q533" s="4"/>
      <c r="R533" s="4"/>
      <c r="S533" s="4"/>
      <c r="T533" s="4"/>
      <c r="U533" s="4"/>
    </row>
    <row r="534" spans="1:21">
      <c r="A534" t="s">
        <v>880</v>
      </c>
      <c r="B534">
        <v>6</v>
      </c>
      <c r="C534" t="str">
        <f t="shared" si="125"/>
        <v>test.TIFFFaxEncoder_6_</v>
      </c>
      <c r="D534">
        <v>2</v>
      </c>
      <c r="E534" s="4">
        <v>0.74193548387096775</v>
      </c>
      <c r="F534" s="4">
        <v>0.77248201438848918</v>
      </c>
      <c r="G534" s="4" t="str">
        <f t="shared" si="126"/>
        <v/>
      </c>
      <c r="H534" s="4" t="str">
        <f t="shared" si="127"/>
        <v/>
      </c>
      <c r="I534" s="4" t="str">
        <f t="shared" si="128"/>
        <v/>
      </c>
      <c r="J534" s="4">
        <f t="shared" si="129"/>
        <v>0.74193548387096775</v>
      </c>
      <c r="K534" s="4" t="str">
        <f t="shared" si="130"/>
        <v/>
      </c>
      <c r="L534" s="4" t="str">
        <f t="shared" si="131"/>
        <v/>
      </c>
      <c r="M534" s="4"/>
      <c r="N534" s="4"/>
      <c r="O534" s="4"/>
      <c r="P534" s="4"/>
      <c r="Q534" s="4"/>
      <c r="R534" s="4"/>
      <c r="S534" s="4"/>
      <c r="T534" s="4"/>
      <c r="U534" s="4"/>
    </row>
    <row r="535" spans="1:21">
      <c r="A535" t="s">
        <v>880</v>
      </c>
      <c r="B535">
        <v>6</v>
      </c>
      <c r="C535" t="str">
        <f t="shared" si="125"/>
        <v>test.TIFFFaxEncoder_6_</v>
      </c>
      <c r="D535">
        <v>3</v>
      </c>
      <c r="E535" s="4">
        <v>0.967741935483871</v>
      </c>
      <c r="F535" s="4">
        <v>0.87320143884892087</v>
      </c>
      <c r="G535" s="4" t="str">
        <f t="shared" si="126"/>
        <v/>
      </c>
      <c r="H535" s="4" t="str">
        <f t="shared" si="127"/>
        <v/>
      </c>
      <c r="I535" s="4" t="str">
        <f t="shared" si="128"/>
        <v/>
      </c>
      <c r="J535" s="4" t="str">
        <f t="shared" si="129"/>
        <v/>
      </c>
      <c r="K535" s="4">
        <f t="shared" si="130"/>
        <v>0.967741935483871</v>
      </c>
      <c r="L535" s="4" t="str">
        <f t="shared" si="131"/>
        <v/>
      </c>
      <c r="M535" s="4"/>
      <c r="N535" s="4"/>
      <c r="O535" s="4"/>
      <c r="P535" s="4"/>
      <c r="Q535" s="4"/>
      <c r="R535" s="4"/>
      <c r="S535" s="4"/>
      <c r="T535" s="4"/>
      <c r="U535" s="4"/>
    </row>
    <row r="536" spans="1:21">
      <c r="A536" t="s">
        <v>880</v>
      </c>
      <c r="B536">
        <v>6</v>
      </c>
      <c r="C536" t="str">
        <f t="shared" si="125"/>
        <v>test.TIFFFaxEncoder_6_</v>
      </c>
      <c r="D536">
        <v>4</v>
      </c>
      <c r="E536" s="4">
        <v>1</v>
      </c>
      <c r="F536" s="4">
        <v>0.87769784172661869</v>
      </c>
      <c r="G536" s="4" t="str">
        <f t="shared" si="126"/>
        <v/>
      </c>
      <c r="H536" s="4" t="str">
        <f t="shared" si="127"/>
        <v/>
      </c>
      <c r="I536" s="4" t="str">
        <f t="shared" si="128"/>
        <v/>
      </c>
      <c r="J536" s="4" t="str">
        <f t="shared" si="129"/>
        <v/>
      </c>
      <c r="K536" s="4">
        <f t="shared" si="130"/>
        <v>1</v>
      </c>
      <c r="L536" s="4" t="str">
        <f t="shared" si="131"/>
        <v/>
      </c>
      <c r="M536" s="4"/>
      <c r="N536" s="4"/>
      <c r="O536" s="4"/>
      <c r="P536" s="4"/>
      <c r="Q536" s="4"/>
      <c r="R536" s="4"/>
      <c r="S536" s="4"/>
      <c r="T536" s="4"/>
      <c r="U536" s="4"/>
    </row>
    <row r="537" spans="1:21">
      <c r="A537" t="s">
        <v>880</v>
      </c>
      <c r="B537">
        <v>6</v>
      </c>
      <c r="C537" t="str">
        <f t="shared" si="125"/>
        <v>test.TIFFFaxEncoder_6_</v>
      </c>
      <c r="D537">
        <v>5</v>
      </c>
      <c r="E537" s="4">
        <v>1</v>
      </c>
      <c r="F537" s="4">
        <v>0.88399280575539574</v>
      </c>
      <c r="G537" s="4" t="str">
        <f t="shared" si="126"/>
        <v/>
      </c>
      <c r="H537" s="4" t="str">
        <f t="shared" si="127"/>
        <v/>
      </c>
      <c r="I537" s="4" t="str">
        <f t="shared" si="128"/>
        <v/>
      </c>
      <c r="J537" s="4" t="str">
        <f t="shared" si="129"/>
        <v/>
      </c>
      <c r="K537" s="4">
        <f t="shared" si="130"/>
        <v>1</v>
      </c>
      <c r="L537" s="4" t="str">
        <f t="shared" si="131"/>
        <v/>
      </c>
      <c r="M537" s="4"/>
      <c r="N537" s="4"/>
      <c r="O537" s="4"/>
      <c r="P537" s="4"/>
      <c r="Q537" s="4"/>
      <c r="R537" s="4"/>
      <c r="S537" s="4"/>
      <c r="T537" s="4"/>
      <c r="U537" s="4"/>
    </row>
    <row r="538" spans="1:21">
      <c r="A538" t="s">
        <v>880</v>
      </c>
      <c r="B538">
        <v>6</v>
      </c>
      <c r="C538" t="str">
        <f t="shared" si="125"/>
        <v>test.TIFFFaxEncoder_6_</v>
      </c>
      <c r="D538">
        <v>6</v>
      </c>
      <c r="E538" s="4">
        <v>1</v>
      </c>
      <c r="F538" s="4">
        <v>0.88579136690647486</v>
      </c>
      <c r="G538" s="4" t="str">
        <f t="shared" si="126"/>
        <v/>
      </c>
      <c r="H538" s="4" t="str">
        <f t="shared" si="127"/>
        <v/>
      </c>
      <c r="I538" s="4" t="str">
        <f t="shared" si="128"/>
        <v/>
      </c>
      <c r="J538" s="4" t="str">
        <f t="shared" si="129"/>
        <v/>
      </c>
      <c r="K538" s="4">
        <f t="shared" si="130"/>
        <v>1</v>
      </c>
      <c r="L538" s="4" t="str">
        <f t="shared" si="131"/>
        <v/>
      </c>
      <c r="M538" s="4"/>
      <c r="N538" s="4"/>
      <c r="O538" s="4"/>
      <c r="P538" s="4"/>
      <c r="Q538" s="4"/>
      <c r="R538" s="4"/>
      <c r="S538" s="4"/>
      <c r="T538" s="4"/>
      <c r="U538" s="4"/>
    </row>
    <row r="539" spans="1:21">
      <c r="A539" t="s">
        <v>880</v>
      </c>
      <c r="B539">
        <v>8</v>
      </c>
      <c r="C539" t="str">
        <f t="shared" si="125"/>
        <v>test.TIFFFaxEncoder_8_</v>
      </c>
      <c r="D539">
        <v>1</v>
      </c>
      <c r="E539" s="4">
        <v>0.89655172413793105</v>
      </c>
      <c r="F539" s="4">
        <v>0.92384615384615387</v>
      </c>
      <c r="G539" s="4" t="str">
        <f t="shared" si="126"/>
        <v/>
      </c>
      <c r="H539" s="4" t="str">
        <f t="shared" si="127"/>
        <v/>
      </c>
      <c r="I539" s="4" t="str">
        <f t="shared" si="128"/>
        <v/>
      </c>
      <c r="J539" s="4" t="str">
        <f t="shared" si="129"/>
        <v/>
      </c>
      <c r="K539" s="4">
        <f t="shared" si="130"/>
        <v>0.89655172413793105</v>
      </c>
      <c r="L539" s="4" t="str">
        <f t="shared" si="131"/>
        <v/>
      </c>
      <c r="M539" s="4"/>
      <c r="N539" s="4"/>
      <c r="O539" s="4"/>
      <c r="P539" s="4"/>
      <c r="Q539" s="4"/>
      <c r="R539" s="4"/>
      <c r="S539" s="4"/>
      <c r="T539" s="4"/>
      <c r="U539" s="4"/>
    </row>
    <row r="540" spans="1:21">
      <c r="A540" t="s">
        <v>880</v>
      </c>
      <c r="B540">
        <v>8</v>
      </c>
      <c r="C540" t="str">
        <f t="shared" si="125"/>
        <v>test.TIFFFaxEncoder_8_</v>
      </c>
      <c r="D540">
        <v>2</v>
      </c>
      <c r="E540" s="4">
        <v>1</v>
      </c>
      <c r="F540" s="4">
        <v>0.94384615384615389</v>
      </c>
      <c r="G540" s="4" t="str">
        <f t="shared" si="126"/>
        <v/>
      </c>
      <c r="H540" s="4" t="str">
        <f t="shared" si="127"/>
        <v/>
      </c>
      <c r="I540" s="4" t="str">
        <f t="shared" si="128"/>
        <v/>
      </c>
      <c r="J540" s="4" t="str">
        <f t="shared" si="129"/>
        <v/>
      </c>
      <c r="K540" s="4">
        <f t="shared" si="130"/>
        <v>1</v>
      </c>
      <c r="L540" s="4" t="str">
        <f t="shared" si="131"/>
        <v/>
      </c>
      <c r="M540" s="4"/>
      <c r="N540" s="4"/>
      <c r="O540" s="4"/>
      <c r="P540" s="4"/>
      <c r="Q540" s="4"/>
      <c r="R540" s="4"/>
      <c r="S540" s="4"/>
      <c r="T540" s="4"/>
      <c r="U540" s="4"/>
    </row>
    <row r="541" spans="1:21">
      <c r="A541" t="s">
        <v>880</v>
      </c>
      <c r="B541">
        <v>11</v>
      </c>
      <c r="C541" t="str">
        <f t="shared" si="125"/>
        <v>test.TIFFFaxEncoder_11_</v>
      </c>
      <c r="D541">
        <v>1</v>
      </c>
      <c r="E541" s="4">
        <v>0.81739130434782614</v>
      </c>
      <c r="F541" s="4">
        <v>0.80502085338466478</v>
      </c>
      <c r="G541" s="4" t="str">
        <f t="shared" si="126"/>
        <v/>
      </c>
      <c r="H541" s="4" t="str">
        <f t="shared" si="127"/>
        <v/>
      </c>
      <c r="I541" s="4" t="str">
        <f t="shared" si="128"/>
        <v/>
      </c>
      <c r="J541" s="4" t="str">
        <f t="shared" si="129"/>
        <v/>
      </c>
      <c r="K541" s="4">
        <f t="shared" si="130"/>
        <v>0.81739130434782614</v>
      </c>
      <c r="L541" s="4" t="str">
        <f t="shared" si="131"/>
        <v/>
      </c>
      <c r="M541" s="4"/>
      <c r="N541" s="4"/>
      <c r="O541" s="4"/>
      <c r="P541" s="4"/>
      <c r="Q541" s="4"/>
      <c r="R541" s="4"/>
      <c r="S541" s="4"/>
      <c r="T541" s="4"/>
      <c r="U541" s="4"/>
    </row>
    <row r="542" spans="1:21">
      <c r="A542" t="s">
        <v>880</v>
      </c>
      <c r="B542">
        <v>11</v>
      </c>
      <c r="C542" t="str">
        <f t="shared" si="125"/>
        <v>test.TIFFFaxEncoder_11_</v>
      </c>
      <c r="D542">
        <v>2</v>
      </c>
      <c r="E542" s="4">
        <v>0.89565217391304353</v>
      </c>
      <c r="F542" s="4">
        <v>0.87712544112929103</v>
      </c>
      <c r="G542" s="4" t="str">
        <f t="shared" si="126"/>
        <v/>
      </c>
      <c r="H542" s="4" t="str">
        <f t="shared" si="127"/>
        <v/>
      </c>
      <c r="I542" s="4" t="str">
        <f t="shared" si="128"/>
        <v/>
      </c>
      <c r="J542" s="4" t="str">
        <f t="shared" si="129"/>
        <v/>
      </c>
      <c r="K542" s="4">
        <f t="shared" si="130"/>
        <v>0.89565217391304353</v>
      </c>
      <c r="L542" s="4" t="str">
        <f t="shared" si="131"/>
        <v/>
      </c>
      <c r="M542" s="4"/>
      <c r="N542" s="4"/>
      <c r="O542" s="4"/>
      <c r="P542" s="4"/>
      <c r="Q542" s="4"/>
      <c r="R542" s="4"/>
      <c r="S542" s="4"/>
      <c r="T542" s="4"/>
      <c r="U542" s="4"/>
    </row>
    <row r="543" spans="1:21">
      <c r="A543" t="s">
        <v>880</v>
      </c>
      <c r="B543">
        <v>11</v>
      </c>
      <c r="C543" t="str">
        <f t="shared" si="125"/>
        <v>test.TIFFFaxEncoder_11_</v>
      </c>
      <c r="D543">
        <v>3</v>
      </c>
      <c r="E543" s="4">
        <v>0.99130434782608701</v>
      </c>
      <c r="F543" s="4">
        <v>0.92420596727622717</v>
      </c>
      <c r="G543" s="4" t="str">
        <f t="shared" si="126"/>
        <v/>
      </c>
      <c r="H543" s="4" t="str">
        <f t="shared" si="127"/>
        <v/>
      </c>
      <c r="I543" s="4" t="str">
        <f t="shared" si="128"/>
        <v/>
      </c>
      <c r="J543" s="4" t="str">
        <f t="shared" si="129"/>
        <v/>
      </c>
      <c r="K543" s="4">
        <f t="shared" si="130"/>
        <v>0.99130434782608701</v>
      </c>
      <c r="L543" s="4" t="str">
        <f t="shared" si="131"/>
        <v/>
      </c>
      <c r="M543" s="4"/>
      <c r="N543" s="4"/>
      <c r="O543" s="4"/>
      <c r="P543" s="4"/>
      <c r="Q543" s="4"/>
      <c r="R543" s="4"/>
      <c r="S543" s="4"/>
      <c r="T543" s="4"/>
      <c r="U543" s="4"/>
    </row>
    <row r="544" spans="1:21">
      <c r="A544" t="s">
        <v>880</v>
      </c>
      <c r="B544">
        <v>11</v>
      </c>
      <c r="C544" t="str">
        <f t="shared" si="125"/>
        <v>test.TIFFFaxEncoder_11_</v>
      </c>
      <c r="D544">
        <v>4</v>
      </c>
      <c r="E544" s="4">
        <v>1</v>
      </c>
      <c r="F544" s="4">
        <v>0.94000641642605065</v>
      </c>
      <c r="G544" s="4" t="str">
        <f t="shared" si="126"/>
        <v/>
      </c>
      <c r="H544" s="4" t="str">
        <f t="shared" si="127"/>
        <v/>
      </c>
      <c r="I544" s="4" t="str">
        <f t="shared" si="128"/>
        <v/>
      </c>
      <c r="J544" s="4" t="str">
        <f t="shared" si="129"/>
        <v/>
      </c>
      <c r="K544" s="4">
        <f t="shared" si="130"/>
        <v>1</v>
      </c>
      <c r="L544" s="4" t="str">
        <f t="shared" si="131"/>
        <v/>
      </c>
      <c r="M544" s="4"/>
      <c r="N544" s="4"/>
      <c r="O544" s="4"/>
      <c r="P544" s="4"/>
      <c r="Q544" s="4"/>
      <c r="R544" s="4"/>
      <c r="S544" s="4"/>
      <c r="T544" s="4"/>
      <c r="U544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Sheet6</vt:lpstr>
      <vt:lpstr>Compare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2017-05-03T23:20:49Z</dcterms:modified>
</cp:coreProperties>
</file>