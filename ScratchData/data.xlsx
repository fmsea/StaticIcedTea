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11360" yWindow="240" windowWidth="14260" windowHeight="14500" tabRatio="770"/>
  </bookViews>
  <sheets>
    <sheet name="summary" sheetId="18" r:id="rId1"/>
    <sheet name="Compare dom4" sheetId="17" r:id="rId2"/>
    <sheet name="SatUnsatData Full dom4" sheetId="16" r:id="rId3"/>
    <sheet name="Time Data Full dom4" sheetId="15" r:id="rId4"/>
    <sheet name="Prelim data" sheetId="3" r:id="rId5"/>
    <sheet name="cleanedData" sheetId="4" r:id="rId6"/>
    <sheet name="Compare dom9" sheetId="14" r:id="rId7"/>
    <sheet name="Time Data Full dom9" sheetId="9" r:id="rId8"/>
    <sheet name="SatUnsatData Full dom9" sheetId="10" r:id="rId9"/>
    <sheet name="Compare old" sheetId="11" r:id="rId10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7" i="18" l="1"/>
  <c r="G2" i="17"/>
  <c r="G3" i="17"/>
  <c r="G4" i="17"/>
  <c r="G5" i="17"/>
  <c r="X3" i="17"/>
  <c r="H2" i="17"/>
  <c r="H3" i="17"/>
  <c r="H4" i="17"/>
  <c r="I2" i="17"/>
  <c r="J2" i="17"/>
  <c r="K2" i="17"/>
  <c r="L2" i="17"/>
  <c r="I3" i="17"/>
  <c r="J3" i="17"/>
  <c r="K3" i="17"/>
  <c r="L3" i="17"/>
  <c r="I4" i="17"/>
  <c r="J4" i="17"/>
  <c r="K4" i="17"/>
  <c r="L4" i="17"/>
  <c r="H5" i="17"/>
  <c r="I5" i="17"/>
  <c r="J5" i="17"/>
  <c r="K5" i="17"/>
  <c r="L5" i="17"/>
  <c r="G6" i="17"/>
  <c r="H6" i="17"/>
  <c r="I6" i="17"/>
  <c r="J6" i="17"/>
  <c r="K6" i="17"/>
  <c r="L6" i="17"/>
  <c r="G7" i="17"/>
  <c r="H7" i="17"/>
  <c r="I7" i="17"/>
  <c r="J7" i="17"/>
  <c r="K7" i="17"/>
  <c r="L7" i="17"/>
  <c r="G8" i="17"/>
  <c r="H8" i="17"/>
  <c r="I8" i="17"/>
  <c r="J8" i="17"/>
  <c r="K8" i="17"/>
  <c r="L8" i="17"/>
  <c r="G9" i="17"/>
  <c r="H9" i="17"/>
  <c r="I9" i="17"/>
  <c r="J9" i="17"/>
  <c r="K9" i="17"/>
  <c r="L9" i="17"/>
  <c r="G10" i="17"/>
  <c r="H10" i="17"/>
  <c r="I10" i="17"/>
  <c r="J10" i="17"/>
  <c r="K10" i="17"/>
  <c r="L10" i="17"/>
  <c r="G11" i="17"/>
  <c r="H11" i="17"/>
  <c r="I11" i="17"/>
  <c r="J11" i="17"/>
  <c r="K11" i="17"/>
  <c r="L11" i="17"/>
  <c r="G12" i="17"/>
  <c r="H12" i="17"/>
  <c r="I12" i="17"/>
  <c r="J12" i="17"/>
  <c r="K12" i="17"/>
  <c r="L12" i="17"/>
  <c r="G13" i="17"/>
  <c r="H13" i="17"/>
  <c r="I13" i="17"/>
  <c r="J13" i="17"/>
  <c r="K13" i="17"/>
  <c r="L13" i="17"/>
  <c r="G14" i="17"/>
  <c r="H14" i="17"/>
  <c r="I14" i="17"/>
  <c r="J14" i="17"/>
  <c r="K14" i="17"/>
  <c r="L14" i="17"/>
  <c r="G15" i="17"/>
  <c r="H15" i="17"/>
  <c r="I15" i="17"/>
  <c r="J15" i="17"/>
  <c r="K15" i="17"/>
  <c r="L15" i="17"/>
  <c r="G16" i="17"/>
  <c r="H16" i="17"/>
  <c r="I16" i="17"/>
  <c r="J16" i="17"/>
  <c r="K16" i="17"/>
  <c r="L16" i="17"/>
  <c r="G17" i="17"/>
  <c r="H17" i="17"/>
  <c r="I17" i="17"/>
  <c r="J17" i="17"/>
  <c r="K17" i="17"/>
  <c r="L17" i="17"/>
  <c r="G18" i="17"/>
  <c r="H18" i="17"/>
  <c r="I18" i="17"/>
  <c r="J18" i="17"/>
  <c r="K18" i="17"/>
  <c r="L18" i="17"/>
  <c r="G19" i="17"/>
  <c r="H19" i="17"/>
  <c r="I19" i="17"/>
  <c r="J19" i="17"/>
  <c r="K19" i="17"/>
  <c r="L19" i="17"/>
  <c r="G20" i="17"/>
  <c r="H20" i="17"/>
  <c r="I20" i="17"/>
  <c r="J20" i="17"/>
  <c r="K20" i="17"/>
  <c r="L20" i="17"/>
  <c r="G21" i="17"/>
  <c r="H21" i="17"/>
  <c r="I21" i="17"/>
  <c r="J21" i="17"/>
  <c r="K21" i="17"/>
  <c r="L21" i="17"/>
  <c r="G22" i="17"/>
  <c r="H22" i="17"/>
  <c r="I22" i="17"/>
  <c r="J22" i="17"/>
  <c r="K22" i="17"/>
  <c r="L22" i="17"/>
  <c r="G23" i="17"/>
  <c r="H23" i="17"/>
  <c r="I23" i="17"/>
  <c r="J23" i="17"/>
  <c r="K23" i="17"/>
  <c r="L23" i="17"/>
  <c r="G24" i="17"/>
  <c r="H24" i="17"/>
  <c r="I24" i="17"/>
  <c r="J24" i="17"/>
  <c r="K24" i="17"/>
  <c r="L24" i="17"/>
  <c r="G25" i="17"/>
  <c r="H25" i="17"/>
  <c r="I25" i="17"/>
  <c r="J25" i="17"/>
  <c r="K25" i="17"/>
  <c r="L25" i="17"/>
  <c r="G26" i="17"/>
  <c r="H26" i="17"/>
  <c r="I26" i="17"/>
  <c r="J26" i="17"/>
  <c r="K26" i="17"/>
  <c r="L26" i="17"/>
  <c r="G27" i="17"/>
  <c r="H27" i="17"/>
  <c r="I27" i="17"/>
  <c r="J27" i="17"/>
  <c r="K27" i="17"/>
  <c r="L27" i="17"/>
  <c r="G28" i="17"/>
  <c r="H28" i="17"/>
  <c r="I28" i="17"/>
  <c r="J28" i="17"/>
  <c r="K28" i="17"/>
  <c r="L28" i="17"/>
  <c r="G29" i="17"/>
  <c r="H29" i="17"/>
  <c r="I29" i="17"/>
  <c r="J29" i="17"/>
  <c r="K29" i="17"/>
  <c r="L29" i="17"/>
  <c r="G30" i="17"/>
  <c r="H30" i="17"/>
  <c r="I30" i="17"/>
  <c r="J30" i="17"/>
  <c r="K30" i="17"/>
  <c r="L30" i="17"/>
  <c r="G31" i="17"/>
  <c r="H31" i="17"/>
  <c r="I31" i="17"/>
  <c r="J31" i="17"/>
  <c r="K31" i="17"/>
  <c r="L31" i="17"/>
  <c r="G32" i="17"/>
  <c r="H32" i="17"/>
  <c r="I32" i="17"/>
  <c r="J32" i="17"/>
  <c r="K32" i="17"/>
  <c r="L32" i="17"/>
  <c r="G33" i="17"/>
  <c r="H33" i="17"/>
  <c r="I33" i="17"/>
  <c r="J33" i="17"/>
  <c r="K33" i="17"/>
  <c r="L33" i="17"/>
  <c r="G34" i="17"/>
  <c r="H34" i="17"/>
  <c r="I34" i="17"/>
  <c r="J34" i="17"/>
  <c r="K34" i="17"/>
  <c r="L34" i="17"/>
  <c r="G35" i="17"/>
  <c r="H35" i="17"/>
  <c r="I35" i="17"/>
  <c r="J35" i="17"/>
  <c r="K35" i="17"/>
  <c r="L35" i="17"/>
  <c r="G36" i="17"/>
  <c r="H36" i="17"/>
  <c r="I36" i="17"/>
  <c r="J36" i="17"/>
  <c r="K36" i="17"/>
  <c r="L36" i="17"/>
  <c r="G37" i="17"/>
  <c r="H37" i="17"/>
  <c r="I37" i="17"/>
  <c r="J37" i="17"/>
  <c r="K37" i="17"/>
  <c r="L37" i="17"/>
  <c r="G38" i="17"/>
  <c r="H38" i="17"/>
  <c r="I38" i="17"/>
  <c r="J38" i="17"/>
  <c r="K38" i="17"/>
  <c r="L38" i="17"/>
  <c r="G39" i="17"/>
  <c r="H39" i="17"/>
  <c r="I39" i="17"/>
  <c r="J39" i="17"/>
  <c r="K39" i="17"/>
  <c r="L39" i="17"/>
  <c r="G40" i="17"/>
  <c r="H40" i="17"/>
  <c r="I40" i="17"/>
  <c r="J40" i="17"/>
  <c r="K40" i="17"/>
  <c r="L40" i="17"/>
  <c r="G41" i="17"/>
  <c r="H41" i="17"/>
  <c r="I41" i="17"/>
  <c r="J41" i="17"/>
  <c r="K41" i="17"/>
  <c r="L41" i="17"/>
  <c r="G42" i="17"/>
  <c r="H42" i="17"/>
  <c r="I42" i="17"/>
  <c r="J42" i="17"/>
  <c r="K42" i="17"/>
  <c r="L42" i="17"/>
  <c r="G43" i="17"/>
  <c r="H43" i="17"/>
  <c r="I43" i="17"/>
  <c r="J43" i="17"/>
  <c r="K43" i="17"/>
  <c r="L43" i="17"/>
  <c r="G44" i="17"/>
  <c r="H44" i="17"/>
  <c r="I44" i="17"/>
  <c r="J44" i="17"/>
  <c r="K44" i="17"/>
  <c r="L44" i="17"/>
  <c r="G45" i="17"/>
  <c r="H45" i="17"/>
  <c r="I45" i="17"/>
  <c r="J45" i="17"/>
  <c r="K45" i="17"/>
  <c r="L45" i="17"/>
  <c r="G46" i="17"/>
  <c r="H46" i="17"/>
  <c r="I46" i="17"/>
  <c r="J46" i="17"/>
  <c r="K46" i="17"/>
  <c r="L46" i="17"/>
  <c r="G47" i="17"/>
  <c r="H47" i="17"/>
  <c r="I47" i="17"/>
  <c r="J47" i="17"/>
  <c r="K47" i="17"/>
  <c r="L47" i="17"/>
  <c r="G48" i="17"/>
  <c r="H48" i="17"/>
  <c r="I48" i="17"/>
  <c r="J48" i="17"/>
  <c r="K48" i="17"/>
  <c r="L48" i="17"/>
  <c r="G49" i="17"/>
  <c r="H49" i="17"/>
  <c r="I49" i="17"/>
  <c r="J49" i="17"/>
  <c r="K49" i="17"/>
  <c r="L49" i="17"/>
  <c r="G50" i="17"/>
  <c r="H50" i="17"/>
  <c r="I50" i="17"/>
  <c r="J50" i="17"/>
  <c r="K50" i="17"/>
  <c r="L50" i="17"/>
  <c r="G51" i="17"/>
  <c r="H51" i="17"/>
  <c r="I51" i="17"/>
  <c r="J51" i="17"/>
  <c r="K51" i="17"/>
  <c r="L51" i="17"/>
  <c r="G52" i="17"/>
  <c r="H52" i="17"/>
  <c r="I52" i="17"/>
  <c r="J52" i="17"/>
  <c r="K52" i="17"/>
  <c r="L52" i="17"/>
  <c r="G53" i="17"/>
  <c r="H53" i="17"/>
  <c r="I53" i="17"/>
  <c r="J53" i="17"/>
  <c r="K53" i="17"/>
  <c r="L53" i="17"/>
  <c r="G54" i="17"/>
  <c r="H54" i="17"/>
  <c r="I54" i="17"/>
  <c r="J54" i="17"/>
  <c r="K54" i="17"/>
  <c r="L54" i="17"/>
  <c r="G55" i="17"/>
  <c r="H55" i="17"/>
  <c r="I55" i="17"/>
  <c r="J55" i="17"/>
  <c r="K55" i="17"/>
  <c r="L55" i="17"/>
  <c r="G56" i="17"/>
  <c r="H56" i="17"/>
  <c r="I56" i="17"/>
  <c r="J56" i="17"/>
  <c r="K56" i="17"/>
  <c r="L56" i="17"/>
  <c r="G57" i="17"/>
  <c r="H57" i="17"/>
  <c r="I57" i="17"/>
  <c r="J57" i="17"/>
  <c r="K57" i="17"/>
  <c r="L57" i="17"/>
  <c r="G58" i="17"/>
  <c r="H58" i="17"/>
  <c r="I58" i="17"/>
  <c r="J58" i="17"/>
  <c r="K58" i="17"/>
  <c r="L58" i="17"/>
  <c r="G59" i="17"/>
  <c r="H59" i="17"/>
  <c r="I59" i="17"/>
  <c r="J59" i="17"/>
  <c r="K59" i="17"/>
  <c r="L59" i="17"/>
  <c r="G60" i="17"/>
  <c r="H60" i="17"/>
  <c r="I60" i="17"/>
  <c r="J60" i="17"/>
  <c r="K60" i="17"/>
  <c r="L60" i="17"/>
  <c r="G61" i="17"/>
  <c r="H61" i="17"/>
  <c r="I61" i="17"/>
  <c r="J61" i="17"/>
  <c r="K61" i="17"/>
  <c r="L61" i="17"/>
  <c r="G62" i="17"/>
  <c r="H62" i="17"/>
  <c r="I62" i="17"/>
  <c r="J62" i="17"/>
  <c r="K62" i="17"/>
  <c r="L62" i="17"/>
  <c r="G63" i="17"/>
  <c r="H63" i="17"/>
  <c r="I63" i="17"/>
  <c r="J63" i="17"/>
  <c r="K63" i="17"/>
  <c r="L63" i="17"/>
  <c r="G64" i="17"/>
  <c r="H64" i="17"/>
  <c r="I64" i="17"/>
  <c r="J64" i="17"/>
  <c r="K64" i="17"/>
  <c r="L64" i="17"/>
  <c r="G65" i="17"/>
  <c r="H65" i="17"/>
  <c r="I65" i="17"/>
  <c r="J65" i="17"/>
  <c r="K65" i="17"/>
  <c r="L65" i="17"/>
  <c r="G66" i="17"/>
  <c r="H66" i="17"/>
  <c r="I66" i="17"/>
  <c r="J66" i="17"/>
  <c r="K66" i="17"/>
  <c r="L66" i="17"/>
  <c r="G67" i="17"/>
  <c r="H67" i="17"/>
  <c r="I67" i="17"/>
  <c r="J67" i="17"/>
  <c r="K67" i="17"/>
  <c r="L67" i="17"/>
  <c r="G68" i="17"/>
  <c r="H68" i="17"/>
  <c r="I68" i="17"/>
  <c r="J68" i="17"/>
  <c r="K68" i="17"/>
  <c r="L68" i="17"/>
  <c r="G69" i="17"/>
  <c r="H69" i="17"/>
  <c r="I69" i="17"/>
  <c r="J69" i="17"/>
  <c r="K69" i="17"/>
  <c r="L69" i="17"/>
  <c r="G70" i="17"/>
  <c r="H70" i="17"/>
  <c r="I70" i="17"/>
  <c r="J70" i="17"/>
  <c r="K70" i="17"/>
  <c r="L70" i="17"/>
  <c r="G71" i="17"/>
  <c r="H71" i="17"/>
  <c r="I71" i="17"/>
  <c r="J71" i="17"/>
  <c r="K71" i="17"/>
  <c r="L71" i="17"/>
  <c r="G72" i="17"/>
  <c r="H72" i="17"/>
  <c r="I72" i="17"/>
  <c r="J72" i="17"/>
  <c r="K72" i="17"/>
  <c r="L72" i="17"/>
  <c r="G73" i="17"/>
  <c r="H73" i="17"/>
  <c r="I73" i="17"/>
  <c r="J73" i="17"/>
  <c r="K73" i="17"/>
  <c r="L73" i="17"/>
  <c r="G74" i="17"/>
  <c r="H74" i="17"/>
  <c r="I74" i="17"/>
  <c r="J74" i="17"/>
  <c r="K74" i="17"/>
  <c r="L74" i="17"/>
  <c r="G75" i="17"/>
  <c r="H75" i="17"/>
  <c r="I75" i="17"/>
  <c r="J75" i="17"/>
  <c r="K75" i="17"/>
  <c r="L75" i="17"/>
  <c r="G76" i="17"/>
  <c r="H76" i="17"/>
  <c r="I76" i="17"/>
  <c r="J76" i="17"/>
  <c r="K76" i="17"/>
  <c r="L76" i="17"/>
  <c r="G77" i="17"/>
  <c r="H77" i="17"/>
  <c r="I77" i="17"/>
  <c r="J77" i="17"/>
  <c r="K77" i="17"/>
  <c r="L77" i="17"/>
  <c r="G78" i="17"/>
  <c r="H78" i="17"/>
  <c r="I78" i="17"/>
  <c r="J78" i="17"/>
  <c r="K78" i="17"/>
  <c r="L78" i="17"/>
  <c r="G79" i="17"/>
  <c r="H79" i="17"/>
  <c r="I79" i="17"/>
  <c r="J79" i="17"/>
  <c r="K79" i="17"/>
  <c r="L79" i="17"/>
  <c r="G80" i="17"/>
  <c r="H80" i="17"/>
  <c r="I80" i="17"/>
  <c r="J80" i="17"/>
  <c r="K80" i="17"/>
  <c r="L80" i="17"/>
  <c r="G81" i="17"/>
  <c r="H81" i="17"/>
  <c r="I81" i="17"/>
  <c r="J81" i="17"/>
  <c r="K81" i="17"/>
  <c r="L81" i="17"/>
  <c r="G82" i="17"/>
  <c r="H82" i="17"/>
  <c r="I82" i="17"/>
  <c r="J82" i="17"/>
  <c r="K82" i="17"/>
  <c r="L82" i="17"/>
  <c r="G83" i="17"/>
  <c r="H83" i="17"/>
  <c r="I83" i="17"/>
  <c r="J83" i="17"/>
  <c r="K83" i="17"/>
  <c r="L83" i="17"/>
  <c r="G84" i="17"/>
  <c r="H84" i="17"/>
  <c r="I84" i="17"/>
  <c r="J84" i="17"/>
  <c r="K84" i="17"/>
  <c r="L84" i="17"/>
  <c r="G85" i="17"/>
  <c r="H85" i="17"/>
  <c r="I85" i="17"/>
  <c r="J85" i="17"/>
  <c r="K85" i="17"/>
  <c r="L85" i="17"/>
  <c r="G86" i="17"/>
  <c r="H86" i="17"/>
  <c r="I86" i="17"/>
  <c r="J86" i="17"/>
  <c r="K86" i="17"/>
  <c r="L86" i="17"/>
  <c r="G87" i="17"/>
  <c r="H87" i="17"/>
  <c r="I87" i="17"/>
  <c r="J87" i="17"/>
  <c r="K87" i="17"/>
  <c r="L87" i="17"/>
  <c r="G88" i="17"/>
  <c r="H88" i="17"/>
  <c r="I88" i="17"/>
  <c r="J88" i="17"/>
  <c r="K88" i="17"/>
  <c r="L88" i="17"/>
  <c r="G89" i="17"/>
  <c r="H89" i="17"/>
  <c r="I89" i="17"/>
  <c r="J89" i="17"/>
  <c r="K89" i="17"/>
  <c r="L89" i="17"/>
  <c r="G90" i="17"/>
  <c r="H90" i="17"/>
  <c r="I90" i="17"/>
  <c r="J90" i="17"/>
  <c r="K90" i="17"/>
  <c r="L90" i="17"/>
  <c r="G91" i="17"/>
  <c r="H91" i="17"/>
  <c r="I91" i="17"/>
  <c r="J91" i="17"/>
  <c r="K91" i="17"/>
  <c r="L91" i="17"/>
  <c r="G92" i="17"/>
  <c r="H92" i="17"/>
  <c r="I92" i="17"/>
  <c r="J92" i="17"/>
  <c r="K92" i="17"/>
  <c r="L92" i="17"/>
  <c r="G93" i="17"/>
  <c r="H93" i="17"/>
  <c r="I93" i="17"/>
  <c r="J93" i="17"/>
  <c r="K93" i="17"/>
  <c r="L93" i="17"/>
  <c r="G94" i="17"/>
  <c r="H94" i="17"/>
  <c r="I94" i="17"/>
  <c r="J94" i="17"/>
  <c r="K94" i="17"/>
  <c r="L94" i="17"/>
  <c r="G95" i="17"/>
  <c r="H95" i="17"/>
  <c r="I95" i="17"/>
  <c r="J95" i="17"/>
  <c r="K95" i="17"/>
  <c r="L95" i="17"/>
  <c r="G96" i="17"/>
  <c r="H96" i="17"/>
  <c r="I96" i="17"/>
  <c r="J96" i="17"/>
  <c r="K96" i="17"/>
  <c r="L96" i="17"/>
  <c r="G97" i="17"/>
  <c r="H97" i="17"/>
  <c r="I97" i="17"/>
  <c r="J97" i="17"/>
  <c r="K97" i="17"/>
  <c r="L97" i="17"/>
  <c r="G98" i="17"/>
  <c r="H98" i="17"/>
  <c r="I98" i="17"/>
  <c r="J98" i="17"/>
  <c r="K98" i="17"/>
  <c r="L98" i="17"/>
  <c r="G99" i="17"/>
  <c r="H99" i="17"/>
  <c r="I99" i="17"/>
  <c r="J99" i="17"/>
  <c r="K99" i="17"/>
  <c r="L99" i="17"/>
  <c r="G100" i="17"/>
  <c r="H100" i="17"/>
  <c r="I100" i="17"/>
  <c r="J100" i="17"/>
  <c r="K100" i="17"/>
  <c r="L100" i="17"/>
  <c r="G101" i="17"/>
  <c r="H101" i="17"/>
  <c r="I101" i="17"/>
  <c r="J101" i="17"/>
  <c r="K101" i="17"/>
  <c r="L101" i="17"/>
  <c r="G102" i="17"/>
  <c r="H102" i="17"/>
  <c r="I102" i="17"/>
  <c r="J102" i="17"/>
  <c r="K102" i="17"/>
  <c r="L102" i="17"/>
  <c r="G103" i="17"/>
  <c r="H103" i="17"/>
  <c r="I103" i="17"/>
  <c r="J103" i="17"/>
  <c r="K103" i="17"/>
  <c r="L103" i="17"/>
  <c r="G104" i="17"/>
  <c r="H104" i="17"/>
  <c r="I104" i="17"/>
  <c r="J104" i="17"/>
  <c r="K104" i="17"/>
  <c r="L104" i="17"/>
  <c r="G105" i="17"/>
  <c r="H105" i="17"/>
  <c r="I105" i="17"/>
  <c r="J105" i="17"/>
  <c r="K105" i="17"/>
  <c r="L105" i="17"/>
  <c r="G106" i="17"/>
  <c r="H106" i="17"/>
  <c r="I106" i="17"/>
  <c r="J106" i="17"/>
  <c r="K106" i="17"/>
  <c r="L106" i="17"/>
  <c r="G107" i="17"/>
  <c r="H107" i="17"/>
  <c r="I107" i="17"/>
  <c r="J107" i="17"/>
  <c r="K107" i="17"/>
  <c r="L107" i="17"/>
  <c r="G108" i="17"/>
  <c r="H108" i="17"/>
  <c r="I108" i="17"/>
  <c r="J108" i="17"/>
  <c r="K108" i="17"/>
  <c r="L108" i="17"/>
  <c r="G109" i="17"/>
  <c r="H109" i="17"/>
  <c r="I109" i="17"/>
  <c r="J109" i="17"/>
  <c r="K109" i="17"/>
  <c r="L109" i="17"/>
  <c r="G110" i="17"/>
  <c r="H110" i="17"/>
  <c r="I110" i="17"/>
  <c r="J110" i="17"/>
  <c r="K110" i="17"/>
  <c r="L110" i="17"/>
  <c r="G111" i="17"/>
  <c r="H111" i="17"/>
  <c r="I111" i="17"/>
  <c r="J111" i="17"/>
  <c r="K111" i="17"/>
  <c r="L111" i="17"/>
  <c r="G112" i="17"/>
  <c r="H112" i="17"/>
  <c r="I112" i="17"/>
  <c r="J112" i="17"/>
  <c r="K112" i="17"/>
  <c r="L112" i="17"/>
  <c r="G113" i="17"/>
  <c r="H113" i="17"/>
  <c r="I113" i="17"/>
  <c r="J113" i="17"/>
  <c r="K113" i="17"/>
  <c r="L113" i="17"/>
  <c r="G114" i="17"/>
  <c r="H114" i="17"/>
  <c r="I114" i="17"/>
  <c r="J114" i="17"/>
  <c r="K114" i="17"/>
  <c r="L114" i="17"/>
  <c r="G115" i="17"/>
  <c r="H115" i="17"/>
  <c r="I115" i="17"/>
  <c r="J115" i="17"/>
  <c r="K115" i="17"/>
  <c r="L115" i="17"/>
  <c r="G116" i="17"/>
  <c r="H116" i="17"/>
  <c r="I116" i="17"/>
  <c r="J116" i="17"/>
  <c r="K116" i="17"/>
  <c r="L116" i="17"/>
  <c r="G117" i="17"/>
  <c r="H117" i="17"/>
  <c r="I117" i="17"/>
  <c r="J117" i="17"/>
  <c r="K117" i="17"/>
  <c r="L117" i="17"/>
  <c r="G118" i="17"/>
  <c r="H118" i="17"/>
  <c r="I118" i="17"/>
  <c r="J118" i="17"/>
  <c r="K118" i="17"/>
  <c r="L118" i="17"/>
  <c r="G119" i="17"/>
  <c r="H119" i="17"/>
  <c r="I119" i="17"/>
  <c r="J119" i="17"/>
  <c r="K119" i="17"/>
  <c r="L119" i="17"/>
  <c r="G120" i="17"/>
  <c r="H120" i="17"/>
  <c r="I120" i="17"/>
  <c r="J120" i="17"/>
  <c r="K120" i="17"/>
  <c r="L120" i="17"/>
  <c r="G121" i="17"/>
  <c r="H121" i="17"/>
  <c r="I121" i="17"/>
  <c r="J121" i="17"/>
  <c r="K121" i="17"/>
  <c r="L121" i="17"/>
  <c r="G122" i="17"/>
  <c r="H122" i="17"/>
  <c r="I122" i="17"/>
  <c r="J122" i="17"/>
  <c r="K122" i="17"/>
  <c r="L122" i="17"/>
  <c r="G123" i="17"/>
  <c r="H123" i="17"/>
  <c r="I123" i="17"/>
  <c r="J123" i="17"/>
  <c r="K123" i="17"/>
  <c r="L123" i="17"/>
  <c r="G124" i="17"/>
  <c r="H124" i="17"/>
  <c r="I124" i="17"/>
  <c r="J124" i="17"/>
  <c r="K124" i="17"/>
  <c r="L124" i="17"/>
  <c r="G125" i="17"/>
  <c r="H125" i="17"/>
  <c r="I125" i="17"/>
  <c r="J125" i="17"/>
  <c r="K125" i="17"/>
  <c r="L125" i="17"/>
  <c r="G126" i="17"/>
  <c r="H126" i="17"/>
  <c r="I126" i="17"/>
  <c r="J126" i="17"/>
  <c r="K126" i="17"/>
  <c r="L126" i="17"/>
  <c r="G127" i="17"/>
  <c r="H127" i="17"/>
  <c r="I127" i="17"/>
  <c r="J127" i="17"/>
  <c r="K127" i="17"/>
  <c r="L127" i="17"/>
  <c r="G128" i="17"/>
  <c r="H128" i="17"/>
  <c r="I128" i="17"/>
  <c r="J128" i="17"/>
  <c r="K128" i="17"/>
  <c r="L128" i="17"/>
  <c r="G129" i="17"/>
  <c r="H129" i="17"/>
  <c r="I129" i="17"/>
  <c r="J129" i="17"/>
  <c r="K129" i="17"/>
  <c r="L129" i="17"/>
  <c r="G130" i="17"/>
  <c r="H130" i="17"/>
  <c r="I130" i="17"/>
  <c r="J130" i="17"/>
  <c r="K130" i="17"/>
  <c r="L130" i="17"/>
  <c r="G131" i="17"/>
  <c r="H131" i="17"/>
  <c r="I131" i="17"/>
  <c r="J131" i="17"/>
  <c r="K131" i="17"/>
  <c r="L131" i="17"/>
  <c r="G132" i="17"/>
  <c r="H132" i="17"/>
  <c r="I132" i="17"/>
  <c r="J132" i="17"/>
  <c r="K132" i="17"/>
  <c r="L132" i="17"/>
  <c r="G133" i="17"/>
  <c r="H133" i="17"/>
  <c r="I133" i="17"/>
  <c r="J133" i="17"/>
  <c r="K133" i="17"/>
  <c r="L133" i="17"/>
  <c r="G134" i="17"/>
  <c r="H134" i="17"/>
  <c r="I134" i="17"/>
  <c r="J134" i="17"/>
  <c r="K134" i="17"/>
  <c r="L134" i="17"/>
  <c r="G135" i="17"/>
  <c r="H135" i="17"/>
  <c r="I135" i="17"/>
  <c r="J135" i="17"/>
  <c r="K135" i="17"/>
  <c r="L135" i="17"/>
  <c r="G136" i="17"/>
  <c r="H136" i="17"/>
  <c r="I136" i="17"/>
  <c r="J136" i="17"/>
  <c r="K136" i="17"/>
  <c r="L136" i="17"/>
  <c r="G137" i="17"/>
  <c r="H137" i="17"/>
  <c r="I137" i="17"/>
  <c r="J137" i="17"/>
  <c r="K137" i="17"/>
  <c r="L137" i="17"/>
  <c r="G138" i="17"/>
  <c r="H138" i="17"/>
  <c r="I138" i="17"/>
  <c r="J138" i="17"/>
  <c r="K138" i="17"/>
  <c r="L138" i="17"/>
  <c r="G139" i="17"/>
  <c r="H139" i="17"/>
  <c r="I139" i="17"/>
  <c r="J139" i="17"/>
  <c r="K139" i="17"/>
  <c r="L139" i="17"/>
  <c r="G140" i="17"/>
  <c r="H140" i="17"/>
  <c r="I140" i="17"/>
  <c r="J140" i="17"/>
  <c r="K140" i="17"/>
  <c r="L140" i="17"/>
  <c r="G141" i="17"/>
  <c r="H141" i="17"/>
  <c r="I141" i="17"/>
  <c r="J141" i="17"/>
  <c r="K141" i="17"/>
  <c r="L141" i="17"/>
  <c r="G142" i="17"/>
  <c r="H142" i="17"/>
  <c r="I142" i="17"/>
  <c r="J142" i="17"/>
  <c r="K142" i="17"/>
  <c r="L142" i="17"/>
  <c r="G143" i="17"/>
  <c r="H143" i="17"/>
  <c r="I143" i="17"/>
  <c r="J143" i="17"/>
  <c r="K143" i="17"/>
  <c r="L143" i="17"/>
  <c r="G144" i="17"/>
  <c r="H144" i="17"/>
  <c r="I144" i="17"/>
  <c r="J144" i="17"/>
  <c r="K144" i="17"/>
  <c r="L144" i="17"/>
  <c r="G145" i="17"/>
  <c r="H145" i="17"/>
  <c r="I145" i="17"/>
  <c r="J145" i="17"/>
  <c r="K145" i="17"/>
  <c r="L145" i="17"/>
  <c r="G146" i="17"/>
  <c r="H146" i="17"/>
  <c r="I146" i="17"/>
  <c r="J146" i="17"/>
  <c r="K146" i="17"/>
  <c r="L146" i="17"/>
  <c r="G147" i="17"/>
  <c r="H147" i="17"/>
  <c r="I147" i="17"/>
  <c r="J147" i="17"/>
  <c r="K147" i="17"/>
  <c r="L147" i="17"/>
  <c r="G148" i="17"/>
  <c r="H148" i="17"/>
  <c r="I148" i="17"/>
  <c r="J148" i="17"/>
  <c r="K148" i="17"/>
  <c r="L148" i="17"/>
  <c r="G149" i="17"/>
  <c r="H149" i="17"/>
  <c r="I149" i="17"/>
  <c r="J149" i="17"/>
  <c r="K149" i="17"/>
  <c r="L149" i="17"/>
  <c r="G150" i="17"/>
  <c r="H150" i="17"/>
  <c r="I150" i="17"/>
  <c r="J150" i="17"/>
  <c r="K150" i="17"/>
  <c r="L150" i="17"/>
  <c r="G151" i="17"/>
  <c r="H151" i="17"/>
  <c r="I151" i="17"/>
  <c r="J151" i="17"/>
  <c r="K151" i="17"/>
  <c r="L151" i="17"/>
  <c r="G152" i="17"/>
  <c r="H152" i="17"/>
  <c r="I152" i="17"/>
  <c r="J152" i="17"/>
  <c r="K152" i="17"/>
  <c r="L152" i="17"/>
  <c r="G153" i="17"/>
  <c r="H153" i="17"/>
  <c r="I153" i="17"/>
  <c r="J153" i="17"/>
  <c r="K153" i="17"/>
  <c r="L153" i="17"/>
  <c r="G154" i="17"/>
  <c r="H154" i="17"/>
  <c r="I154" i="17"/>
  <c r="J154" i="17"/>
  <c r="K154" i="17"/>
  <c r="L154" i="17"/>
  <c r="G155" i="17"/>
  <c r="H155" i="17"/>
  <c r="I155" i="17"/>
  <c r="J155" i="17"/>
  <c r="K155" i="17"/>
  <c r="L155" i="17"/>
  <c r="G156" i="17"/>
  <c r="H156" i="17"/>
  <c r="I156" i="17"/>
  <c r="J156" i="17"/>
  <c r="K156" i="17"/>
  <c r="L156" i="17"/>
  <c r="G157" i="17"/>
  <c r="H157" i="17"/>
  <c r="I157" i="17"/>
  <c r="J157" i="17"/>
  <c r="K157" i="17"/>
  <c r="L157" i="17"/>
  <c r="G158" i="17"/>
  <c r="H158" i="17"/>
  <c r="I158" i="17"/>
  <c r="J158" i="17"/>
  <c r="K158" i="17"/>
  <c r="L158" i="17"/>
  <c r="G159" i="17"/>
  <c r="H159" i="17"/>
  <c r="I159" i="17"/>
  <c r="J159" i="17"/>
  <c r="K159" i="17"/>
  <c r="L159" i="17"/>
  <c r="G160" i="17"/>
  <c r="H160" i="17"/>
  <c r="I160" i="17"/>
  <c r="J160" i="17"/>
  <c r="K160" i="17"/>
  <c r="L160" i="17"/>
  <c r="G161" i="17"/>
  <c r="H161" i="17"/>
  <c r="I161" i="17"/>
  <c r="J161" i="17"/>
  <c r="K161" i="17"/>
  <c r="L161" i="17"/>
  <c r="G162" i="17"/>
  <c r="H162" i="17"/>
  <c r="I162" i="17"/>
  <c r="J162" i="17"/>
  <c r="K162" i="17"/>
  <c r="L162" i="17"/>
  <c r="G163" i="17"/>
  <c r="H163" i="17"/>
  <c r="I163" i="17"/>
  <c r="J163" i="17"/>
  <c r="K163" i="17"/>
  <c r="L163" i="17"/>
  <c r="G164" i="17"/>
  <c r="H164" i="17"/>
  <c r="I164" i="17"/>
  <c r="J164" i="17"/>
  <c r="K164" i="17"/>
  <c r="L164" i="17"/>
  <c r="G165" i="17"/>
  <c r="H165" i="17"/>
  <c r="I165" i="17"/>
  <c r="J165" i="17"/>
  <c r="K165" i="17"/>
  <c r="L165" i="17"/>
  <c r="G166" i="17"/>
  <c r="H166" i="17"/>
  <c r="I166" i="17"/>
  <c r="J166" i="17"/>
  <c r="K166" i="17"/>
  <c r="L166" i="17"/>
  <c r="G167" i="17"/>
  <c r="H167" i="17"/>
  <c r="I167" i="17"/>
  <c r="J167" i="17"/>
  <c r="K167" i="17"/>
  <c r="L167" i="17"/>
  <c r="G168" i="17"/>
  <c r="H168" i="17"/>
  <c r="I168" i="17"/>
  <c r="J168" i="17"/>
  <c r="K168" i="17"/>
  <c r="L168" i="17"/>
  <c r="G169" i="17"/>
  <c r="H169" i="17"/>
  <c r="I169" i="17"/>
  <c r="J169" i="17"/>
  <c r="K169" i="17"/>
  <c r="L169" i="17"/>
  <c r="G170" i="17"/>
  <c r="H170" i="17"/>
  <c r="I170" i="17"/>
  <c r="J170" i="17"/>
  <c r="K170" i="17"/>
  <c r="L170" i="17"/>
  <c r="G171" i="17"/>
  <c r="H171" i="17"/>
  <c r="I171" i="17"/>
  <c r="J171" i="17"/>
  <c r="K171" i="17"/>
  <c r="L171" i="17"/>
  <c r="G172" i="17"/>
  <c r="H172" i="17"/>
  <c r="I172" i="17"/>
  <c r="J172" i="17"/>
  <c r="K172" i="17"/>
  <c r="L172" i="17"/>
  <c r="G173" i="17"/>
  <c r="H173" i="17"/>
  <c r="I173" i="17"/>
  <c r="J173" i="17"/>
  <c r="K173" i="17"/>
  <c r="L173" i="17"/>
  <c r="G174" i="17"/>
  <c r="H174" i="17"/>
  <c r="I174" i="17"/>
  <c r="J174" i="17"/>
  <c r="K174" i="17"/>
  <c r="L174" i="17"/>
  <c r="G175" i="17"/>
  <c r="H175" i="17"/>
  <c r="I175" i="17"/>
  <c r="J175" i="17"/>
  <c r="K175" i="17"/>
  <c r="L175" i="17"/>
  <c r="G176" i="17"/>
  <c r="H176" i="17"/>
  <c r="I176" i="17"/>
  <c r="J176" i="17"/>
  <c r="K176" i="17"/>
  <c r="L176" i="17"/>
  <c r="G177" i="17"/>
  <c r="H177" i="17"/>
  <c r="I177" i="17"/>
  <c r="J177" i="17"/>
  <c r="K177" i="17"/>
  <c r="L177" i="17"/>
  <c r="G178" i="17"/>
  <c r="H178" i="17"/>
  <c r="I178" i="17"/>
  <c r="J178" i="17"/>
  <c r="K178" i="17"/>
  <c r="L178" i="17"/>
  <c r="G179" i="17"/>
  <c r="H179" i="17"/>
  <c r="I179" i="17"/>
  <c r="J179" i="17"/>
  <c r="K179" i="17"/>
  <c r="L179" i="17"/>
  <c r="G180" i="17"/>
  <c r="H180" i="17"/>
  <c r="I180" i="17"/>
  <c r="J180" i="17"/>
  <c r="K180" i="17"/>
  <c r="L180" i="17"/>
  <c r="G181" i="17"/>
  <c r="H181" i="17"/>
  <c r="I181" i="17"/>
  <c r="J181" i="17"/>
  <c r="K181" i="17"/>
  <c r="L181" i="17"/>
  <c r="G182" i="17"/>
  <c r="H182" i="17"/>
  <c r="I182" i="17"/>
  <c r="J182" i="17"/>
  <c r="K182" i="17"/>
  <c r="L182" i="17"/>
  <c r="G183" i="17"/>
  <c r="H183" i="17"/>
  <c r="I183" i="17"/>
  <c r="J183" i="17"/>
  <c r="K183" i="17"/>
  <c r="L183" i="17"/>
  <c r="G184" i="17"/>
  <c r="H184" i="17"/>
  <c r="I184" i="17"/>
  <c r="J184" i="17"/>
  <c r="K184" i="17"/>
  <c r="L184" i="17"/>
  <c r="G185" i="17"/>
  <c r="H185" i="17"/>
  <c r="I185" i="17"/>
  <c r="J185" i="17"/>
  <c r="K185" i="17"/>
  <c r="L185" i="17"/>
  <c r="G186" i="17"/>
  <c r="H186" i="17"/>
  <c r="I186" i="17"/>
  <c r="J186" i="17"/>
  <c r="K186" i="17"/>
  <c r="L186" i="17"/>
  <c r="G187" i="17"/>
  <c r="H187" i="17"/>
  <c r="I187" i="17"/>
  <c r="J187" i="17"/>
  <c r="K187" i="17"/>
  <c r="L187" i="17"/>
  <c r="G188" i="17"/>
  <c r="H188" i="17"/>
  <c r="I188" i="17"/>
  <c r="J188" i="17"/>
  <c r="K188" i="17"/>
  <c r="L188" i="17"/>
  <c r="G189" i="17"/>
  <c r="H189" i="17"/>
  <c r="I189" i="17"/>
  <c r="J189" i="17"/>
  <c r="K189" i="17"/>
  <c r="L189" i="17"/>
  <c r="G190" i="17"/>
  <c r="H190" i="17"/>
  <c r="I190" i="17"/>
  <c r="J190" i="17"/>
  <c r="K190" i="17"/>
  <c r="L190" i="17"/>
  <c r="G191" i="17"/>
  <c r="H191" i="17"/>
  <c r="I191" i="17"/>
  <c r="J191" i="17"/>
  <c r="K191" i="17"/>
  <c r="L191" i="17"/>
  <c r="G192" i="17"/>
  <c r="H192" i="17"/>
  <c r="I192" i="17"/>
  <c r="J192" i="17"/>
  <c r="K192" i="17"/>
  <c r="L192" i="17"/>
  <c r="G193" i="17"/>
  <c r="H193" i="17"/>
  <c r="I193" i="17"/>
  <c r="J193" i="17"/>
  <c r="K193" i="17"/>
  <c r="L193" i="17"/>
  <c r="G194" i="17"/>
  <c r="H194" i="17"/>
  <c r="I194" i="17"/>
  <c r="J194" i="17"/>
  <c r="K194" i="17"/>
  <c r="L194" i="17"/>
  <c r="G195" i="17"/>
  <c r="H195" i="17"/>
  <c r="I195" i="17"/>
  <c r="J195" i="17"/>
  <c r="K195" i="17"/>
  <c r="L195" i="17"/>
  <c r="G196" i="17"/>
  <c r="H196" i="17"/>
  <c r="I196" i="17"/>
  <c r="J196" i="17"/>
  <c r="K196" i="17"/>
  <c r="L196" i="17"/>
  <c r="G197" i="17"/>
  <c r="H197" i="17"/>
  <c r="I197" i="17"/>
  <c r="J197" i="17"/>
  <c r="K197" i="17"/>
  <c r="L197" i="17"/>
  <c r="G198" i="17"/>
  <c r="H198" i="17"/>
  <c r="I198" i="17"/>
  <c r="J198" i="17"/>
  <c r="K198" i="17"/>
  <c r="L198" i="17"/>
  <c r="G199" i="17"/>
  <c r="H199" i="17"/>
  <c r="I199" i="17"/>
  <c r="J199" i="17"/>
  <c r="K199" i="17"/>
  <c r="L199" i="17"/>
  <c r="G200" i="17"/>
  <c r="H200" i="17"/>
  <c r="I200" i="17"/>
  <c r="J200" i="17"/>
  <c r="K200" i="17"/>
  <c r="L200" i="17"/>
  <c r="G201" i="17"/>
  <c r="H201" i="17"/>
  <c r="I201" i="17"/>
  <c r="J201" i="17"/>
  <c r="K201" i="17"/>
  <c r="L201" i="17"/>
  <c r="G202" i="17"/>
  <c r="H202" i="17"/>
  <c r="I202" i="17"/>
  <c r="J202" i="17"/>
  <c r="K202" i="17"/>
  <c r="L202" i="17"/>
  <c r="G203" i="17"/>
  <c r="H203" i="17"/>
  <c r="I203" i="17"/>
  <c r="J203" i="17"/>
  <c r="K203" i="17"/>
  <c r="L203" i="17"/>
  <c r="G204" i="17"/>
  <c r="H204" i="17"/>
  <c r="I204" i="17"/>
  <c r="J204" i="17"/>
  <c r="K204" i="17"/>
  <c r="L204" i="17"/>
  <c r="G205" i="17"/>
  <c r="H205" i="17"/>
  <c r="I205" i="17"/>
  <c r="J205" i="17"/>
  <c r="K205" i="17"/>
  <c r="L205" i="17"/>
  <c r="G206" i="17"/>
  <c r="H206" i="17"/>
  <c r="I206" i="17"/>
  <c r="J206" i="17"/>
  <c r="K206" i="17"/>
  <c r="L206" i="17"/>
  <c r="G207" i="17"/>
  <c r="H207" i="17"/>
  <c r="I207" i="17"/>
  <c r="J207" i="17"/>
  <c r="K207" i="17"/>
  <c r="L207" i="17"/>
  <c r="G208" i="17"/>
  <c r="H208" i="17"/>
  <c r="I208" i="17"/>
  <c r="J208" i="17"/>
  <c r="K208" i="17"/>
  <c r="L208" i="17"/>
  <c r="G209" i="17"/>
  <c r="H209" i="17"/>
  <c r="I209" i="17"/>
  <c r="J209" i="17"/>
  <c r="K209" i="17"/>
  <c r="L209" i="17"/>
  <c r="G210" i="17"/>
  <c r="H210" i="17"/>
  <c r="I210" i="17"/>
  <c r="J210" i="17"/>
  <c r="K210" i="17"/>
  <c r="L210" i="17"/>
  <c r="G211" i="17"/>
  <c r="H211" i="17"/>
  <c r="I211" i="17"/>
  <c r="J211" i="17"/>
  <c r="K211" i="17"/>
  <c r="L211" i="17"/>
  <c r="G212" i="17"/>
  <c r="H212" i="17"/>
  <c r="I212" i="17"/>
  <c r="J212" i="17"/>
  <c r="K212" i="17"/>
  <c r="L212" i="17"/>
  <c r="G213" i="17"/>
  <c r="H213" i="17"/>
  <c r="I213" i="17"/>
  <c r="J213" i="17"/>
  <c r="K213" i="17"/>
  <c r="L213" i="17"/>
  <c r="G214" i="17"/>
  <c r="H214" i="17"/>
  <c r="I214" i="17"/>
  <c r="J214" i="17"/>
  <c r="K214" i="17"/>
  <c r="L214" i="17"/>
  <c r="G215" i="17"/>
  <c r="H215" i="17"/>
  <c r="I215" i="17"/>
  <c r="J215" i="17"/>
  <c r="K215" i="17"/>
  <c r="L215" i="17"/>
  <c r="G216" i="17"/>
  <c r="H216" i="17"/>
  <c r="I216" i="17"/>
  <c r="J216" i="17"/>
  <c r="K216" i="17"/>
  <c r="L216" i="17"/>
  <c r="G217" i="17"/>
  <c r="H217" i="17"/>
  <c r="I217" i="17"/>
  <c r="J217" i="17"/>
  <c r="K217" i="17"/>
  <c r="L217" i="17"/>
  <c r="G218" i="17"/>
  <c r="H218" i="17"/>
  <c r="I218" i="17"/>
  <c r="J218" i="17"/>
  <c r="K218" i="17"/>
  <c r="L218" i="17"/>
  <c r="G219" i="17"/>
  <c r="H219" i="17"/>
  <c r="I219" i="17"/>
  <c r="J219" i="17"/>
  <c r="K219" i="17"/>
  <c r="L219" i="17"/>
  <c r="G220" i="17"/>
  <c r="H220" i="17"/>
  <c r="I220" i="17"/>
  <c r="J220" i="17"/>
  <c r="K220" i="17"/>
  <c r="L220" i="17"/>
  <c r="G221" i="17"/>
  <c r="H221" i="17"/>
  <c r="I221" i="17"/>
  <c r="J221" i="17"/>
  <c r="K221" i="17"/>
  <c r="L221" i="17"/>
  <c r="G222" i="17"/>
  <c r="H222" i="17"/>
  <c r="I222" i="17"/>
  <c r="J222" i="17"/>
  <c r="K222" i="17"/>
  <c r="L222" i="17"/>
  <c r="G223" i="17"/>
  <c r="H223" i="17"/>
  <c r="I223" i="17"/>
  <c r="J223" i="17"/>
  <c r="K223" i="17"/>
  <c r="L223" i="17"/>
  <c r="G224" i="17"/>
  <c r="H224" i="17"/>
  <c r="I224" i="17"/>
  <c r="J224" i="17"/>
  <c r="K224" i="17"/>
  <c r="L224" i="17"/>
  <c r="G225" i="17"/>
  <c r="H225" i="17"/>
  <c r="I225" i="17"/>
  <c r="J225" i="17"/>
  <c r="K225" i="17"/>
  <c r="L225" i="17"/>
  <c r="G226" i="17"/>
  <c r="H226" i="17"/>
  <c r="I226" i="17"/>
  <c r="J226" i="17"/>
  <c r="K226" i="17"/>
  <c r="L226" i="17"/>
  <c r="G227" i="17"/>
  <c r="H227" i="17"/>
  <c r="I227" i="17"/>
  <c r="J227" i="17"/>
  <c r="K227" i="17"/>
  <c r="L227" i="17"/>
  <c r="G228" i="17"/>
  <c r="H228" i="17"/>
  <c r="I228" i="17"/>
  <c r="J228" i="17"/>
  <c r="K228" i="17"/>
  <c r="L228" i="17"/>
  <c r="G229" i="17"/>
  <c r="H229" i="17"/>
  <c r="I229" i="17"/>
  <c r="J229" i="17"/>
  <c r="K229" i="17"/>
  <c r="L229" i="17"/>
  <c r="G230" i="17"/>
  <c r="H230" i="17"/>
  <c r="I230" i="17"/>
  <c r="J230" i="17"/>
  <c r="K230" i="17"/>
  <c r="L230" i="17"/>
  <c r="G231" i="17"/>
  <c r="H231" i="17"/>
  <c r="I231" i="17"/>
  <c r="J231" i="17"/>
  <c r="K231" i="17"/>
  <c r="L231" i="17"/>
  <c r="G232" i="17"/>
  <c r="H232" i="17"/>
  <c r="I232" i="17"/>
  <c r="J232" i="17"/>
  <c r="K232" i="17"/>
  <c r="L232" i="17"/>
  <c r="G233" i="17"/>
  <c r="H233" i="17"/>
  <c r="I233" i="17"/>
  <c r="J233" i="17"/>
  <c r="K233" i="17"/>
  <c r="L233" i="17"/>
  <c r="G234" i="17"/>
  <c r="H234" i="17"/>
  <c r="I234" i="17"/>
  <c r="J234" i="17"/>
  <c r="K234" i="17"/>
  <c r="L234" i="17"/>
  <c r="G235" i="17"/>
  <c r="H235" i="17"/>
  <c r="I235" i="17"/>
  <c r="J235" i="17"/>
  <c r="K235" i="17"/>
  <c r="L235" i="17"/>
  <c r="G236" i="17"/>
  <c r="H236" i="17"/>
  <c r="I236" i="17"/>
  <c r="J236" i="17"/>
  <c r="K236" i="17"/>
  <c r="L236" i="17"/>
  <c r="G237" i="17"/>
  <c r="H237" i="17"/>
  <c r="I237" i="17"/>
  <c r="J237" i="17"/>
  <c r="K237" i="17"/>
  <c r="L237" i="17"/>
  <c r="G238" i="17"/>
  <c r="H238" i="17"/>
  <c r="I238" i="17"/>
  <c r="J238" i="17"/>
  <c r="K238" i="17"/>
  <c r="L238" i="17"/>
  <c r="G239" i="17"/>
  <c r="H239" i="17"/>
  <c r="I239" i="17"/>
  <c r="J239" i="17"/>
  <c r="K239" i="17"/>
  <c r="L239" i="17"/>
  <c r="G240" i="17"/>
  <c r="H240" i="17"/>
  <c r="I240" i="17"/>
  <c r="J240" i="17"/>
  <c r="K240" i="17"/>
  <c r="L240" i="17"/>
  <c r="G241" i="17"/>
  <c r="H241" i="17"/>
  <c r="I241" i="17"/>
  <c r="J241" i="17"/>
  <c r="K241" i="17"/>
  <c r="L241" i="17"/>
  <c r="G242" i="17"/>
  <c r="H242" i="17"/>
  <c r="I242" i="17"/>
  <c r="J242" i="17"/>
  <c r="K242" i="17"/>
  <c r="L242" i="17"/>
  <c r="G243" i="17"/>
  <c r="H243" i="17"/>
  <c r="I243" i="17"/>
  <c r="J243" i="17"/>
  <c r="K243" i="17"/>
  <c r="L243" i="17"/>
  <c r="G244" i="17"/>
  <c r="H244" i="17"/>
  <c r="I244" i="17"/>
  <c r="J244" i="17"/>
  <c r="K244" i="17"/>
  <c r="L244" i="17"/>
  <c r="G245" i="17"/>
  <c r="H245" i="17"/>
  <c r="I245" i="17"/>
  <c r="J245" i="17"/>
  <c r="K245" i="17"/>
  <c r="L245" i="17"/>
  <c r="G246" i="17"/>
  <c r="H246" i="17"/>
  <c r="I246" i="17"/>
  <c r="J246" i="17"/>
  <c r="K246" i="17"/>
  <c r="L246" i="17"/>
  <c r="G247" i="17"/>
  <c r="H247" i="17"/>
  <c r="I247" i="17"/>
  <c r="J247" i="17"/>
  <c r="K247" i="17"/>
  <c r="L247" i="17"/>
  <c r="G248" i="17"/>
  <c r="H248" i="17"/>
  <c r="I248" i="17"/>
  <c r="J248" i="17"/>
  <c r="K248" i="17"/>
  <c r="L248" i="17"/>
  <c r="G249" i="17"/>
  <c r="H249" i="17"/>
  <c r="I249" i="17"/>
  <c r="J249" i="17"/>
  <c r="K249" i="17"/>
  <c r="L249" i="17"/>
  <c r="G250" i="17"/>
  <c r="H250" i="17"/>
  <c r="I250" i="17"/>
  <c r="J250" i="17"/>
  <c r="K250" i="17"/>
  <c r="L250" i="17"/>
  <c r="G251" i="17"/>
  <c r="H251" i="17"/>
  <c r="I251" i="17"/>
  <c r="J251" i="17"/>
  <c r="K251" i="17"/>
  <c r="L251" i="17"/>
  <c r="G252" i="17"/>
  <c r="H252" i="17"/>
  <c r="I252" i="17"/>
  <c r="J252" i="17"/>
  <c r="K252" i="17"/>
  <c r="L252" i="17"/>
  <c r="G253" i="17"/>
  <c r="H253" i="17"/>
  <c r="I253" i="17"/>
  <c r="J253" i="17"/>
  <c r="K253" i="17"/>
  <c r="L253" i="17"/>
  <c r="G254" i="17"/>
  <c r="H254" i="17"/>
  <c r="I254" i="17"/>
  <c r="J254" i="17"/>
  <c r="K254" i="17"/>
  <c r="L254" i="17"/>
  <c r="G255" i="17"/>
  <c r="H255" i="17"/>
  <c r="I255" i="17"/>
  <c r="J255" i="17"/>
  <c r="K255" i="17"/>
  <c r="L255" i="17"/>
  <c r="G256" i="17"/>
  <c r="H256" i="17"/>
  <c r="I256" i="17"/>
  <c r="J256" i="17"/>
  <c r="K256" i="17"/>
  <c r="L256" i="17"/>
  <c r="G257" i="17"/>
  <c r="H257" i="17"/>
  <c r="I257" i="17"/>
  <c r="J257" i="17"/>
  <c r="K257" i="17"/>
  <c r="L257" i="17"/>
  <c r="G258" i="17"/>
  <c r="H258" i="17"/>
  <c r="I258" i="17"/>
  <c r="J258" i="17"/>
  <c r="K258" i="17"/>
  <c r="L258" i="17"/>
  <c r="G259" i="17"/>
  <c r="H259" i="17"/>
  <c r="I259" i="17"/>
  <c r="J259" i="17"/>
  <c r="K259" i="17"/>
  <c r="L259" i="17"/>
  <c r="G260" i="17"/>
  <c r="H260" i="17"/>
  <c r="I260" i="17"/>
  <c r="J260" i="17"/>
  <c r="K260" i="17"/>
  <c r="L260" i="17"/>
  <c r="G261" i="17"/>
  <c r="H261" i="17"/>
  <c r="I261" i="17"/>
  <c r="J261" i="17"/>
  <c r="K261" i="17"/>
  <c r="L261" i="17"/>
  <c r="G262" i="17"/>
  <c r="H262" i="17"/>
  <c r="I262" i="17"/>
  <c r="J262" i="17"/>
  <c r="K262" i="17"/>
  <c r="L262" i="17"/>
  <c r="G263" i="17"/>
  <c r="H263" i="17"/>
  <c r="I263" i="17"/>
  <c r="J263" i="17"/>
  <c r="K263" i="17"/>
  <c r="L263" i="17"/>
  <c r="G264" i="17"/>
  <c r="H264" i="17"/>
  <c r="I264" i="17"/>
  <c r="J264" i="17"/>
  <c r="K264" i="17"/>
  <c r="L264" i="17"/>
  <c r="G265" i="17"/>
  <c r="H265" i="17"/>
  <c r="I265" i="17"/>
  <c r="J265" i="17"/>
  <c r="K265" i="17"/>
  <c r="L265" i="17"/>
  <c r="G266" i="17"/>
  <c r="H266" i="17"/>
  <c r="I266" i="17"/>
  <c r="J266" i="17"/>
  <c r="K266" i="17"/>
  <c r="L266" i="17"/>
  <c r="G267" i="17"/>
  <c r="H267" i="17"/>
  <c r="I267" i="17"/>
  <c r="J267" i="17"/>
  <c r="K267" i="17"/>
  <c r="L267" i="17"/>
  <c r="G268" i="17"/>
  <c r="H268" i="17"/>
  <c r="I268" i="17"/>
  <c r="J268" i="17"/>
  <c r="K268" i="17"/>
  <c r="L268" i="17"/>
  <c r="G269" i="17"/>
  <c r="H269" i="17"/>
  <c r="I269" i="17"/>
  <c r="J269" i="17"/>
  <c r="K269" i="17"/>
  <c r="L269" i="17"/>
  <c r="G270" i="17"/>
  <c r="H270" i="17"/>
  <c r="I270" i="17"/>
  <c r="J270" i="17"/>
  <c r="K270" i="17"/>
  <c r="L270" i="17"/>
  <c r="G271" i="17"/>
  <c r="H271" i="17"/>
  <c r="I271" i="17"/>
  <c r="J271" i="17"/>
  <c r="K271" i="17"/>
  <c r="L271" i="17"/>
  <c r="G272" i="17"/>
  <c r="H272" i="17"/>
  <c r="I272" i="17"/>
  <c r="J272" i="17"/>
  <c r="K272" i="17"/>
  <c r="L272" i="17"/>
  <c r="G273" i="17"/>
  <c r="H273" i="17"/>
  <c r="I273" i="17"/>
  <c r="J273" i="17"/>
  <c r="K273" i="17"/>
  <c r="L273" i="17"/>
  <c r="G274" i="17"/>
  <c r="H274" i="17"/>
  <c r="I274" i="17"/>
  <c r="J274" i="17"/>
  <c r="K274" i="17"/>
  <c r="L274" i="17"/>
  <c r="G275" i="17"/>
  <c r="H275" i="17"/>
  <c r="I275" i="17"/>
  <c r="J275" i="17"/>
  <c r="K275" i="17"/>
  <c r="L275" i="17"/>
  <c r="G276" i="17"/>
  <c r="H276" i="17"/>
  <c r="I276" i="17"/>
  <c r="J276" i="17"/>
  <c r="K276" i="17"/>
  <c r="L276" i="17"/>
  <c r="G277" i="17"/>
  <c r="H277" i="17"/>
  <c r="I277" i="17"/>
  <c r="J277" i="17"/>
  <c r="K277" i="17"/>
  <c r="L277" i="17"/>
  <c r="G278" i="17"/>
  <c r="H278" i="17"/>
  <c r="I278" i="17"/>
  <c r="J278" i="17"/>
  <c r="K278" i="17"/>
  <c r="L278" i="17"/>
  <c r="G279" i="17"/>
  <c r="H279" i="17"/>
  <c r="I279" i="17"/>
  <c r="J279" i="17"/>
  <c r="K279" i="17"/>
  <c r="L279" i="17"/>
  <c r="G280" i="17"/>
  <c r="H280" i="17"/>
  <c r="I280" i="17"/>
  <c r="J280" i="17"/>
  <c r="K280" i="17"/>
  <c r="L280" i="17"/>
  <c r="G281" i="17"/>
  <c r="H281" i="17"/>
  <c r="I281" i="17"/>
  <c r="J281" i="17"/>
  <c r="K281" i="17"/>
  <c r="L281" i="17"/>
  <c r="G282" i="17"/>
  <c r="H282" i="17"/>
  <c r="I282" i="17"/>
  <c r="J282" i="17"/>
  <c r="K282" i="17"/>
  <c r="L282" i="17"/>
  <c r="G283" i="17"/>
  <c r="H283" i="17"/>
  <c r="I283" i="17"/>
  <c r="J283" i="17"/>
  <c r="K283" i="17"/>
  <c r="L283" i="17"/>
  <c r="G284" i="17"/>
  <c r="H284" i="17"/>
  <c r="I284" i="17"/>
  <c r="J284" i="17"/>
  <c r="K284" i="17"/>
  <c r="L284" i="17"/>
  <c r="G285" i="17"/>
  <c r="H285" i="17"/>
  <c r="I285" i="17"/>
  <c r="J285" i="17"/>
  <c r="K285" i="17"/>
  <c r="L285" i="17"/>
  <c r="G286" i="17"/>
  <c r="H286" i="17"/>
  <c r="I286" i="17"/>
  <c r="J286" i="17"/>
  <c r="K286" i="17"/>
  <c r="L286" i="17"/>
  <c r="G287" i="17"/>
  <c r="H287" i="17"/>
  <c r="I287" i="17"/>
  <c r="J287" i="17"/>
  <c r="K287" i="17"/>
  <c r="L287" i="17"/>
  <c r="G288" i="17"/>
  <c r="H288" i="17"/>
  <c r="I288" i="17"/>
  <c r="J288" i="17"/>
  <c r="K288" i="17"/>
  <c r="L288" i="17"/>
  <c r="G289" i="17"/>
  <c r="H289" i="17"/>
  <c r="I289" i="17"/>
  <c r="J289" i="17"/>
  <c r="K289" i="17"/>
  <c r="L289" i="17"/>
  <c r="G290" i="17"/>
  <c r="H290" i="17"/>
  <c r="I290" i="17"/>
  <c r="J290" i="17"/>
  <c r="K290" i="17"/>
  <c r="L290" i="17"/>
  <c r="G291" i="17"/>
  <c r="H291" i="17"/>
  <c r="I291" i="17"/>
  <c r="J291" i="17"/>
  <c r="K291" i="17"/>
  <c r="L291" i="17"/>
  <c r="G292" i="17"/>
  <c r="H292" i="17"/>
  <c r="I292" i="17"/>
  <c r="J292" i="17"/>
  <c r="K292" i="17"/>
  <c r="L292" i="17"/>
  <c r="G293" i="17"/>
  <c r="H293" i="17"/>
  <c r="I293" i="17"/>
  <c r="J293" i="17"/>
  <c r="K293" i="17"/>
  <c r="L293" i="17"/>
  <c r="G294" i="17"/>
  <c r="H294" i="17"/>
  <c r="I294" i="17"/>
  <c r="J294" i="17"/>
  <c r="K294" i="17"/>
  <c r="L294" i="17"/>
  <c r="G295" i="17"/>
  <c r="H295" i="17"/>
  <c r="I295" i="17"/>
  <c r="J295" i="17"/>
  <c r="K295" i="17"/>
  <c r="L295" i="17"/>
  <c r="G296" i="17"/>
  <c r="H296" i="17"/>
  <c r="I296" i="17"/>
  <c r="J296" i="17"/>
  <c r="K296" i="17"/>
  <c r="L296" i="17"/>
  <c r="G297" i="17"/>
  <c r="H297" i="17"/>
  <c r="I297" i="17"/>
  <c r="J297" i="17"/>
  <c r="K297" i="17"/>
  <c r="L297" i="17"/>
  <c r="G298" i="17"/>
  <c r="H298" i="17"/>
  <c r="I298" i="17"/>
  <c r="J298" i="17"/>
  <c r="K298" i="17"/>
  <c r="L298" i="17"/>
  <c r="G299" i="17"/>
  <c r="H299" i="17"/>
  <c r="I299" i="17"/>
  <c r="J299" i="17"/>
  <c r="K299" i="17"/>
  <c r="L299" i="17"/>
  <c r="G300" i="17"/>
  <c r="H300" i="17"/>
  <c r="I300" i="17"/>
  <c r="J300" i="17"/>
  <c r="K300" i="17"/>
  <c r="L300" i="17"/>
  <c r="G301" i="17"/>
  <c r="H301" i="17"/>
  <c r="I301" i="17"/>
  <c r="J301" i="17"/>
  <c r="K301" i="17"/>
  <c r="L301" i="17"/>
  <c r="G302" i="17"/>
  <c r="H302" i="17"/>
  <c r="I302" i="17"/>
  <c r="J302" i="17"/>
  <c r="K302" i="17"/>
  <c r="L302" i="17"/>
  <c r="G303" i="17"/>
  <c r="H303" i="17"/>
  <c r="I303" i="17"/>
  <c r="J303" i="17"/>
  <c r="K303" i="17"/>
  <c r="L303" i="17"/>
  <c r="G304" i="17"/>
  <c r="H304" i="17"/>
  <c r="I304" i="17"/>
  <c r="J304" i="17"/>
  <c r="K304" i="17"/>
  <c r="L304" i="17"/>
  <c r="G305" i="17"/>
  <c r="H305" i="17"/>
  <c r="I305" i="17"/>
  <c r="J305" i="17"/>
  <c r="K305" i="17"/>
  <c r="L305" i="17"/>
  <c r="G306" i="17"/>
  <c r="H306" i="17"/>
  <c r="I306" i="17"/>
  <c r="J306" i="17"/>
  <c r="K306" i="17"/>
  <c r="L306" i="17"/>
  <c r="G307" i="17"/>
  <c r="H307" i="17"/>
  <c r="I307" i="17"/>
  <c r="J307" i="17"/>
  <c r="K307" i="17"/>
  <c r="L307" i="17"/>
  <c r="G308" i="17"/>
  <c r="H308" i="17"/>
  <c r="I308" i="17"/>
  <c r="J308" i="17"/>
  <c r="K308" i="17"/>
  <c r="L308" i="17"/>
  <c r="G309" i="17"/>
  <c r="H309" i="17"/>
  <c r="I309" i="17"/>
  <c r="J309" i="17"/>
  <c r="K309" i="17"/>
  <c r="L309" i="17"/>
  <c r="G310" i="17"/>
  <c r="H310" i="17"/>
  <c r="I310" i="17"/>
  <c r="J310" i="17"/>
  <c r="K310" i="17"/>
  <c r="L310" i="17"/>
  <c r="G311" i="17"/>
  <c r="H311" i="17"/>
  <c r="I311" i="17"/>
  <c r="J311" i="17"/>
  <c r="K311" i="17"/>
  <c r="L311" i="17"/>
  <c r="G312" i="17"/>
  <c r="H312" i="17"/>
  <c r="I312" i="17"/>
  <c r="J312" i="17"/>
  <c r="K312" i="17"/>
  <c r="L312" i="17"/>
  <c r="G313" i="17"/>
  <c r="H313" i="17"/>
  <c r="I313" i="17"/>
  <c r="J313" i="17"/>
  <c r="K313" i="17"/>
  <c r="L313" i="17"/>
  <c r="G314" i="17"/>
  <c r="H314" i="17"/>
  <c r="I314" i="17"/>
  <c r="J314" i="17"/>
  <c r="K314" i="17"/>
  <c r="L314" i="17"/>
  <c r="G315" i="17"/>
  <c r="H315" i="17"/>
  <c r="I315" i="17"/>
  <c r="J315" i="17"/>
  <c r="K315" i="17"/>
  <c r="L315" i="17"/>
  <c r="G316" i="17"/>
  <c r="H316" i="17"/>
  <c r="I316" i="17"/>
  <c r="J316" i="17"/>
  <c r="K316" i="17"/>
  <c r="L316" i="17"/>
  <c r="G317" i="17"/>
  <c r="H317" i="17"/>
  <c r="I317" i="17"/>
  <c r="J317" i="17"/>
  <c r="K317" i="17"/>
  <c r="L317" i="17"/>
  <c r="G318" i="17"/>
  <c r="H318" i="17"/>
  <c r="I318" i="17"/>
  <c r="J318" i="17"/>
  <c r="K318" i="17"/>
  <c r="L318" i="17"/>
  <c r="G319" i="17"/>
  <c r="H319" i="17"/>
  <c r="I319" i="17"/>
  <c r="J319" i="17"/>
  <c r="K319" i="17"/>
  <c r="L319" i="17"/>
  <c r="G320" i="17"/>
  <c r="H320" i="17"/>
  <c r="I320" i="17"/>
  <c r="J320" i="17"/>
  <c r="K320" i="17"/>
  <c r="L320" i="17"/>
  <c r="G321" i="17"/>
  <c r="H321" i="17"/>
  <c r="I321" i="17"/>
  <c r="J321" i="17"/>
  <c r="K321" i="17"/>
  <c r="L321" i="17"/>
  <c r="G322" i="17"/>
  <c r="H322" i="17"/>
  <c r="I322" i="17"/>
  <c r="J322" i="17"/>
  <c r="K322" i="17"/>
  <c r="L322" i="17"/>
  <c r="G323" i="17"/>
  <c r="H323" i="17"/>
  <c r="I323" i="17"/>
  <c r="J323" i="17"/>
  <c r="K323" i="17"/>
  <c r="L323" i="17"/>
  <c r="G324" i="17"/>
  <c r="H324" i="17"/>
  <c r="I324" i="17"/>
  <c r="J324" i="17"/>
  <c r="K324" i="17"/>
  <c r="L324" i="17"/>
  <c r="G325" i="17"/>
  <c r="H325" i="17"/>
  <c r="I325" i="17"/>
  <c r="J325" i="17"/>
  <c r="K325" i="17"/>
  <c r="L325" i="17"/>
  <c r="G326" i="17"/>
  <c r="H326" i="17"/>
  <c r="I326" i="17"/>
  <c r="J326" i="17"/>
  <c r="K326" i="17"/>
  <c r="L326" i="17"/>
  <c r="G327" i="17"/>
  <c r="H327" i="17"/>
  <c r="I327" i="17"/>
  <c r="J327" i="17"/>
  <c r="K327" i="17"/>
  <c r="L327" i="17"/>
  <c r="G328" i="17"/>
  <c r="H328" i="17"/>
  <c r="I328" i="17"/>
  <c r="J328" i="17"/>
  <c r="K328" i="17"/>
  <c r="L328" i="17"/>
  <c r="G329" i="17"/>
  <c r="H329" i="17"/>
  <c r="I329" i="17"/>
  <c r="J329" i="17"/>
  <c r="K329" i="17"/>
  <c r="L329" i="17"/>
  <c r="G330" i="17"/>
  <c r="H330" i="17"/>
  <c r="I330" i="17"/>
  <c r="J330" i="17"/>
  <c r="K330" i="17"/>
  <c r="L330" i="17"/>
  <c r="G331" i="17"/>
  <c r="H331" i="17"/>
  <c r="I331" i="17"/>
  <c r="J331" i="17"/>
  <c r="K331" i="17"/>
  <c r="L331" i="17"/>
  <c r="G332" i="17"/>
  <c r="H332" i="17"/>
  <c r="I332" i="17"/>
  <c r="J332" i="17"/>
  <c r="K332" i="17"/>
  <c r="L332" i="17"/>
  <c r="G333" i="17"/>
  <c r="H333" i="17"/>
  <c r="I333" i="17"/>
  <c r="J333" i="17"/>
  <c r="K333" i="17"/>
  <c r="L333" i="17"/>
  <c r="G334" i="17"/>
  <c r="H334" i="17"/>
  <c r="I334" i="17"/>
  <c r="J334" i="17"/>
  <c r="K334" i="17"/>
  <c r="L334" i="17"/>
  <c r="G335" i="17"/>
  <c r="H335" i="17"/>
  <c r="I335" i="17"/>
  <c r="J335" i="17"/>
  <c r="K335" i="17"/>
  <c r="L335" i="17"/>
  <c r="G336" i="17"/>
  <c r="H336" i="17"/>
  <c r="I336" i="17"/>
  <c r="J336" i="17"/>
  <c r="K336" i="17"/>
  <c r="L336" i="17"/>
  <c r="G337" i="17"/>
  <c r="H337" i="17"/>
  <c r="I337" i="17"/>
  <c r="J337" i="17"/>
  <c r="K337" i="17"/>
  <c r="L337" i="17"/>
  <c r="G338" i="17"/>
  <c r="H338" i="17"/>
  <c r="I338" i="17"/>
  <c r="J338" i="17"/>
  <c r="K338" i="17"/>
  <c r="L338" i="17"/>
  <c r="G339" i="17"/>
  <c r="H339" i="17"/>
  <c r="I339" i="17"/>
  <c r="J339" i="17"/>
  <c r="K339" i="17"/>
  <c r="L339" i="17"/>
  <c r="G340" i="17"/>
  <c r="H340" i="17"/>
  <c r="I340" i="17"/>
  <c r="J340" i="17"/>
  <c r="K340" i="17"/>
  <c r="L340" i="17"/>
  <c r="G341" i="17"/>
  <c r="H341" i="17"/>
  <c r="I341" i="17"/>
  <c r="J341" i="17"/>
  <c r="K341" i="17"/>
  <c r="L341" i="17"/>
  <c r="G342" i="17"/>
  <c r="H342" i="17"/>
  <c r="I342" i="17"/>
  <c r="J342" i="17"/>
  <c r="K342" i="17"/>
  <c r="L342" i="17"/>
  <c r="G343" i="17"/>
  <c r="H343" i="17"/>
  <c r="I343" i="17"/>
  <c r="J343" i="17"/>
  <c r="K343" i="17"/>
  <c r="L343" i="17"/>
  <c r="G344" i="17"/>
  <c r="H344" i="17"/>
  <c r="I344" i="17"/>
  <c r="J344" i="17"/>
  <c r="K344" i="17"/>
  <c r="L344" i="17"/>
  <c r="G345" i="17"/>
  <c r="H345" i="17"/>
  <c r="I345" i="17"/>
  <c r="J345" i="17"/>
  <c r="K345" i="17"/>
  <c r="L345" i="17"/>
  <c r="G346" i="17"/>
  <c r="H346" i="17"/>
  <c r="I346" i="17"/>
  <c r="J346" i="17"/>
  <c r="K346" i="17"/>
  <c r="L346" i="17"/>
  <c r="G347" i="17"/>
  <c r="H347" i="17"/>
  <c r="I347" i="17"/>
  <c r="J347" i="17"/>
  <c r="K347" i="17"/>
  <c r="L347" i="17"/>
  <c r="G348" i="17"/>
  <c r="H348" i="17"/>
  <c r="I348" i="17"/>
  <c r="J348" i="17"/>
  <c r="K348" i="17"/>
  <c r="L348" i="17"/>
  <c r="G349" i="17"/>
  <c r="H349" i="17"/>
  <c r="I349" i="17"/>
  <c r="J349" i="17"/>
  <c r="K349" i="17"/>
  <c r="L349" i="17"/>
  <c r="G350" i="17"/>
  <c r="H350" i="17"/>
  <c r="I350" i="17"/>
  <c r="J350" i="17"/>
  <c r="K350" i="17"/>
  <c r="L350" i="17"/>
  <c r="G351" i="17"/>
  <c r="H351" i="17"/>
  <c r="I351" i="17"/>
  <c r="J351" i="17"/>
  <c r="K351" i="17"/>
  <c r="L351" i="17"/>
  <c r="G352" i="17"/>
  <c r="H352" i="17"/>
  <c r="I352" i="17"/>
  <c r="J352" i="17"/>
  <c r="K352" i="17"/>
  <c r="L352" i="17"/>
  <c r="G353" i="17"/>
  <c r="H353" i="17"/>
  <c r="I353" i="17"/>
  <c r="J353" i="17"/>
  <c r="K353" i="17"/>
  <c r="L353" i="17"/>
  <c r="G354" i="17"/>
  <c r="H354" i="17"/>
  <c r="I354" i="17"/>
  <c r="J354" i="17"/>
  <c r="K354" i="17"/>
  <c r="L354" i="17"/>
  <c r="G355" i="17"/>
  <c r="H355" i="17"/>
  <c r="I355" i="17"/>
  <c r="J355" i="17"/>
  <c r="K355" i="17"/>
  <c r="L355" i="17"/>
  <c r="G356" i="17"/>
  <c r="H356" i="17"/>
  <c r="I356" i="17"/>
  <c r="J356" i="17"/>
  <c r="K356" i="17"/>
  <c r="L356" i="17"/>
  <c r="G357" i="17"/>
  <c r="H357" i="17"/>
  <c r="I357" i="17"/>
  <c r="J357" i="17"/>
  <c r="K357" i="17"/>
  <c r="L357" i="17"/>
  <c r="G358" i="17"/>
  <c r="H358" i="17"/>
  <c r="I358" i="17"/>
  <c r="J358" i="17"/>
  <c r="K358" i="17"/>
  <c r="L358" i="17"/>
  <c r="G359" i="17"/>
  <c r="H359" i="17"/>
  <c r="I359" i="17"/>
  <c r="J359" i="17"/>
  <c r="K359" i="17"/>
  <c r="L359" i="17"/>
  <c r="G360" i="17"/>
  <c r="H360" i="17"/>
  <c r="I360" i="17"/>
  <c r="J360" i="17"/>
  <c r="K360" i="17"/>
  <c r="L360" i="17"/>
  <c r="G361" i="17"/>
  <c r="H361" i="17"/>
  <c r="I361" i="17"/>
  <c r="J361" i="17"/>
  <c r="K361" i="17"/>
  <c r="L361" i="17"/>
  <c r="G362" i="17"/>
  <c r="H362" i="17"/>
  <c r="I362" i="17"/>
  <c r="J362" i="17"/>
  <c r="K362" i="17"/>
  <c r="L362" i="17"/>
  <c r="G363" i="17"/>
  <c r="H363" i="17"/>
  <c r="I363" i="17"/>
  <c r="J363" i="17"/>
  <c r="K363" i="17"/>
  <c r="L363" i="17"/>
  <c r="G364" i="17"/>
  <c r="H364" i="17"/>
  <c r="I364" i="17"/>
  <c r="J364" i="17"/>
  <c r="K364" i="17"/>
  <c r="L364" i="17"/>
  <c r="G365" i="17"/>
  <c r="H365" i="17"/>
  <c r="I365" i="17"/>
  <c r="J365" i="17"/>
  <c r="K365" i="17"/>
  <c r="L365" i="17"/>
  <c r="G366" i="17"/>
  <c r="H366" i="17"/>
  <c r="I366" i="17"/>
  <c r="J366" i="17"/>
  <c r="K366" i="17"/>
  <c r="L366" i="17"/>
  <c r="G367" i="17"/>
  <c r="H367" i="17"/>
  <c r="I367" i="17"/>
  <c r="J367" i="17"/>
  <c r="K367" i="17"/>
  <c r="L367" i="17"/>
  <c r="G368" i="17"/>
  <c r="H368" i="17"/>
  <c r="I368" i="17"/>
  <c r="J368" i="17"/>
  <c r="K368" i="17"/>
  <c r="L368" i="17"/>
  <c r="G369" i="17"/>
  <c r="H369" i="17"/>
  <c r="I369" i="17"/>
  <c r="J369" i="17"/>
  <c r="K369" i="17"/>
  <c r="L369" i="17"/>
  <c r="G370" i="17"/>
  <c r="H370" i="17"/>
  <c r="I370" i="17"/>
  <c r="J370" i="17"/>
  <c r="K370" i="17"/>
  <c r="L370" i="17"/>
  <c r="G371" i="17"/>
  <c r="H371" i="17"/>
  <c r="I371" i="17"/>
  <c r="J371" i="17"/>
  <c r="K371" i="17"/>
  <c r="L371" i="17"/>
  <c r="G372" i="17"/>
  <c r="H372" i="17"/>
  <c r="I372" i="17"/>
  <c r="J372" i="17"/>
  <c r="K372" i="17"/>
  <c r="L372" i="17"/>
  <c r="G373" i="17"/>
  <c r="H373" i="17"/>
  <c r="I373" i="17"/>
  <c r="J373" i="17"/>
  <c r="K373" i="17"/>
  <c r="L373" i="17"/>
  <c r="G374" i="17"/>
  <c r="H374" i="17"/>
  <c r="I374" i="17"/>
  <c r="J374" i="17"/>
  <c r="K374" i="17"/>
  <c r="L374" i="17"/>
  <c r="G375" i="17"/>
  <c r="H375" i="17"/>
  <c r="I375" i="17"/>
  <c r="J375" i="17"/>
  <c r="K375" i="17"/>
  <c r="L375" i="17"/>
  <c r="G376" i="17"/>
  <c r="H376" i="17"/>
  <c r="I376" i="17"/>
  <c r="J376" i="17"/>
  <c r="K376" i="17"/>
  <c r="L376" i="17"/>
  <c r="G377" i="17"/>
  <c r="H377" i="17"/>
  <c r="I377" i="17"/>
  <c r="J377" i="17"/>
  <c r="K377" i="17"/>
  <c r="L377" i="17"/>
  <c r="G378" i="17"/>
  <c r="H378" i="17"/>
  <c r="I378" i="17"/>
  <c r="J378" i="17"/>
  <c r="K378" i="17"/>
  <c r="L378" i="17"/>
  <c r="G379" i="17"/>
  <c r="H379" i="17"/>
  <c r="I379" i="17"/>
  <c r="J379" i="17"/>
  <c r="K379" i="17"/>
  <c r="L379" i="17"/>
  <c r="G380" i="17"/>
  <c r="H380" i="17"/>
  <c r="I380" i="17"/>
  <c r="J380" i="17"/>
  <c r="K380" i="17"/>
  <c r="L380" i="17"/>
  <c r="G381" i="17"/>
  <c r="H381" i="17"/>
  <c r="I381" i="17"/>
  <c r="J381" i="17"/>
  <c r="K381" i="17"/>
  <c r="L381" i="17"/>
  <c r="G382" i="17"/>
  <c r="H382" i="17"/>
  <c r="I382" i="17"/>
  <c r="J382" i="17"/>
  <c r="K382" i="17"/>
  <c r="L382" i="17"/>
  <c r="G383" i="17"/>
  <c r="H383" i="17"/>
  <c r="I383" i="17"/>
  <c r="J383" i="17"/>
  <c r="K383" i="17"/>
  <c r="L383" i="17"/>
  <c r="G384" i="17"/>
  <c r="H384" i="17"/>
  <c r="I384" i="17"/>
  <c r="J384" i="17"/>
  <c r="K384" i="17"/>
  <c r="L384" i="17"/>
  <c r="G385" i="17"/>
  <c r="H385" i="17"/>
  <c r="I385" i="17"/>
  <c r="J385" i="17"/>
  <c r="K385" i="17"/>
  <c r="L385" i="17"/>
  <c r="G386" i="17"/>
  <c r="H386" i="17"/>
  <c r="I386" i="17"/>
  <c r="J386" i="17"/>
  <c r="K386" i="17"/>
  <c r="L386" i="17"/>
  <c r="G387" i="17"/>
  <c r="H387" i="17"/>
  <c r="I387" i="17"/>
  <c r="J387" i="17"/>
  <c r="K387" i="17"/>
  <c r="L387" i="17"/>
  <c r="G388" i="17"/>
  <c r="H388" i="17"/>
  <c r="I388" i="17"/>
  <c r="J388" i="17"/>
  <c r="K388" i="17"/>
  <c r="L388" i="17"/>
  <c r="G389" i="17"/>
  <c r="H389" i="17"/>
  <c r="I389" i="17"/>
  <c r="J389" i="17"/>
  <c r="K389" i="17"/>
  <c r="L389" i="17"/>
  <c r="G390" i="17"/>
  <c r="H390" i="17"/>
  <c r="I390" i="17"/>
  <c r="J390" i="17"/>
  <c r="K390" i="17"/>
  <c r="L390" i="17"/>
  <c r="G391" i="17"/>
  <c r="H391" i="17"/>
  <c r="I391" i="17"/>
  <c r="J391" i="17"/>
  <c r="K391" i="17"/>
  <c r="L391" i="17"/>
  <c r="G392" i="17"/>
  <c r="H392" i="17"/>
  <c r="I392" i="17"/>
  <c r="J392" i="17"/>
  <c r="K392" i="17"/>
  <c r="L392" i="17"/>
  <c r="G393" i="17"/>
  <c r="H393" i="17"/>
  <c r="I393" i="17"/>
  <c r="J393" i="17"/>
  <c r="K393" i="17"/>
  <c r="L393" i="17"/>
  <c r="G394" i="17"/>
  <c r="H394" i="17"/>
  <c r="I394" i="17"/>
  <c r="J394" i="17"/>
  <c r="K394" i="17"/>
  <c r="L394" i="17"/>
  <c r="G395" i="17"/>
  <c r="H395" i="17"/>
  <c r="I395" i="17"/>
  <c r="J395" i="17"/>
  <c r="K395" i="17"/>
  <c r="L395" i="17"/>
  <c r="G396" i="17"/>
  <c r="H396" i="17"/>
  <c r="I396" i="17"/>
  <c r="J396" i="17"/>
  <c r="K396" i="17"/>
  <c r="L396" i="17"/>
  <c r="G397" i="17"/>
  <c r="H397" i="17"/>
  <c r="I397" i="17"/>
  <c r="J397" i="17"/>
  <c r="K397" i="17"/>
  <c r="L397" i="17"/>
  <c r="G398" i="17"/>
  <c r="H398" i="17"/>
  <c r="I398" i="17"/>
  <c r="J398" i="17"/>
  <c r="K398" i="17"/>
  <c r="L398" i="17"/>
  <c r="G399" i="17"/>
  <c r="H399" i="17"/>
  <c r="I399" i="17"/>
  <c r="J399" i="17"/>
  <c r="K399" i="17"/>
  <c r="L399" i="17"/>
  <c r="G400" i="17"/>
  <c r="H400" i="17"/>
  <c r="I400" i="17"/>
  <c r="J400" i="17"/>
  <c r="K400" i="17"/>
  <c r="L400" i="17"/>
  <c r="G401" i="17"/>
  <c r="H401" i="17"/>
  <c r="I401" i="17"/>
  <c r="J401" i="17"/>
  <c r="K401" i="17"/>
  <c r="L401" i="17"/>
  <c r="G402" i="17"/>
  <c r="H402" i="17"/>
  <c r="I402" i="17"/>
  <c r="J402" i="17"/>
  <c r="K402" i="17"/>
  <c r="L402" i="17"/>
  <c r="G403" i="17"/>
  <c r="H403" i="17"/>
  <c r="I403" i="17"/>
  <c r="J403" i="17"/>
  <c r="K403" i="17"/>
  <c r="L403" i="17"/>
  <c r="G404" i="17"/>
  <c r="H404" i="17"/>
  <c r="I404" i="17"/>
  <c r="J404" i="17"/>
  <c r="K404" i="17"/>
  <c r="L404" i="17"/>
  <c r="G405" i="17"/>
  <c r="H405" i="17"/>
  <c r="I405" i="17"/>
  <c r="J405" i="17"/>
  <c r="K405" i="17"/>
  <c r="L405" i="17"/>
  <c r="G406" i="17"/>
  <c r="H406" i="17"/>
  <c r="I406" i="17"/>
  <c r="J406" i="17"/>
  <c r="K406" i="17"/>
  <c r="L406" i="17"/>
  <c r="G407" i="17"/>
  <c r="H407" i="17"/>
  <c r="I407" i="17"/>
  <c r="J407" i="17"/>
  <c r="K407" i="17"/>
  <c r="L407" i="17"/>
  <c r="G408" i="17"/>
  <c r="H408" i="17"/>
  <c r="I408" i="17"/>
  <c r="J408" i="17"/>
  <c r="K408" i="17"/>
  <c r="L408" i="17"/>
  <c r="G409" i="17"/>
  <c r="H409" i="17"/>
  <c r="I409" i="17"/>
  <c r="J409" i="17"/>
  <c r="K409" i="17"/>
  <c r="L409" i="17"/>
  <c r="G410" i="17"/>
  <c r="H410" i="17"/>
  <c r="I410" i="17"/>
  <c r="J410" i="17"/>
  <c r="K410" i="17"/>
  <c r="L410" i="17"/>
  <c r="G411" i="17"/>
  <c r="H411" i="17"/>
  <c r="I411" i="17"/>
  <c r="J411" i="17"/>
  <c r="K411" i="17"/>
  <c r="L411" i="17"/>
  <c r="G412" i="17"/>
  <c r="H412" i="17"/>
  <c r="I412" i="17"/>
  <c r="J412" i="17"/>
  <c r="K412" i="17"/>
  <c r="L412" i="17"/>
  <c r="G413" i="17"/>
  <c r="H413" i="17"/>
  <c r="I413" i="17"/>
  <c r="J413" i="17"/>
  <c r="K413" i="17"/>
  <c r="L413" i="17"/>
  <c r="G414" i="17"/>
  <c r="H414" i="17"/>
  <c r="I414" i="17"/>
  <c r="J414" i="17"/>
  <c r="K414" i="17"/>
  <c r="L414" i="17"/>
  <c r="G415" i="17"/>
  <c r="H415" i="17"/>
  <c r="I415" i="17"/>
  <c r="J415" i="17"/>
  <c r="K415" i="17"/>
  <c r="L415" i="17"/>
  <c r="G416" i="17"/>
  <c r="H416" i="17"/>
  <c r="I416" i="17"/>
  <c r="J416" i="17"/>
  <c r="K416" i="17"/>
  <c r="L416" i="17"/>
  <c r="G417" i="17"/>
  <c r="H417" i="17"/>
  <c r="I417" i="17"/>
  <c r="J417" i="17"/>
  <c r="K417" i="17"/>
  <c r="L417" i="17"/>
  <c r="G418" i="17"/>
  <c r="H418" i="17"/>
  <c r="I418" i="17"/>
  <c r="J418" i="17"/>
  <c r="K418" i="17"/>
  <c r="L418" i="17"/>
  <c r="G419" i="17"/>
  <c r="H419" i="17"/>
  <c r="I419" i="17"/>
  <c r="J419" i="17"/>
  <c r="K419" i="17"/>
  <c r="L419" i="17"/>
  <c r="G420" i="17"/>
  <c r="H420" i="17"/>
  <c r="I420" i="17"/>
  <c r="J420" i="17"/>
  <c r="K420" i="17"/>
  <c r="L420" i="17"/>
  <c r="G421" i="17"/>
  <c r="H421" i="17"/>
  <c r="I421" i="17"/>
  <c r="J421" i="17"/>
  <c r="K421" i="17"/>
  <c r="L421" i="17"/>
  <c r="G422" i="17"/>
  <c r="H422" i="17"/>
  <c r="I422" i="17"/>
  <c r="J422" i="17"/>
  <c r="K422" i="17"/>
  <c r="L422" i="17"/>
  <c r="G423" i="17"/>
  <c r="H423" i="17"/>
  <c r="I423" i="17"/>
  <c r="J423" i="17"/>
  <c r="K423" i="17"/>
  <c r="L423" i="17"/>
  <c r="G424" i="17"/>
  <c r="H424" i="17"/>
  <c r="I424" i="17"/>
  <c r="J424" i="17"/>
  <c r="K424" i="17"/>
  <c r="L424" i="17"/>
  <c r="G425" i="17"/>
  <c r="H425" i="17"/>
  <c r="I425" i="17"/>
  <c r="J425" i="17"/>
  <c r="K425" i="17"/>
  <c r="L425" i="17"/>
  <c r="G426" i="17"/>
  <c r="H426" i="17"/>
  <c r="I426" i="17"/>
  <c r="J426" i="17"/>
  <c r="K426" i="17"/>
  <c r="L426" i="17"/>
  <c r="G427" i="17"/>
  <c r="H427" i="17"/>
  <c r="I427" i="17"/>
  <c r="J427" i="17"/>
  <c r="K427" i="17"/>
  <c r="L427" i="17"/>
  <c r="G428" i="17"/>
  <c r="H428" i="17"/>
  <c r="I428" i="17"/>
  <c r="J428" i="17"/>
  <c r="K428" i="17"/>
  <c r="L428" i="17"/>
  <c r="G429" i="17"/>
  <c r="H429" i="17"/>
  <c r="I429" i="17"/>
  <c r="J429" i="17"/>
  <c r="K429" i="17"/>
  <c r="L429" i="17"/>
  <c r="G430" i="17"/>
  <c r="H430" i="17"/>
  <c r="I430" i="17"/>
  <c r="J430" i="17"/>
  <c r="K430" i="17"/>
  <c r="L430" i="17"/>
  <c r="G431" i="17"/>
  <c r="H431" i="17"/>
  <c r="I431" i="17"/>
  <c r="J431" i="17"/>
  <c r="K431" i="17"/>
  <c r="L431" i="17"/>
  <c r="G432" i="17"/>
  <c r="H432" i="17"/>
  <c r="I432" i="17"/>
  <c r="J432" i="17"/>
  <c r="K432" i="17"/>
  <c r="L432" i="17"/>
  <c r="G433" i="17"/>
  <c r="H433" i="17"/>
  <c r="I433" i="17"/>
  <c r="J433" i="17"/>
  <c r="K433" i="17"/>
  <c r="L433" i="17"/>
  <c r="G434" i="17"/>
  <c r="H434" i="17"/>
  <c r="I434" i="17"/>
  <c r="J434" i="17"/>
  <c r="K434" i="17"/>
  <c r="L434" i="17"/>
  <c r="G435" i="17"/>
  <c r="H435" i="17"/>
  <c r="I435" i="17"/>
  <c r="J435" i="17"/>
  <c r="K435" i="17"/>
  <c r="L435" i="17"/>
  <c r="G436" i="17"/>
  <c r="H436" i="17"/>
  <c r="I436" i="17"/>
  <c r="J436" i="17"/>
  <c r="K436" i="17"/>
  <c r="L436" i="17"/>
  <c r="G437" i="17"/>
  <c r="H437" i="17"/>
  <c r="I437" i="17"/>
  <c r="J437" i="17"/>
  <c r="K437" i="17"/>
  <c r="L437" i="17"/>
  <c r="G438" i="17"/>
  <c r="H438" i="17"/>
  <c r="I438" i="17"/>
  <c r="J438" i="17"/>
  <c r="K438" i="17"/>
  <c r="L438" i="17"/>
  <c r="G439" i="17"/>
  <c r="H439" i="17"/>
  <c r="I439" i="17"/>
  <c r="J439" i="17"/>
  <c r="K439" i="17"/>
  <c r="L439" i="17"/>
  <c r="G440" i="17"/>
  <c r="H440" i="17"/>
  <c r="I440" i="17"/>
  <c r="J440" i="17"/>
  <c r="K440" i="17"/>
  <c r="L440" i="17"/>
  <c r="G441" i="17"/>
  <c r="H441" i="17"/>
  <c r="I441" i="17"/>
  <c r="J441" i="17"/>
  <c r="K441" i="17"/>
  <c r="L441" i="17"/>
  <c r="G442" i="17"/>
  <c r="H442" i="17"/>
  <c r="I442" i="17"/>
  <c r="J442" i="17"/>
  <c r="K442" i="17"/>
  <c r="L442" i="17"/>
  <c r="G443" i="17"/>
  <c r="H443" i="17"/>
  <c r="I443" i="17"/>
  <c r="J443" i="17"/>
  <c r="K443" i="17"/>
  <c r="L443" i="17"/>
  <c r="G444" i="17"/>
  <c r="H444" i="17"/>
  <c r="I444" i="17"/>
  <c r="J444" i="17"/>
  <c r="K444" i="17"/>
  <c r="L444" i="17"/>
  <c r="G445" i="17"/>
  <c r="H445" i="17"/>
  <c r="I445" i="17"/>
  <c r="J445" i="17"/>
  <c r="K445" i="17"/>
  <c r="L445" i="17"/>
  <c r="G446" i="17"/>
  <c r="H446" i="17"/>
  <c r="I446" i="17"/>
  <c r="J446" i="17"/>
  <c r="K446" i="17"/>
  <c r="L446" i="17"/>
  <c r="G447" i="17"/>
  <c r="H447" i="17"/>
  <c r="I447" i="17"/>
  <c r="J447" i="17"/>
  <c r="K447" i="17"/>
  <c r="L447" i="17"/>
  <c r="G448" i="17"/>
  <c r="H448" i="17"/>
  <c r="I448" i="17"/>
  <c r="J448" i="17"/>
  <c r="K448" i="17"/>
  <c r="L448" i="17"/>
  <c r="G449" i="17"/>
  <c r="H449" i="17"/>
  <c r="I449" i="17"/>
  <c r="J449" i="17"/>
  <c r="K449" i="17"/>
  <c r="L449" i="17"/>
  <c r="G450" i="17"/>
  <c r="H450" i="17"/>
  <c r="I450" i="17"/>
  <c r="J450" i="17"/>
  <c r="K450" i="17"/>
  <c r="L450" i="17"/>
  <c r="G451" i="17"/>
  <c r="H451" i="17"/>
  <c r="I451" i="17"/>
  <c r="J451" i="17"/>
  <c r="K451" i="17"/>
  <c r="L451" i="17"/>
  <c r="G452" i="17"/>
  <c r="H452" i="17"/>
  <c r="I452" i="17"/>
  <c r="J452" i="17"/>
  <c r="K452" i="17"/>
  <c r="L452" i="17"/>
  <c r="G453" i="17"/>
  <c r="H453" i="17"/>
  <c r="I453" i="17"/>
  <c r="J453" i="17"/>
  <c r="K453" i="17"/>
  <c r="L453" i="17"/>
  <c r="G454" i="17"/>
  <c r="H454" i="17"/>
  <c r="I454" i="17"/>
  <c r="J454" i="17"/>
  <c r="K454" i="17"/>
  <c r="L454" i="17"/>
  <c r="G455" i="17"/>
  <c r="H455" i="17"/>
  <c r="I455" i="17"/>
  <c r="J455" i="17"/>
  <c r="K455" i="17"/>
  <c r="L455" i="17"/>
  <c r="G456" i="17"/>
  <c r="H456" i="17"/>
  <c r="I456" i="17"/>
  <c r="J456" i="17"/>
  <c r="K456" i="17"/>
  <c r="L456" i="17"/>
  <c r="G457" i="17"/>
  <c r="H457" i="17"/>
  <c r="I457" i="17"/>
  <c r="J457" i="17"/>
  <c r="K457" i="17"/>
  <c r="L457" i="17"/>
  <c r="G458" i="17"/>
  <c r="H458" i="17"/>
  <c r="I458" i="17"/>
  <c r="J458" i="17"/>
  <c r="K458" i="17"/>
  <c r="L458" i="17"/>
  <c r="G459" i="17"/>
  <c r="H459" i="17"/>
  <c r="I459" i="17"/>
  <c r="J459" i="17"/>
  <c r="K459" i="17"/>
  <c r="L459" i="17"/>
  <c r="G460" i="17"/>
  <c r="H460" i="17"/>
  <c r="I460" i="17"/>
  <c r="J460" i="17"/>
  <c r="K460" i="17"/>
  <c r="L460" i="17"/>
  <c r="G461" i="17"/>
  <c r="H461" i="17"/>
  <c r="I461" i="17"/>
  <c r="J461" i="17"/>
  <c r="K461" i="17"/>
  <c r="L461" i="17"/>
  <c r="G462" i="17"/>
  <c r="H462" i="17"/>
  <c r="I462" i="17"/>
  <c r="J462" i="17"/>
  <c r="K462" i="17"/>
  <c r="L462" i="17"/>
  <c r="G463" i="17"/>
  <c r="H463" i="17"/>
  <c r="I463" i="17"/>
  <c r="J463" i="17"/>
  <c r="K463" i="17"/>
  <c r="L463" i="17"/>
  <c r="G464" i="17"/>
  <c r="H464" i="17"/>
  <c r="I464" i="17"/>
  <c r="J464" i="17"/>
  <c r="K464" i="17"/>
  <c r="L464" i="17"/>
  <c r="G465" i="17"/>
  <c r="H465" i="17"/>
  <c r="I465" i="17"/>
  <c r="J465" i="17"/>
  <c r="K465" i="17"/>
  <c r="L465" i="17"/>
  <c r="G466" i="17"/>
  <c r="H466" i="17"/>
  <c r="I466" i="17"/>
  <c r="J466" i="17"/>
  <c r="K466" i="17"/>
  <c r="L466" i="17"/>
  <c r="G467" i="17"/>
  <c r="H467" i="17"/>
  <c r="I467" i="17"/>
  <c r="J467" i="17"/>
  <c r="K467" i="17"/>
  <c r="L467" i="17"/>
  <c r="G468" i="17"/>
  <c r="H468" i="17"/>
  <c r="I468" i="17"/>
  <c r="J468" i="17"/>
  <c r="K468" i="17"/>
  <c r="L468" i="17"/>
  <c r="G469" i="17"/>
  <c r="H469" i="17"/>
  <c r="I469" i="17"/>
  <c r="J469" i="17"/>
  <c r="K469" i="17"/>
  <c r="L469" i="17"/>
  <c r="G470" i="17"/>
  <c r="H470" i="17"/>
  <c r="I470" i="17"/>
  <c r="J470" i="17"/>
  <c r="K470" i="17"/>
  <c r="L470" i="17"/>
  <c r="G471" i="17"/>
  <c r="H471" i="17"/>
  <c r="I471" i="17"/>
  <c r="J471" i="17"/>
  <c r="K471" i="17"/>
  <c r="L471" i="17"/>
  <c r="G472" i="17"/>
  <c r="H472" i="17"/>
  <c r="I472" i="17"/>
  <c r="J472" i="17"/>
  <c r="K472" i="17"/>
  <c r="L472" i="17"/>
  <c r="G473" i="17"/>
  <c r="H473" i="17"/>
  <c r="I473" i="17"/>
  <c r="J473" i="17"/>
  <c r="K473" i="17"/>
  <c r="L473" i="17"/>
  <c r="G474" i="17"/>
  <c r="H474" i="17"/>
  <c r="I474" i="17"/>
  <c r="J474" i="17"/>
  <c r="K474" i="17"/>
  <c r="L474" i="17"/>
  <c r="G475" i="17"/>
  <c r="H475" i="17"/>
  <c r="I475" i="17"/>
  <c r="J475" i="17"/>
  <c r="K475" i="17"/>
  <c r="L475" i="17"/>
  <c r="G476" i="17"/>
  <c r="H476" i="17"/>
  <c r="I476" i="17"/>
  <c r="J476" i="17"/>
  <c r="K476" i="17"/>
  <c r="L476" i="17"/>
  <c r="G477" i="17"/>
  <c r="H477" i="17"/>
  <c r="I477" i="17"/>
  <c r="J477" i="17"/>
  <c r="K477" i="17"/>
  <c r="L477" i="17"/>
  <c r="G478" i="17"/>
  <c r="H478" i="17"/>
  <c r="I478" i="17"/>
  <c r="J478" i="17"/>
  <c r="K478" i="17"/>
  <c r="L478" i="17"/>
  <c r="G479" i="17"/>
  <c r="H479" i="17"/>
  <c r="I479" i="17"/>
  <c r="J479" i="17"/>
  <c r="K479" i="17"/>
  <c r="L479" i="17"/>
  <c r="G480" i="17"/>
  <c r="H480" i="17"/>
  <c r="I480" i="17"/>
  <c r="J480" i="17"/>
  <c r="K480" i="17"/>
  <c r="L480" i="17"/>
  <c r="G481" i="17"/>
  <c r="H481" i="17"/>
  <c r="I481" i="17"/>
  <c r="J481" i="17"/>
  <c r="K481" i="17"/>
  <c r="L481" i="17"/>
  <c r="G482" i="17"/>
  <c r="H482" i="17"/>
  <c r="I482" i="17"/>
  <c r="J482" i="17"/>
  <c r="K482" i="17"/>
  <c r="L482" i="17"/>
  <c r="G483" i="17"/>
  <c r="H483" i="17"/>
  <c r="I483" i="17"/>
  <c r="J483" i="17"/>
  <c r="K483" i="17"/>
  <c r="L483" i="17"/>
  <c r="G484" i="17"/>
  <c r="H484" i="17"/>
  <c r="I484" i="17"/>
  <c r="J484" i="17"/>
  <c r="K484" i="17"/>
  <c r="L484" i="17"/>
  <c r="G485" i="17"/>
  <c r="H485" i="17"/>
  <c r="I485" i="17"/>
  <c r="J485" i="17"/>
  <c r="K485" i="17"/>
  <c r="L485" i="17"/>
  <c r="G486" i="17"/>
  <c r="H486" i="17"/>
  <c r="I486" i="17"/>
  <c r="J486" i="17"/>
  <c r="K486" i="17"/>
  <c r="L486" i="17"/>
  <c r="G487" i="17"/>
  <c r="H487" i="17"/>
  <c r="I487" i="17"/>
  <c r="J487" i="17"/>
  <c r="K487" i="17"/>
  <c r="L487" i="17"/>
  <c r="G488" i="17"/>
  <c r="H488" i="17"/>
  <c r="I488" i="17"/>
  <c r="J488" i="17"/>
  <c r="K488" i="17"/>
  <c r="L488" i="17"/>
  <c r="G489" i="17"/>
  <c r="H489" i="17"/>
  <c r="I489" i="17"/>
  <c r="J489" i="17"/>
  <c r="K489" i="17"/>
  <c r="L489" i="17"/>
  <c r="G490" i="17"/>
  <c r="H490" i="17"/>
  <c r="I490" i="17"/>
  <c r="J490" i="17"/>
  <c r="K490" i="17"/>
  <c r="L490" i="17"/>
  <c r="G491" i="17"/>
  <c r="H491" i="17"/>
  <c r="I491" i="17"/>
  <c r="J491" i="17"/>
  <c r="K491" i="17"/>
  <c r="L491" i="17"/>
  <c r="G492" i="17"/>
  <c r="H492" i="17"/>
  <c r="I492" i="17"/>
  <c r="J492" i="17"/>
  <c r="K492" i="17"/>
  <c r="L492" i="17"/>
  <c r="G493" i="17"/>
  <c r="H493" i="17"/>
  <c r="I493" i="17"/>
  <c r="J493" i="17"/>
  <c r="K493" i="17"/>
  <c r="L493" i="17"/>
  <c r="G494" i="17"/>
  <c r="H494" i="17"/>
  <c r="I494" i="17"/>
  <c r="J494" i="17"/>
  <c r="K494" i="17"/>
  <c r="L494" i="17"/>
  <c r="G495" i="17"/>
  <c r="H495" i="17"/>
  <c r="I495" i="17"/>
  <c r="J495" i="17"/>
  <c r="K495" i="17"/>
  <c r="L495" i="17"/>
  <c r="G496" i="17"/>
  <c r="H496" i="17"/>
  <c r="I496" i="17"/>
  <c r="J496" i="17"/>
  <c r="K496" i="17"/>
  <c r="L496" i="17"/>
  <c r="G497" i="17"/>
  <c r="H497" i="17"/>
  <c r="I497" i="17"/>
  <c r="J497" i="17"/>
  <c r="K497" i="17"/>
  <c r="L497" i="17"/>
  <c r="G498" i="17"/>
  <c r="H498" i="17"/>
  <c r="I498" i="17"/>
  <c r="J498" i="17"/>
  <c r="K498" i="17"/>
  <c r="L498" i="17"/>
  <c r="G499" i="17"/>
  <c r="H499" i="17"/>
  <c r="I499" i="17"/>
  <c r="J499" i="17"/>
  <c r="K499" i="17"/>
  <c r="L499" i="17"/>
  <c r="G500" i="17"/>
  <c r="H500" i="17"/>
  <c r="I500" i="17"/>
  <c r="J500" i="17"/>
  <c r="K500" i="17"/>
  <c r="L500" i="17"/>
  <c r="G501" i="17"/>
  <c r="H501" i="17"/>
  <c r="I501" i="17"/>
  <c r="J501" i="17"/>
  <c r="K501" i="17"/>
  <c r="L501" i="17"/>
  <c r="G502" i="17"/>
  <c r="H502" i="17"/>
  <c r="I502" i="17"/>
  <c r="J502" i="17"/>
  <c r="K502" i="17"/>
  <c r="L502" i="17"/>
  <c r="G503" i="17"/>
  <c r="H503" i="17"/>
  <c r="I503" i="17"/>
  <c r="J503" i="17"/>
  <c r="K503" i="17"/>
  <c r="L503" i="17"/>
  <c r="G504" i="17"/>
  <c r="H504" i="17"/>
  <c r="I504" i="17"/>
  <c r="J504" i="17"/>
  <c r="K504" i="17"/>
  <c r="L504" i="17"/>
  <c r="G505" i="17"/>
  <c r="H505" i="17"/>
  <c r="I505" i="17"/>
  <c r="J505" i="17"/>
  <c r="K505" i="17"/>
  <c r="L505" i="17"/>
  <c r="G506" i="17"/>
  <c r="H506" i="17"/>
  <c r="I506" i="17"/>
  <c r="J506" i="17"/>
  <c r="K506" i="17"/>
  <c r="L506" i="17"/>
  <c r="G507" i="17"/>
  <c r="H507" i="17"/>
  <c r="I507" i="17"/>
  <c r="J507" i="17"/>
  <c r="K507" i="17"/>
  <c r="L507" i="17"/>
  <c r="G508" i="17"/>
  <c r="H508" i="17"/>
  <c r="I508" i="17"/>
  <c r="J508" i="17"/>
  <c r="K508" i="17"/>
  <c r="L508" i="17"/>
  <c r="G509" i="17"/>
  <c r="H509" i="17"/>
  <c r="I509" i="17"/>
  <c r="J509" i="17"/>
  <c r="K509" i="17"/>
  <c r="L509" i="17"/>
  <c r="G510" i="17"/>
  <c r="H510" i="17"/>
  <c r="I510" i="17"/>
  <c r="J510" i="17"/>
  <c r="K510" i="17"/>
  <c r="L510" i="17"/>
  <c r="G511" i="17"/>
  <c r="H511" i="17"/>
  <c r="I511" i="17"/>
  <c r="J511" i="17"/>
  <c r="K511" i="17"/>
  <c r="L511" i="17"/>
  <c r="G512" i="17"/>
  <c r="H512" i="17"/>
  <c r="I512" i="17"/>
  <c r="J512" i="17"/>
  <c r="K512" i="17"/>
  <c r="L512" i="17"/>
  <c r="G513" i="17"/>
  <c r="H513" i="17"/>
  <c r="I513" i="17"/>
  <c r="J513" i="17"/>
  <c r="K513" i="17"/>
  <c r="L513" i="17"/>
  <c r="G514" i="17"/>
  <c r="H514" i="17"/>
  <c r="I514" i="17"/>
  <c r="J514" i="17"/>
  <c r="K514" i="17"/>
  <c r="L514" i="17"/>
  <c r="G515" i="17"/>
  <c r="H515" i="17"/>
  <c r="I515" i="17"/>
  <c r="J515" i="17"/>
  <c r="K515" i="17"/>
  <c r="L515" i="17"/>
  <c r="G516" i="17"/>
  <c r="H516" i="17"/>
  <c r="I516" i="17"/>
  <c r="J516" i="17"/>
  <c r="K516" i="17"/>
  <c r="L516" i="17"/>
  <c r="G517" i="17"/>
  <c r="H517" i="17"/>
  <c r="I517" i="17"/>
  <c r="J517" i="17"/>
  <c r="K517" i="17"/>
  <c r="L517" i="17"/>
  <c r="G518" i="17"/>
  <c r="H518" i="17"/>
  <c r="I518" i="17"/>
  <c r="J518" i="17"/>
  <c r="K518" i="17"/>
  <c r="L518" i="17"/>
  <c r="G519" i="17"/>
  <c r="H519" i="17"/>
  <c r="I519" i="17"/>
  <c r="J519" i="17"/>
  <c r="K519" i="17"/>
  <c r="L519" i="17"/>
  <c r="G520" i="17"/>
  <c r="H520" i="17"/>
  <c r="I520" i="17"/>
  <c r="J520" i="17"/>
  <c r="K520" i="17"/>
  <c r="L520" i="17"/>
  <c r="G521" i="17"/>
  <c r="H521" i="17"/>
  <c r="I521" i="17"/>
  <c r="J521" i="17"/>
  <c r="K521" i="17"/>
  <c r="L521" i="17"/>
  <c r="G522" i="17"/>
  <c r="H522" i="17"/>
  <c r="I522" i="17"/>
  <c r="J522" i="17"/>
  <c r="K522" i="17"/>
  <c r="L522" i="17"/>
  <c r="X4" i="17"/>
  <c r="Y3" i="17"/>
  <c r="Y4" i="17"/>
  <c r="Z3" i="17"/>
  <c r="Z4" i="17"/>
  <c r="AA3" i="17"/>
  <c r="AA4" i="17"/>
  <c r="AB3" i="17"/>
  <c r="AB4" i="17"/>
  <c r="AC3" i="17"/>
  <c r="AC4" i="17"/>
  <c r="AD3" i="17"/>
  <c r="AD4" i="17"/>
  <c r="AE3" i="17"/>
  <c r="AE4" i="17"/>
  <c r="AF3" i="17"/>
  <c r="AF4" i="17"/>
  <c r="AG3" i="17"/>
  <c r="AG4" i="17"/>
  <c r="AH3" i="17"/>
  <c r="AH4" i="17"/>
  <c r="AI3" i="17"/>
  <c r="AI4" i="17"/>
  <c r="AJ3" i="17"/>
  <c r="AJ4" i="17"/>
  <c r="AK3" i="17"/>
  <c r="AK4" i="17"/>
  <c r="AL3" i="17"/>
  <c r="AL4" i="17"/>
  <c r="AM3" i="17"/>
  <c r="AM4" i="17"/>
  <c r="AN3" i="17"/>
  <c r="AN4" i="17"/>
  <c r="AO3" i="17"/>
  <c r="AO4" i="17"/>
  <c r="AP3" i="17"/>
  <c r="AP4" i="17"/>
  <c r="AQ3" i="17"/>
  <c r="AQ4" i="17"/>
  <c r="AR3" i="17"/>
  <c r="AR4" i="17"/>
  <c r="AS3" i="17"/>
  <c r="AS4" i="17"/>
  <c r="AT3" i="17"/>
  <c r="AT4" i="17"/>
  <c r="AU3" i="17"/>
  <c r="AU4" i="17"/>
  <c r="AV3" i="17"/>
  <c r="AV4" i="17"/>
  <c r="AW3" i="17"/>
  <c r="AW4" i="17"/>
  <c r="AX3" i="17"/>
  <c r="AX4" i="17"/>
  <c r="AY3" i="17"/>
  <c r="AY4" i="17"/>
  <c r="AZ3" i="17"/>
  <c r="AZ4" i="17"/>
  <c r="BA3" i="17"/>
  <c r="BA4" i="17"/>
  <c r="BB3" i="17"/>
  <c r="BB4" i="17"/>
  <c r="BC3" i="17"/>
  <c r="BC4" i="17"/>
  <c r="BD3" i="17"/>
  <c r="BD4" i="17"/>
  <c r="BE3" i="17"/>
  <c r="BE4" i="17"/>
  <c r="BF3" i="17"/>
  <c r="BF4" i="17"/>
  <c r="BG3" i="17"/>
  <c r="BG4" i="17"/>
  <c r="BH3" i="17"/>
  <c r="BH4" i="17"/>
  <c r="BI3" i="17"/>
  <c r="BI4" i="17"/>
  <c r="BJ3" i="17"/>
  <c r="BJ4" i="17"/>
  <c r="BK3" i="17"/>
  <c r="BK4" i="17"/>
  <c r="BL3" i="17"/>
  <c r="BL4" i="17"/>
  <c r="BM3" i="17"/>
  <c r="BM4" i="17"/>
  <c r="BN3" i="17"/>
  <c r="BN4" i="17"/>
  <c r="BO3" i="17"/>
  <c r="BO4" i="17"/>
  <c r="BP3" i="17"/>
  <c r="BP4" i="17"/>
  <c r="BQ3" i="17"/>
  <c r="BQ4" i="17"/>
  <c r="BR3" i="17"/>
  <c r="BR4" i="17"/>
  <c r="BS3" i="17"/>
  <c r="BS4" i="17"/>
  <c r="BT3" i="17"/>
  <c r="BT4" i="17"/>
  <c r="BU3" i="17"/>
  <c r="BU4" i="17"/>
  <c r="BV3" i="17"/>
  <c r="BV4" i="17"/>
  <c r="BW3" i="17"/>
  <c r="BW4" i="17"/>
  <c r="BX3" i="17"/>
  <c r="BX4" i="17"/>
  <c r="BY3" i="17"/>
  <c r="BY4" i="17"/>
  <c r="BZ3" i="17"/>
  <c r="BZ4" i="17"/>
  <c r="CA3" i="17"/>
  <c r="CA4" i="17"/>
  <c r="CB3" i="17"/>
  <c r="CB4" i="17"/>
  <c r="CC3" i="17"/>
  <c r="CC4" i="17"/>
  <c r="Q4" i="17"/>
  <c r="R4" i="17"/>
  <c r="S4" i="17"/>
  <c r="T4" i="17"/>
  <c r="U4" i="17"/>
  <c r="V4" i="17"/>
  <c r="O4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2" i="17"/>
  <c r="C3" i="17"/>
  <c r="C4" i="17"/>
  <c r="C5" i="17"/>
  <c r="C6" i="17"/>
  <c r="C7" i="17"/>
  <c r="C8" i="17"/>
  <c r="CC5" i="17"/>
  <c r="CC6" i="17"/>
  <c r="CC7" i="17"/>
  <c r="CC8" i="17"/>
  <c r="CB5" i="17"/>
  <c r="CB6" i="17"/>
  <c r="CB7" i="17"/>
  <c r="CB8" i="17"/>
  <c r="CA5" i="17"/>
  <c r="CA6" i="17"/>
  <c r="CA7" i="17"/>
  <c r="CA8" i="17"/>
  <c r="BZ5" i="17"/>
  <c r="BZ6" i="17"/>
  <c r="BZ7" i="17"/>
  <c r="BZ8" i="17"/>
  <c r="BY5" i="17"/>
  <c r="BY6" i="17"/>
  <c r="BY7" i="17"/>
  <c r="BY8" i="17"/>
  <c r="BX5" i="17"/>
  <c r="BX6" i="17"/>
  <c r="BX7" i="17"/>
  <c r="BX8" i="17"/>
  <c r="BW5" i="17"/>
  <c r="BW6" i="17"/>
  <c r="BW7" i="17"/>
  <c r="BW8" i="17"/>
  <c r="BV5" i="17"/>
  <c r="BV6" i="17"/>
  <c r="BV7" i="17"/>
  <c r="BV8" i="17"/>
  <c r="BU5" i="17"/>
  <c r="BU6" i="17"/>
  <c r="BU7" i="17"/>
  <c r="BU8" i="17"/>
  <c r="BT5" i="17"/>
  <c r="BT6" i="17"/>
  <c r="BT7" i="17"/>
  <c r="BT8" i="17"/>
  <c r="BS5" i="17"/>
  <c r="BS6" i="17"/>
  <c r="BS7" i="17"/>
  <c r="BS8" i="17"/>
  <c r="BR5" i="17"/>
  <c r="BR6" i="17"/>
  <c r="BR7" i="17"/>
  <c r="BR8" i="17"/>
  <c r="BQ5" i="17"/>
  <c r="BQ6" i="17"/>
  <c r="BQ7" i="17"/>
  <c r="BQ8" i="17"/>
  <c r="BP5" i="17"/>
  <c r="BP6" i="17"/>
  <c r="BP7" i="17"/>
  <c r="BP8" i="17"/>
  <c r="BO5" i="17"/>
  <c r="BO6" i="17"/>
  <c r="BO7" i="17"/>
  <c r="BO8" i="17"/>
  <c r="BN5" i="17"/>
  <c r="BN6" i="17"/>
  <c r="BN7" i="17"/>
  <c r="BN8" i="17"/>
  <c r="BM5" i="17"/>
  <c r="BM6" i="17"/>
  <c r="BM7" i="17"/>
  <c r="BM8" i="17"/>
  <c r="BL5" i="17"/>
  <c r="BL6" i="17"/>
  <c r="BL7" i="17"/>
  <c r="BL8" i="17"/>
  <c r="BK5" i="17"/>
  <c r="BK6" i="17"/>
  <c r="BK7" i="17"/>
  <c r="BK8" i="17"/>
  <c r="BJ5" i="17"/>
  <c r="BJ6" i="17"/>
  <c r="BJ7" i="17"/>
  <c r="BJ8" i="17"/>
  <c r="BI5" i="17"/>
  <c r="BI6" i="17"/>
  <c r="BI7" i="17"/>
  <c r="BI8" i="17"/>
  <c r="BH5" i="17"/>
  <c r="BH6" i="17"/>
  <c r="BH7" i="17"/>
  <c r="BH8" i="17"/>
  <c r="BG5" i="17"/>
  <c r="BG6" i="17"/>
  <c r="BG7" i="17"/>
  <c r="BG8" i="17"/>
  <c r="BF5" i="17"/>
  <c r="BF6" i="17"/>
  <c r="BF7" i="17"/>
  <c r="BF8" i="17"/>
  <c r="BE5" i="17"/>
  <c r="BE6" i="17"/>
  <c r="BE7" i="17"/>
  <c r="BE8" i="17"/>
  <c r="BD5" i="17"/>
  <c r="BD6" i="17"/>
  <c r="BD7" i="17"/>
  <c r="BD8" i="17"/>
  <c r="BC5" i="17"/>
  <c r="BC6" i="17"/>
  <c r="BC7" i="17"/>
  <c r="BC8" i="17"/>
  <c r="BB5" i="17"/>
  <c r="BB6" i="17"/>
  <c r="BB7" i="17"/>
  <c r="BB8" i="17"/>
  <c r="BA5" i="17"/>
  <c r="BA6" i="17"/>
  <c r="BA7" i="17"/>
  <c r="BA8" i="17"/>
  <c r="AZ5" i="17"/>
  <c r="AZ6" i="17"/>
  <c r="AZ7" i="17"/>
  <c r="AZ8" i="17"/>
  <c r="AY5" i="17"/>
  <c r="AY6" i="17"/>
  <c r="AY7" i="17"/>
  <c r="AY8" i="17"/>
  <c r="AX5" i="17"/>
  <c r="AX6" i="17"/>
  <c r="AX7" i="17"/>
  <c r="AX8" i="17"/>
  <c r="AW5" i="17"/>
  <c r="AW6" i="17"/>
  <c r="AW7" i="17"/>
  <c r="AW8" i="17"/>
  <c r="AV5" i="17"/>
  <c r="AV6" i="17"/>
  <c r="AV7" i="17"/>
  <c r="AV8" i="17"/>
  <c r="AU5" i="17"/>
  <c r="AU6" i="17"/>
  <c r="AU7" i="17"/>
  <c r="AU8" i="17"/>
  <c r="AT5" i="17"/>
  <c r="AT6" i="17"/>
  <c r="AT7" i="17"/>
  <c r="AT8" i="17"/>
  <c r="AS5" i="17"/>
  <c r="AS6" i="17"/>
  <c r="AS7" i="17"/>
  <c r="AS8" i="17"/>
  <c r="AR5" i="17"/>
  <c r="AR6" i="17"/>
  <c r="AR7" i="17"/>
  <c r="AR8" i="17"/>
  <c r="AQ5" i="17"/>
  <c r="AQ6" i="17"/>
  <c r="AQ7" i="17"/>
  <c r="AQ8" i="17"/>
  <c r="AP5" i="17"/>
  <c r="AP6" i="17"/>
  <c r="AP7" i="17"/>
  <c r="AP8" i="17"/>
  <c r="AO5" i="17"/>
  <c r="AO6" i="17"/>
  <c r="AO7" i="17"/>
  <c r="AO8" i="17"/>
  <c r="AN5" i="17"/>
  <c r="AN6" i="17"/>
  <c r="AN7" i="17"/>
  <c r="AN8" i="17"/>
  <c r="AM5" i="17"/>
  <c r="AM6" i="17"/>
  <c r="AM7" i="17"/>
  <c r="AM8" i="17"/>
  <c r="AL5" i="17"/>
  <c r="AL6" i="17"/>
  <c r="AL7" i="17"/>
  <c r="AL8" i="17"/>
  <c r="AK5" i="17"/>
  <c r="AK6" i="17"/>
  <c r="AK7" i="17"/>
  <c r="AK8" i="17"/>
  <c r="AJ5" i="17"/>
  <c r="AJ6" i="17"/>
  <c r="AJ7" i="17"/>
  <c r="AJ8" i="17"/>
  <c r="AI5" i="17"/>
  <c r="AI6" i="17"/>
  <c r="AI7" i="17"/>
  <c r="AI8" i="17"/>
  <c r="AH5" i="17"/>
  <c r="AH6" i="17"/>
  <c r="AH7" i="17"/>
  <c r="AH8" i="17"/>
  <c r="AG5" i="17"/>
  <c r="AG6" i="17"/>
  <c r="AG7" i="17"/>
  <c r="AG8" i="17"/>
  <c r="AF5" i="17"/>
  <c r="AF6" i="17"/>
  <c r="AF7" i="17"/>
  <c r="AF8" i="17"/>
  <c r="AE5" i="17"/>
  <c r="AE6" i="17"/>
  <c r="AE7" i="17"/>
  <c r="AE8" i="17"/>
  <c r="AD5" i="17"/>
  <c r="AD6" i="17"/>
  <c r="AD7" i="17"/>
  <c r="AD8" i="17"/>
  <c r="AC5" i="17"/>
  <c r="AC6" i="17"/>
  <c r="AC7" i="17"/>
  <c r="AC8" i="17"/>
  <c r="AB5" i="17"/>
  <c r="AB6" i="17"/>
  <c r="AB7" i="17"/>
  <c r="AB8" i="17"/>
  <c r="AA5" i="17"/>
  <c r="AA6" i="17"/>
  <c r="AA7" i="17"/>
  <c r="AA8" i="17"/>
  <c r="Z5" i="17"/>
  <c r="Z6" i="17"/>
  <c r="Z7" i="17"/>
  <c r="Z8" i="17"/>
  <c r="Y5" i="17"/>
  <c r="Y6" i="17"/>
  <c r="Y7" i="17"/>
  <c r="Y8" i="17"/>
  <c r="X5" i="17"/>
  <c r="X6" i="17"/>
  <c r="X7" i="17"/>
  <c r="X8" i="17"/>
  <c r="V8" i="17"/>
  <c r="U8" i="17"/>
  <c r="T8" i="17"/>
  <c r="S8" i="17"/>
  <c r="R8" i="17"/>
  <c r="Q8" i="17"/>
  <c r="N8" i="17"/>
  <c r="V7" i="17"/>
  <c r="U7" i="17"/>
  <c r="T7" i="17"/>
  <c r="S7" i="17"/>
  <c r="R7" i="17"/>
  <c r="Q7" i="17"/>
  <c r="O7" i="17"/>
  <c r="N7" i="17"/>
  <c r="V6" i="17"/>
  <c r="U6" i="17"/>
  <c r="T6" i="17"/>
  <c r="S6" i="17"/>
  <c r="R6" i="17"/>
  <c r="Q6" i="17"/>
  <c r="O6" i="17"/>
  <c r="N6" i="17"/>
  <c r="M6" i="17"/>
  <c r="V5" i="17"/>
  <c r="U5" i="17"/>
  <c r="T5" i="17"/>
  <c r="S5" i="17"/>
  <c r="R5" i="17"/>
  <c r="Q5" i="17"/>
  <c r="O5" i="17"/>
  <c r="N5" i="17"/>
  <c r="M5" i="17"/>
  <c r="N4" i="17"/>
  <c r="V3" i="17"/>
  <c r="U3" i="17"/>
  <c r="T3" i="17"/>
  <c r="S3" i="17"/>
  <c r="R3" i="17"/>
  <c r="Q3" i="17"/>
  <c r="O3" i="17"/>
  <c r="N3" i="17"/>
  <c r="W2" i="17"/>
  <c r="I520" i="16"/>
  <c r="I521" i="16"/>
  <c r="I52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H263" i="16"/>
  <c r="H262" i="16"/>
  <c r="H261" i="16"/>
  <c r="H260" i="16"/>
  <c r="H259" i="16"/>
  <c r="H258" i="16"/>
  <c r="H257" i="16"/>
  <c r="H256" i="16"/>
  <c r="H255" i="16"/>
  <c r="I2" i="16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BK3" i="14"/>
  <c r="BK4" i="14"/>
  <c r="BK5" i="14"/>
  <c r="BK6" i="14"/>
  <c r="BK7" i="14"/>
  <c r="BK8" i="14"/>
  <c r="X3" i="14"/>
  <c r="X4" i="14"/>
  <c r="X5" i="14"/>
  <c r="X6" i="14"/>
  <c r="X7" i="14"/>
  <c r="X8" i="14"/>
  <c r="Y3" i="14"/>
  <c r="Y4" i="14"/>
  <c r="Y5" i="14"/>
  <c r="Y6" i="14"/>
  <c r="Y7" i="14"/>
  <c r="Y8" i="14"/>
  <c r="Z3" i="14"/>
  <c r="Z4" i="14"/>
  <c r="Z5" i="14"/>
  <c r="Z6" i="14"/>
  <c r="Z7" i="14"/>
  <c r="Z8" i="14"/>
  <c r="AA3" i="14"/>
  <c r="AA4" i="14"/>
  <c r="AA5" i="14"/>
  <c r="AA6" i="14"/>
  <c r="AA7" i="14"/>
  <c r="AA8" i="14"/>
  <c r="AB3" i="14"/>
  <c r="AB4" i="14"/>
  <c r="AB5" i="14"/>
  <c r="AB6" i="14"/>
  <c r="AB7" i="14"/>
  <c r="AB8" i="14"/>
  <c r="AC3" i="14"/>
  <c r="AC4" i="14"/>
  <c r="AC5" i="14"/>
  <c r="AC6" i="14"/>
  <c r="AC7" i="14"/>
  <c r="AC8" i="14"/>
  <c r="AD3" i="14"/>
  <c r="AD4" i="14"/>
  <c r="AD5" i="14"/>
  <c r="AD6" i="14"/>
  <c r="AD7" i="14"/>
  <c r="AD8" i="14"/>
  <c r="AE3" i="14"/>
  <c r="AE4" i="14"/>
  <c r="AE5" i="14"/>
  <c r="AE6" i="14"/>
  <c r="AE7" i="14"/>
  <c r="AE8" i="14"/>
  <c r="AF3" i="14"/>
  <c r="AF4" i="14"/>
  <c r="AF5" i="14"/>
  <c r="AF6" i="14"/>
  <c r="AF7" i="14"/>
  <c r="AF8" i="14"/>
  <c r="AG3" i="14"/>
  <c r="AG4" i="14"/>
  <c r="AG5" i="14"/>
  <c r="AG6" i="14"/>
  <c r="AG7" i="14"/>
  <c r="AG8" i="14"/>
  <c r="AH3" i="14"/>
  <c r="AH4" i="14"/>
  <c r="AH5" i="14"/>
  <c r="AH6" i="14"/>
  <c r="AH7" i="14"/>
  <c r="AH8" i="14"/>
  <c r="AI3" i="14"/>
  <c r="AI4" i="14"/>
  <c r="AI5" i="14"/>
  <c r="AI6" i="14"/>
  <c r="AI7" i="14"/>
  <c r="AI8" i="14"/>
  <c r="AJ3" i="14"/>
  <c r="AJ4" i="14"/>
  <c r="AJ5" i="14"/>
  <c r="AJ6" i="14"/>
  <c r="AJ7" i="14"/>
  <c r="AJ8" i="14"/>
  <c r="AK3" i="14"/>
  <c r="AK4" i="14"/>
  <c r="AK5" i="14"/>
  <c r="AK6" i="14"/>
  <c r="AK7" i="14"/>
  <c r="AK8" i="14"/>
  <c r="AL3" i="14"/>
  <c r="AL4" i="14"/>
  <c r="AL5" i="14"/>
  <c r="AL6" i="14"/>
  <c r="AL7" i="14"/>
  <c r="AL8" i="14"/>
  <c r="AM3" i="14"/>
  <c r="AM4" i="14"/>
  <c r="AM5" i="14"/>
  <c r="AM6" i="14"/>
  <c r="AM7" i="14"/>
  <c r="AM8" i="14"/>
  <c r="AN3" i="14"/>
  <c r="AN4" i="14"/>
  <c r="AN5" i="14"/>
  <c r="AN6" i="14"/>
  <c r="AN7" i="14"/>
  <c r="AN8" i="14"/>
  <c r="AO3" i="14"/>
  <c r="AO4" i="14"/>
  <c r="AO5" i="14"/>
  <c r="AO6" i="14"/>
  <c r="AO7" i="14"/>
  <c r="AO8" i="14"/>
  <c r="AP3" i="14"/>
  <c r="AP4" i="14"/>
  <c r="AP5" i="14"/>
  <c r="AP6" i="14"/>
  <c r="AP7" i="14"/>
  <c r="AP8" i="14"/>
  <c r="AQ3" i="14"/>
  <c r="AQ4" i="14"/>
  <c r="AQ5" i="14"/>
  <c r="AQ6" i="14"/>
  <c r="AQ7" i="14"/>
  <c r="AQ8" i="14"/>
  <c r="AR3" i="14"/>
  <c r="AR4" i="14"/>
  <c r="AR5" i="14"/>
  <c r="AR6" i="14"/>
  <c r="AR7" i="14"/>
  <c r="AR8" i="14"/>
  <c r="AS3" i="14"/>
  <c r="AS4" i="14"/>
  <c r="AS5" i="14"/>
  <c r="AS6" i="14"/>
  <c r="AS7" i="14"/>
  <c r="AS8" i="14"/>
  <c r="AT3" i="14"/>
  <c r="AT4" i="14"/>
  <c r="AT5" i="14"/>
  <c r="AT6" i="14"/>
  <c r="AT7" i="14"/>
  <c r="AT8" i="14"/>
  <c r="AU3" i="14"/>
  <c r="AU4" i="14"/>
  <c r="AU5" i="14"/>
  <c r="AU6" i="14"/>
  <c r="AU7" i="14"/>
  <c r="AU8" i="14"/>
  <c r="AV3" i="14"/>
  <c r="AV4" i="14"/>
  <c r="AV5" i="14"/>
  <c r="AV6" i="14"/>
  <c r="AV7" i="14"/>
  <c r="AV8" i="14"/>
  <c r="AW3" i="14"/>
  <c r="AW4" i="14"/>
  <c r="AW5" i="14"/>
  <c r="AW6" i="14"/>
  <c r="AW7" i="14"/>
  <c r="AW8" i="14"/>
  <c r="AX3" i="14"/>
  <c r="AX4" i="14"/>
  <c r="AX5" i="14"/>
  <c r="AX6" i="14"/>
  <c r="AX7" i="14"/>
  <c r="AX8" i="14"/>
  <c r="AY3" i="14"/>
  <c r="AY4" i="14"/>
  <c r="AY5" i="14"/>
  <c r="AY6" i="14"/>
  <c r="AY7" i="14"/>
  <c r="AY8" i="14"/>
  <c r="AZ3" i="14"/>
  <c r="AZ4" i="14"/>
  <c r="AZ5" i="14"/>
  <c r="AZ6" i="14"/>
  <c r="AZ7" i="14"/>
  <c r="AZ8" i="14"/>
  <c r="BA3" i="14"/>
  <c r="BA4" i="14"/>
  <c r="BA5" i="14"/>
  <c r="BA6" i="14"/>
  <c r="BA7" i="14"/>
  <c r="BA8" i="14"/>
  <c r="BB3" i="14"/>
  <c r="BB4" i="14"/>
  <c r="BB5" i="14"/>
  <c r="BB6" i="14"/>
  <c r="BB7" i="14"/>
  <c r="BB8" i="14"/>
  <c r="BC3" i="14"/>
  <c r="BC4" i="14"/>
  <c r="BC5" i="14"/>
  <c r="BC6" i="14"/>
  <c r="BC7" i="14"/>
  <c r="BC8" i="14"/>
  <c r="BD3" i="14"/>
  <c r="BD4" i="14"/>
  <c r="BD5" i="14"/>
  <c r="BD6" i="14"/>
  <c r="BD7" i="14"/>
  <c r="BD8" i="14"/>
  <c r="BE3" i="14"/>
  <c r="BE4" i="14"/>
  <c r="BE5" i="14"/>
  <c r="BE6" i="14"/>
  <c r="BE7" i="14"/>
  <c r="BE8" i="14"/>
  <c r="BF3" i="14"/>
  <c r="BF4" i="14"/>
  <c r="BF5" i="14"/>
  <c r="BF6" i="14"/>
  <c r="BF7" i="14"/>
  <c r="BF8" i="14"/>
  <c r="BG3" i="14"/>
  <c r="BG4" i="14"/>
  <c r="BG5" i="14"/>
  <c r="BG6" i="14"/>
  <c r="BG7" i="14"/>
  <c r="BG8" i="14"/>
  <c r="BH3" i="14"/>
  <c r="BH4" i="14"/>
  <c r="BH5" i="14"/>
  <c r="BH6" i="14"/>
  <c r="BH7" i="14"/>
  <c r="BH8" i="14"/>
  <c r="BI3" i="14"/>
  <c r="BI4" i="14"/>
  <c r="BI5" i="14"/>
  <c r="BI6" i="14"/>
  <c r="BI7" i="14"/>
  <c r="BI8" i="14"/>
  <c r="BJ3" i="14"/>
  <c r="BJ4" i="14"/>
  <c r="BJ5" i="14"/>
  <c r="BJ6" i="14"/>
  <c r="BJ7" i="14"/>
  <c r="BJ8" i="14"/>
  <c r="BL3" i="14"/>
  <c r="BL4" i="14"/>
  <c r="BL5" i="14"/>
  <c r="BL6" i="14"/>
  <c r="BL7" i="14"/>
  <c r="BL8" i="14"/>
  <c r="BM3" i="14"/>
  <c r="BM4" i="14"/>
  <c r="BM5" i="14"/>
  <c r="BM6" i="14"/>
  <c r="BM7" i="14"/>
  <c r="BM8" i="14"/>
  <c r="BN3" i="14"/>
  <c r="BN4" i="14"/>
  <c r="BN5" i="14"/>
  <c r="BN6" i="14"/>
  <c r="BN7" i="14"/>
  <c r="BN8" i="14"/>
  <c r="BO3" i="14"/>
  <c r="BO4" i="14"/>
  <c r="BO5" i="14"/>
  <c r="BO6" i="14"/>
  <c r="BO7" i="14"/>
  <c r="BO8" i="14"/>
  <c r="BP3" i="14"/>
  <c r="BP4" i="14"/>
  <c r="BP5" i="14"/>
  <c r="BP6" i="14"/>
  <c r="BP7" i="14"/>
  <c r="BP8" i="14"/>
  <c r="BQ3" i="14"/>
  <c r="BQ4" i="14"/>
  <c r="BQ5" i="14"/>
  <c r="BQ6" i="14"/>
  <c r="BQ7" i="14"/>
  <c r="BQ8" i="14"/>
  <c r="BR3" i="14"/>
  <c r="BR4" i="14"/>
  <c r="BR5" i="14"/>
  <c r="BR6" i="14"/>
  <c r="BR7" i="14"/>
  <c r="BR8" i="14"/>
  <c r="BS3" i="14"/>
  <c r="BS4" i="14"/>
  <c r="BS5" i="14"/>
  <c r="BS6" i="14"/>
  <c r="BS7" i="14"/>
  <c r="BS8" i="14"/>
  <c r="BT3" i="14"/>
  <c r="BT4" i="14"/>
  <c r="BT5" i="14"/>
  <c r="BT6" i="14"/>
  <c r="BT7" i="14"/>
  <c r="BT8" i="14"/>
  <c r="BU3" i="14"/>
  <c r="BU4" i="14"/>
  <c r="BU5" i="14"/>
  <c r="BU6" i="14"/>
  <c r="BU7" i="14"/>
  <c r="BU8" i="14"/>
  <c r="BV3" i="14"/>
  <c r="BV4" i="14"/>
  <c r="BV5" i="14"/>
  <c r="BV6" i="14"/>
  <c r="BV7" i="14"/>
  <c r="BV8" i="14"/>
  <c r="BW3" i="14"/>
  <c r="BW4" i="14"/>
  <c r="BW5" i="14"/>
  <c r="BW6" i="14"/>
  <c r="BW7" i="14"/>
  <c r="BW8" i="14"/>
  <c r="BX3" i="14"/>
  <c r="BX4" i="14"/>
  <c r="BX5" i="14"/>
  <c r="BX6" i="14"/>
  <c r="BX7" i="14"/>
  <c r="BX8" i="14"/>
  <c r="BY3" i="14"/>
  <c r="BY4" i="14"/>
  <c r="BY5" i="14"/>
  <c r="BY6" i="14"/>
  <c r="BY7" i="14"/>
  <c r="BY8" i="14"/>
  <c r="BZ3" i="14"/>
  <c r="BZ4" i="14"/>
  <c r="BZ5" i="14"/>
  <c r="BZ6" i="14"/>
  <c r="BZ7" i="14"/>
  <c r="BZ8" i="14"/>
  <c r="CA3" i="14"/>
  <c r="CA4" i="14"/>
  <c r="CA5" i="14"/>
  <c r="CA6" i="14"/>
  <c r="CA7" i="14"/>
  <c r="CA8" i="14"/>
  <c r="CB3" i="14"/>
  <c r="CB4" i="14"/>
  <c r="CB5" i="14"/>
  <c r="CB6" i="14"/>
  <c r="CB7" i="14"/>
  <c r="CB8" i="14"/>
  <c r="CC3" i="14"/>
  <c r="CC4" i="14"/>
  <c r="CC5" i="14"/>
  <c r="CC6" i="14"/>
  <c r="CC7" i="14"/>
  <c r="CC8" i="14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Q3" i="14"/>
  <c r="R3" i="14"/>
  <c r="S3" i="14"/>
  <c r="T3" i="14"/>
  <c r="U3" i="14"/>
  <c r="V3" i="14"/>
  <c r="O3" i="14"/>
  <c r="N71" i="11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F70" i="4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</calcChain>
</file>

<file path=xl/sharedStrings.xml><?xml version="1.0" encoding="utf-8"?>
<sst xmlns="http://schemas.openxmlformats.org/spreadsheetml/2006/main" count="7345" uniqueCount="701">
  <si>
    <t>1t2t</t>
  </si>
  <si>
    <t>1t2f</t>
  </si>
  <si>
    <t>1f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</si>
  <si>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</si>
  <si>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</si>
  <si>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</si>
  <si>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</si>
  <si>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</si>
  <si>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</si>
  <si>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</si>
  <si>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</si>
  <si>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</si>
  <si>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</si>
  <si>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</si>
  <si>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</si>
  <si>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</si>
  <si>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</si>
  <si>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</si>
  <si>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</si>
  <si>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</si>
  <si>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</si>
  <si>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</si>
  <si>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</si>
  <si>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</si>
  <si>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</si>
  <si>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</si>
  <si>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</si>
  <si>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</si>
  <si>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</si>
  <si>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</si>
  <si>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</si>
  <si>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</si>
  <si>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</si>
  <si>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</si>
  <si>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</si>
  <si>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</si>
  <si>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</si>
  <si>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</si>
  <si>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</si>
  <si>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</si>
  <si>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</si>
  <si>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</si>
  <si>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</si>
  <si>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</si>
  <si>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</si>
  <si>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</si>
  <si>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</si>
  <si>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</si>
  <si>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</si>
  <si>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</si>
  <si>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</si>
  <si>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</si>
  <si>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</si>
  <si>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</si>
  <si>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</si>
  <si>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</si>
  <si>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</si>
  <si>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</si>
  <si>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</si>
  <si>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</si>
  <si>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</si>
  <si>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</si>
  <si>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</si>
  <si>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</si>
  <si>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</si>
  <si>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</si>
  <si>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</si>
  <si>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</si>
  <si>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</si>
  <si>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</si>
  <si>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</si>
  <si>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</si>
  <si>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</si>
  <si>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</si>
  <si>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</si>
  <si>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</si>
  <si>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</si>
  <si>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</si>
  <si>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</si>
  <si>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</si>
  <si>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</si>
  <si>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</si>
  <si>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</si>
  <si>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</si>
  <si>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</si>
  <si>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</si>
  <si>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</si>
  <si>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</si>
  <si>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</si>
  <si>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</si>
  <si>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</si>
  <si>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</si>
  <si>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</si>
  <si>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</si>
  <si>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</si>
  <si>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</si>
  <si>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</si>
  <si>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</si>
  <si>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</si>
  <si>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</si>
  <si>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</si>
  <si>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</si>
  <si>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</si>
  <si>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</si>
  <si>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</si>
  <si>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</si>
  <si>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</si>
  <si>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</si>
  <si>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</si>
  <si>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</si>
  <si>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</si>
  <si>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</si>
  <si>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</si>
  <si>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</si>
  <si>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</si>
  <si>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</si>
  <si>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</si>
  <si>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</si>
  <si>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</si>
  <si>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</si>
  <si>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</si>
  <si>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</si>
  <si>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</si>
  <si>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</si>
  <si>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</si>
  <si>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</si>
  <si>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</si>
  <si>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</si>
  <si>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</si>
  <si>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</si>
  <si>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</si>
  <si>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</si>
  <si>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</si>
  <si>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</si>
  <si>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</si>
  <si>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</si>
  <si>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</si>
  <si>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</si>
  <si>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</si>
  <si>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</si>
  <si>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</si>
  <si>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</si>
  <si>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</si>
  <si>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</si>
  <si>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</si>
  <si>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</si>
  <si>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</si>
  <si>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</si>
  <si>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</si>
  <si>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</si>
  <si>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</si>
  <si>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</si>
  <si>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</si>
  <si>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</si>
  <si>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</si>
  <si>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</si>
  <si>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</si>
  <si>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</si>
  <si>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</si>
  <si>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</si>
  <si>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</si>
  <si>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</si>
  <si>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</si>
  <si>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</si>
  <si>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</si>
  <si>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</si>
  <si>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</si>
  <si>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</si>
  <si>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</si>
  <si>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</si>
  <si>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</si>
  <si>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</si>
  <si>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</si>
  <si>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</si>
  <si>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</si>
  <si>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</si>
  <si>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</si>
  <si>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</si>
  <si>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</si>
  <si>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1f2t</t>
  </si>
  <si>
    <t>1f2f</t>
  </si>
  <si>
    <t>sat/sat</t>
  </si>
  <si>
    <t>sat/unsat</t>
  </si>
  <si>
    <t>unsat/sat</t>
  </si>
  <si>
    <t>unsat/unsat</t>
  </si>
  <si>
    <t>%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</si>
  <si>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</si>
  <si>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</si>
  <si>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</si>
  <si>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</si>
  <si>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</si>
  <si>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</si>
  <si>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</si>
  <si>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</si>
  <si>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</si>
  <si>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</si>
  <si>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</si>
  <si>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</si>
  <si>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</si>
  <si>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</si>
  <si>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</si>
  <si>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</si>
  <si>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</si>
  <si>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</si>
  <si>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</si>
  <si>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</si>
  <si>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</si>
  <si>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</si>
  <si>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</si>
  <si>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</si>
  <si>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</si>
  <si>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</si>
  <si>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</si>
  <si>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</si>
  <si>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</si>
  <si>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</si>
  <si>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</si>
  <si>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</si>
  <si>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</si>
  <si>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</si>
  <si>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</si>
  <si>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</si>
  <si>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</si>
  <si>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</si>
  <si>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</si>
  <si>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</si>
  <si>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</si>
  <si>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</si>
  <si>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</si>
  <si>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</si>
  <si>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</si>
  <si>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</si>
  <si>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</si>
  <si>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</si>
  <si>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</si>
  <si>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</si>
  <si>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</si>
  <si>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</si>
  <si>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</si>
  <si>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</si>
  <si>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</si>
  <si>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</si>
  <si>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</si>
  <si>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</si>
  <si>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</si>
  <si>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</si>
  <si>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</si>
  <si>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</si>
  <si>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</si>
  <si>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</si>
  <si>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</si>
  <si>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</si>
  <si>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</si>
  <si>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</si>
  <si>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</si>
  <si>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</si>
  <si>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</si>
  <si>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</si>
  <si>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</si>
  <si>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</si>
  <si>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</si>
  <si>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</si>
  <si>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</si>
  <si>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</si>
  <si>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</si>
  <si>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</si>
  <si>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</si>
  <si>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</si>
  <si>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</si>
  <si>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</si>
  <si>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</si>
  <si>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</si>
  <si>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</si>
  <si>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</si>
  <si>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</si>
  <si>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</si>
  <si>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</si>
  <si>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</si>
  <si>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</si>
  <si>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</si>
  <si>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</si>
  <si>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</si>
  <si>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</si>
  <si>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</si>
  <si>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</si>
  <si>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</si>
  <si>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</si>
  <si>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</si>
  <si>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</si>
  <si>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</si>
  <si>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</si>
  <si>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</si>
  <si>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</si>
  <si>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</si>
  <si>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</si>
  <si>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</si>
  <si>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</si>
  <si>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</si>
  <si>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</si>
  <si>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</si>
  <si>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</si>
  <si>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</si>
  <si>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</si>
  <si>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</si>
  <si>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</si>
  <si>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</si>
  <si>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</si>
  <si>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</si>
  <si>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</si>
  <si>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</si>
  <si>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</si>
  <si>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</si>
  <si>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</si>
  <si>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</si>
  <si>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</si>
  <si>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</si>
  <si>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</si>
  <si>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</si>
  <si>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</si>
  <si>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</si>
  <si>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</si>
  <si>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</si>
  <si>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</si>
  <si>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</si>
  <si>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</si>
  <si>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</si>
  <si>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</si>
  <si>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</si>
  <si>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</si>
  <si>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</si>
  <si>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</si>
  <si>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</si>
  <si>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</si>
  <si>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</si>
  <si>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</si>
  <si>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</si>
  <si>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</si>
  <si>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</si>
  <si>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</si>
  <si>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</si>
  <si>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</si>
  <si>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</si>
  <si>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</si>
  <si>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</si>
  <si>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</si>
  <si>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</si>
  <si>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</si>
  <si>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</si>
  <si>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</si>
  <si>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</si>
  <si>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</si>
  <si>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</si>
  <si>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</si>
  <si>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</si>
  <si>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</si>
  <si>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</si>
  <si>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</si>
  <si>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</si>
  <si>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</si>
  <si>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</si>
  <si>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</si>
  <si>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</si>
  <si>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</si>
  <si>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</si>
  <si>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</si>
  <si>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</si>
  <si>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</si>
  <si>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</si>
  <si>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</si>
  <si>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</si>
  <si>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</si>
  <si>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</si>
  <si>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</si>
  <si>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</si>
  <si>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</si>
  <si>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</si>
  <si>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</si>
  <si>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</si>
  <si>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</si>
  <si>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</si>
  <si>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</si>
  <si>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</si>
  <si>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</si>
  <si>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</si>
  <si>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</si>
  <si>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</si>
  <si>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</si>
  <si>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</si>
  <si>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</si>
  <si>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</si>
  <si>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</si>
  <si>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</si>
  <si>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</si>
  <si>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</si>
  <si>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</si>
  <si>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</si>
  <si>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</si>
  <si>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</si>
  <si>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</si>
  <si>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</si>
  <si>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</si>
  <si>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</si>
  <si>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</si>
  <si>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</si>
  <si>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</si>
  <si>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</si>
  <si>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</si>
  <si>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</si>
  <si>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</si>
  <si>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</si>
  <si>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</si>
  <si>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</si>
  <si>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</si>
  <si>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</si>
  <si>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</si>
  <si>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</si>
  <si>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</si>
  <si>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</si>
  <si>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</si>
  <si>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</si>
  <si>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</si>
  <si>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</si>
  <si>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</si>
  <si>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</si>
  <si>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</si>
  <si>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</si>
  <si>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</si>
  <si>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</si>
  <si>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</si>
  <si>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</si>
  <si>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</si>
  <si>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</si>
  <si>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</si>
  <si>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</si>
  <si>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</si>
  <si>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</si>
  <si>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</si>
  <si>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</si>
  <si>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</si>
  <si>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</si>
  <si>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</si>
  <si>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</si>
  <si>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</si>
  <si>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</si>
  <si>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</si>
  <si>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</si>
  <si>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</si>
  <si>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</si>
  <si>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</si>
  <si>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</si>
  <si>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</si>
  <si>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</si>
  <si>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</si>
  <si>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</si>
  <si>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</si>
  <si>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</si>
  <si>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</si>
  <si>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</si>
  <si>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</si>
  <si>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</si>
  <si>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</si>
  <si>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</si>
  <si>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</si>
  <si>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</si>
  <si>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</si>
  <si>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</si>
  <si>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</si>
  <si>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</si>
  <si>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</si>
  <si>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</si>
  <si>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</si>
  <si>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</si>
  <si>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</si>
  <si>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</si>
  <si>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</si>
  <si>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</si>
  <si>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</si>
  <si>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</si>
  <si>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</si>
  <si>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</si>
  <si>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</si>
  <si>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</si>
  <si>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</si>
  <si>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</si>
  <si>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</si>
  <si>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</si>
  <si>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</si>
  <si>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</si>
  <si>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</si>
  <si>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</si>
  <si>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</si>
  <si>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</si>
  <si>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</si>
  <si>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</si>
  <si>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</si>
  <si>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</si>
  <si>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</si>
  <si>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</si>
  <si>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</si>
  <si>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</si>
  <si>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</si>
  <si>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</si>
  <si>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</si>
  <si>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</si>
  <si>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</si>
  <si>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</si>
  <si>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</si>
  <si>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</si>
  <si>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</si>
  <si>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</si>
  <si>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</si>
  <si>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</si>
  <si>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</si>
  <si>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</si>
  <si>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</si>
  <si>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</si>
  <si>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</si>
  <si>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</si>
  <si>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</si>
  <si>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</si>
  <si>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</si>
  <si>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</si>
  <si>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</si>
  <si>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</si>
  <si>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</si>
  <si>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</si>
  <si>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</si>
  <si>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</si>
  <si>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</si>
  <si>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</si>
  <si>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</si>
  <si>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</si>
  <si>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</si>
  <si>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</si>
  <si>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</si>
  <si>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</si>
  <si>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</si>
  <si>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</si>
  <si>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</si>
  <si>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</si>
  <si>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</si>
  <si>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</si>
  <si>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</si>
  <si>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</si>
  <si>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</si>
  <si>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</si>
  <si>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</si>
  <si>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</si>
  <si>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</si>
  <si>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</si>
  <si>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</si>
  <si>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</si>
  <si>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</si>
  <si>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</si>
  <si>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</si>
  <si>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</si>
  <si>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</si>
  <si>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</si>
  <si>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</si>
  <si>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</si>
  <si>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</si>
  <si>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</si>
  <si>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</si>
  <si>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</si>
  <si>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</si>
  <si>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</si>
  <si>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</si>
  <si>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</si>
  <si>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</si>
  <si>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</si>
  <si>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</si>
  <si>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</si>
  <si>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</si>
  <si>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</si>
  <si>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</si>
  <si>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</si>
  <si>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</si>
  <si>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</si>
  <si>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</si>
  <si>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</si>
  <si>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</si>
  <si>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</si>
  <si>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</si>
  <si>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</si>
  <si>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</si>
  <si>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</si>
  <si>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</si>
  <si>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</si>
  <si>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</si>
  <si>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</si>
  <si>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</si>
  <si>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</si>
  <si>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</si>
  <si>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</si>
  <si>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</si>
  <si>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</si>
  <si>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</si>
  <si>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</si>
  <si>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</si>
  <si>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</si>
  <si>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</si>
  <si>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</si>
  <si>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</si>
  <si>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</si>
  <si>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</si>
  <si>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</si>
  <si>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</si>
  <si>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</si>
  <si>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</si>
  <si>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</si>
  <si>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</si>
  <si>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</si>
  <si>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</si>
  <si>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</si>
  <si>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</si>
  <si>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</si>
  <si>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</si>
  <si>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</si>
  <si>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</si>
  <si>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</si>
  <si>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</si>
  <si>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</si>
  <si>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</si>
  <si>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</si>
  <si>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</si>
  <si>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</si>
  <si>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</si>
  <si>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</si>
  <si>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</si>
  <si>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</si>
  <si>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</si>
  <si>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</si>
  <si>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</si>
  <si>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</si>
  <si>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</si>
  <si>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</si>
  <si>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</si>
  <si>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</si>
  <si>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</si>
  <si>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</si>
  <si>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</si>
  <si>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</si>
  <si>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</si>
  <si>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</si>
  <si>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</si>
  <si>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</si>
  <si>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</si>
  <si>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</si>
  <si>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</si>
  <si>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</si>
  <si>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</si>
  <si>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</si>
  <si>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</si>
  <si>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</si>
  <si>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</si>
  <si>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</si>
  <si>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</si>
  <si>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</si>
  <si>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</si>
  <si>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</si>
  <si>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</si>
  <si>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</si>
  <si>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</si>
  <si>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</si>
  <si>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</si>
  <si>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</si>
  <si>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</si>
  <si>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</si>
  <si>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</si>
  <si>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</si>
  <si>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</si>
  <si>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</si>
  <si>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</si>
  <si>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</si>
  <si>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</si>
  <si>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</si>
  <si>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</si>
  <si>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</si>
  <si>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</si>
  <si>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</si>
  <si>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</si>
  <si>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</si>
  <si>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</si>
  <si>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</si>
  <si>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</si>
  <si>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there need to collect it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</si>
  <si>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</si>
  <si>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</si>
  <si>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</si>
  <si>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</si>
  <si>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</si>
  <si>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</si>
  <si>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</si>
  <si>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</si>
  <si>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</si>
  <si>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</si>
  <si>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</si>
  <si>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</si>
  <si>
    <t>it has some problems with dynamic libaries - bitshifts and stuff</t>
  </si>
  <si>
    <t>dom9</t>
  </si>
  <si>
    <t>dom4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</si>
</sst>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2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3" borderId="0" xfId="0" applyFont="1" applyFill="1"/>
  </cellXfs>
  <cellStyles count="22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dom4'!$Q$3:$Q$8</c:f>
              <c:numCache>
                <c:formatCode>0</c:formatCode>
                <c:ptCount val="6"/>
                <c:pt idx="0">
                  <c:v>25.0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dom4'!$R$3:$R$8</c:f>
              <c:numCache>
                <c:formatCode>0</c:formatCode>
                <c:ptCount val="6"/>
                <c:pt idx="0">
                  <c:v>23.0</c:v>
                </c:pt>
                <c:pt idx="1">
                  <c:v>17.0</c:v>
                </c:pt>
                <c:pt idx="2">
                  <c:v>8.0</c:v>
                </c:pt>
                <c:pt idx="3">
                  <c:v>4.0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dom4'!$S$3:$S$8</c:f>
              <c:numCache>
                <c:formatCode>0</c:formatCode>
                <c:ptCount val="6"/>
                <c:pt idx="0">
                  <c:v>4.0</c:v>
                </c:pt>
                <c:pt idx="1">
                  <c:v>9.0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dom4'!$T$3:$T$8</c:f>
              <c:numCache>
                <c:formatCode>0</c:formatCode>
                <c:ptCount val="6"/>
                <c:pt idx="0">
                  <c:v>5.0</c:v>
                </c:pt>
                <c:pt idx="1">
                  <c:v>6.0</c:v>
                </c:pt>
                <c:pt idx="2">
                  <c:v>12.0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dom4'!$U$3:$U$8</c:f>
              <c:numCache>
                <c:formatCode>0</c:formatCode>
                <c:ptCount val="6"/>
                <c:pt idx="0">
                  <c:v>1.0</c:v>
                </c:pt>
                <c:pt idx="1">
                  <c:v>4.0</c:v>
                </c:pt>
                <c:pt idx="2">
                  <c:v>3.0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dom4'!$V$2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24.0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6710280"/>
        <c:axId val="2140460168"/>
      </c:barChart>
      <c:catAx>
        <c:axId val="2136710280"/>
        <c:scaling>
          <c:orientation val="minMax"/>
        </c:scaling>
        <c:delete val="0"/>
        <c:axPos val="b"/>
        <c:majorTickMark val="out"/>
        <c:minorTickMark val="none"/>
        <c:tickLblPos val="nextTo"/>
        <c:crossAx val="2140460168"/>
        <c:crosses val="autoZero"/>
        <c:auto val="1"/>
        <c:lblAlgn val="ctr"/>
        <c:lblOffset val="100"/>
        <c:noMultiLvlLbl val="0"/>
      </c:catAx>
      <c:valAx>
        <c:axId val="214046016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3671028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dom9'!$V$2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2368280"/>
        <c:axId val="2142371416"/>
      </c:barChart>
      <c:catAx>
        <c:axId val="2142368280"/>
        <c:scaling>
          <c:orientation val="minMax"/>
        </c:scaling>
        <c:delete val="0"/>
        <c:axPos val="b"/>
        <c:majorTickMark val="out"/>
        <c:minorTickMark val="none"/>
        <c:tickLblPos val="nextTo"/>
        <c:crossAx val="2142371416"/>
        <c:crosses val="autoZero"/>
        <c:auto val="1"/>
        <c:lblAlgn val="ctr"/>
        <c:lblOffset val="100"/>
        <c:noMultiLvlLbl val="0"/>
      </c:catAx>
      <c:valAx>
        <c:axId val="2142371416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236828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3234408"/>
        <c:axId val="2143237544"/>
      </c:barChart>
      <c:catAx>
        <c:axId val="2143234408"/>
        <c:scaling>
          <c:orientation val="minMax"/>
        </c:scaling>
        <c:delete val="0"/>
        <c:axPos val="b"/>
        <c:majorTickMark val="out"/>
        <c:minorTickMark val="none"/>
        <c:tickLblPos val="nextTo"/>
        <c:crossAx val="2143237544"/>
        <c:crosses val="autoZero"/>
        <c:auto val="1"/>
        <c:lblAlgn val="ctr"/>
        <c:lblOffset val="100"/>
        <c:noMultiLvlLbl val="0"/>
      </c:catAx>
      <c:valAx>
        <c:axId val="214323754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32344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workbookViewId="0">
      <selection activeCell="H18" sqref="H18"/>
    </sheetView>
  </sheetViews>
  <sheetFormatPr baseColWidth="10" defaultRowHeight="15" x14ac:dyDescent="0"/>
  <sheetData>
    <row r="1" spans="1:7">
      <c r="A1" t="s">
        <v>699</v>
      </c>
    </row>
    <row r="2" spans="1:7">
      <c r="B2" t="s">
        <v>680</v>
      </c>
    </row>
    <row r="3" spans="1:7">
      <c r="A3" t="s">
        <v>679</v>
      </c>
      <c r="B3">
        <v>0</v>
      </c>
      <c r="C3" t="s">
        <v>613</v>
      </c>
      <c r="D3" t="s">
        <v>612</v>
      </c>
      <c r="E3" t="s">
        <v>611</v>
      </c>
      <c r="F3" t="s">
        <v>610</v>
      </c>
      <c r="G3" t="s">
        <v>609</v>
      </c>
    </row>
    <row r="4" spans="1:7">
      <c r="A4" t="s">
        <v>604</v>
      </c>
      <c r="B4">
        <v>26</v>
      </c>
      <c r="C4">
        <v>21</v>
      </c>
      <c r="D4">
        <v>5</v>
      </c>
      <c r="E4">
        <v>5</v>
      </c>
      <c r="F4">
        <v>1</v>
      </c>
      <c r="G4">
        <v>0</v>
      </c>
    </row>
    <row r="5" spans="1:7">
      <c r="A5" t="s">
        <v>605</v>
      </c>
      <c r="B5">
        <v>16</v>
      </c>
      <c r="C5">
        <v>18</v>
      </c>
      <c r="D5">
        <v>7</v>
      </c>
      <c r="E5">
        <v>8</v>
      </c>
      <c r="F5">
        <v>3</v>
      </c>
      <c r="G5">
        <v>6</v>
      </c>
    </row>
    <row r="6" spans="1:7">
      <c r="A6" t="s">
        <v>606</v>
      </c>
      <c r="B6">
        <v>11</v>
      </c>
      <c r="C6">
        <v>11</v>
      </c>
      <c r="D6">
        <v>8</v>
      </c>
      <c r="E6">
        <v>12</v>
      </c>
      <c r="F6">
        <v>2</v>
      </c>
      <c r="G6">
        <v>14</v>
      </c>
    </row>
    <row r="7" spans="1:7">
      <c r="A7" t="s">
        <v>681</v>
      </c>
      <c r="B7">
        <v>7</v>
      </c>
      <c r="C7">
        <v>6</v>
      </c>
      <c r="D7">
        <v>6</v>
      </c>
      <c r="E7">
        <v>8</v>
      </c>
      <c r="F7">
        <v>9</v>
      </c>
      <c r="G7">
        <v>22</v>
      </c>
    </row>
    <row r="8" spans="1:7">
      <c r="A8" t="s">
        <v>607</v>
      </c>
      <c r="B8">
        <v>0</v>
      </c>
      <c r="C8">
        <v>0</v>
      </c>
      <c r="D8">
        <v>1</v>
      </c>
      <c r="E8">
        <v>1</v>
      </c>
      <c r="F8">
        <v>0</v>
      </c>
      <c r="G8">
        <v>56</v>
      </c>
    </row>
    <row r="9" spans="1:7">
      <c r="A9" t="s">
        <v>682</v>
      </c>
      <c r="B9">
        <v>0</v>
      </c>
      <c r="C9">
        <v>0</v>
      </c>
      <c r="D9">
        <v>0</v>
      </c>
      <c r="E9">
        <v>0</v>
      </c>
      <c r="F9">
        <v>0</v>
      </c>
      <c r="G9">
        <v>58</v>
      </c>
    </row>
    <row r="12" spans="1:7">
      <c r="A12" t="s">
        <v>700</v>
      </c>
    </row>
    <row r="13" spans="1:7">
      <c r="B13" t="s">
        <v>680</v>
      </c>
    </row>
    <row r="14" spans="1:7">
      <c r="A14" t="s">
        <v>679</v>
      </c>
      <c r="B14">
        <v>0</v>
      </c>
      <c r="C14" t="s">
        <v>613</v>
      </c>
      <c r="D14" t="s">
        <v>612</v>
      </c>
      <c r="E14" t="s">
        <v>611</v>
      </c>
      <c r="F14" t="s">
        <v>610</v>
      </c>
      <c r="G14" t="s">
        <v>609</v>
      </c>
    </row>
    <row r="15" spans="1:7">
      <c r="A15" t="s">
        <v>604</v>
      </c>
      <c r="B15">
        <v>25</v>
      </c>
      <c r="C15">
        <v>23</v>
      </c>
      <c r="D15">
        <v>4</v>
      </c>
      <c r="E15">
        <v>5</v>
      </c>
      <c r="F15">
        <v>1</v>
      </c>
      <c r="G15">
        <v>0</v>
      </c>
    </row>
    <row r="16" spans="1:7">
      <c r="A16" t="s">
        <v>605</v>
      </c>
      <c r="B16">
        <v>16</v>
      </c>
      <c r="C16">
        <v>17</v>
      </c>
      <c r="D16">
        <v>9</v>
      </c>
      <c r="E16">
        <v>6</v>
      </c>
      <c r="F16">
        <v>4</v>
      </c>
      <c r="G16">
        <v>6</v>
      </c>
    </row>
    <row r="17" spans="1:8">
      <c r="A17" t="s">
        <v>606</v>
      </c>
      <c r="B17">
        <v>11</v>
      </c>
      <c r="C17">
        <v>8</v>
      </c>
      <c r="D17">
        <v>10</v>
      </c>
      <c r="E17">
        <v>12</v>
      </c>
      <c r="F17">
        <v>3</v>
      </c>
      <c r="G17">
        <v>14</v>
      </c>
      <c r="H17">
        <f>14/58</f>
        <v>0.2413793103448276</v>
      </c>
    </row>
    <row r="18" spans="1:8">
      <c r="A18" t="s">
        <v>681</v>
      </c>
      <c r="B18">
        <v>7</v>
      </c>
      <c r="C18">
        <v>4</v>
      </c>
      <c r="D18">
        <v>6</v>
      </c>
      <c r="E18">
        <v>9</v>
      </c>
      <c r="F18">
        <v>8</v>
      </c>
      <c r="G18">
        <v>24</v>
      </c>
    </row>
    <row r="19" spans="1:8">
      <c r="A19" t="s">
        <v>607</v>
      </c>
      <c r="B19">
        <v>0</v>
      </c>
      <c r="C19">
        <v>1</v>
      </c>
      <c r="D19">
        <v>0</v>
      </c>
      <c r="E19">
        <v>0</v>
      </c>
      <c r="F19">
        <v>1</v>
      </c>
      <c r="G19">
        <v>56</v>
      </c>
    </row>
    <row r="20" spans="1:8">
      <c r="A20" t="s">
        <v>682</v>
      </c>
      <c r="B20">
        <v>0</v>
      </c>
      <c r="C20">
        <v>0</v>
      </c>
      <c r="D20">
        <v>0</v>
      </c>
      <c r="E20">
        <v>0</v>
      </c>
      <c r="F20">
        <v>0</v>
      </c>
      <c r="G20">
        <v>58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K1" workbookViewId="0">
      <selection activeCell="P1" sqref="P1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696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0.97912557527942146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0.98767258382642997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25</v>
      </c>
      <c r="R3" s="8">
        <f t="shared" ref="R3:R8" si="8">COUNTIFS($X3:$CC3,"&gt;0",$X3:$CC3,"&lt;0.25")</f>
        <v>23</v>
      </c>
      <c r="S3" s="8">
        <f t="shared" ref="S3:S8" si="9">COUNTIFS($X3:$CC3,"&gt;=0.25",$X3:$CC3,"&lt;0.5")</f>
        <v>4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0.1111111111111111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0.35772357723577236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0.9934253780407627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16</v>
      </c>
      <c r="R4" s="8">
        <f t="shared" si="8"/>
        <v>17</v>
      </c>
      <c r="S4" s="8">
        <f t="shared" si="9"/>
        <v>9</v>
      </c>
      <c r="T4" s="8">
        <f t="shared" si="10"/>
        <v>6</v>
      </c>
      <c r="U4" s="8">
        <f t="shared" si="11"/>
        <v>4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0.27777777777777779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1</v>
      </c>
      <c r="AM4">
        <f t="shared" si="15"/>
        <v>5.208333333333333E-3</v>
      </c>
      <c r="AN4">
        <f t="shared" si="15"/>
        <v>8.4745762711864406E-3</v>
      </c>
      <c r="AO4">
        <f t="shared" si="15"/>
        <v>0.20454545454545456</v>
      </c>
      <c r="AP4">
        <f t="shared" si="15"/>
        <v>0.26190476190476192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0.16279069767441862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0.47619047619047616</v>
      </c>
      <c r="BF4">
        <f t="shared" si="15"/>
        <v>0.73333333333333328</v>
      </c>
      <c r="BG4">
        <f t="shared" si="15"/>
        <v>0.86419753086419748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0.51327433628318586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1.0121630506245891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0.734375</v>
      </c>
      <c r="N5" s="4">
        <f t="shared" si="14"/>
        <v>0.453125</v>
      </c>
      <c r="O5" s="4">
        <f t="shared" ref="O4:O7" si="16">SUM(Q5:V5)</f>
        <v>58</v>
      </c>
      <c r="P5" t="s">
        <v>606</v>
      </c>
      <c r="Q5" s="8">
        <f t="shared" si="7"/>
        <v>11</v>
      </c>
      <c r="R5" s="8">
        <f t="shared" si="8"/>
        <v>8</v>
      </c>
      <c r="S5" s="8">
        <f t="shared" si="9"/>
        <v>10</v>
      </c>
      <c r="T5" s="8">
        <f t="shared" si="10"/>
        <v>12</v>
      </c>
      <c r="U5" s="8">
        <f t="shared" si="11"/>
        <v>3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0.5757575757575758</v>
      </c>
      <c r="Z5">
        <f t="shared" si="15"/>
        <v>0.27777777777777779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1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0.52542372881355937</v>
      </c>
      <c r="AO5">
        <f t="shared" si="15"/>
        <v>0.38636363636363635</v>
      </c>
      <c r="AP5">
        <f t="shared" si="15"/>
        <v>0.26190476190476192</v>
      </c>
      <c r="AQ5">
        <f t="shared" si="15"/>
        <v>0</v>
      </c>
      <c r="AR5">
        <f t="shared" si="15"/>
        <v>0</v>
      </c>
      <c r="AS5">
        <f t="shared" si="15"/>
        <v>0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0.66666666666666663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0.51327433628318586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0.5714285714285714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0.41932059447983017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0.640625</v>
      </c>
      <c r="O6" s="4">
        <f t="shared" si="16"/>
        <v>58</v>
      </c>
      <c r="P6" t="s">
        <v>681</v>
      </c>
      <c r="Q6" s="8">
        <f t="shared" si="7"/>
        <v>7</v>
      </c>
      <c r="R6" s="8">
        <f t="shared" si="8"/>
        <v>4</v>
      </c>
      <c r="S6" s="8">
        <f t="shared" si="9"/>
        <v>6</v>
      </c>
      <c r="T6" s="8">
        <f t="shared" si="10"/>
        <v>9</v>
      </c>
      <c r="U6" s="8">
        <f t="shared" si="11"/>
        <v>8</v>
      </c>
      <c r="V6" s="8">
        <f t="shared" si="12"/>
        <v>24</v>
      </c>
      <c r="W6" t="s">
        <v>681</v>
      </c>
      <c r="X6">
        <f t="shared" si="15"/>
        <v>0</v>
      </c>
      <c r="Y6">
        <f t="shared" si="15"/>
        <v>0.96969696969696972</v>
      </c>
      <c r="Z6">
        <f t="shared" si="15"/>
        <v>0.61111111111111116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1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0.38636363636363635</v>
      </c>
      <c r="AP6">
        <f t="shared" si="15"/>
        <v>0.26190476190476192</v>
      </c>
      <c r="AQ6">
        <f t="shared" si="15"/>
        <v>0.84036144578313254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0.79069767441860461</v>
      </c>
      <c r="AX6">
        <f t="shared" si="15"/>
        <v>0.45652173913043476</v>
      </c>
      <c r="AY6">
        <f t="shared" si="15"/>
        <v>1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0.68181818181818177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0.9989561586638831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0.6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0.59766454352441611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1</v>
      </c>
      <c r="S7" s="8">
        <f t="shared" si="9"/>
        <v>0</v>
      </c>
      <c r="T7" s="8">
        <f t="shared" si="10"/>
        <v>0</v>
      </c>
      <c r="U7" s="8">
        <f t="shared" si="11"/>
        <v>1</v>
      </c>
      <c r="V7" s="8">
        <f t="shared" si="12"/>
        <v>56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0.91860465116279066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1</v>
      </c>
      <c r="BJ7">
        <f t="shared" si="15"/>
        <v>6.7842605156037995E-3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1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1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0.64755838641188956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0.68259023354564752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0.75265392781316354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0.76008492569002128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0.78131634819532914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0.83121019108280259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0.96969696969696972</v>
      </c>
      <c r="F14" s="4">
        <v>0.85456475583864122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0.96969696969696972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0.85562632696390661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0.85881104033970279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0.90870488322717624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0.91295116772823781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0.96072186836518048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0.97770700636942676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0.1111111111111111</v>
      </c>
      <c r="F21" s="4">
        <v>0.15689981096408318</v>
      </c>
      <c r="G21" s="4">
        <f t="shared" si="1"/>
        <v>0.1111111111111111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0.27777777777777779</v>
      </c>
      <c r="F22" s="4">
        <v>0.30812854442344045</v>
      </c>
      <c r="G22" s="4" t="str">
        <f t="shared" si="1"/>
        <v/>
      </c>
      <c r="H22" s="4">
        <f t="shared" si="2"/>
        <v>0.27777777777777779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0.70510396975425327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>
        <f t="shared" si="4"/>
        <v>0.61111111111111116</v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1.0075614366729679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1.0094517958412099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8.7529976019184649E-2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8.8129496402877691E-2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8.9328537170263789E-2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0.17326139088729017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0.1750599520383693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0.34772182254196643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0.3537170263788969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0.3657074340527578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0.40527577937649878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0.40947242206235013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0.30601092896174864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0.67213114754098358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0.6863387978142077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0.96174863387978138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0.30296377607025249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0.70967741935483875</v>
      </c>
      <c r="F41" s="4">
        <v>0.68276619099890234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0.70967741935483875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0.69374313940724475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0.99341383095499447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0.28082191780821919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0.52397260273972601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0.76369863013698636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1.0068493150684932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1.0342465753424657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1.205244282438709E-2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1.6991004762184726E-2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0.96343112469868897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0.98412605091422189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1.6835767644107481E-2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2.9657709889619802E-2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6.4444196677444526E-2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8.1279964321552017E-2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0.10424796521351322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0.11205262571078158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0.11238711116066451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0.11283309176050842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0.1152859850596499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0.11907682015832312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0.11929981045824507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0.12063775225777679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0.12141821830750363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0.12309064555691827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0.12643550005574758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0.12721596610547442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0.1273274612554354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0.13557810235254766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0.1632288995428699</v>
      </c>
      <c r="G71" s="4">
        <f t="shared" si="19"/>
        <v>0.46099290780141844</v>
      </c>
      <c r="H71" s="4" t="str">
        <f t="shared" si="20"/>
        <v/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0.16958412309064555</v>
      </c>
      <c r="G72" s="4">
        <f t="shared" si="19"/>
        <v>0.5957446808510638</v>
      </c>
      <c r="H72" s="4" t="str">
        <f t="shared" si="20"/>
        <v/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0.17337495818931875</v>
      </c>
      <c r="G73" s="4">
        <f t="shared" si="19"/>
        <v>0.5957446808510638</v>
      </c>
      <c r="H73" s="4" t="str">
        <f t="shared" si="20"/>
        <v/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0.18296354108596277</v>
      </c>
      <c r="G74" s="4">
        <f t="shared" si="19"/>
        <v>0.63120567375886527</v>
      </c>
      <c r="H74" s="4" t="str">
        <f t="shared" si="20"/>
        <v/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0.63120567375886527</v>
      </c>
      <c r="F75" s="4">
        <v>0.1846359683353774</v>
      </c>
      <c r="G75" s="4">
        <f t="shared" si="19"/>
        <v>0.63120567375886527</v>
      </c>
      <c r="H75" s="4" t="str">
        <f t="shared" si="20"/>
        <v/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0.63120567375886527</v>
      </c>
      <c r="F76" s="4">
        <v>0.18508194893522131</v>
      </c>
      <c r="G76" s="4">
        <f t="shared" si="19"/>
        <v>0.63120567375886527</v>
      </c>
      <c r="H76" s="4" t="str">
        <f t="shared" si="20"/>
        <v/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0.19021072583342624</v>
      </c>
      <c r="G77" s="4">
        <f t="shared" si="19"/>
        <v>0.72340425531914898</v>
      </c>
      <c r="H77" s="4" t="str">
        <f t="shared" si="20"/>
        <v/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0.19132567733303601</v>
      </c>
      <c r="G78" s="4">
        <f t="shared" si="19"/>
        <v>0.72340425531914898</v>
      </c>
      <c r="H78" s="4" t="str">
        <f t="shared" si="20"/>
        <v/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0.75886524822695034</v>
      </c>
      <c r="F79" s="4">
        <v>0.19545099788159215</v>
      </c>
      <c r="G79" s="4">
        <f t="shared" si="19"/>
        <v>0.75886524822695034</v>
      </c>
      <c r="H79" s="4" t="str">
        <f t="shared" si="20"/>
        <v/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0.19623146393131899</v>
      </c>
      <c r="G80" s="4">
        <f t="shared" si="19"/>
        <v>0.75886524822695034</v>
      </c>
      <c r="H80" s="4" t="str">
        <f t="shared" si="20"/>
        <v/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0.1981268814806556</v>
      </c>
      <c r="G81" s="4">
        <f t="shared" si="19"/>
        <v>0.75886524822695034</v>
      </c>
      <c r="H81" s="4" t="str">
        <f t="shared" si="20"/>
        <v/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0.20013379417995317</v>
      </c>
      <c r="G82" s="4" t="str">
        <f t="shared" si="19"/>
        <v/>
      </c>
      <c r="H82" s="4">
        <f t="shared" si="20"/>
        <v>0.75886524822695034</v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0.20570855167800201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0.20715798862749471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0.21172928977589475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0.21217527037573866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0.21931095997324115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0.22120637752257777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0.22198684357230461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0.22722711562047052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0.7625153305831196</v>
      </c>
      <c r="G91" s="4" t="str">
        <f t="shared" si="19"/>
        <v/>
      </c>
      <c r="H91" s="4" t="str">
        <f t="shared" si="20"/>
        <v/>
      </c>
      <c r="I91" s="4" t="str">
        <f t="shared" si="21"/>
        <v/>
      </c>
      <c r="J91" s="4">
        <f t="shared" si="22"/>
        <v>0.75886524822695034</v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0.9158211617794626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0.91938900657821387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0.92474077377634067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0.93009254097446759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0.94982718251756049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0.95149960976697512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>
        <f t="shared" si="23"/>
        <v>1</v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0.96320660051287765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>
        <f t="shared" si="23"/>
        <v>1</v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1.7190882465299887E-2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3.1070928307653126E-2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0.23430536100853178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0.25582579905768499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0.26652234814720488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0.99212598425196852</v>
      </c>
      <c r="F104" s="4">
        <v>0.87342416910734755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0.99212598425196852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0.87482490767859422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0.91175347001146057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0.91722908442633388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0.91850248312746718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0.92245001910098057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0.92410543741245388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0.92423277728256714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0.92474213676302053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0.9252514962434738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0.9265248949446071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0.92907169234687381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0.93543868585254042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0.93620272507322044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0.93696676429390047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0.93887686234560042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0.9406596205271871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0.94091430026741374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0.94346109766968034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0.94982809117534706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0.95021011078568696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0.96103399974532022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0.97300394753597352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4.4519883608147431E-2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5.3249272550921434E-2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5.33462657613967E-2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5.518913676042677E-2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5.7807953443258973E-2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0.52475247524752477</v>
      </c>
      <c r="F132" s="4">
        <v>5.9456838021338505E-2</v>
      </c>
      <c r="G132" s="4">
        <f t="shared" si="26"/>
        <v>0.52475247524752477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6.1105722599418044E-2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6.1396702230843841E-2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6.2560620756547045E-2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6.5858389912706108E-2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6.7895247332686717E-2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6.9835111542192047E-2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0.52475247524752477</v>
      </c>
      <c r="F139" s="4">
        <v>6.9932104752667312E-2</v>
      </c>
      <c r="G139" s="4">
        <f t="shared" si="26"/>
        <v>0.52475247524752477</v>
      </c>
      <c r="H139" s="4" t="str">
        <f t="shared" si="27"/>
        <v/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7.4684772065955377E-2</v>
      </c>
      <c r="G140" s="4">
        <f t="shared" si="26"/>
        <v>0.70297029702970293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7.5460717749757517E-2</v>
      </c>
      <c r="G141" s="4">
        <f t="shared" si="26"/>
        <v>0.70297029702970293</v>
      </c>
      <c r="H141" s="4" t="str">
        <f t="shared" si="27"/>
        <v/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7.8564500484966049E-2</v>
      </c>
      <c r="G142" s="4">
        <f t="shared" si="26"/>
        <v>0.70297029702970293</v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7.953443258971872E-2</v>
      </c>
      <c r="G143" s="4">
        <f t="shared" si="26"/>
        <v>0.70297029702970293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8.5354025218234722E-2</v>
      </c>
      <c r="G144" s="4">
        <f t="shared" si="26"/>
        <v>0.70297029702970293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8.6420950533462659E-2</v>
      </c>
      <c r="G145" s="4">
        <f t="shared" si="26"/>
        <v>0.70297029702970293</v>
      </c>
      <c r="H145" s="4" t="str">
        <f t="shared" si="27"/>
        <v/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9.1561590688651801E-2</v>
      </c>
      <c r="G146" s="4">
        <f t="shared" si="26"/>
        <v>0.70297029702970293</v>
      </c>
      <c r="H146" s="4" t="str">
        <f t="shared" si="27"/>
        <v/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9.5053346265761396E-2</v>
      </c>
      <c r="G147" s="4">
        <f t="shared" si="26"/>
        <v>0.70297029702970293</v>
      </c>
      <c r="H147" s="4" t="str">
        <f t="shared" si="27"/>
        <v/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9.7187196896217271E-2</v>
      </c>
      <c r="G148" s="4">
        <f t="shared" si="26"/>
        <v>0.70297029702970293</v>
      </c>
      <c r="H148" s="4" t="str">
        <f t="shared" si="27"/>
        <v/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0.42803103782735208</v>
      </c>
      <c r="G149" s="4" t="str">
        <f t="shared" si="26"/>
        <v/>
      </c>
      <c r="H149" s="4" t="str">
        <f t="shared" si="27"/>
        <v/>
      </c>
      <c r="I149" s="4">
        <f t="shared" si="28"/>
        <v>1</v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0.43336566440349178</v>
      </c>
      <c r="G150" s="4" t="str">
        <f t="shared" si="26"/>
        <v/>
      </c>
      <c r="H150" s="4" t="str">
        <f t="shared" si="27"/>
        <v/>
      </c>
      <c r="I150" s="4">
        <f t="shared" si="28"/>
        <v>1</v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0.43375363724539284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0.43404461687681861</v>
      </c>
      <c r="G152" s="4" t="str">
        <f t="shared" si="26"/>
        <v/>
      </c>
      <c r="H152" s="4" t="str">
        <f t="shared" si="27"/>
        <v/>
      </c>
      <c r="I152" s="4">
        <f t="shared" si="28"/>
        <v>1</v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0.43579049466537345</v>
      </c>
      <c r="G153" s="4" t="str">
        <f t="shared" si="26"/>
        <v/>
      </c>
      <c r="H153" s="4" t="str">
        <f t="shared" si="27"/>
        <v/>
      </c>
      <c r="I153" s="4">
        <f t="shared" si="28"/>
        <v>1</v>
      </c>
      <c r="J153" s="4" t="str">
        <f t="shared" si="29"/>
        <v/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0.44325897187196894</v>
      </c>
      <c r="G154" s="4" t="str">
        <f t="shared" si="26"/>
        <v/>
      </c>
      <c r="H154" s="4" t="str">
        <f t="shared" si="27"/>
        <v/>
      </c>
      <c r="I154" s="4">
        <f t="shared" si="28"/>
        <v>1</v>
      </c>
      <c r="J154" s="4" t="str">
        <f t="shared" si="29"/>
        <v/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0.4468477206595538</v>
      </c>
      <c r="G155" s="4" t="str">
        <f t="shared" si="26"/>
        <v/>
      </c>
      <c r="H155" s="4" t="str">
        <f t="shared" si="27"/>
        <v/>
      </c>
      <c r="I155" s="4">
        <f t="shared" si="28"/>
        <v>1</v>
      </c>
      <c r="J155" s="4" t="str">
        <f t="shared" si="29"/>
        <v/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0.46333656644034915</v>
      </c>
      <c r="G156" s="4" t="str">
        <f t="shared" si="26"/>
        <v/>
      </c>
      <c r="H156" s="4" t="str">
        <f t="shared" si="27"/>
        <v/>
      </c>
      <c r="I156" s="4">
        <f t="shared" si="28"/>
        <v>1</v>
      </c>
      <c r="J156" s="4" t="str">
        <f t="shared" si="29"/>
        <v/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0.90649854510184291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0.93753637245392818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0.95460717749757518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5.4333421680360455E-2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0.50914391730718256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0.99522926053538296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0.97727272727272729</v>
      </c>
      <c r="F163" s="4">
        <v>1.0032362459546926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0.97727272727272729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1.0284789644012946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0.99932795698924726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1.0571236559139785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0.12790349168290124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0.12820320695339427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0.12865277985913381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0.11576354679802955</v>
      </c>
      <c r="F170" s="4">
        <v>0.13022628502922223</v>
      </c>
      <c r="G170" s="4">
        <f t="shared" si="26"/>
        <v>0.11576354679802955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0.13322343773415254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0.13359808182226884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0.13367301063989209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0.13397272591038514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0.13996703132024577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0.14146560767271094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0.14169039412558071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0.14176532294320396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0.14566162145961337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0.14708526899445526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0.1491832758879065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0.15113142514611119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0.33990147783251229</v>
      </c>
      <c r="F183" s="4">
        <v>0.16237074778959987</v>
      </c>
      <c r="G183" s="4">
        <f t="shared" si="26"/>
        <v>0.33990147783251229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0.45073891625615764</v>
      </c>
      <c r="F184" s="4">
        <v>0.1662670463060093</v>
      </c>
      <c r="G184" s="4">
        <f t="shared" si="26"/>
        <v>0.45073891625615764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0.58620689655172409</v>
      </c>
      <c r="F185" s="4">
        <v>0.1667915480293721</v>
      </c>
      <c r="G185" s="4">
        <f t="shared" si="26"/>
        <v>0.58620689655172409</v>
      </c>
      <c r="H185" s="4" t="str">
        <f t="shared" si="27"/>
        <v/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0.58620689655172409</v>
      </c>
      <c r="F186" s="4">
        <v>0.17653229432039563</v>
      </c>
      <c r="G186" s="4">
        <f t="shared" si="26"/>
        <v>0.58620689655172409</v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0.58620689655172409</v>
      </c>
      <c r="F187" s="4">
        <v>0.17878015884909337</v>
      </c>
      <c r="G187" s="4">
        <f t="shared" si="26"/>
        <v>0.58620689655172409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0.58620689655172409</v>
      </c>
      <c r="F188" s="4">
        <v>0.18222688445976323</v>
      </c>
      <c r="G188" s="4">
        <f t="shared" si="26"/>
        <v>0.58620689655172409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0.77093596059113301</v>
      </c>
      <c r="F189" s="4">
        <v>0.22523602577551327</v>
      </c>
      <c r="G189" s="4" t="str">
        <f t="shared" si="26"/>
        <v/>
      </c>
      <c r="H189" s="4">
        <f t="shared" si="27"/>
        <v>0.77093596059113301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0.77093596059113301</v>
      </c>
      <c r="F190" s="4">
        <v>0.22538588341075977</v>
      </c>
      <c r="G190" s="4" t="str">
        <f t="shared" si="26"/>
        <v/>
      </c>
      <c r="H190" s="4">
        <f t="shared" si="27"/>
        <v>0.77093596059113301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0.77093596059113301</v>
      </c>
      <c r="F191" s="4">
        <v>0.22598531395174584</v>
      </c>
      <c r="G191" s="4" t="str">
        <f t="shared" si="26"/>
        <v/>
      </c>
      <c r="H191" s="4">
        <f t="shared" si="27"/>
        <v>0.77093596059113301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0.77093596059113301</v>
      </c>
      <c r="F192" s="4">
        <v>0.23123033118537389</v>
      </c>
      <c r="G192" s="4" t="str">
        <f t="shared" si="26"/>
        <v/>
      </c>
      <c r="H192" s="4">
        <f t="shared" si="27"/>
        <v>0.77093596059113301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0.77093596059113301</v>
      </c>
      <c r="F193" s="4">
        <v>0.23894799940056946</v>
      </c>
      <c r="G193" s="4" t="str">
        <f t="shared" si="26"/>
        <v/>
      </c>
      <c r="H193" s="4">
        <f t="shared" si="27"/>
        <v>0.77093596059113301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0.23954742994155553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0.24014686048254158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0.24029671811778811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0.28218192716918927</v>
      </c>
      <c r="G197" s="4" t="str">
        <f t="shared" si="33"/>
        <v/>
      </c>
      <c r="H197" s="4">
        <f t="shared" si="34"/>
        <v>1</v>
      </c>
      <c r="I197" s="4" t="str">
        <f t="shared" si="35"/>
        <v/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0.29769219241720368</v>
      </c>
      <c r="G198" s="4" t="str">
        <f t="shared" si="33"/>
        <v/>
      </c>
      <c r="H198" s="4">
        <f t="shared" si="34"/>
        <v>1</v>
      </c>
      <c r="I198" s="4" t="str">
        <f t="shared" si="35"/>
        <v/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1.9495798319327733E-2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0.40638655462184875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0.43142857142857144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0.51831932773109246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0.52672268907563025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0.53647058823529414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0.54369747899159659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0.55075630252100838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0.55663865546218483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0.56268907563025206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0.56991596638655462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0.97277310924369753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0.99546218487394955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2.6854559957458123E-2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0.59851103429938846</v>
      </c>
      <c r="G213" s="4" t="str">
        <f t="shared" si="33"/>
        <v/>
      </c>
      <c r="H213" s="4" t="str">
        <f t="shared" si="34"/>
        <v/>
      </c>
      <c r="I213" s="4">
        <f t="shared" si="35"/>
        <v>0.52542372881355937</v>
      </c>
      <c r="J213" s="4" t="str">
        <f t="shared" si="36"/>
        <v/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0.64956128689178405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0.69555969157139064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0.71948949747407609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0.73570858814145179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0.73996277585748471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0.75910662057963307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0.77505982451475675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0.80510502525923955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>
        <f t="shared" si="37"/>
        <v>1</v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0.84020207391651158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0.85642116458388728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0.87104493485775059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0.87928742355756451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0.90720553044403085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0.9465567668173358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1.0095719223610742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0.38145073980512451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0.46878383255142547</v>
      </c>
      <c r="G230" s="4" t="str">
        <f t="shared" si="33"/>
        <v/>
      </c>
      <c r="H230" s="4" t="str">
        <f t="shared" si="34"/>
        <v/>
      </c>
      <c r="I230" s="4">
        <f t="shared" si="35"/>
        <v>0.38636363636363635</v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0.48141465175027065</v>
      </c>
      <c r="G231" s="4" t="str">
        <f t="shared" si="33"/>
        <v/>
      </c>
      <c r="H231" s="4" t="str">
        <f t="shared" si="34"/>
        <v/>
      </c>
      <c r="I231" s="4">
        <f t="shared" si="35"/>
        <v>0.38636363636363635</v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0.50198484301696134</v>
      </c>
      <c r="G232" s="4" t="str">
        <f t="shared" si="33"/>
        <v/>
      </c>
      <c r="H232" s="4" t="str">
        <f t="shared" si="34"/>
        <v/>
      </c>
      <c r="I232" s="4">
        <f t="shared" si="35"/>
        <v>0.38636363636363635</v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0.8321905449296283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>
        <f t="shared" si="37"/>
        <v>1</v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0.83940815590039697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 t="str">
        <f t="shared" si="36"/>
        <v/>
      </c>
      <c r="K234" s="4">
        <f t="shared" si="37"/>
        <v>1</v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0.85925658607001087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 t="str">
        <f t="shared" si="36"/>
        <v/>
      </c>
      <c r="K235" s="4">
        <f t="shared" si="37"/>
        <v>1</v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3.33569907735983E-2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3.8482769497673687E-2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4.5264569040296507E-2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0.14880952380952381</v>
      </c>
      <c r="F239" s="4">
        <v>4.6999447993060481E-2</v>
      </c>
      <c r="G239" s="4">
        <f t="shared" si="33"/>
        <v>0.14880952380952381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0.15476190476190477</v>
      </c>
      <c r="F240" s="4">
        <v>4.7157164261493571E-2</v>
      </c>
      <c r="G240" s="4">
        <f t="shared" si="33"/>
        <v>0.15476190476190477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4.8340036274741739E-2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0.17261904761904762</v>
      </c>
      <c r="F242" s="4">
        <v>4.9444050153773358E-2</v>
      </c>
      <c r="G242" s="4">
        <f t="shared" si="33"/>
        <v>0.17261904761904762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0.18452380952380953</v>
      </c>
      <c r="F243" s="4">
        <v>4.9838340824856081E-2</v>
      </c>
      <c r="G243" s="4">
        <f t="shared" si="33"/>
        <v>0.18452380952380953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0.19642857142857142</v>
      </c>
      <c r="F244" s="4">
        <v>5.1257787240753881E-2</v>
      </c>
      <c r="G244" s="4">
        <f t="shared" si="33"/>
        <v>0.19642857142857142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0.21428571428571427</v>
      </c>
      <c r="F245" s="4">
        <v>5.4727545146281836E-2</v>
      </c>
      <c r="G245" s="4">
        <f t="shared" si="33"/>
        <v>0.21428571428571427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0.22023809523809523</v>
      </c>
      <c r="F246" s="4">
        <v>5.5200693951581108E-2</v>
      </c>
      <c r="G246" s="4">
        <f t="shared" si="33"/>
        <v>0.22023809523809523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0.23214285714285715</v>
      </c>
      <c r="F247" s="4">
        <v>5.6541282233262359E-2</v>
      </c>
      <c r="G247" s="4">
        <f t="shared" si="33"/>
        <v>0.23214285714285715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0.24404761904761904</v>
      </c>
      <c r="F248" s="4">
        <v>5.8433877454459431E-2</v>
      </c>
      <c r="G248" s="4">
        <f t="shared" si="33"/>
        <v>0.24404761904761904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0.25595238095238093</v>
      </c>
      <c r="F249" s="4">
        <v>5.9222458796624869E-2</v>
      </c>
      <c r="G249" s="4">
        <f t="shared" si="33"/>
        <v>0.25595238095238093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0.26190476190476192</v>
      </c>
      <c r="F250" s="4">
        <v>6.0484188944089586E-2</v>
      </c>
      <c r="G250" s="4">
        <f t="shared" si="33"/>
        <v>0.26190476190476192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1</v>
      </c>
      <c r="F251" s="4">
        <v>0.97563283652708777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1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0.74519370109168193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>
        <f t="shared" si="36"/>
        <v>0.84036144578313254</v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0.92377548062989079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1.0142981354458507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0.86046511627906974</v>
      </c>
      <c r="F255" s="4">
        <v>0.87013564598621307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0.86046511627906974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0.8719146097398266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0.88414498554591947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0.8928174338447854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0.90993995997331556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0.95130086724482987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0.95219034912163669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0.96708917055814991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>
        <f t="shared" si="44"/>
        <v>1</v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2.0658216588837002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>
        <f t="shared" si="45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0.62444699328199249</v>
      </c>
      <c r="G264" s="4" t="str">
        <f t="shared" si="40"/>
        <v/>
      </c>
      <c r="H264" s="4" t="str">
        <f t="shared" si="41"/>
        <v/>
      </c>
      <c r="I264" s="4" t="str">
        <f t="shared" si="42"/>
        <v/>
      </c>
      <c r="J264" s="4">
        <f t="shared" si="43"/>
        <v>0.64462809917355368</v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0.63673603145993773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8.2465277777777776E-2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0.14409722222222221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0.17274305555555555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0.20833333333333334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0.4045138888888889</v>
      </c>
      <c r="G270" s="4" t="str">
        <f t="shared" si="40"/>
        <v/>
      </c>
      <c r="H270" s="4" t="str">
        <f t="shared" si="41"/>
        <v/>
      </c>
      <c r="I270" s="4">
        <f t="shared" si="42"/>
        <v>0.2558139534883721</v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0.95348837209302328</v>
      </c>
      <c r="F271" s="4">
        <v>0.89149305555555558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0.95348837209302328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1.0043402777777777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>
        <f t="shared" si="44"/>
        <v>1</v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6.8016813144822316E-2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0.61597248758119982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0.62953763851738631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1.0677618069815195E-2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2.5256673511293636E-2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7.0020533880903485E-2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0.10184804928131416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0.10246406570841889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0.96960985626283369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5.0995775497887752E-2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0.13126131563065782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0.15328907664453834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0.18135184067592033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0.18889559444779722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0.74984912492456246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0.77066988533494263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0.80265540132770063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 t="str">
        <f t="shared" si="43"/>
        <v/>
      </c>
      <c r="K289" s="4">
        <f t="shared" si="44"/>
        <v>0.81395348837209303</v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0.8177429088714544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 t="str">
        <f t="shared" si="43"/>
        <v/>
      </c>
      <c r="K290" s="4">
        <f t="shared" si="44"/>
        <v>0.87209302325581395</v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0.85093542546771272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 t="str">
        <f t="shared" si="43"/>
        <v/>
      </c>
      <c r="K291" s="4">
        <f t="shared" si="44"/>
        <v>0.91860465116279066</v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1.5247435123717561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 t="str">
        <f t="shared" si="44"/>
        <v/>
      </c>
      <c r="L292" s="4">
        <f t="shared" si="45"/>
        <v>1</v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7.4917022285443335E-2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0.12233285917496443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0.28212422949265054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0.29634898055950687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0.97771455666192508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7.6846307385229545E-2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0.34331337325349304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0.48003992015968067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0.54091816367265466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0.6337325349301397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0.66666666666666663</v>
      </c>
      <c r="F303" s="4">
        <v>0.69560878243512969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0.66666666666666663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0.66666666666666663</v>
      </c>
      <c r="F304" s="4">
        <v>0.71057884231536927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0.66666666666666663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0.72155688622754488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0.76347305389221554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0.8</v>
      </c>
      <c r="F307" s="4">
        <v>0.780439121756487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0.8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0.78243512974051899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>
        <f t="shared" si="43"/>
        <v>0.93333333333333335</v>
      </c>
      <c r="K308" s="4" t="str">
        <f t="shared" si="44"/>
        <v/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0.78343313373253498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>
        <f t="shared" si="43"/>
        <v>0.96666666666666667</v>
      </c>
      <c r="K309" s="4" t="str">
        <f t="shared" si="44"/>
        <v/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0.78742514970059885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>
        <f t="shared" si="43"/>
        <v>1</v>
      </c>
      <c r="K310" s="4" t="str">
        <f t="shared" si="44"/>
        <v/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0.80738522954091818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0.85628742514970058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0.85728542914171657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0.86427145708582831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0.8652694610778443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0.86826347305389218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0.87225548902195604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0.87624750499001991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0.88123752495009977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0.88822355289421162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0.91816367265469057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0.92315369261477043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0.92415169660678642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0.92814371257485029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0.92914171656686628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0.93313373253493015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0.9760479041916168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0.97804391217564868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0.98303393213572854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0.97604912403236133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1.00218264361795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0.18315018315018314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0.19480519480519481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0.21844821844821846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0.22244422244422243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0.25774225774225773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0.27439227439227437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0.29803529803529805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0.30502830502830502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0.7946428571428571</v>
      </c>
      <c r="F340" s="4">
        <v>0.31002331002331002</v>
      </c>
      <c r="G340" s="4" t="str">
        <f t="shared" si="47"/>
        <v/>
      </c>
      <c r="H340" s="4">
        <f t="shared" si="48"/>
        <v>0.7946428571428571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0.3206793206793207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0.35064935064935066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0.37595737595737594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0.40659340659340659</v>
      </c>
      <c r="G344" s="4" t="str">
        <f t="shared" si="47"/>
        <v/>
      </c>
      <c r="H344" s="4" t="str">
        <f t="shared" si="48"/>
        <v/>
      </c>
      <c r="I344" s="4">
        <f t="shared" si="49"/>
        <v>1</v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0.4671994671994672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7.0284406668846028E-2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0.16</v>
      </c>
      <c r="F347" s="4">
        <v>0.11278195488721804</v>
      </c>
      <c r="G347" s="4">
        <f t="shared" si="47"/>
        <v>0.16</v>
      </c>
      <c r="H347" s="4" t="str">
        <f t="shared" si="48"/>
        <v/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0.36</v>
      </c>
      <c r="F348" s="4">
        <v>0.22153209109730848</v>
      </c>
      <c r="G348" s="4" t="str">
        <f t="shared" si="47"/>
        <v/>
      </c>
      <c r="H348" s="4">
        <f t="shared" si="48"/>
        <v>0.36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0.2220769314590825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0.31666121826304894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0.55137844611528819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2.6347449470644851E-2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4.876483798524222E-2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8.2651588065447548E-2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8.4416105229387237E-2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0.11898460057747834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0.20011228745588708</v>
      </c>
      <c r="G357" s="4" t="str">
        <f t="shared" si="47"/>
        <v/>
      </c>
      <c r="H357" s="4">
        <f t="shared" si="48"/>
        <v>0.64338235294117652</v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0.23592396535129934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0.24979948668591595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0.2681665062560154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0.53196930946291565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0.69565217391304346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0.79411764705882348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>
        <f t="shared" si="50"/>
        <v>0.68181818181818177</v>
      </c>
      <c r="K363" s="4" t="str">
        <f t="shared" si="51"/>
        <v/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0.90153452685421998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0.94884910485933505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1.0332480818414322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0.1280193236714976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0.34299516908212563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0.37681159420289856</v>
      </c>
      <c r="G369" s="4" t="str">
        <f t="shared" si="47"/>
        <v/>
      </c>
      <c r="H369" s="4">
        <f t="shared" si="48"/>
        <v>0.47619047619047616</v>
      </c>
      <c r="I369" s="4" t="str">
        <f t="shared" si="49"/>
        <v/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0.66666666666666663</v>
      </c>
      <c r="F370" s="4">
        <v>0.54106280193236711</v>
      </c>
      <c r="G370" s="4" t="str">
        <f t="shared" si="47"/>
        <v/>
      </c>
      <c r="H370" s="4" t="str">
        <f t="shared" si="48"/>
        <v/>
      </c>
      <c r="I370" s="4">
        <f t="shared" si="49"/>
        <v>0.66666666666666663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0.80952380952380953</v>
      </c>
      <c r="F371" s="4">
        <v>0.60990338164251212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0.80952380952380953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0.8571428571428571</v>
      </c>
      <c r="F372" s="4">
        <v>0.63888888888888884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0.8571428571428571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0.68599033816425126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>
        <f t="shared" si="50"/>
        <v>1</v>
      </c>
      <c r="K373" s="4" t="str">
        <f t="shared" si="51"/>
        <v/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0.79468599033816423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>
        <f t="shared" si="50"/>
        <v>1</v>
      </c>
      <c r="K374" s="4" t="str">
        <f t="shared" si="51"/>
        <v/>
      </c>
      <c r="L374" s="4" t="str">
        <f t="shared" si="52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0.89855072463768115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>
        <f t="shared" si="51"/>
        <v>1</v>
      </c>
      <c r="L375" s="4" t="str">
        <f t="shared" si="52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0.94927536231884058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>
        <f t="shared" si="51"/>
        <v>1</v>
      </c>
      <c r="L376" s="4" t="str">
        <f t="shared" si="52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0.24166666666666667</v>
      </c>
      <c r="F377" s="4">
        <v>0.29206016089541798</v>
      </c>
      <c r="G377" s="4" t="str">
        <f t="shared" si="47"/>
        <v/>
      </c>
      <c r="H377" s="4">
        <f t="shared" si="48"/>
        <v>0.24166666666666667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0.29695697796432319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0.30884924798880725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0.42499999999999999</v>
      </c>
      <c r="F380" s="4">
        <v>0.3144456103532704</v>
      </c>
      <c r="G380" s="4" t="str">
        <f t="shared" si="47"/>
        <v/>
      </c>
      <c r="H380" s="4">
        <f t="shared" si="48"/>
        <v>0.42499999999999999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0.31479538300104931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0.32214060860440713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0.3364812871633438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0.36096537250786986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0.42077649527806926</v>
      </c>
      <c r="G385" s="4" t="str">
        <f t="shared" si="47"/>
        <v/>
      </c>
      <c r="H385" s="4" t="str">
        <f t="shared" si="48"/>
        <v/>
      </c>
      <c r="I385" s="4">
        <f t="shared" si="49"/>
        <v>0.85</v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0.46834557537600557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0.11728395061728394</v>
      </c>
      <c r="F387" s="4">
        <v>7.2399198039652488E-2</v>
      </c>
      <c r="G387" s="4">
        <f t="shared" ref="G387:G450" si="54">IF($F387 &lt;= 0.2,$E387,"")</f>
        <v>0.11728395061728394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0.1728395061728395</v>
      </c>
      <c r="F388" s="4">
        <v>0.11439073290265092</v>
      </c>
      <c r="G388" s="4">
        <f t="shared" si="54"/>
        <v>0.1728395061728395</v>
      </c>
      <c r="H388" s="4" t="str">
        <f t="shared" si="55"/>
        <v/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0.3888888888888889</v>
      </c>
      <c r="F389" s="4">
        <v>0.20728447315660503</v>
      </c>
      <c r="G389" s="4" t="str">
        <f t="shared" si="54"/>
        <v/>
      </c>
      <c r="H389" s="4">
        <f t="shared" si="55"/>
        <v>0.3888888888888889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0.66049382716049387</v>
      </c>
      <c r="F390" s="4">
        <v>0.23691245266206282</v>
      </c>
      <c r="G390" s="4" t="str">
        <f t="shared" si="54"/>
        <v/>
      </c>
      <c r="H390" s="4">
        <f t="shared" si="55"/>
        <v>0.66049382716049387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0.86419753086419748</v>
      </c>
      <c r="F391" s="4">
        <v>0.31020271775451103</v>
      </c>
      <c r="G391" s="4" t="str">
        <f t="shared" si="54"/>
        <v/>
      </c>
      <c r="H391" s="4">
        <f t="shared" si="55"/>
        <v>0.86419753086419748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0.55246157273334817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7.3643410852713184E-2</v>
      </c>
      <c r="F393" s="4">
        <v>2.7918884870158898E-2</v>
      </c>
      <c r="G393" s="4">
        <f t="shared" si="54"/>
        <v>7.3643410852713184E-2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0.12015503875968993</v>
      </c>
      <c r="F394" s="4">
        <v>5.0839192099809E-2</v>
      </c>
      <c r="G394" s="4">
        <f t="shared" si="54"/>
        <v>0.12015503875968993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0.2558139534883721</v>
      </c>
      <c r="F395" s="4">
        <v>7.8067216645669929E-2</v>
      </c>
      <c r="G395" s="4">
        <f t="shared" si="54"/>
        <v>0.2558139534883721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0.4263565891472868</v>
      </c>
      <c r="F396" s="4">
        <v>8.9527370260494982E-2</v>
      </c>
      <c r="G396" s="4">
        <f t="shared" si="54"/>
        <v>0.4263565891472868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0.55426356589147285</v>
      </c>
      <c r="F397" s="4">
        <v>0.11618645100987524</v>
      </c>
      <c r="G397" s="4">
        <f t="shared" si="54"/>
        <v>0.55426356589147285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0.63953488372093026</v>
      </c>
      <c r="F398" s="4">
        <v>0.20238143617669768</v>
      </c>
      <c r="G398" s="4" t="str">
        <f t="shared" si="54"/>
        <v/>
      </c>
      <c r="H398" s="4">
        <f t="shared" si="55"/>
        <v>0.63953488372093026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0.7441860465116279</v>
      </c>
      <c r="F399" s="4">
        <v>0.23086926484333725</v>
      </c>
      <c r="G399" s="4" t="str">
        <f t="shared" si="54"/>
        <v/>
      </c>
      <c r="H399" s="4">
        <f t="shared" si="55"/>
        <v>0.7441860465116279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0.86434108527131781</v>
      </c>
      <c r="F400" s="4">
        <v>0.25399276628601619</v>
      </c>
      <c r="G400" s="4" t="str">
        <f t="shared" si="54"/>
        <v/>
      </c>
      <c r="H400" s="4">
        <f t="shared" si="55"/>
        <v>0.86434108527131781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0.27670987930263746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4.7292143401983219E-2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0.9380625476735317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>
        <f t="shared" si="58"/>
        <v>1</v>
      </c>
      <c r="L403" s="4" t="str">
        <f t="shared" si="59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6.2850317008177892E-2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6.5331250574290178E-2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7.0982265919323717E-2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1.2352292566387943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 t="str">
        <f t="shared" si="58"/>
        <v/>
      </c>
      <c r="L407" s="4">
        <f t="shared" si="59"/>
        <v>1</v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3.7496465931580437E-2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3.1315240083507308E-3</v>
      </c>
      <c r="F409" s="4">
        <v>3.9263500141362734E-2</v>
      </c>
      <c r="G409" s="4">
        <f t="shared" si="54"/>
        <v>3.1315240083507308E-3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4.1118886061634156E-2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0.39770354906054278</v>
      </c>
      <c r="F411" s="4">
        <v>0.45987065309584396</v>
      </c>
      <c r="G411" s="4" t="str">
        <f t="shared" si="54"/>
        <v/>
      </c>
      <c r="H411" s="4" t="str">
        <f t="shared" si="55"/>
        <v/>
      </c>
      <c r="I411" s="4">
        <f t="shared" si="56"/>
        <v>0.39770354906054278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0.39979123173277664</v>
      </c>
      <c r="F412" s="4">
        <v>0.46236217133163698</v>
      </c>
      <c r="G412" s="4" t="str">
        <f t="shared" si="54"/>
        <v/>
      </c>
      <c r="H412" s="4" t="str">
        <f t="shared" si="55"/>
        <v/>
      </c>
      <c r="I412" s="4">
        <f t="shared" si="56"/>
        <v>0.39979123173277664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0.58663883089770352</v>
      </c>
      <c r="F413" s="4">
        <v>0.47112666101215722</v>
      </c>
      <c r="G413" s="4" t="str">
        <f t="shared" si="54"/>
        <v/>
      </c>
      <c r="H413" s="4" t="str">
        <f t="shared" si="55"/>
        <v/>
      </c>
      <c r="I413" s="4">
        <f t="shared" si="56"/>
        <v>0.58663883089770352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0.47223989256432003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0.47312340966921118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0.47390090472151541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0.78883941193101503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0.8086655357647724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 t="str">
        <f t="shared" si="57"/>
        <v/>
      </c>
      <c r="K418" s="4">
        <f t="shared" si="58"/>
        <v>1</v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5.1361465995612338E-2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5.8072009291521488E-2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6.142728093947606E-2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1.0032262227384179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3.3890677467372864E-2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3.6106206944300202E-2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3.7698618755841726E-2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1.0112507356250215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0.55382738639829221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0.55565721256480638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0.50987189148455159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0.52810851544837978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0.40404040404040403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0.6262626262626263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0.6</v>
      </c>
      <c r="F433" s="4">
        <v>0.69696969696969702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>
        <f t="shared" si="57"/>
        <v>0.6</v>
      </c>
      <c r="K433" s="4" t="str">
        <f t="shared" si="58"/>
        <v/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0.99494949494949492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>
        <f t="shared" si="58"/>
        <v>1</v>
      </c>
      <c r="L434" s="4" t="str">
        <f t="shared" si="59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8.1084211745627244E-2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0.20189968724661184</v>
      </c>
      <c r="G436" s="4" t="str">
        <f t="shared" si="54"/>
        <v/>
      </c>
      <c r="H436" s="4">
        <f t="shared" si="55"/>
        <v>0.26548672566371684</v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0.28854395922622494</v>
      </c>
      <c r="G437" s="4" t="str">
        <f t="shared" si="54"/>
        <v/>
      </c>
      <c r="H437" s="4">
        <f t="shared" si="55"/>
        <v>0.51327433628318586</v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0.61149079115023741</v>
      </c>
      <c r="G438" s="4" t="str">
        <f t="shared" si="54"/>
        <v/>
      </c>
      <c r="H438" s="4" t="str">
        <f t="shared" si="55"/>
        <v/>
      </c>
      <c r="I438" s="4" t="str">
        <f t="shared" si="56"/>
        <v/>
      </c>
      <c r="J438" s="4">
        <f t="shared" si="57"/>
        <v>1</v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0.13299944351697274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0.13967723984418476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0.24207011686143573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0.25347801892042293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0.25486922648859212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0.25932109070673343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0.26321647189760711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0.30996104618809128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0.21301775147928995</v>
      </c>
      <c r="F447" s="4">
        <v>0.22217258580894944</v>
      </c>
      <c r="G447" s="4" t="str">
        <f t="shared" si="54"/>
        <v/>
      </c>
      <c r="H447" s="4">
        <f t="shared" si="55"/>
        <v>0.21301775147928995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0.40828402366863903</v>
      </c>
      <c r="F448" s="4">
        <v>0.24238701511428784</v>
      </c>
      <c r="G448" s="4" t="str">
        <f t="shared" si="54"/>
        <v/>
      </c>
      <c r="H448" s="4">
        <f t="shared" si="55"/>
        <v>0.40828402366863903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0.60355029585798814</v>
      </c>
      <c r="F449" s="4">
        <v>0.24875288511652149</v>
      </c>
      <c r="G449" s="4" t="str">
        <f t="shared" si="54"/>
        <v/>
      </c>
      <c r="H449" s="4">
        <f t="shared" si="55"/>
        <v>0.60355029585798814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0.26382994564812745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0.28184796366614551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0.1960941373917687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0.19880230384864783</v>
      </c>
      <c r="G453" s="4">
        <f t="shared" si="61"/>
        <v>0.35772357723577236</v>
      </c>
      <c r="H453" s="4" t="str">
        <f t="shared" si="62"/>
        <v/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0.29683030094976542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0.46809322195521991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0.66556051417019491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0.28519417475728154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0.55218446601941751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0.86650485436893199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0.24404086265607264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0.22222222222222221</v>
      </c>
      <c r="F461" s="4">
        <v>0.26787741203178206</v>
      </c>
      <c r="G461" s="4" t="str">
        <f t="shared" si="61"/>
        <v/>
      </c>
      <c r="H461" s="4">
        <f t="shared" si="62"/>
        <v>0.22222222222222221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0.27355278093076052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0.29057888762769579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0.52777777777777779</v>
      </c>
      <c r="F464" s="4">
        <v>0.31101021566401815</v>
      </c>
      <c r="G464" s="4" t="str">
        <f t="shared" si="61"/>
        <v/>
      </c>
      <c r="H464" s="4">
        <f t="shared" si="62"/>
        <v>0.52777777777777779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0.55555555555555558</v>
      </c>
      <c r="F465" s="4">
        <v>0.31895573212258799</v>
      </c>
      <c r="G465" s="4" t="str">
        <f t="shared" si="61"/>
        <v/>
      </c>
      <c r="H465" s="4">
        <f t="shared" si="62"/>
        <v>0.55555555555555558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0.32009080590238365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0.33371169125993189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0.3348467650397276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0.66666666666666663</v>
      </c>
      <c r="F469" s="4">
        <v>0.33598183881952326</v>
      </c>
      <c r="G469" s="4" t="str">
        <f t="shared" si="61"/>
        <v/>
      </c>
      <c r="H469" s="4">
        <f t="shared" si="62"/>
        <v>0.66666666666666663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0.34733257661748013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0.38251986379114644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0.40976163450624292</v>
      </c>
      <c r="G472" s="4" t="str">
        <f t="shared" si="61"/>
        <v/>
      </c>
      <c r="H472" s="4" t="str">
        <f t="shared" si="62"/>
        <v/>
      </c>
      <c r="I472" s="4">
        <f t="shared" si="63"/>
        <v>0.66666666666666663</v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0.45289443813847902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0.62883087400681048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0.64245175936435872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0.70828603859250849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0.74347332576617475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0.8</v>
      </c>
      <c r="F478" s="4">
        <v>0.95976447497546613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0.8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0.8666666666666667</v>
      </c>
      <c r="F479" s="4">
        <v>0.96270853778213938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>
        <f t="shared" si="65"/>
        <v>0.8666666666666667</v>
      </c>
      <c r="L479" s="4" t="str">
        <f t="shared" si="66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0.9754661432777233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>
        <f t="shared" si="65"/>
        <v>1</v>
      </c>
      <c r="L480" s="4" t="str">
        <f t="shared" si="66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0.97841020608439644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>
        <f t="shared" si="65"/>
        <v>1</v>
      </c>
      <c r="L481" s="4" t="str">
        <f t="shared" si="66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0.10548302872062663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0.42976501305483028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0.48863636363636365</v>
      </c>
      <c r="F484" s="4">
        <v>0.43080939947780678</v>
      </c>
      <c r="G484" s="4" t="str">
        <f t="shared" si="61"/>
        <v/>
      </c>
      <c r="H484" s="4" t="str">
        <f t="shared" si="62"/>
        <v/>
      </c>
      <c r="I484" s="4">
        <f t="shared" si="63"/>
        <v>0.48863636363636365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0.43655352480417753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0.4496083550913838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0.46318537859007836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0.46892950391644911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0.51853785900783289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0.5242819843342037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0.53785900783289819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0.54412532637075717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0.5493472584856397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0.92045454545454541</v>
      </c>
      <c r="F494" s="4">
        <v>0.55300261096605741</v>
      </c>
      <c r="G494" s="4" t="str">
        <f t="shared" si="61"/>
        <v/>
      </c>
      <c r="H494" s="4" t="str">
        <f t="shared" si="62"/>
        <v/>
      </c>
      <c r="I494" s="4">
        <f t="shared" si="63"/>
        <v>0.92045454545454541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0.92045454545454541</v>
      </c>
      <c r="F495" s="4">
        <v>0.55979112271540465</v>
      </c>
      <c r="G495" s="4" t="str">
        <f t="shared" si="61"/>
        <v/>
      </c>
      <c r="H495" s="4" t="str">
        <f t="shared" si="62"/>
        <v/>
      </c>
      <c r="I495" s="4">
        <f t="shared" si="63"/>
        <v>0.92045454545454541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1</v>
      </c>
      <c r="F496" s="4">
        <v>0.56657963446475201</v>
      </c>
      <c r="G496" s="4" t="str">
        <f t="shared" si="61"/>
        <v/>
      </c>
      <c r="H496" s="4" t="str">
        <f t="shared" si="62"/>
        <v/>
      </c>
      <c r="I496" s="4">
        <f t="shared" si="63"/>
        <v>1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1</v>
      </c>
      <c r="F497" s="4">
        <v>0.57336814621409926</v>
      </c>
      <c r="G497" s="4" t="str">
        <f t="shared" si="61"/>
        <v/>
      </c>
      <c r="H497" s="4" t="str">
        <f t="shared" si="62"/>
        <v/>
      </c>
      <c r="I497" s="4">
        <f t="shared" si="63"/>
        <v>1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0.57389033942558743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0.58276762402088778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0.58590078328981721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0.17968015051740358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0.57290686735653806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0.5776105362182502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0.60677328316086543</v>
      </c>
      <c r="G504" s="4" t="str">
        <f t="shared" si="61"/>
        <v/>
      </c>
      <c r="H504" s="4" t="str">
        <f t="shared" si="62"/>
        <v/>
      </c>
      <c r="I504" s="4" t="str">
        <f t="shared" si="63"/>
        <v/>
      </c>
      <c r="J504" s="4">
        <f t="shared" si="64"/>
        <v>0.7678571428571429</v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0.61241768579492006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0.8928571428571429</v>
      </c>
      <c r="F506" s="4">
        <v>0.63593603010348076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0.8928571428571429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0.65851364063969897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0.67450611476952027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0.68579492003762932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0.66315789473684206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1.1000000000000001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0.29879101899827287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0.4369602763385147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0.67487046632124348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0.75159235668789814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0.76008492569002128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0.967741935483871</v>
      </c>
      <c r="F517" s="4">
        <v>0.85668789808917201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0.967741935483871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0.967741935483871</v>
      </c>
      <c r="F518" s="4">
        <v>0.87579617834394907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0.967741935483871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0.88110403397027603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2.9670912951167727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 t="str">
        <f t="shared" si="72"/>
        <v/>
      </c>
      <c r="L520" s="4">
        <f t="shared" si="73"/>
        <v>1</v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0.89655172413793105</v>
      </c>
      <c r="F521" s="4">
        <v>0.93956562795089704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0.89655172413793105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0.95939565627950896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topLeftCell="A341" workbookViewId="0">
      <selection activeCell="I34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32</v>
      </c>
      <c r="E14">
        <v>0</v>
      </c>
      <c r="F14">
        <v>1</v>
      </c>
      <c r="G14">
        <v>0</v>
      </c>
      <c r="H14">
        <v>33</v>
      </c>
      <c r="I14" s="4">
        <f t="shared" si="0"/>
        <v>0.96969696969696972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H21">
        <v>18</v>
      </c>
      <c r="I21" s="4">
        <f t="shared" si="0"/>
        <v>0.1111111111111111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H22">
        <v>18</v>
      </c>
      <c r="I22" s="4">
        <f t="shared" si="0"/>
        <v>0.27777777777777779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22</v>
      </c>
      <c r="E41">
        <v>0</v>
      </c>
      <c r="F41">
        <v>2</v>
      </c>
      <c r="G41">
        <v>0</v>
      </c>
      <c r="H41">
        <v>31</v>
      </c>
      <c r="I41" s="4">
        <f t="shared" si="0"/>
        <v>0.70967741935483875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41</v>
      </c>
      <c r="E59">
        <v>0</v>
      </c>
      <c r="F59">
        <v>4</v>
      </c>
      <c r="G59">
        <v>0</v>
      </c>
      <c r="H59">
        <v>141</v>
      </c>
      <c r="I59" s="4">
        <f t="shared" si="0"/>
        <v>0.29078014184397161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44</v>
      </c>
      <c r="E60">
        <v>0</v>
      </c>
      <c r="F60">
        <v>4</v>
      </c>
      <c r="G60">
        <v>0</v>
      </c>
      <c r="H60">
        <v>141</v>
      </c>
      <c r="I60" s="4">
        <f t="shared" si="0"/>
        <v>0.31205673758865249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4">
        <f t="shared" si="1"/>
        <v>0.63120567375886527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4">
        <f t="shared" si="1"/>
        <v>0.63120567375886527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6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53</v>
      </c>
      <c r="E132">
        <v>0</v>
      </c>
      <c r="F132">
        <v>7</v>
      </c>
      <c r="G132">
        <v>0</v>
      </c>
      <c r="H132">
        <v>101</v>
      </c>
      <c r="I132" s="4">
        <f t="shared" si="2"/>
        <v>0.52475247524752477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43</v>
      </c>
      <c r="E163">
        <v>0</v>
      </c>
      <c r="F163">
        <v>1</v>
      </c>
      <c r="G163">
        <v>0</v>
      </c>
      <c r="H163">
        <v>44</v>
      </c>
      <c r="I163" s="4">
        <f t="shared" si="2"/>
        <v>0.97727272727272729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8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138</v>
      </c>
      <c r="E183">
        <v>0</v>
      </c>
      <c r="F183">
        <v>9</v>
      </c>
      <c r="G183">
        <v>0</v>
      </c>
      <c r="H183">
        <v>406</v>
      </c>
      <c r="I183" s="4">
        <f t="shared" si="2"/>
        <v>0.33990147783251229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25</v>
      </c>
      <c r="E239">
        <v>0</v>
      </c>
      <c r="F239">
        <v>6</v>
      </c>
      <c r="G239">
        <v>0</v>
      </c>
      <c r="H239">
        <v>168</v>
      </c>
      <c r="I239" s="4">
        <f t="shared" si="3"/>
        <v>0.14880952380952381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26</v>
      </c>
      <c r="E240">
        <v>0</v>
      </c>
      <c r="F240">
        <v>5</v>
      </c>
      <c r="G240">
        <v>0</v>
      </c>
      <c r="H240">
        <v>168</v>
      </c>
      <c r="I240" s="4">
        <f t="shared" si="3"/>
        <v>0.15476190476190477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4">
        <f t="shared" si="3"/>
        <v>0.17261904761904762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31</v>
      </c>
      <c r="E243">
        <v>0</v>
      </c>
      <c r="F243">
        <v>4</v>
      </c>
      <c r="G243">
        <v>0</v>
      </c>
      <c r="H243">
        <v>168</v>
      </c>
      <c r="I243" s="4">
        <f t="shared" si="3"/>
        <v>0.18452380952380953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33</v>
      </c>
      <c r="E244">
        <v>0</v>
      </c>
      <c r="F244">
        <v>4</v>
      </c>
      <c r="G244">
        <v>0</v>
      </c>
      <c r="H244">
        <v>168</v>
      </c>
      <c r="I244" s="4">
        <f t="shared" si="3"/>
        <v>0.19642857142857142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36</v>
      </c>
      <c r="E245">
        <v>0</v>
      </c>
      <c r="F245">
        <v>5</v>
      </c>
      <c r="G245">
        <v>0</v>
      </c>
      <c r="H245">
        <v>168</v>
      </c>
      <c r="I245" s="4">
        <f t="shared" si="3"/>
        <v>0.21428571428571427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37</v>
      </c>
      <c r="E246">
        <v>0</v>
      </c>
      <c r="F246">
        <v>4</v>
      </c>
      <c r="G246">
        <v>0</v>
      </c>
      <c r="H246">
        <v>168</v>
      </c>
      <c r="I246" s="4">
        <f t="shared" si="3"/>
        <v>0.22023809523809523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4">
        <f t="shared" si="3"/>
        <v>0.23214285714285715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4">
        <f t="shared" si="3"/>
        <v>0.24404761904761904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4">
        <f t="shared" si="3"/>
        <v>0.25595238095238093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4">
        <f t="shared" si="3"/>
        <v>0.26190476190476192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4">
        <f t="shared" si="3"/>
        <v>1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111</v>
      </c>
      <c r="E255">
        <v>0</v>
      </c>
      <c r="F255">
        <v>4</v>
      </c>
      <c r="G255">
        <v>0</v>
      </c>
      <c r="H255">
        <f>129</f>
        <v>129</v>
      </c>
      <c r="I255" s="4">
        <f t="shared" si="3"/>
        <v>0.86046511627906974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4">
        <f t="shared" si="4"/>
        <v>0.95348837209302328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20</v>
      </c>
      <c r="E303">
        <v>0</v>
      </c>
      <c r="F303">
        <v>3</v>
      </c>
      <c r="G303">
        <v>0</v>
      </c>
      <c r="H303">
        <v>30</v>
      </c>
      <c r="I303" s="4">
        <f t="shared" si="4"/>
        <v>0.66666666666666663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4">
        <f t="shared" si="4"/>
        <v>0.8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89</v>
      </c>
      <c r="E340">
        <v>0</v>
      </c>
      <c r="F340">
        <v>1</v>
      </c>
      <c r="G340">
        <v>0</v>
      </c>
      <c r="H340">
        <v>112</v>
      </c>
      <c r="I340" s="4">
        <f t="shared" si="5"/>
        <v>0.7946428571428571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175</v>
      </c>
      <c r="I347" s="4">
        <f t="shared" si="5"/>
        <v>0.16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175</v>
      </c>
      <c r="I348" s="4">
        <f t="shared" si="5"/>
        <v>0.36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14</v>
      </c>
      <c r="E370">
        <v>0</v>
      </c>
      <c r="F370">
        <v>4</v>
      </c>
      <c r="G370">
        <v>0</v>
      </c>
      <c r="H370">
        <v>21</v>
      </c>
      <c r="I370" s="4">
        <f t="shared" si="5"/>
        <v>0.66666666666666663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17</v>
      </c>
      <c r="E371">
        <v>0</v>
      </c>
      <c r="F371">
        <v>3</v>
      </c>
      <c r="G371">
        <v>0</v>
      </c>
      <c r="H371">
        <v>21</v>
      </c>
      <c r="I371" s="4">
        <f t="shared" si="5"/>
        <v>0.80952380952380953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29</v>
      </c>
      <c r="E377">
        <v>0</v>
      </c>
      <c r="F377">
        <v>3</v>
      </c>
      <c r="G377">
        <v>0</v>
      </c>
      <c r="H377">
        <v>120</v>
      </c>
      <c r="I377" s="4">
        <f t="shared" si="5"/>
        <v>0.24166666666666667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51</v>
      </c>
      <c r="E380">
        <v>0</v>
      </c>
      <c r="F380">
        <v>5</v>
      </c>
      <c r="G380">
        <v>0</v>
      </c>
      <c r="H380">
        <v>120</v>
      </c>
      <c r="I380" s="4">
        <f t="shared" si="5"/>
        <v>0.42499999999999999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697</v>
      </c>
    </row>
    <row r="409" spans="1:11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K409" t="s">
        <v>697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697</v>
      </c>
    </row>
    <row r="411" spans="1:11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K411" t="s">
        <v>697</v>
      </c>
    </row>
    <row r="412" spans="1:11">
      <c r="A412" t="s">
        <v>225</v>
      </c>
      <c r="B412">
        <v>14</v>
      </c>
      <c r="C412">
        <v>5</v>
      </c>
      <c r="D412">
        <v>383</v>
      </c>
      <c r="E412">
        <v>0</v>
      </c>
      <c r="F412">
        <v>4</v>
      </c>
      <c r="G412">
        <v>0</v>
      </c>
      <c r="H412">
        <v>958</v>
      </c>
      <c r="I412" s="4">
        <f t="shared" si="6"/>
        <v>0.39979123173277664</v>
      </c>
      <c r="K412" t="s">
        <v>697</v>
      </c>
    </row>
    <row r="413" spans="1:11">
      <c r="A413" t="s">
        <v>225</v>
      </c>
      <c r="B413">
        <v>14</v>
      </c>
      <c r="C413">
        <v>6</v>
      </c>
      <c r="D413">
        <v>562</v>
      </c>
      <c r="E413">
        <v>0</v>
      </c>
      <c r="F413">
        <v>3</v>
      </c>
      <c r="G413">
        <v>0</v>
      </c>
      <c r="H413">
        <v>958</v>
      </c>
      <c r="I413" s="4">
        <f t="shared" si="6"/>
        <v>0.58663883089770352</v>
      </c>
      <c r="K413" t="s">
        <v>697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697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697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697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697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697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1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24</v>
      </c>
      <c r="E478">
        <v>0</v>
      </c>
      <c r="F478">
        <v>5</v>
      </c>
      <c r="G478">
        <v>0</v>
      </c>
      <c r="H478">
        <v>30</v>
      </c>
      <c r="I478" s="4">
        <f t="shared" si="7"/>
        <v>0.8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26</v>
      </c>
      <c r="E479">
        <v>0</v>
      </c>
      <c r="F479">
        <v>3</v>
      </c>
      <c r="G479">
        <v>0</v>
      </c>
      <c r="H479">
        <v>30</v>
      </c>
      <c r="I479" s="4">
        <f t="shared" si="7"/>
        <v>0.8666666666666667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81</v>
      </c>
      <c r="E494">
        <v>0</v>
      </c>
      <c r="F494">
        <v>3</v>
      </c>
      <c r="G494">
        <v>0</v>
      </c>
      <c r="H494">
        <v>88</v>
      </c>
      <c r="I494" s="4">
        <f t="shared" si="7"/>
        <v>0.92045454545454541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81</v>
      </c>
      <c r="E495">
        <v>0</v>
      </c>
      <c r="F495">
        <v>3</v>
      </c>
      <c r="G495">
        <v>0</v>
      </c>
      <c r="H495">
        <v>88</v>
      </c>
      <c r="I495" s="4">
        <f t="shared" si="7"/>
        <v>0.92045454545454541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50</v>
      </c>
      <c r="E506">
        <v>0</v>
      </c>
      <c r="F506">
        <v>3</v>
      </c>
      <c r="G506">
        <v>0</v>
      </c>
      <c r="H506">
        <v>56</v>
      </c>
      <c r="I506" s="4">
        <f t="shared" si="7"/>
        <v>0.8928571428571429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3</v>
      </c>
      <c r="G515">
        <v>1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30</v>
      </c>
      <c r="E517">
        <v>0</v>
      </c>
      <c r="F517">
        <v>1</v>
      </c>
      <c r="G517">
        <v>0</v>
      </c>
      <c r="H517">
        <v>31</v>
      </c>
      <c r="I517" s="4">
        <f t="shared" si="8"/>
        <v>0.967741935483871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30</v>
      </c>
      <c r="E518">
        <v>0</v>
      </c>
      <c r="F518">
        <v>1</v>
      </c>
      <c r="G518">
        <v>0</v>
      </c>
      <c r="H518">
        <v>31</v>
      </c>
      <c r="I518" s="4">
        <f t="shared" si="8"/>
        <v>0.967741935483871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26</v>
      </c>
      <c r="E521">
        <v>0</v>
      </c>
      <c r="F521">
        <v>2</v>
      </c>
      <c r="G521">
        <v>0</v>
      </c>
      <c r="H521">
        <v>29</v>
      </c>
      <c r="I521" s="4">
        <f t="shared" si="8"/>
        <v>0.89655172413793105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G1" sqref="G1:G1048576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1</v>
      </c>
      <c r="D2">
        <v>1</v>
      </c>
      <c r="E2">
        <v>6084</v>
      </c>
      <c r="F2">
        <v>5957</v>
      </c>
      <c r="G2" s="4">
        <f t="shared" ref="G2:G65" si="0">F2/E2</f>
        <v>0.97912557527942146</v>
      </c>
    </row>
    <row r="3" spans="1:7">
      <c r="A3" t="s">
        <v>188</v>
      </c>
      <c r="B3">
        <v>1</v>
      </c>
      <c r="C3" t="s">
        <v>0</v>
      </c>
      <c r="D3">
        <v>2</v>
      </c>
      <c r="E3">
        <v>6084</v>
      </c>
      <c r="F3">
        <v>6009</v>
      </c>
      <c r="G3" s="4">
        <f t="shared" si="0"/>
        <v>0.98767258382642997</v>
      </c>
    </row>
    <row r="4" spans="1:7">
      <c r="A4" t="s">
        <v>188</v>
      </c>
      <c r="B4">
        <v>1</v>
      </c>
      <c r="C4" t="s">
        <v>179</v>
      </c>
      <c r="D4">
        <v>3</v>
      </c>
      <c r="E4">
        <v>6084</v>
      </c>
      <c r="F4">
        <v>6044</v>
      </c>
      <c r="G4" s="4">
        <f t="shared" si="0"/>
        <v>0.9934253780407627</v>
      </c>
    </row>
    <row r="5" spans="1:7">
      <c r="A5" t="s">
        <v>188</v>
      </c>
      <c r="B5">
        <v>1</v>
      </c>
      <c r="C5" t="s">
        <v>180</v>
      </c>
      <c r="D5">
        <v>4</v>
      </c>
      <c r="E5">
        <v>6084</v>
      </c>
      <c r="F5">
        <v>6158</v>
      </c>
      <c r="G5" s="4">
        <f t="shared" si="0"/>
        <v>1.0121630506245891</v>
      </c>
    </row>
    <row r="6" spans="1:7">
      <c r="A6" t="s">
        <v>188</v>
      </c>
      <c r="B6">
        <v>2</v>
      </c>
      <c r="C6" t="s">
        <v>180</v>
      </c>
      <c r="D6">
        <v>1</v>
      </c>
      <c r="E6">
        <v>942</v>
      </c>
      <c r="F6">
        <v>395</v>
      </c>
      <c r="G6" s="4">
        <f t="shared" si="0"/>
        <v>0.41932059447983017</v>
      </c>
    </row>
    <row r="7" spans="1:7">
      <c r="A7" t="s">
        <v>188</v>
      </c>
      <c r="B7">
        <v>2</v>
      </c>
      <c r="C7" t="s">
        <v>189</v>
      </c>
      <c r="D7">
        <v>2</v>
      </c>
      <c r="E7">
        <v>942</v>
      </c>
      <c r="F7">
        <v>563</v>
      </c>
      <c r="G7" s="4">
        <f t="shared" si="0"/>
        <v>0.59766454352441611</v>
      </c>
    </row>
    <row r="8" spans="1:7">
      <c r="A8" t="s">
        <v>188</v>
      </c>
      <c r="B8">
        <v>2</v>
      </c>
      <c r="C8" t="s">
        <v>190</v>
      </c>
      <c r="D8">
        <v>3</v>
      </c>
      <c r="E8">
        <v>942</v>
      </c>
      <c r="F8">
        <v>610</v>
      </c>
      <c r="G8" s="4">
        <f t="shared" si="0"/>
        <v>0.64755838641188956</v>
      </c>
    </row>
    <row r="9" spans="1:7">
      <c r="A9" t="s">
        <v>188</v>
      </c>
      <c r="B9">
        <v>2</v>
      </c>
      <c r="C9" t="s">
        <v>191</v>
      </c>
      <c r="D9">
        <v>4</v>
      </c>
      <c r="E9">
        <v>942</v>
      </c>
      <c r="F9">
        <v>643</v>
      </c>
      <c r="G9" s="4">
        <f t="shared" si="0"/>
        <v>0.68259023354564752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942</v>
      </c>
      <c r="F10">
        <v>709</v>
      </c>
      <c r="G10" s="4">
        <f t="shared" si="0"/>
        <v>0.75265392781316354</v>
      </c>
    </row>
    <row r="11" spans="1:7">
      <c r="A11" t="s">
        <v>188</v>
      </c>
      <c r="B11">
        <v>2</v>
      </c>
      <c r="C11" t="s">
        <v>192</v>
      </c>
      <c r="D11">
        <v>6</v>
      </c>
      <c r="E11">
        <v>942</v>
      </c>
      <c r="F11">
        <v>716</v>
      </c>
      <c r="G11" s="4">
        <f t="shared" si="0"/>
        <v>0.76008492569002128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942</v>
      </c>
      <c r="F12">
        <v>736</v>
      </c>
      <c r="G12" s="4">
        <f t="shared" si="0"/>
        <v>0.78131634819532914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942</v>
      </c>
      <c r="F13">
        <v>783</v>
      </c>
      <c r="G13" s="4">
        <f t="shared" si="0"/>
        <v>0.83121019108280259</v>
      </c>
    </row>
    <row r="14" spans="1:7">
      <c r="A14" t="s">
        <v>188</v>
      </c>
      <c r="B14">
        <v>2</v>
      </c>
      <c r="C14" t="s">
        <v>197</v>
      </c>
      <c r="D14">
        <v>9</v>
      </c>
      <c r="E14">
        <v>942</v>
      </c>
      <c r="F14">
        <v>805</v>
      </c>
      <c r="G14" s="4">
        <f t="shared" si="0"/>
        <v>0.85456475583864122</v>
      </c>
    </row>
    <row r="15" spans="1:7">
      <c r="A15" t="s">
        <v>188</v>
      </c>
      <c r="B15">
        <v>2</v>
      </c>
      <c r="C15" t="s">
        <v>196</v>
      </c>
      <c r="D15">
        <v>10</v>
      </c>
      <c r="E15">
        <v>942</v>
      </c>
      <c r="F15">
        <v>806</v>
      </c>
      <c r="G15" s="4">
        <f t="shared" si="0"/>
        <v>0.85562632696390661</v>
      </c>
    </row>
    <row r="16" spans="1:7">
      <c r="A16" t="s">
        <v>188</v>
      </c>
      <c r="B16">
        <v>2</v>
      </c>
      <c r="C16" t="s">
        <v>198</v>
      </c>
      <c r="D16">
        <v>11</v>
      </c>
      <c r="E16">
        <v>942</v>
      </c>
      <c r="F16">
        <v>809</v>
      </c>
      <c r="G16" s="4">
        <f t="shared" si="0"/>
        <v>0.85881104033970279</v>
      </c>
    </row>
    <row r="17" spans="1:7">
      <c r="A17" t="s">
        <v>188</v>
      </c>
      <c r="B17">
        <v>2</v>
      </c>
      <c r="C17" t="s">
        <v>201</v>
      </c>
      <c r="D17">
        <v>12</v>
      </c>
      <c r="E17">
        <v>942</v>
      </c>
      <c r="F17">
        <v>856</v>
      </c>
      <c r="G17" s="4">
        <f t="shared" si="0"/>
        <v>0.90870488322717624</v>
      </c>
    </row>
    <row r="18" spans="1:7">
      <c r="A18" t="s">
        <v>188</v>
      </c>
      <c r="B18">
        <v>2</v>
      </c>
      <c r="C18" t="s">
        <v>200</v>
      </c>
      <c r="D18">
        <v>13</v>
      </c>
      <c r="E18">
        <v>942</v>
      </c>
      <c r="F18">
        <v>860</v>
      </c>
      <c r="G18" s="4">
        <f t="shared" si="0"/>
        <v>0.91295116772823781</v>
      </c>
    </row>
    <row r="19" spans="1:7">
      <c r="A19" t="s">
        <v>188</v>
      </c>
      <c r="B19">
        <v>2</v>
      </c>
      <c r="C19" t="s">
        <v>199</v>
      </c>
      <c r="D19">
        <v>14</v>
      </c>
      <c r="E19">
        <v>942</v>
      </c>
      <c r="F19">
        <v>905</v>
      </c>
      <c r="G19" s="4">
        <f t="shared" si="0"/>
        <v>0.96072186836518048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942</v>
      </c>
      <c r="F20">
        <v>921</v>
      </c>
      <c r="G20" s="4">
        <f t="shared" si="0"/>
        <v>0.97770700636942676</v>
      </c>
    </row>
    <row r="21" spans="1:7">
      <c r="A21" t="s">
        <v>188</v>
      </c>
      <c r="B21">
        <v>6</v>
      </c>
      <c r="C21" t="s">
        <v>203</v>
      </c>
      <c r="D21">
        <v>1</v>
      </c>
      <c r="E21">
        <v>529</v>
      </c>
      <c r="F21">
        <v>83</v>
      </c>
      <c r="G21" s="4">
        <f t="shared" si="0"/>
        <v>0.15689981096408318</v>
      </c>
    </row>
    <row r="22" spans="1:7">
      <c r="A22" t="s">
        <v>188</v>
      </c>
      <c r="B22">
        <v>6</v>
      </c>
      <c r="C22" t="s">
        <v>179</v>
      </c>
      <c r="D22">
        <v>2</v>
      </c>
      <c r="E22">
        <v>529</v>
      </c>
      <c r="F22">
        <v>163</v>
      </c>
      <c r="G22" s="4">
        <f t="shared" si="0"/>
        <v>0.30812854442344045</v>
      </c>
    </row>
    <row r="23" spans="1:7">
      <c r="A23" t="s">
        <v>188</v>
      </c>
      <c r="B23">
        <v>6</v>
      </c>
      <c r="C23" t="s">
        <v>204</v>
      </c>
      <c r="D23">
        <v>3</v>
      </c>
      <c r="E23">
        <v>529</v>
      </c>
      <c r="F23">
        <v>373</v>
      </c>
      <c r="G23" s="4">
        <f t="shared" si="0"/>
        <v>0.70510396975425327</v>
      </c>
    </row>
    <row r="24" spans="1:7">
      <c r="A24" t="s">
        <v>188</v>
      </c>
      <c r="B24">
        <v>6</v>
      </c>
      <c r="C24" t="s">
        <v>205</v>
      </c>
      <c r="D24">
        <v>4</v>
      </c>
      <c r="E24">
        <v>529</v>
      </c>
      <c r="F24">
        <v>533</v>
      </c>
      <c r="G24" s="4">
        <f t="shared" si="0"/>
        <v>1.0075614366729679</v>
      </c>
    </row>
    <row r="25" spans="1:7">
      <c r="A25" t="s">
        <v>188</v>
      </c>
      <c r="B25">
        <v>6</v>
      </c>
      <c r="C25" t="s">
        <v>215</v>
      </c>
      <c r="D25">
        <v>5</v>
      </c>
      <c r="E25">
        <v>529</v>
      </c>
      <c r="F25">
        <v>534</v>
      </c>
      <c r="G25" s="4">
        <f t="shared" si="0"/>
        <v>1.0094517958412099</v>
      </c>
    </row>
    <row r="26" spans="1:7">
      <c r="A26" t="s">
        <v>188</v>
      </c>
      <c r="B26">
        <v>9</v>
      </c>
      <c r="C26" t="s">
        <v>206</v>
      </c>
      <c r="D26">
        <v>1</v>
      </c>
      <c r="E26">
        <v>1668</v>
      </c>
      <c r="F26">
        <v>146</v>
      </c>
      <c r="G26" s="4">
        <f t="shared" si="0"/>
        <v>8.7529976019184649E-2</v>
      </c>
    </row>
    <row r="27" spans="1:7">
      <c r="A27" t="s">
        <v>188</v>
      </c>
      <c r="B27">
        <v>9</v>
      </c>
      <c r="C27" t="s">
        <v>207</v>
      </c>
      <c r="D27">
        <v>2</v>
      </c>
      <c r="E27">
        <v>1668</v>
      </c>
      <c r="F27">
        <v>147</v>
      </c>
      <c r="G27" s="4">
        <f t="shared" si="0"/>
        <v>8.8129496402877691E-2</v>
      </c>
    </row>
    <row r="28" spans="1:7">
      <c r="A28" t="s">
        <v>188</v>
      </c>
      <c r="B28">
        <v>9</v>
      </c>
      <c r="C28" t="s">
        <v>208</v>
      </c>
      <c r="D28">
        <v>3</v>
      </c>
      <c r="E28">
        <v>1668</v>
      </c>
      <c r="F28">
        <v>149</v>
      </c>
      <c r="G28" s="4">
        <f t="shared" si="0"/>
        <v>8.9328537170263789E-2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1668</v>
      </c>
      <c r="F29">
        <v>289</v>
      </c>
      <c r="G29" s="4">
        <f t="shared" si="0"/>
        <v>0.17326139088729017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1668</v>
      </c>
      <c r="F30">
        <v>292</v>
      </c>
      <c r="G30" s="4">
        <f t="shared" si="0"/>
        <v>0.1750599520383693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1668</v>
      </c>
      <c r="F31">
        <v>580</v>
      </c>
      <c r="G31" s="4">
        <f t="shared" si="0"/>
        <v>0.34772182254196643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1668</v>
      </c>
      <c r="F32">
        <v>590</v>
      </c>
      <c r="G32" s="4">
        <f t="shared" si="0"/>
        <v>0.3537170263788969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1668</v>
      </c>
      <c r="F33">
        <v>610</v>
      </c>
      <c r="G33" s="4">
        <f t="shared" si="0"/>
        <v>0.3657074340527578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1668</v>
      </c>
      <c r="F34">
        <v>676</v>
      </c>
      <c r="G34" s="4">
        <f t="shared" si="0"/>
        <v>0.40527577937649878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1668</v>
      </c>
      <c r="F35">
        <v>683</v>
      </c>
      <c r="G35" s="4">
        <f t="shared" si="0"/>
        <v>0.40947242206235013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915</v>
      </c>
      <c r="F36">
        <v>280</v>
      </c>
      <c r="G36" s="4">
        <f t="shared" si="0"/>
        <v>0.30601092896174864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915</v>
      </c>
      <c r="F37">
        <v>615</v>
      </c>
      <c r="G37" s="4">
        <f t="shared" si="0"/>
        <v>0.67213114754098358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915</v>
      </c>
      <c r="F38">
        <v>628</v>
      </c>
      <c r="G38" s="4">
        <f t="shared" si="0"/>
        <v>0.6863387978142077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915</v>
      </c>
      <c r="F39">
        <v>880</v>
      </c>
      <c r="G39" s="4">
        <f t="shared" si="0"/>
        <v>0.96174863387978138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911</v>
      </c>
      <c r="F40">
        <v>276</v>
      </c>
      <c r="G40" s="4">
        <f t="shared" si="0"/>
        <v>0.30296377607025249</v>
      </c>
    </row>
    <row r="41" spans="1:7">
      <c r="A41" t="s">
        <v>219</v>
      </c>
      <c r="B41">
        <v>4</v>
      </c>
      <c r="C41" t="s">
        <v>0</v>
      </c>
      <c r="D41">
        <v>2</v>
      </c>
      <c r="E41">
        <v>911</v>
      </c>
      <c r="F41">
        <v>622</v>
      </c>
      <c r="G41" s="4">
        <f t="shared" si="0"/>
        <v>0.68276619099890234</v>
      </c>
    </row>
    <row r="42" spans="1:7">
      <c r="A42" t="s">
        <v>219</v>
      </c>
      <c r="B42">
        <v>4</v>
      </c>
      <c r="C42" t="s">
        <v>233</v>
      </c>
      <c r="D42">
        <v>3</v>
      </c>
      <c r="E42">
        <v>911</v>
      </c>
      <c r="F42">
        <v>632</v>
      </c>
      <c r="G42" s="4">
        <f t="shared" si="0"/>
        <v>0.69374313940724475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911</v>
      </c>
      <c r="F43">
        <v>905</v>
      </c>
      <c r="G43" s="4">
        <f t="shared" si="0"/>
        <v>0.99341383095499447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292</v>
      </c>
      <c r="F44">
        <v>82</v>
      </c>
      <c r="G44" s="4">
        <f t="shared" si="0"/>
        <v>0.28082191780821919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292</v>
      </c>
      <c r="F45">
        <v>153</v>
      </c>
      <c r="G45" s="4">
        <f t="shared" si="0"/>
        <v>0.52397260273972601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292</v>
      </c>
      <c r="F46">
        <v>223</v>
      </c>
      <c r="G46" s="4">
        <f t="shared" si="0"/>
        <v>0.76369863013698636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292</v>
      </c>
      <c r="F47">
        <v>294</v>
      </c>
      <c r="G47" s="4">
        <f t="shared" si="0"/>
        <v>1.0068493150684932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292</v>
      </c>
      <c r="F48">
        <v>302</v>
      </c>
      <c r="G48" s="4">
        <f t="shared" si="0"/>
        <v>1.0342465753424657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17009</v>
      </c>
      <c r="F49">
        <v>205</v>
      </c>
      <c r="G49" s="4">
        <f t="shared" si="0"/>
        <v>1.205244282438709E-2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17009</v>
      </c>
      <c r="F50">
        <v>289</v>
      </c>
      <c r="G50" s="4">
        <f t="shared" si="0"/>
        <v>1.6991004762184726E-2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17009</v>
      </c>
      <c r="F51">
        <v>16387</v>
      </c>
      <c r="G51" s="4">
        <f t="shared" si="0"/>
        <v>0.96343112469868897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17009</v>
      </c>
      <c r="F52">
        <v>16739</v>
      </c>
      <c r="G52" s="4">
        <f t="shared" si="0"/>
        <v>0.98412605091422189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8969</v>
      </c>
      <c r="F53">
        <v>151</v>
      </c>
      <c r="G53" s="4">
        <f t="shared" si="0"/>
        <v>1.6835767644107481E-2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8969</v>
      </c>
      <c r="F54">
        <v>266</v>
      </c>
      <c r="G54" s="4">
        <f t="shared" si="0"/>
        <v>2.9657709889619802E-2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8969</v>
      </c>
      <c r="F55">
        <v>578</v>
      </c>
      <c r="G55" s="4">
        <f t="shared" si="0"/>
        <v>6.4444196677444526E-2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8969</v>
      </c>
      <c r="F56">
        <v>729</v>
      </c>
      <c r="G56" s="4">
        <f t="shared" si="0"/>
        <v>8.1279964321552017E-2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8969</v>
      </c>
      <c r="F57">
        <v>935</v>
      </c>
      <c r="G57" s="4">
        <f t="shared" si="0"/>
        <v>0.10424796521351322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8969</v>
      </c>
      <c r="F58">
        <v>1005</v>
      </c>
      <c r="G58" s="4">
        <f t="shared" si="0"/>
        <v>0.11205262571078158</v>
      </c>
    </row>
    <row r="59" spans="1:7">
      <c r="A59" t="s">
        <v>219</v>
      </c>
      <c r="B59">
        <v>18</v>
      </c>
      <c r="C59" t="s">
        <v>245</v>
      </c>
      <c r="D59">
        <v>7</v>
      </c>
      <c r="E59">
        <v>8969</v>
      </c>
      <c r="F59">
        <v>1008</v>
      </c>
      <c r="G59" s="4">
        <f t="shared" si="0"/>
        <v>0.11238711116066451</v>
      </c>
    </row>
    <row r="60" spans="1:7">
      <c r="A60" t="s">
        <v>219</v>
      </c>
      <c r="B60">
        <v>18</v>
      </c>
      <c r="C60" t="s">
        <v>243</v>
      </c>
      <c r="D60">
        <v>8</v>
      </c>
      <c r="E60">
        <v>8969</v>
      </c>
      <c r="F60">
        <v>1012</v>
      </c>
      <c r="G60" s="4">
        <f t="shared" si="0"/>
        <v>0.11283309176050842</v>
      </c>
    </row>
    <row r="61" spans="1:7">
      <c r="A61" t="s">
        <v>219</v>
      </c>
      <c r="B61">
        <v>18</v>
      </c>
      <c r="C61" t="s">
        <v>244</v>
      </c>
      <c r="D61">
        <v>9</v>
      </c>
      <c r="E61">
        <v>8969</v>
      </c>
      <c r="F61">
        <v>1034</v>
      </c>
      <c r="G61" s="4">
        <f t="shared" si="0"/>
        <v>0.1152859850596499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8969</v>
      </c>
      <c r="F62">
        <v>1068</v>
      </c>
      <c r="G62" s="4">
        <f t="shared" si="0"/>
        <v>0.11907682015832312</v>
      </c>
    </row>
    <row r="63" spans="1:7">
      <c r="A63" t="s">
        <v>219</v>
      </c>
      <c r="B63">
        <v>18</v>
      </c>
      <c r="C63" t="s">
        <v>249</v>
      </c>
      <c r="D63">
        <v>11</v>
      </c>
      <c r="E63">
        <v>8969</v>
      </c>
      <c r="F63">
        <v>1070</v>
      </c>
      <c r="G63" s="4">
        <f t="shared" si="0"/>
        <v>0.11929981045824507</v>
      </c>
    </row>
    <row r="64" spans="1:7">
      <c r="A64" t="s">
        <v>219</v>
      </c>
      <c r="B64">
        <v>18</v>
      </c>
      <c r="C64" t="s">
        <v>248</v>
      </c>
      <c r="D64">
        <v>12</v>
      </c>
      <c r="E64">
        <v>8969</v>
      </c>
      <c r="F64">
        <v>1082</v>
      </c>
      <c r="G64" s="4">
        <f t="shared" si="0"/>
        <v>0.12063775225777679</v>
      </c>
    </row>
    <row r="65" spans="1:7">
      <c r="A65" t="s">
        <v>219</v>
      </c>
      <c r="B65">
        <v>18</v>
      </c>
      <c r="C65" t="s">
        <v>250</v>
      </c>
      <c r="D65">
        <v>13</v>
      </c>
      <c r="E65">
        <v>8969</v>
      </c>
      <c r="F65">
        <v>1089</v>
      </c>
      <c r="G65" s="4">
        <f t="shared" si="0"/>
        <v>0.12141821830750363</v>
      </c>
    </row>
    <row r="66" spans="1:7">
      <c r="A66" t="s">
        <v>219</v>
      </c>
      <c r="B66">
        <v>18</v>
      </c>
      <c r="C66" t="s">
        <v>247</v>
      </c>
      <c r="D66">
        <v>14</v>
      </c>
      <c r="E66">
        <v>8969</v>
      </c>
      <c r="F66">
        <v>1104</v>
      </c>
      <c r="G66" s="4">
        <f t="shared" ref="G66:G129" si="1">F66/E66</f>
        <v>0.12309064555691827</v>
      </c>
    </row>
    <row r="67" spans="1:7">
      <c r="A67" t="s">
        <v>219</v>
      </c>
      <c r="B67">
        <v>18</v>
      </c>
      <c r="C67" t="s">
        <v>251</v>
      </c>
      <c r="D67">
        <v>15</v>
      </c>
      <c r="E67">
        <v>8969</v>
      </c>
      <c r="F67">
        <v>1134</v>
      </c>
      <c r="G67" s="4">
        <f t="shared" si="1"/>
        <v>0.12643550005574758</v>
      </c>
    </row>
    <row r="68" spans="1:7">
      <c r="A68" t="s">
        <v>219</v>
      </c>
      <c r="B68">
        <v>18</v>
      </c>
      <c r="C68" t="s">
        <v>252</v>
      </c>
      <c r="D68">
        <v>16</v>
      </c>
      <c r="E68">
        <v>8969</v>
      </c>
      <c r="F68">
        <v>1141</v>
      </c>
      <c r="G68" s="4">
        <f t="shared" si="1"/>
        <v>0.12721596610547442</v>
      </c>
    </row>
    <row r="69" spans="1:7">
      <c r="A69" t="s">
        <v>219</v>
      </c>
      <c r="B69">
        <v>18</v>
      </c>
      <c r="C69" t="s">
        <v>253</v>
      </c>
      <c r="D69">
        <v>17</v>
      </c>
      <c r="E69">
        <v>8969</v>
      </c>
      <c r="F69">
        <v>1142</v>
      </c>
      <c r="G69" s="4">
        <f t="shared" si="1"/>
        <v>0.1273274612554354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8969</v>
      </c>
      <c r="F70">
        <v>1216</v>
      </c>
      <c r="G70" s="4">
        <f t="shared" si="1"/>
        <v>0.13557810235254766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8969</v>
      </c>
      <c r="F71">
        <v>1464</v>
      </c>
      <c r="G71" s="4">
        <f t="shared" si="1"/>
        <v>0.1632288995428699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8969</v>
      </c>
      <c r="F72">
        <v>1521</v>
      </c>
      <c r="G72" s="4">
        <f t="shared" si="1"/>
        <v>0.16958412309064555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8969</v>
      </c>
      <c r="F73">
        <v>1555</v>
      </c>
      <c r="G73" s="4">
        <f t="shared" si="1"/>
        <v>0.17337495818931875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8969</v>
      </c>
      <c r="F74">
        <v>1641</v>
      </c>
      <c r="G74" s="4">
        <f t="shared" si="1"/>
        <v>0.18296354108596277</v>
      </c>
    </row>
    <row r="75" spans="1:7">
      <c r="A75" t="s">
        <v>219</v>
      </c>
      <c r="B75">
        <v>18</v>
      </c>
      <c r="C75" t="s">
        <v>260</v>
      </c>
      <c r="D75">
        <v>23</v>
      </c>
      <c r="E75">
        <v>8969</v>
      </c>
      <c r="F75">
        <v>1656</v>
      </c>
      <c r="G75" s="4">
        <f t="shared" si="1"/>
        <v>0.1846359683353774</v>
      </c>
    </row>
    <row r="76" spans="1:7">
      <c r="A76" t="s">
        <v>219</v>
      </c>
      <c r="B76">
        <v>18</v>
      </c>
      <c r="C76" t="s">
        <v>261</v>
      </c>
      <c r="D76">
        <v>24</v>
      </c>
      <c r="E76">
        <v>8969</v>
      </c>
      <c r="F76">
        <v>1660</v>
      </c>
      <c r="G76" s="4">
        <f t="shared" si="1"/>
        <v>0.18508194893522131</v>
      </c>
    </row>
    <row r="77" spans="1:7">
      <c r="A77" t="s">
        <v>219</v>
      </c>
      <c r="B77">
        <v>18</v>
      </c>
      <c r="C77" t="s">
        <v>267</v>
      </c>
      <c r="D77">
        <v>25</v>
      </c>
      <c r="E77">
        <v>8969</v>
      </c>
      <c r="F77">
        <v>1706</v>
      </c>
      <c r="G77" s="4">
        <f t="shared" si="1"/>
        <v>0.19021072583342624</v>
      </c>
    </row>
    <row r="78" spans="1:7">
      <c r="A78" t="s">
        <v>219</v>
      </c>
      <c r="B78">
        <v>18</v>
      </c>
      <c r="C78" t="s">
        <v>259</v>
      </c>
      <c r="D78">
        <v>26</v>
      </c>
      <c r="E78">
        <v>8969</v>
      </c>
      <c r="F78">
        <v>1716</v>
      </c>
      <c r="G78" s="4">
        <f t="shared" si="1"/>
        <v>0.19132567733303601</v>
      </c>
    </row>
    <row r="79" spans="1:7">
      <c r="A79" t="s">
        <v>219</v>
      </c>
      <c r="B79">
        <v>18</v>
      </c>
      <c r="C79" t="s">
        <v>262</v>
      </c>
      <c r="D79">
        <v>27</v>
      </c>
      <c r="E79">
        <v>8969</v>
      </c>
      <c r="F79">
        <v>1753</v>
      </c>
      <c r="G79" s="4">
        <f t="shared" si="1"/>
        <v>0.19545099788159215</v>
      </c>
    </row>
    <row r="80" spans="1:7">
      <c r="A80" t="s">
        <v>219</v>
      </c>
      <c r="B80">
        <v>18</v>
      </c>
      <c r="C80" t="s">
        <v>273</v>
      </c>
      <c r="D80">
        <v>28</v>
      </c>
      <c r="E80">
        <v>8969</v>
      </c>
      <c r="F80">
        <v>1760</v>
      </c>
      <c r="G80" s="4">
        <f t="shared" si="1"/>
        <v>0.19623146393131899</v>
      </c>
    </row>
    <row r="81" spans="1:7">
      <c r="A81" t="s">
        <v>219</v>
      </c>
      <c r="B81">
        <v>18</v>
      </c>
      <c r="C81" t="s">
        <v>268</v>
      </c>
      <c r="D81">
        <v>29</v>
      </c>
      <c r="E81">
        <v>8969</v>
      </c>
      <c r="F81">
        <v>1777</v>
      </c>
      <c r="G81" s="4">
        <f t="shared" si="1"/>
        <v>0.1981268814806556</v>
      </c>
    </row>
    <row r="82" spans="1:7">
      <c r="A82" t="s">
        <v>219</v>
      </c>
      <c r="B82">
        <v>18</v>
      </c>
      <c r="C82" t="s">
        <v>263</v>
      </c>
      <c r="D82">
        <v>30</v>
      </c>
      <c r="E82">
        <v>8969</v>
      </c>
      <c r="F82">
        <v>1795</v>
      </c>
      <c r="G82" s="4">
        <f t="shared" si="1"/>
        <v>0.20013379417995317</v>
      </c>
    </row>
    <row r="83" spans="1:7">
      <c r="A83" t="s">
        <v>219</v>
      </c>
      <c r="B83">
        <v>18</v>
      </c>
      <c r="C83" t="s">
        <v>265</v>
      </c>
      <c r="D83">
        <v>31</v>
      </c>
      <c r="E83">
        <v>8969</v>
      </c>
      <c r="F83">
        <v>1845</v>
      </c>
      <c r="G83" s="4">
        <f t="shared" si="1"/>
        <v>0.20570855167800201</v>
      </c>
    </row>
    <row r="84" spans="1:7">
      <c r="A84" t="s">
        <v>219</v>
      </c>
      <c r="B84">
        <v>18</v>
      </c>
      <c r="C84" t="s">
        <v>270</v>
      </c>
      <c r="D84">
        <v>32</v>
      </c>
      <c r="E84">
        <v>8969</v>
      </c>
      <c r="F84">
        <v>1858</v>
      </c>
      <c r="G84" s="4">
        <f t="shared" si="1"/>
        <v>0.20715798862749471</v>
      </c>
    </row>
    <row r="85" spans="1:7">
      <c r="A85" t="s">
        <v>219</v>
      </c>
      <c r="B85">
        <v>18</v>
      </c>
      <c r="C85" t="s">
        <v>264</v>
      </c>
      <c r="D85">
        <v>33</v>
      </c>
      <c r="E85">
        <v>8969</v>
      </c>
      <c r="F85">
        <v>1899</v>
      </c>
      <c r="G85" s="4">
        <f t="shared" si="1"/>
        <v>0.21172928977589475</v>
      </c>
    </row>
    <row r="86" spans="1:7">
      <c r="A86" t="s">
        <v>219</v>
      </c>
      <c r="B86">
        <v>18</v>
      </c>
      <c r="C86" t="s">
        <v>274</v>
      </c>
      <c r="D86">
        <v>34</v>
      </c>
      <c r="E86">
        <v>8969</v>
      </c>
      <c r="F86">
        <v>1903</v>
      </c>
      <c r="G86" s="4">
        <f t="shared" si="1"/>
        <v>0.21217527037573866</v>
      </c>
    </row>
    <row r="87" spans="1:7">
      <c r="A87" t="s">
        <v>219</v>
      </c>
      <c r="B87">
        <v>18</v>
      </c>
      <c r="C87" t="s">
        <v>272</v>
      </c>
      <c r="D87">
        <v>35</v>
      </c>
      <c r="E87">
        <v>8969</v>
      </c>
      <c r="F87">
        <v>1967</v>
      </c>
      <c r="G87" s="4">
        <f t="shared" si="1"/>
        <v>0.21931095997324115</v>
      </c>
    </row>
    <row r="88" spans="1:7">
      <c r="A88" t="s">
        <v>219</v>
      </c>
      <c r="B88">
        <v>18</v>
      </c>
      <c r="C88" t="s">
        <v>266</v>
      </c>
      <c r="D88">
        <v>36</v>
      </c>
      <c r="E88">
        <v>8969</v>
      </c>
      <c r="F88">
        <v>1984</v>
      </c>
      <c r="G88" s="4">
        <f t="shared" si="1"/>
        <v>0.22120637752257777</v>
      </c>
    </row>
    <row r="89" spans="1:7">
      <c r="A89" t="s">
        <v>219</v>
      </c>
      <c r="B89">
        <v>18</v>
      </c>
      <c r="C89" t="s">
        <v>271</v>
      </c>
      <c r="D89">
        <v>37</v>
      </c>
      <c r="E89">
        <v>8969</v>
      </c>
      <c r="F89">
        <v>1991</v>
      </c>
      <c r="G89" s="4">
        <f t="shared" si="1"/>
        <v>0.22198684357230461</v>
      </c>
    </row>
    <row r="90" spans="1:7">
      <c r="A90" t="s">
        <v>219</v>
      </c>
      <c r="B90">
        <v>18</v>
      </c>
      <c r="C90" t="s">
        <v>275</v>
      </c>
      <c r="D90">
        <v>38</v>
      </c>
      <c r="E90">
        <v>8969</v>
      </c>
      <c r="F90">
        <v>2038</v>
      </c>
      <c r="G90" s="4">
        <f t="shared" si="1"/>
        <v>0.22722711562047052</v>
      </c>
    </row>
    <row r="91" spans="1:7">
      <c r="A91" t="s">
        <v>219</v>
      </c>
      <c r="B91">
        <v>18</v>
      </c>
      <c r="C91" t="s">
        <v>269</v>
      </c>
      <c r="D91">
        <v>39</v>
      </c>
      <c r="E91">
        <v>8969</v>
      </c>
      <c r="F91">
        <v>6839</v>
      </c>
      <c r="G91" s="4">
        <f t="shared" si="1"/>
        <v>0.7625153305831196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8969</v>
      </c>
      <c r="F92">
        <v>8214</v>
      </c>
      <c r="G92" s="4">
        <f t="shared" si="1"/>
        <v>0.9158211617794626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8969</v>
      </c>
      <c r="F93">
        <v>8246</v>
      </c>
      <c r="G93" s="4">
        <f t="shared" si="1"/>
        <v>0.91938900657821387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8969</v>
      </c>
      <c r="F94">
        <v>8294</v>
      </c>
      <c r="G94" s="4">
        <f t="shared" si="1"/>
        <v>0.92474077377634067</v>
      </c>
    </row>
    <row r="95" spans="1:7">
      <c r="A95" t="s">
        <v>219</v>
      </c>
      <c r="B95">
        <v>18</v>
      </c>
      <c r="C95" t="s">
        <v>282</v>
      </c>
      <c r="D95">
        <v>43</v>
      </c>
      <c r="E95">
        <v>8969</v>
      </c>
      <c r="F95">
        <v>8342</v>
      </c>
      <c r="G95" s="4">
        <f t="shared" si="1"/>
        <v>0.93009254097446759</v>
      </c>
    </row>
    <row r="96" spans="1:7">
      <c r="A96" t="s">
        <v>219</v>
      </c>
      <c r="B96">
        <v>18</v>
      </c>
      <c r="C96" t="s">
        <v>280</v>
      </c>
      <c r="D96">
        <v>44</v>
      </c>
      <c r="E96">
        <v>8969</v>
      </c>
      <c r="F96">
        <v>8519</v>
      </c>
      <c r="G96" s="4">
        <f t="shared" si="1"/>
        <v>0.94982718251756049</v>
      </c>
    </row>
    <row r="97" spans="1:7">
      <c r="A97" t="s">
        <v>219</v>
      </c>
      <c r="B97">
        <v>18</v>
      </c>
      <c r="C97" t="s">
        <v>279</v>
      </c>
      <c r="D97">
        <v>45</v>
      </c>
      <c r="E97">
        <v>8969</v>
      </c>
      <c r="F97">
        <v>8534</v>
      </c>
      <c r="G97" s="4">
        <f t="shared" si="1"/>
        <v>0.95149960976697512</v>
      </c>
    </row>
    <row r="98" spans="1:7">
      <c r="A98" t="s">
        <v>219</v>
      </c>
      <c r="B98">
        <v>18</v>
      </c>
      <c r="C98" t="s">
        <v>281</v>
      </c>
      <c r="D98">
        <v>46</v>
      </c>
      <c r="E98">
        <v>8969</v>
      </c>
      <c r="F98">
        <v>8639</v>
      </c>
      <c r="G98" s="4">
        <f t="shared" si="1"/>
        <v>0.96320660051287765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7853</v>
      </c>
      <c r="F99">
        <v>135</v>
      </c>
      <c r="G99" s="4">
        <f t="shared" si="1"/>
        <v>1.7190882465299887E-2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7853</v>
      </c>
      <c r="F100">
        <v>244</v>
      </c>
      <c r="G100" s="4">
        <f t="shared" si="1"/>
        <v>3.1070928307653126E-2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7853</v>
      </c>
      <c r="F101">
        <v>1840</v>
      </c>
      <c r="G101" s="4">
        <f t="shared" si="1"/>
        <v>0.23430536100853178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7853</v>
      </c>
      <c r="F102">
        <v>2009</v>
      </c>
      <c r="G102" s="4">
        <f t="shared" si="1"/>
        <v>0.25582579905768499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7853</v>
      </c>
      <c r="F103">
        <v>2093</v>
      </c>
      <c r="G103" s="4">
        <f t="shared" si="1"/>
        <v>0.26652234814720488</v>
      </c>
    </row>
    <row r="104" spans="1:7">
      <c r="A104" t="s">
        <v>219</v>
      </c>
      <c r="B104">
        <v>19</v>
      </c>
      <c r="C104" t="s">
        <v>285</v>
      </c>
      <c r="D104">
        <v>6</v>
      </c>
      <c r="E104">
        <v>7853</v>
      </c>
      <c r="F104">
        <v>6859</v>
      </c>
      <c r="G104" s="4">
        <f t="shared" si="1"/>
        <v>0.87342416910734755</v>
      </c>
    </row>
    <row r="105" spans="1:7">
      <c r="A105" t="s">
        <v>219</v>
      </c>
      <c r="B105">
        <v>19</v>
      </c>
      <c r="C105" t="s">
        <v>298</v>
      </c>
      <c r="D105">
        <v>7</v>
      </c>
      <c r="E105">
        <v>7853</v>
      </c>
      <c r="F105">
        <v>6870</v>
      </c>
      <c r="G105" s="4">
        <f t="shared" si="1"/>
        <v>0.87482490767859422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7853</v>
      </c>
      <c r="F106">
        <v>7160</v>
      </c>
      <c r="G106" s="4">
        <f t="shared" si="1"/>
        <v>0.91175347001146057</v>
      </c>
    </row>
    <row r="107" spans="1:7">
      <c r="A107" t="s">
        <v>219</v>
      </c>
      <c r="B107">
        <v>19</v>
      </c>
      <c r="C107" t="s">
        <v>288</v>
      </c>
      <c r="D107">
        <v>9</v>
      </c>
      <c r="E107">
        <v>7853</v>
      </c>
      <c r="F107">
        <v>7203</v>
      </c>
      <c r="G107" s="4">
        <f t="shared" si="1"/>
        <v>0.91722908442633388</v>
      </c>
    </row>
    <row r="108" spans="1:7">
      <c r="A108" t="s">
        <v>219</v>
      </c>
      <c r="B108">
        <v>19</v>
      </c>
      <c r="C108" t="s">
        <v>300</v>
      </c>
      <c r="D108">
        <v>10</v>
      </c>
      <c r="E108">
        <v>7853</v>
      </c>
      <c r="F108">
        <v>7213</v>
      </c>
      <c r="G108" s="4">
        <f t="shared" si="1"/>
        <v>0.91850248312746718</v>
      </c>
    </row>
    <row r="109" spans="1:7">
      <c r="A109" t="s">
        <v>219</v>
      </c>
      <c r="B109">
        <v>19</v>
      </c>
      <c r="C109" t="s">
        <v>291</v>
      </c>
      <c r="D109">
        <v>11</v>
      </c>
      <c r="E109">
        <v>7853</v>
      </c>
      <c r="F109">
        <v>7244</v>
      </c>
      <c r="G109" s="4">
        <f t="shared" si="1"/>
        <v>0.92245001910098057</v>
      </c>
    </row>
    <row r="110" spans="1:7">
      <c r="A110" t="s">
        <v>219</v>
      </c>
      <c r="B110">
        <v>19</v>
      </c>
      <c r="C110" t="s">
        <v>290</v>
      </c>
      <c r="D110">
        <v>12</v>
      </c>
      <c r="E110">
        <v>7853</v>
      </c>
      <c r="F110">
        <v>7257</v>
      </c>
      <c r="G110" s="4">
        <f t="shared" si="1"/>
        <v>0.92410543741245388</v>
      </c>
    </row>
    <row r="111" spans="1:7">
      <c r="A111" t="s">
        <v>219</v>
      </c>
      <c r="B111">
        <v>19</v>
      </c>
      <c r="C111" t="s">
        <v>302</v>
      </c>
      <c r="D111">
        <v>13</v>
      </c>
      <c r="E111">
        <v>7853</v>
      </c>
      <c r="F111">
        <v>7258</v>
      </c>
      <c r="G111" s="4">
        <f t="shared" si="1"/>
        <v>0.92423277728256714</v>
      </c>
    </row>
    <row r="112" spans="1:7">
      <c r="A112" t="s">
        <v>219</v>
      </c>
      <c r="B112">
        <v>19</v>
      </c>
      <c r="C112" t="s">
        <v>289</v>
      </c>
      <c r="D112">
        <v>14</v>
      </c>
      <c r="E112">
        <v>7853</v>
      </c>
      <c r="F112">
        <v>7262</v>
      </c>
      <c r="G112" s="4">
        <f t="shared" si="1"/>
        <v>0.92474213676302053</v>
      </c>
    </row>
    <row r="113" spans="1:7">
      <c r="A113" t="s">
        <v>219</v>
      </c>
      <c r="B113">
        <v>19</v>
      </c>
      <c r="C113" t="s">
        <v>287</v>
      </c>
      <c r="D113">
        <v>15</v>
      </c>
      <c r="E113">
        <v>7853</v>
      </c>
      <c r="F113">
        <v>7266</v>
      </c>
      <c r="G113" s="4">
        <f t="shared" si="1"/>
        <v>0.9252514962434738</v>
      </c>
    </row>
    <row r="114" spans="1:7">
      <c r="A114" t="s">
        <v>219</v>
      </c>
      <c r="B114">
        <v>19</v>
      </c>
      <c r="C114" t="s">
        <v>292</v>
      </c>
      <c r="D114">
        <v>16</v>
      </c>
      <c r="E114">
        <v>7853</v>
      </c>
      <c r="F114">
        <v>7276</v>
      </c>
      <c r="G114" s="4">
        <f t="shared" si="1"/>
        <v>0.9265248949446071</v>
      </c>
    </row>
    <row r="115" spans="1:7">
      <c r="A115" t="s">
        <v>219</v>
      </c>
      <c r="B115">
        <v>19</v>
      </c>
      <c r="C115" t="s">
        <v>294</v>
      </c>
      <c r="D115">
        <v>17</v>
      </c>
      <c r="E115">
        <v>7853</v>
      </c>
      <c r="F115">
        <v>7296</v>
      </c>
      <c r="G115" s="4">
        <f t="shared" si="1"/>
        <v>0.92907169234687381</v>
      </c>
    </row>
    <row r="116" spans="1:7">
      <c r="A116" t="s">
        <v>219</v>
      </c>
      <c r="B116">
        <v>19</v>
      </c>
      <c r="C116" t="s">
        <v>293</v>
      </c>
      <c r="D116">
        <v>18</v>
      </c>
      <c r="E116">
        <v>7853</v>
      </c>
      <c r="F116">
        <v>7346</v>
      </c>
      <c r="G116" s="4">
        <f t="shared" si="1"/>
        <v>0.93543868585254042</v>
      </c>
    </row>
    <row r="117" spans="1:7">
      <c r="A117" t="s">
        <v>219</v>
      </c>
      <c r="B117">
        <v>19</v>
      </c>
      <c r="C117" t="s">
        <v>306</v>
      </c>
      <c r="D117">
        <v>19</v>
      </c>
      <c r="E117">
        <v>7853</v>
      </c>
      <c r="F117">
        <v>7352</v>
      </c>
      <c r="G117" s="4">
        <f t="shared" si="1"/>
        <v>0.93620272507322044</v>
      </c>
    </row>
    <row r="118" spans="1:7">
      <c r="A118" t="s">
        <v>219</v>
      </c>
      <c r="B118">
        <v>19</v>
      </c>
      <c r="C118" t="s">
        <v>301</v>
      </c>
      <c r="D118">
        <v>20</v>
      </c>
      <c r="E118">
        <v>7853</v>
      </c>
      <c r="F118">
        <v>7358</v>
      </c>
      <c r="G118" s="4">
        <f t="shared" si="1"/>
        <v>0.93696676429390047</v>
      </c>
    </row>
    <row r="119" spans="1:7">
      <c r="A119" t="s">
        <v>219</v>
      </c>
      <c r="B119">
        <v>19</v>
      </c>
      <c r="C119" t="s">
        <v>299</v>
      </c>
      <c r="D119">
        <v>21</v>
      </c>
      <c r="E119">
        <v>7853</v>
      </c>
      <c r="F119">
        <v>7373</v>
      </c>
      <c r="G119" s="4">
        <f t="shared" si="1"/>
        <v>0.93887686234560042</v>
      </c>
    </row>
    <row r="120" spans="1:7">
      <c r="A120" t="s">
        <v>219</v>
      </c>
      <c r="B120">
        <v>19</v>
      </c>
      <c r="C120" t="s">
        <v>295</v>
      </c>
      <c r="D120">
        <v>22</v>
      </c>
      <c r="E120">
        <v>7853</v>
      </c>
      <c r="F120">
        <v>7387</v>
      </c>
      <c r="G120" s="4">
        <f t="shared" si="1"/>
        <v>0.9406596205271871</v>
      </c>
    </row>
    <row r="121" spans="1:7">
      <c r="A121" t="s">
        <v>219</v>
      </c>
      <c r="B121">
        <v>19</v>
      </c>
      <c r="C121" t="s">
        <v>303</v>
      </c>
      <c r="D121">
        <v>23</v>
      </c>
      <c r="E121">
        <v>7853</v>
      </c>
      <c r="F121">
        <v>7389</v>
      </c>
      <c r="G121" s="4">
        <f t="shared" si="1"/>
        <v>0.94091430026741374</v>
      </c>
    </row>
    <row r="122" spans="1:7">
      <c r="A122" t="s">
        <v>219</v>
      </c>
      <c r="B122">
        <v>19</v>
      </c>
      <c r="C122" t="s">
        <v>307</v>
      </c>
      <c r="D122">
        <v>24</v>
      </c>
      <c r="E122">
        <v>7853</v>
      </c>
      <c r="F122">
        <v>7409</v>
      </c>
      <c r="G122" s="4">
        <f t="shared" si="1"/>
        <v>0.94346109766968034</v>
      </c>
    </row>
    <row r="123" spans="1:7">
      <c r="A123" t="s">
        <v>219</v>
      </c>
      <c r="B123">
        <v>19</v>
      </c>
      <c r="C123" t="s">
        <v>297</v>
      </c>
      <c r="D123">
        <v>25</v>
      </c>
      <c r="E123">
        <v>7853</v>
      </c>
      <c r="F123">
        <v>7459</v>
      </c>
      <c r="G123" s="4">
        <f t="shared" si="1"/>
        <v>0.94982809117534706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7853</v>
      </c>
      <c r="F124">
        <v>7462</v>
      </c>
      <c r="G124" s="4">
        <f t="shared" si="1"/>
        <v>0.95021011078568696</v>
      </c>
    </row>
    <row r="125" spans="1:7">
      <c r="A125" t="s">
        <v>219</v>
      </c>
      <c r="B125">
        <v>19</v>
      </c>
      <c r="C125" t="s">
        <v>305</v>
      </c>
      <c r="D125">
        <v>27</v>
      </c>
      <c r="E125">
        <v>7853</v>
      </c>
      <c r="F125">
        <v>7547</v>
      </c>
      <c r="G125" s="4">
        <f t="shared" si="1"/>
        <v>0.96103399974532022</v>
      </c>
    </row>
    <row r="126" spans="1:7">
      <c r="A126" t="s">
        <v>219</v>
      </c>
      <c r="B126">
        <v>19</v>
      </c>
      <c r="C126" t="s">
        <v>304</v>
      </c>
      <c r="D126">
        <v>28</v>
      </c>
      <c r="E126">
        <v>7853</v>
      </c>
      <c r="F126">
        <v>7641</v>
      </c>
      <c r="G126" s="4">
        <f t="shared" si="1"/>
        <v>0.97300394753597352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10310</v>
      </c>
      <c r="F127">
        <v>459</v>
      </c>
      <c r="G127" s="4">
        <f t="shared" si="1"/>
        <v>4.4519883608147431E-2</v>
      </c>
    </row>
    <row r="128" spans="1:7">
      <c r="A128" t="s">
        <v>219</v>
      </c>
      <c r="B128">
        <v>20</v>
      </c>
      <c r="C128" t="s">
        <v>310</v>
      </c>
      <c r="D128">
        <v>2</v>
      </c>
      <c r="E128">
        <v>10310</v>
      </c>
      <c r="F128">
        <v>549</v>
      </c>
      <c r="G128" s="4">
        <f t="shared" si="1"/>
        <v>5.3249272550921434E-2</v>
      </c>
    </row>
    <row r="129" spans="1:7">
      <c r="A129" t="s">
        <v>219</v>
      </c>
      <c r="B129">
        <v>20</v>
      </c>
      <c r="C129" t="s">
        <v>309</v>
      </c>
      <c r="D129">
        <v>3</v>
      </c>
      <c r="E129">
        <v>10310</v>
      </c>
      <c r="F129">
        <v>550</v>
      </c>
      <c r="G129" s="4">
        <f t="shared" si="1"/>
        <v>5.33462657613967E-2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10310</v>
      </c>
      <c r="F130">
        <v>569</v>
      </c>
      <c r="G130" s="4">
        <f t="shared" ref="G130:G193" si="2">F130/E130</f>
        <v>5.518913676042677E-2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10310</v>
      </c>
      <c r="F131">
        <v>596</v>
      </c>
      <c r="G131" s="4">
        <f t="shared" si="2"/>
        <v>5.7807953443258973E-2</v>
      </c>
    </row>
    <row r="132" spans="1:7">
      <c r="A132" t="s">
        <v>219</v>
      </c>
      <c r="B132">
        <v>20</v>
      </c>
      <c r="C132" t="s">
        <v>314</v>
      </c>
      <c r="D132">
        <v>6</v>
      </c>
      <c r="E132">
        <v>10310</v>
      </c>
      <c r="F132">
        <v>613</v>
      </c>
      <c r="G132" s="4">
        <f t="shared" si="2"/>
        <v>5.9456838021338505E-2</v>
      </c>
    </row>
    <row r="133" spans="1:7">
      <c r="A133" t="s">
        <v>219</v>
      </c>
      <c r="B133">
        <v>20</v>
      </c>
      <c r="C133" t="s">
        <v>316</v>
      </c>
      <c r="D133">
        <v>7</v>
      </c>
      <c r="E133">
        <v>10310</v>
      </c>
      <c r="F133">
        <v>630</v>
      </c>
      <c r="G133" s="4">
        <f t="shared" si="2"/>
        <v>6.1105722599418044E-2</v>
      </c>
    </row>
    <row r="134" spans="1:7">
      <c r="A134" t="s">
        <v>219</v>
      </c>
      <c r="B134">
        <v>20</v>
      </c>
      <c r="C134" t="s">
        <v>313</v>
      </c>
      <c r="D134">
        <v>8</v>
      </c>
      <c r="E134">
        <v>10310</v>
      </c>
      <c r="F134">
        <v>633</v>
      </c>
      <c r="G134" s="4">
        <f t="shared" si="2"/>
        <v>6.1396702230843841E-2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10310</v>
      </c>
      <c r="F135">
        <v>645</v>
      </c>
      <c r="G135" s="4">
        <f t="shared" si="2"/>
        <v>6.2560620756547045E-2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10310</v>
      </c>
      <c r="F136">
        <v>679</v>
      </c>
      <c r="G136" s="4">
        <f t="shared" si="2"/>
        <v>6.5858389912706108E-2</v>
      </c>
    </row>
    <row r="137" spans="1:7">
      <c r="A137" t="s">
        <v>219</v>
      </c>
      <c r="B137">
        <v>20</v>
      </c>
      <c r="C137" t="s">
        <v>319</v>
      </c>
      <c r="D137">
        <v>11</v>
      </c>
      <c r="E137">
        <v>10310</v>
      </c>
      <c r="F137">
        <v>700</v>
      </c>
      <c r="G137" s="4">
        <f t="shared" si="2"/>
        <v>6.7895247332686717E-2</v>
      </c>
    </row>
    <row r="138" spans="1:7">
      <c r="A138" t="s">
        <v>219</v>
      </c>
      <c r="B138">
        <v>20</v>
      </c>
      <c r="C138" t="s">
        <v>320</v>
      </c>
      <c r="D138">
        <v>12</v>
      </c>
      <c r="E138">
        <v>10310</v>
      </c>
      <c r="F138">
        <v>720</v>
      </c>
      <c r="G138" s="4">
        <f t="shared" si="2"/>
        <v>6.9835111542192047E-2</v>
      </c>
    </row>
    <row r="139" spans="1:7">
      <c r="A139" t="s">
        <v>219</v>
      </c>
      <c r="B139">
        <v>20</v>
      </c>
      <c r="C139" t="s">
        <v>318</v>
      </c>
      <c r="D139">
        <v>13</v>
      </c>
      <c r="E139">
        <v>10310</v>
      </c>
      <c r="F139">
        <v>721</v>
      </c>
      <c r="G139" s="4">
        <f t="shared" si="2"/>
        <v>6.9932104752667312E-2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10310</v>
      </c>
      <c r="F140">
        <v>770</v>
      </c>
      <c r="G140" s="4">
        <f t="shared" si="2"/>
        <v>7.4684772065955377E-2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10310</v>
      </c>
      <c r="F141">
        <v>778</v>
      </c>
      <c r="G141" s="4">
        <f t="shared" si="2"/>
        <v>7.5460717749757517E-2</v>
      </c>
    </row>
    <row r="142" spans="1:7">
      <c r="A142" t="s">
        <v>219</v>
      </c>
      <c r="B142">
        <v>20</v>
      </c>
      <c r="C142" t="s">
        <v>323</v>
      </c>
      <c r="D142">
        <v>16</v>
      </c>
      <c r="E142">
        <v>10310</v>
      </c>
      <c r="F142">
        <v>810</v>
      </c>
      <c r="G142" s="4">
        <f t="shared" si="2"/>
        <v>7.8564500484966049E-2</v>
      </c>
    </row>
    <row r="143" spans="1:7">
      <c r="A143" t="s">
        <v>219</v>
      </c>
      <c r="B143">
        <v>20</v>
      </c>
      <c r="C143" t="s">
        <v>324</v>
      </c>
      <c r="D143">
        <v>17</v>
      </c>
      <c r="E143">
        <v>10310</v>
      </c>
      <c r="F143">
        <v>820</v>
      </c>
      <c r="G143" s="4">
        <f t="shared" si="2"/>
        <v>7.953443258971872E-2</v>
      </c>
    </row>
    <row r="144" spans="1:7">
      <c r="A144" t="s">
        <v>219</v>
      </c>
      <c r="B144">
        <v>20</v>
      </c>
      <c r="C144" t="s">
        <v>326</v>
      </c>
      <c r="D144">
        <v>18</v>
      </c>
      <c r="E144">
        <v>10310</v>
      </c>
      <c r="F144">
        <v>880</v>
      </c>
      <c r="G144" s="4">
        <f t="shared" si="2"/>
        <v>8.5354025218234722E-2</v>
      </c>
    </row>
    <row r="145" spans="1:7">
      <c r="A145" t="s">
        <v>219</v>
      </c>
      <c r="B145">
        <v>20</v>
      </c>
      <c r="C145" t="s">
        <v>325</v>
      </c>
      <c r="D145">
        <v>19</v>
      </c>
      <c r="E145">
        <v>10310</v>
      </c>
      <c r="F145">
        <v>891</v>
      </c>
      <c r="G145" s="4">
        <f t="shared" si="2"/>
        <v>8.6420950533462659E-2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10310</v>
      </c>
      <c r="F146">
        <v>944</v>
      </c>
      <c r="G146" s="4">
        <f t="shared" si="2"/>
        <v>9.1561590688651801E-2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10310</v>
      </c>
      <c r="F147">
        <v>980</v>
      </c>
      <c r="G147" s="4">
        <f t="shared" si="2"/>
        <v>9.5053346265761396E-2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10310</v>
      </c>
      <c r="F148">
        <v>1002</v>
      </c>
      <c r="G148" s="4">
        <f t="shared" si="2"/>
        <v>9.7187196896217271E-2</v>
      </c>
    </row>
    <row r="149" spans="1:7">
      <c r="A149" t="s">
        <v>219</v>
      </c>
      <c r="B149">
        <v>20</v>
      </c>
      <c r="C149" t="s">
        <v>331</v>
      </c>
      <c r="D149">
        <v>23</v>
      </c>
      <c r="E149">
        <v>10310</v>
      </c>
      <c r="F149">
        <v>4413</v>
      </c>
      <c r="G149" s="4">
        <f t="shared" si="2"/>
        <v>0.42803103782735208</v>
      </c>
    </row>
    <row r="150" spans="1:7">
      <c r="A150" t="s">
        <v>219</v>
      </c>
      <c r="B150">
        <v>20</v>
      </c>
      <c r="C150" t="s">
        <v>334</v>
      </c>
      <c r="D150">
        <v>24</v>
      </c>
      <c r="E150">
        <v>10310</v>
      </c>
      <c r="F150">
        <v>4468</v>
      </c>
      <c r="G150" s="4">
        <f t="shared" si="2"/>
        <v>0.43336566440349178</v>
      </c>
    </row>
    <row r="151" spans="1:7">
      <c r="A151" t="s">
        <v>219</v>
      </c>
      <c r="B151">
        <v>20</v>
      </c>
      <c r="C151" t="s">
        <v>332</v>
      </c>
      <c r="D151">
        <v>25</v>
      </c>
      <c r="E151">
        <v>10310</v>
      </c>
      <c r="F151">
        <v>4472</v>
      </c>
      <c r="G151" s="4">
        <f t="shared" si="2"/>
        <v>0.43375363724539284</v>
      </c>
    </row>
    <row r="152" spans="1:7">
      <c r="A152" t="s">
        <v>219</v>
      </c>
      <c r="B152">
        <v>20</v>
      </c>
      <c r="C152" t="s">
        <v>333</v>
      </c>
      <c r="D152">
        <v>26</v>
      </c>
      <c r="E152">
        <v>10310</v>
      </c>
      <c r="F152">
        <v>4475</v>
      </c>
      <c r="G152" s="4">
        <f t="shared" si="2"/>
        <v>0.43404461687681861</v>
      </c>
    </row>
    <row r="153" spans="1:7">
      <c r="A153" t="s">
        <v>219</v>
      </c>
      <c r="B153">
        <v>20</v>
      </c>
      <c r="C153" t="s">
        <v>335</v>
      </c>
      <c r="D153">
        <v>27</v>
      </c>
      <c r="E153">
        <v>10310</v>
      </c>
      <c r="F153">
        <v>4493</v>
      </c>
      <c r="G153" s="4">
        <f t="shared" si="2"/>
        <v>0.43579049466537345</v>
      </c>
    </row>
    <row r="154" spans="1:7">
      <c r="A154" t="s">
        <v>219</v>
      </c>
      <c r="B154">
        <v>20</v>
      </c>
      <c r="C154" t="s">
        <v>336</v>
      </c>
      <c r="D154">
        <v>28</v>
      </c>
      <c r="E154">
        <v>10310</v>
      </c>
      <c r="F154">
        <v>4570</v>
      </c>
      <c r="G154" s="4">
        <f t="shared" si="2"/>
        <v>0.44325897187196894</v>
      </c>
    </row>
    <row r="155" spans="1:7">
      <c r="A155" t="s">
        <v>219</v>
      </c>
      <c r="B155">
        <v>20</v>
      </c>
      <c r="C155" t="s">
        <v>337</v>
      </c>
      <c r="D155">
        <v>29</v>
      </c>
      <c r="E155">
        <v>10310</v>
      </c>
      <c r="F155">
        <v>4607</v>
      </c>
      <c r="G155" s="4">
        <f t="shared" si="2"/>
        <v>0.4468477206595538</v>
      </c>
    </row>
    <row r="156" spans="1:7">
      <c r="A156" t="s">
        <v>219</v>
      </c>
      <c r="B156">
        <v>20</v>
      </c>
      <c r="C156" t="s">
        <v>340</v>
      </c>
      <c r="D156">
        <v>30</v>
      </c>
      <c r="E156">
        <v>10310</v>
      </c>
      <c r="F156">
        <v>4777</v>
      </c>
      <c r="G156" s="4">
        <f t="shared" si="2"/>
        <v>0.46333656644034915</v>
      </c>
    </row>
    <row r="157" spans="1:7">
      <c r="A157" t="s">
        <v>219</v>
      </c>
      <c r="B157">
        <v>20</v>
      </c>
      <c r="C157" t="s">
        <v>330</v>
      </c>
      <c r="D157">
        <v>31</v>
      </c>
      <c r="E157">
        <v>10310</v>
      </c>
      <c r="F157">
        <v>9346</v>
      </c>
      <c r="G157" s="4">
        <f t="shared" si="2"/>
        <v>0.90649854510184291</v>
      </c>
    </row>
    <row r="158" spans="1:7">
      <c r="A158" t="s">
        <v>219</v>
      </c>
      <c r="B158">
        <v>20</v>
      </c>
      <c r="C158" t="s">
        <v>339</v>
      </c>
      <c r="D158">
        <v>32</v>
      </c>
      <c r="E158">
        <v>10310</v>
      </c>
      <c r="F158">
        <v>9666</v>
      </c>
      <c r="G158" s="4">
        <f t="shared" si="2"/>
        <v>0.93753637245392818</v>
      </c>
    </row>
    <row r="159" spans="1:7">
      <c r="A159" t="s">
        <v>219</v>
      </c>
      <c r="B159">
        <v>20</v>
      </c>
      <c r="C159" t="s">
        <v>338</v>
      </c>
      <c r="D159">
        <v>33</v>
      </c>
      <c r="E159">
        <v>10310</v>
      </c>
      <c r="F159">
        <v>9842</v>
      </c>
      <c r="G159" s="4">
        <f t="shared" si="2"/>
        <v>0.95460717749757518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3773</v>
      </c>
      <c r="F160">
        <v>205</v>
      </c>
      <c r="G160" s="4">
        <f t="shared" si="2"/>
        <v>5.4333421680360455E-2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3773</v>
      </c>
      <c r="F161">
        <v>1921</v>
      </c>
      <c r="G161" s="4">
        <f t="shared" si="2"/>
        <v>0.50914391730718256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3773</v>
      </c>
      <c r="F162">
        <v>3755</v>
      </c>
      <c r="G162" s="4">
        <f t="shared" si="2"/>
        <v>0.99522926053538296</v>
      </c>
    </row>
    <row r="163" spans="1:7">
      <c r="A163" t="s">
        <v>220</v>
      </c>
      <c r="B163">
        <v>3</v>
      </c>
      <c r="C163" t="s">
        <v>235</v>
      </c>
      <c r="D163">
        <v>1</v>
      </c>
      <c r="E163">
        <v>1545</v>
      </c>
      <c r="F163">
        <v>1550</v>
      </c>
      <c r="G163" s="4">
        <f t="shared" si="2"/>
        <v>1.0032362459546926</v>
      </c>
    </row>
    <row r="164" spans="1:7">
      <c r="A164" t="s">
        <v>220</v>
      </c>
      <c r="B164">
        <v>3</v>
      </c>
      <c r="C164" t="s">
        <v>343</v>
      </c>
      <c r="D164">
        <v>2</v>
      </c>
      <c r="E164">
        <v>1545</v>
      </c>
      <c r="F164">
        <v>1589</v>
      </c>
      <c r="G164" s="4">
        <f t="shared" si="2"/>
        <v>1.0284789644012946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1488</v>
      </c>
      <c r="F165">
        <v>1487</v>
      </c>
      <c r="G165" s="4">
        <f t="shared" si="2"/>
        <v>0.99932795698924726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1488</v>
      </c>
      <c r="F166">
        <v>1573</v>
      </c>
      <c r="G166" s="4">
        <f t="shared" si="2"/>
        <v>1.0571236559139785</v>
      </c>
    </row>
    <row r="167" spans="1:7">
      <c r="A167" t="s">
        <v>220</v>
      </c>
      <c r="B167">
        <v>10</v>
      </c>
      <c r="C167" t="s">
        <v>347</v>
      </c>
      <c r="D167">
        <v>1</v>
      </c>
      <c r="E167">
        <v>13346</v>
      </c>
      <c r="F167">
        <v>1707</v>
      </c>
      <c r="G167" s="4">
        <f t="shared" si="2"/>
        <v>0.12790349168290124</v>
      </c>
    </row>
    <row r="168" spans="1:7">
      <c r="A168" t="s">
        <v>220</v>
      </c>
      <c r="B168">
        <v>10</v>
      </c>
      <c r="C168" t="s">
        <v>345</v>
      </c>
      <c r="D168">
        <v>2</v>
      </c>
      <c r="E168">
        <v>13346</v>
      </c>
      <c r="F168">
        <v>1711</v>
      </c>
      <c r="G168" s="4">
        <f t="shared" si="2"/>
        <v>0.12820320695339427</v>
      </c>
    </row>
    <row r="169" spans="1:7">
      <c r="A169" t="s">
        <v>220</v>
      </c>
      <c r="B169">
        <v>10</v>
      </c>
      <c r="C169" t="s">
        <v>344</v>
      </c>
      <c r="D169">
        <v>3</v>
      </c>
      <c r="E169">
        <v>13346</v>
      </c>
      <c r="F169">
        <v>1717</v>
      </c>
      <c r="G169" s="4">
        <f t="shared" si="2"/>
        <v>0.12865277985913381</v>
      </c>
    </row>
    <row r="170" spans="1:7">
      <c r="A170" t="s">
        <v>220</v>
      </c>
      <c r="B170">
        <v>10</v>
      </c>
      <c r="C170" t="s">
        <v>346</v>
      </c>
      <c r="D170">
        <v>4</v>
      </c>
      <c r="E170">
        <v>13346</v>
      </c>
      <c r="F170">
        <v>1738</v>
      </c>
      <c r="G170" s="4">
        <f t="shared" si="2"/>
        <v>0.13022628502922223</v>
      </c>
    </row>
    <row r="171" spans="1:7">
      <c r="A171" t="s">
        <v>220</v>
      </c>
      <c r="B171">
        <v>10</v>
      </c>
      <c r="C171" t="s">
        <v>351</v>
      </c>
      <c r="D171">
        <v>5</v>
      </c>
      <c r="E171">
        <v>13346</v>
      </c>
      <c r="F171">
        <v>1778</v>
      </c>
      <c r="G171" s="4">
        <f t="shared" si="2"/>
        <v>0.13322343773415254</v>
      </c>
    </row>
    <row r="172" spans="1:7">
      <c r="A172" t="s">
        <v>220</v>
      </c>
      <c r="B172">
        <v>10</v>
      </c>
      <c r="C172" t="s">
        <v>348</v>
      </c>
      <c r="D172">
        <v>6</v>
      </c>
      <c r="E172">
        <v>13346</v>
      </c>
      <c r="F172">
        <v>1783</v>
      </c>
      <c r="G172" s="4">
        <f t="shared" si="2"/>
        <v>0.13359808182226884</v>
      </c>
    </row>
    <row r="173" spans="1:7">
      <c r="A173" t="s">
        <v>220</v>
      </c>
      <c r="B173">
        <v>10</v>
      </c>
      <c r="C173" t="s">
        <v>349</v>
      </c>
      <c r="D173">
        <v>7</v>
      </c>
      <c r="E173">
        <v>13346</v>
      </c>
      <c r="F173">
        <v>1784</v>
      </c>
      <c r="G173" s="4">
        <f t="shared" si="2"/>
        <v>0.13367301063989209</v>
      </c>
    </row>
    <row r="174" spans="1:7">
      <c r="A174" t="s">
        <v>220</v>
      </c>
      <c r="B174">
        <v>10</v>
      </c>
      <c r="C174" t="s">
        <v>350</v>
      </c>
      <c r="D174">
        <v>8</v>
      </c>
      <c r="E174">
        <v>13346</v>
      </c>
      <c r="F174">
        <v>1788</v>
      </c>
      <c r="G174" s="4">
        <f t="shared" si="2"/>
        <v>0.13397272591038514</v>
      </c>
    </row>
    <row r="175" spans="1:7">
      <c r="A175" t="s">
        <v>220</v>
      </c>
      <c r="B175">
        <v>10</v>
      </c>
      <c r="C175" t="s">
        <v>352</v>
      </c>
      <c r="D175">
        <v>9</v>
      </c>
      <c r="E175">
        <v>13346</v>
      </c>
      <c r="F175">
        <v>1868</v>
      </c>
      <c r="G175" s="4">
        <f t="shared" si="2"/>
        <v>0.13996703132024577</v>
      </c>
    </row>
    <row r="176" spans="1:7">
      <c r="A176" t="s">
        <v>220</v>
      </c>
      <c r="B176">
        <v>10</v>
      </c>
      <c r="C176" t="s">
        <v>355</v>
      </c>
      <c r="D176">
        <v>10</v>
      </c>
      <c r="E176">
        <v>13346</v>
      </c>
      <c r="F176">
        <v>1888</v>
      </c>
      <c r="G176" s="4">
        <f t="shared" si="2"/>
        <v>0.14146560767271094</v>
      </c>
    </row>
    <row r="177" spans="1:7">
      <c r="A177" t="s">
        <v>220</v>
      </c>
      <c r="B177">
        <v>10</v>
      </c>
      <c r="C177" t="s">
        <v>353</v>
      </c>
      <c r="D177">
        <v>11</v>
      </c>
      <c r="E177">
        <v>13346</v>
      </c>
      <c r="F177">
        <v>1891</v>
      </c>
      <c r="G177" s="4">
        <f t="shared" si="2"/>
        <v>0.14169039412558071</v>
      </c>
    </row>
    <row r="178" spans="1:7">
      <c r="A178" t="s">
        <v>220</v>
      </c>
      <c r="B178">
        <v>10</v>
      </c>
      <c r="C178" t="s">
        <v>354</v>
      </c>
      <c r="D178">
        <v>12</v>
      </c>
      <c r="E178">
        <v>13346</v>
      </c>
      <c r="F178">
        <v>1892</v>
      </c>
      <c r="G178" s="4">
        <f t="shared" si="2"/>
        <v>0.14176532294320396</v>
      </c>
    </row>
    <row r="179" spans="1:7">
      <c r="A179" t="s">
        <v>220</v>
      </c>
      <c r="B179">
        <v>10</v>
      </c>
      <c r="C179" t="s">
        <v>356</v>
      </c>
      <c r="D179">
        <v>13</v>
      </c>
      <c r="E179">
        <v>13346</v>
      </c>
      <c r="F179">
        <v>1944</v>
      </c>
      <c r="G179" s="4">
        <f t="shared" si="2"/>
        <v>0.14566162145961337</v>
      </c>
    </row>
    <row r="180" spans="1:7">
      <c r="A180" t="s">
        <v>220</v>
      </c>
      <c r="B180">
        <v>10</v>
      </c>
      <c r="C180" t="s">
        <v>357</v>
      </c>
      <c r="D180">
        <v>14</v>
      </c>
      <c r="E180">
        <v>13346</v>
      </c>
      <c r="F180">
        <v>1963</v>
      </c>
      <c r="G180" s="4">
        <f t="shared" si="2"/>
        <v>0.14708526899445526</v>
      </c>
    </row>
    <row r="181" spans="1:7">
      <c r="A181" t="s">
        <v>220</v>
      </c>
      <c r="B181">
        <v>10</v>
      </c>
      <c r="C181" t="s">
        <v>359</v>
      </c>
      <c r="D181">
        <v>15</v>
      </c>
      <c r="E181">
        <v>13346</v>
      </c>
      <c r="F181">
        <v>1991</v>
      </c>
      <c r="G181" s="4">
        <f t="shared" si="2"/>
        <v>0.1491832758879065</v>
      </c>
    </row>
    <row r="182" spans="1:7">
      <c r="A182" t="s">
        <v>220</v>
      </c>
      <c r="B182">
        <v>10</v>
      </c>
      <c r="C182" t="s">
        <v>358</v>
      </c>
      <c r="D182">
        <v>16</v>
      </c>
      <c r="E182">
        <v>13346</v>
      </c>
      <c r="F182">
        <v>2017</v>
      </c>
      <c r="G182" s="4">
        <f t="shared" si="2"/>
        <v>0.15113142514611119</v>
      </c>
    </row>
    <row r="183" spans="1:7">
      <c r="A183" t="s">
        <v>220</v>
      </c>
      <c r="B183">
        <v>10</v>
      </c>
      <c r="C183" t="s">
        <v>361</v>
      </c>
      <c r="D183">
        <v>17</v>
      </c>
      <c r="E183">
        <v>13346</v>
      </c>
      <c r="F183">
        <v>2167</v>
      </c>
      <c r="G183" s="4">
        <f t="shared" si="2"/>
        <v>0.16237074778959987</v>
      </c>
    </row>
    <row r="184" spans="1:7">
      <c r="A184" t="s">
        <v>220</v>
      </c>
      <c r="B184">
        <v>10</v>
      </c>
      <c r="C184" t="s">
        <v>360</v>
      </c>
      <c r="D184">
        <v>18</v>
      </c>
      <c r="E184">
        <v>13346</v>
      </c>
      <c r="F184">
        <v>2219</v>
      </c>
      <c r="G184" s="4">
        <f t="shared" si="2"/>
        <v>0.1662670463060093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13346</v>
      </c>
      <c r="F185">
        <v>2226</v>
      </c>
      <c r="G185" s="4">
        <f t="shared" si="2"/>
        <v>0.1667915480293721</v>
      </c>
    </row>
    <row r="186" spans="1:7">
      <c r="A186" t="s">
        <v>220</v>
      </c>
      <c r="B186">
        <v>10</v>
      </c>
      <c r="C186" t="s">
        <v>364</v>
      </c>
      <c r="D186">
        <v>20</v>
      </c>
      <c r="E186">
        <v>13346</v>
      </c>
      <c r="F186">
        <v>2356</v>
      </c>
      <c r="G186" s="4">
        <f t="shared" si="2"/>
        <v>0.17653229432039563</v>
      </c>
    </row>
    <row r="187" spans="1:7">
      <c r="A187" t="s">
        <v>220</v>
      </c>
      <c r="B187">
        <v>10</v>
      </c>
      <c r="C187" t="s">
        <v>363</v>
      </c>
      <c r="D187">
        <v>21</v>
      </c>
      <c r="E187">
        <v>13346</v>
      </c>
      <c r="F187">
        <v>2386</v>
      </c>
      <c r="G187" s="4">
        <f t="shared" si="2"/>
        <v>0.17878015884909337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13346</v>
      </c>
      <c r="F188">
        <v>2432</v>
      </c>
      <c r="G188" s="4">
        <f t="shared" si="2"/>
        <v>0.18222688445976323</v>
      </c>
    </row>
    <row r="189" spans="1:7">
      <c r="A189" t="s">
        <v>220</v>
      </c>
      <c r="B189">
        <v>10</v>
      </c>
      <c r="C189" t="s">
        <v>369</v>
      </c>
      <c r="D189">
        <v>23</v>
      </c>
      <c r="E189">
        <v>13346</v>
      </c>
      <c r="F189">
        <v>3006</v>
      </c>
      <c r="G189" s="4">
        <f t="shared" si="2"/>
        <v>0.22523602577551327</v>
      </c>
    </row>
    <row r="190" spans="1:7">
      <c r="A190" t="s">
        <v>220</v>
      </c>
      <c r="B190">
        <v>10</v>
      </c>
      <c r="C190" t="s">
        <v>368</v>
      </c>
      <c r="D190">
        <v>24</v>
      </c>
      <c r="E190">
        <v>13346</v>
      </c>
      <c r="F190">
        <v>3008</v>
      </c>
      <c r="G190" s="4">
        <f t="shared" si="2"/>
        <v>0.22538588341075977</v>
      </c>
    </row>
    <row r="191" spans="1:7">
      <c r="A191" t="s">
        <v>220</v>
      </c>
      <c r="B191">
        <v>10</v>
      </c>
      <c r="C191" t="s">
        <v>366</v>
      </c>
      <c r="D191">
        <v>25</v>
      </c>
      <c r="E191">
        <v>13346</v>
      </c>
      <c r="F191">
        <v>3016</v>
      </c>
      <c r="G191" s="4">
        <f t="shared" si="2"/>
        <v>0.22598531395174584</v>
      </c>
    </row>
    <row r="192" spans="1:7">
      <c r="A192" t="s">
        <v>220</v>
      </c>
      <c r="B192">
        <v>10</v>
      </c>
      <c r="C192" t="s">
        <v>367</v>
      </c>
      <c r="D192">
        <v>26</v>
      </c>
      <c r="E192">
        <v>13346</v>
      </c>
      <c r="F192">
        <v>3086</v>
      </c>
      <c r="G192" s="4">
        <f t="shared" si="2"/>
        <v>0.23123033118537389</v>
      </c>
    </row>
    <row r="193" spans="1:7">
      <c r="A193" t="s">
        <v>220</v>
      </c>
      <c r="B193">
        <v>10</v>
      </c>
      <c r="C193" t="s">
        <v>370</v>
      </c>
      <c r="D193">
        <v>27</v>
      </c>
      <c r="E193">
        <v>13346</v>
      </c>
      <c r="F193">
        <v>3189</v>
      </c>
      <c r="G193" s="4">
        <f t="shared" si="2"/>
        <v>0.23894799940056946</v>
      </c>
    </row>
    <row r="194" spans="1:7">
      <c r="A194" t="s">
        <v>220</v>
      </c>
      <c r="B194">
        <v>10</v>
      </c>
      <c r="C194" t="s">
        <v>371</v>
      </c>
      <c r="D194">
        <v>28</v>
      </c>
      <c r="E194">
        <v>13346</v>
      </c>
      <c r="F194">
        <v>3197</v>
      </c>
      <c r="G194" s="4">
        <f t="shared" ref="G194:G257" si="3">F194/E194</f>
        <v>0.23954742994155553</v>
      </c>
    </row>
    <row r="195" spans="1:7">
      <c r="A195" t="s">
        <v>220</v>
      </c>
      <c r="B195">
        <v>10</v>
      </c>
      <c r="C195" t="s">
        <v>373</v>
      </c>
      <c r="D195">
        <v>29</v>
      </c>
      <c r="E195">
        <v>13346</v>
      </c>
      <c r="F195">
        <v>3205</v>
      </c>
      <c r="G195" s="4">
        <f t="shared" si="3"/>
        <v>0.24014686048254158</v>
      </c>
    </row>
    <row r="196" spans="1:7">
      <c r="A196" t="s">
        <v>220</v>
      </c>
      <c r="B196">
        <v>10</v>
      </c>
      <c r="C196" t="s">
        <v>372</v>
      </c>
      <c r="D196">
        <v>30</v>
      </c>
      <c r="E196">
        <v>13346</v>
      </c>
      <c r="F196">
        <v>3207</v>
      </c>
      <c r="G196" s="4">
        <f t="shared" si="3"/>
        <v>0.24029671811778811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13346</v>
      </c>
      <c r="F197">
        <v>3766</v>
      </c>
      <c r="G197" s="4">
        <f t="shared" si="3"/>
        <v>0.28218192716918927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13346</v>
      </c>
      <c r="F198">
        <v>3973</v>
      </c>
      <c r="G198" s="4">
        <f t="shared" si="3"/>
        <v>0.29769219241720368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5950</v>
      </c>
      <c r="F199">
        <v>116</v>
      </c>
      <c r="G199" s="4">
        <f t="shared" si="3"/>
        <v>1.9495798319327733E-2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5950</v>
      </c>
      <c r="F200">
        <v>2418</v>
      </c>
      <c r="G200" s="4">
        <f t="shared" si="3"/>
        <v>0.40638655462184875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5950</v>
      </c>
      <c r="F201">
        <v>2567</v>
      </c>
      <c r="G201" s="4">
        <f t="shared" si="3"/>
        <v>0.43142857142857144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5950</v>
      </c>
      <c r="F202">
        <v>3084</v>
      </c>
      <c r="G202" s="4">
        <f t="shared" si="3"/>
        <v>0.51831932773109246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5950</v>
      </c>
      <c r="F203">
        <v>3134</v>
      </c>
      <c r="G203" s="4">
        <f t="shared" si="3"/>
        <v>0.52672268907563025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5950</v>
      </c>
      <c r="F204">
        <v>3192</v>
      </c>
      <c r="G204" s="4">
        <f t="shared" si="3"/>
        <v>0.53647058823529414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5950</v>
      </c>
      <c r="F205">
        <v>3235</v>
      </c>
      <c r="G205" s="4">
        <f t="shared" si="3"/>
        <v>0.54369747899159659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5950</v>
      </c>
      <c r="F206">
        <v>3277</v>
      </c>
      <c r="G206" s="4">
        <f t="shared" si="3"/>
        <v>0.55075630252100838</v>
      </c>
    </row>
    <row r="207" spans="1:7">
      <c r="A207" t="s">
        <v>220</v>
      </c>
      <c r="B207">
        <v>11</v>
      </c>
      <c r="C207" t="s">
        <v>384</v>
      </c>
      <c r="D207">
        <v>9</v>
      </c>
      <c r="E207">
        <v>5950</v>
      </c>
      <c r="F207">
        <v>3312</v>
      </c>
      <c r="G207" s="4">
        <f t="shared" si="3"/>
        <v>0.55663865546218483</v>
      </c>
    </row>
    <row r="208" spans="1:7">
      <c r="A208" t="s">
        <v>220</v>
      </c>
      <c r="B208">
        <v>11</v>
      </c>
      <c r="C208" t="s">
        <v>383</v>
      </c>
      <c r="D208">
        <v>10</v>
      </c>
      <c r="E208">
        <v>5950</v>
      </c>
      <c r="F208">
        <v>3348</v>
      </c>
      <c r="G208" s="4">
        <f t="shared" si="3"/>
        <v>0.56268907563025206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5950</v>
      </c>
      <c r="F209">
        <v>3391</v>
      </c>
      <c r="G209" s="4">
        <f t="shared" si="3"/>
        <v>0.56991596638655462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5950</v>
      </c>
      <c r="F210">
        <v>5788</v>
      </c>
      <c r="G210" s="4">
        <f t="shared" si="3"/>
        <v>0.97277310924369753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5950</v>
      </c>
      <c r="F211">
        <v>5923</v>
      </c>
      <c r="G211" s="4">
        <f t="shared" si="3"/>
        <v>0.99546218487394955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3761</v>
      </c>
      <c r="F212">
        <v>101</v>
      </c>
      <c r="G212" s="4">
        <f t="shared" si="3"/>
        <v>2.6854559957458123E-2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3761</v>
      </c>
      <c r="F213">
        <v>2251</v>
      </c>
      <c r="G213" s="4">
        <f t="shared" si="3"/>
        <v>0.59851103429938846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3761</v>
      </c>
      <c r="F214">
        <v>2443</v>
      </c>
      <c r="G214" s="4">
        <f t="shared" si="3"/>
        <v>0.64956128689178405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3761</v>
      </c>
      <c r="F215">
        <v>2616</v>
      </c>
      <c r="G215" s="4">
        <f t="shared" si="3"/>
        <v>0.69555969157139064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3761</v>
      </c>
      <c r="F216">
        <v>2706</v>
      </c>
      <c r="G216" s="4">
        <f t="shared" si="3"/>
        <v>0.71948949747407609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3761</v>
      </c>
      <c r="F217">
        <v>2767</v>
      </c>
      <c r="G217" s="4">
        <f t="shared" si="3"/>
        <v>0.73570858814145179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3761</v>
      </c>
      <c r="F218">
        <v>2783</v>
      </c>
      <c r="G218" s="4">
        <f t="shared" si="3"/>
        <v>0.73996277585748471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3761</v>
      </c>
      <c r="F219">
        <v>2855</v>
      </c>
      <c r="G219" s="4">
        <f t="shared" si="3"/>
        <v>0.75910662057963307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3761</v>
      </c>
      <c r="F220">
        <v>2915</v>
      </c>
      <c r="G220" s="4">
        <f t="shared" si="3"/>
        <v>0.77505982451475675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3761</v>
      </c>
      <c r="F221">
        <v>3028</v>
      </c>
      <c r="G221" s="4">
        <f t="shared" si="3"/>
        <v>0.80510502525923955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3761</v>
      </c>
      <c r="F222">
        <v>3160</v>
      </c>
      <c r="G222" s="4">
        <f t="shared" si="3"/>
        <v>0.84020207391651158</v>
      </c>
    </row>
    <row r="223" spans="1:7">
      <c r="A223" t="s">
        <v>220</v>
      </c>
      <c r="B223">
        <v>12</v>
      </c>
      <c r="C223" t="s">
        <v>398</v>
      </c>
      <c r="D223">
        <v>12</v>
      </c>
      <c r="E223">
        <v>3761</v>
      </c>
      <c r="F223">
        <v>3221</v>
      </c>
      <c r="G223" s="4">
        <f t="shared" si="3"/>
        <v>0.85642116458388728</v>
      </c>
    </row>
    <row r="224" spans="1:7">
      <c r="A224" t="s">
        <v>220</v>
      </c>
      <c r="B224">
        <v>12</v>
      </c>
      <c r="C224" t="s">
        <v>397</v>
      </c>
      <c r="D224">
        <v>13</v>
      </c>
      <c r="E224">
        <v>3761</v>
      </c>
      <c r="F224">
        <v>3276</v>
      </c>
      <c r="G224" s="4">
        <f t="shared" si="3"/>
        <v>0.87104493485775059</v>
      </c>
    </row>
    <row r="225" spans="1:7">
      <c r="A225" t="s">
        <v>220</v>
      </c>
      <c r="B225">
        <v>12</v>
      </c>
      <c r="C225" t="s">
        <v>399</v>
      </c>
      <c r="D225">
        <v>14</v>
      </c>
      <c r="E225">
        <v>3761</v>
      </c>
      <c r="F225">
        <v>3307</v>
      </c>
      <c r="G225" s="4">
        <f t="shared" si="3"/>
        <v>0.87928742355756451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3761</v>
      </c>
      <c r="F226">
        <v>3412</v>
      </c>
      <c r="G226" s="4">
        <f t="shared" si="3"/>
        <v>0.90720553044403085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3761</v>
      </c>
      <c r="F227">
        <v>3560</v>
      </c>
      <c r="G227" s="4">
        <f t="shared" si="3"/>
        <v>0.9465567668173358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3761</v>
      </c>
      <c r="F228">
        <v>3797</v>
      </c>
      <c r="G228" s="4">
        <f t="shared" si="3"/>
        <v>1.0095719223610742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2771</v>
      </c>
      <c r="F229">
        <v>1057</v>
      </c>
      <c r="G229" s="4">
        <f t="shared" si="3"/>
        <v>0.38145073980512451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2771</v>
      </c>
      <c r="F230">
        <v>1299</v>
      </c>
      <c r="G230" s="4">
        <f t="shared" si="3"/>
        <v>0.46878383255142547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2771</v>
      </c>
      <c r="F231">
        <v>1334</v>
      </c>
      <c r="G231" s="4">
        <f t="shared" si="3"/>
        <v>0.48141465175027065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2771</v>
      </c>
      <c r="F232">
        <v>1391</v>
      </c>
      <c r="G232" s="4">
        <f t="shared" si="3"/>
        <v>0.50198484301696134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2771</v>
      </c>
      <c r="F233">
        <v>2306</v>
      </c>
      <c r="G233" s="4">
        <f t="shared" si="3"/>
        <v>0.8321905449296283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2771</v>
      </c>
      <c r="F234">
        <v>2326</v>
      </c>
      <c r="G234" s="4">
        <f t="shared" si="3"/>
        <v>0.83940815590039697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2771</v>
      </c>
      <c r="F235">
        <v>2381</v>
      </c>
      <c r="G235" s="4">
        <f t="shared" si="3"/>
        <v>0.85925658607001087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12681</v>
      </c>
      <c r="F236">
        <v>423</v>
      </c>
      <c r="G236" s="4">
        <f t="shared" si="3"/>
        <v>3.33569907735983E-2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12681</v>
      </c>
      <c r="F237">
        <v>488</v>
      </c>
      <c r="G237" s="4">
        <f t="shared" si="3"/>
        <v>3.8482769497673687E-2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12681</v>
      </c>
      <c r="F238">
        <v>574</v>
      </c>
      <c r="G238" s="4">
        <f t="shared" si="3"/>
        <v>4.5264569040296507E-2</v>
      </c>
    </row>
    <row r="239" spans="1:7">
      <c r="A239" t="s">
        <v>222</v>
      </c>
      <c r="B239">
        <v>1</v>
      </c>
      <c r="C239" t="s">
        <v>416</v>
      </c>
      <c r="D239">
        <v>4</v>
      </c>
      <c r="E239">
        <v>12681</v>
      </c>
      <c r="F239">
        <v>596</v>
      </c>
      <c r="G239" s="4">
        <f t="shared" si="3"/>
        <v>4.6999447993060481E-2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12681</v>
      </c>
      <c r="F240">
        <v>598</v>
      </c>
      <c r="G240" s="4">
        <f t="shared" si="3"/>
        <v>4.7157164261493571E-2</v>
      </c>
    </row>
    <row r="241" spans="1:7">
      <c r="A241" t="s">
        <v>222</v>
      </c>
      <c r="B241">
        <v>1</v>
      </c>
      <c r="C241" t="s">
        <v>414</v>
      </c>
      <c r="D241">
        <v>6</v>
      </c>
      <c r="E241">
        <v>12681</v>
      </c>
      <c r="F241">
        <v>613</v>
      </c>
      <c r="G241" s="4">
        <f t="shared" si="3"/>
        <v>4.8340036274741739E-2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12681</v>
      </c>
      <c r="F242">
        <v>627</v>
      </c>
      <c r="G242" s="4">
        <f t="shared" si="3"/>
        <v>4.9444050153773358E-2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12681</v>
      </c>
      <c r="F243">
        <v>632</v>
      </c>
      <c r="G243" s="4">
        <f t="shared" si="3"/>
        <v>4.9838340824856081E-2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12681</v>
      </c>
      <c r="F244">
        <v>650</v>
      </c>
      <c r="G244" s="4">
        <f t="shared" si="3"/>
        <v>5.1257787240753881E-2</v>
      </c>
    </row>
    <row r="245" spans="1:7">
      <c r="A245" t="s">
        <v>222</v>
      </c>
      <c r="B245">
        <v>1</v>
      </c>
      <c r="C245" t="s">
        <v>422</v>
      </c>
      <c r="D245">
        <v>10</v>
      </c>
      <c r="E245">
        <v>12681</v>
      </c>
      <c r="F245">
        <v>694</v>
      </c>
      <c r="G245" s="4">
        <f t="shared" si="3"/>
        <v>5.4727545146281836E-2</v>
      </c>
    </row>
    <row r="246" spans="1:7">
      <c r="A246" t="s">
        <v>222</v>
      </c>
      <c r="B246">
        <v>1</v>
      </c>
      <c r="C246" t="s">
        <v>420</v>
      </c>
      <c r="D246">
        <v>11</v>
      </c>
      <c r="E246">
        <v>12681</v>
      </c>
      <c r="F246">
        <v>700</v>
      </c>
      <c r="G246" s="4">
        <f t="shared" si="3"/>
        <v>5.5200693951581108E-2</v>
      </c>
    </row>
    <row r="247" spans="1:7">
      <c r="A247" t="s">
        <v>222</v>
      </c>
      <c r="B247">
        <v>1</v>
      </c>
      <c r="C247" t="s">
        <v>421</v>
      </c>
      <c r="D247">
        <v>12</v>
      </c>
      <c r="E247">
        <v>12681</v>
      </c>
      <c r="F247">
        <v>717</v>
      </c>
      <c r="G247" s="4">
        <f t="shared" si="3"/>
        <v>5.6541282233262359E-2</v>
      </c>
    </row>
    <row r="248" spans="1:7">
      <c r="A248" t="s">
        <v>222</v>
      </c>
      <c r="B248">
        <v>1</v>
      </c>
      <c r="C248" t="s">
        <v>425</v>
      </c>
      <c r="D248">
        <v>13</v>
      </c>
      <c r="E248">
        <v>12681</v>
      </c>
      <c r="F248">
        <v>741</v>
      </c>
      <c r="G248" s="4">
        <f t="shared" si="3"/>
        <v>5.8433877454459431E-2</v>
      </c>
    </row>
    <row r="249" spans="1:7">
      <c r="A249" t="s">
        <v>222</v>
      </c>
      <c r="B249">
        <v>1</v>
      </c>
      <c r="C249" t="s">
        <v>424</v>
      </c>
      <c r="D249">
        <v>14</v>
      </c>
      <c r="E249">
        <v>12681</v>
      </c>
      <c r="F249">
        <v>751</v>
      </c>
      <c r="G249" s="4">
        <f t="shared" si="3"/>
        <v>5.9222458796624869E-2</v>
      </c>
    </row>
    <row r="250" spans="1:7">
      <c r="A250" t="s">
        <v>222</v>
      </c>
      <c r="B250">
        <v>1</v>
      </c>
      <c r="C250" t="s">
        <v>423</v>
      </c>
      <c r="D250">
        <v>15</v>
      </c>
      <c r="E250">
        <v>12681</v>
      </c>
      <c r="F250">
        <v>767</v>
      </c>
      <c r="G250" s="4">
        <f t="shared" si="3"/>
        <v>6.0484188944089586E-2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12681</v>
      </c>
      <c r="F251">
        <v>12372</v>
      </c>
      <c r="G251" s="4">
        <f t="shared" si="3"/>
        <v>0.97563283652708777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20702</v>
      </c>
      <c r="F252">
        <v>15427</v>
      </c>
      <c r="G252" s="4">
        <f t="shared" si="3"/>
        <v>0.74519370109168193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20702</v>
      </c>
      <c r="F253">
        <v>19124</v>
      </c>
      <c r="G253" s="4">
        <f t="shared" si="3"/>
        <v>0.92377548062989079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20702</v>
      </c>
      <c r="F254">
        <v>20998</v>
      </c>
      <c r="G254" s="4">
        <f t="shared" si="3"/>
        <v>1.0142981354458507</v>
      </c>
    </row>
    <row r="255" spans="1:7">
      <c r="A255" t="s">
        <v>222</v>
      </c>
      <c r="B255">
        <v>4</v>
      </c>
      <c r="C255" t="s">
        <v>431</v>
      </c>
      <c r="D255">
        <v>1</v>
      </c>
      <c r="E255">
        <v>4497</v>
      </c>
      <c r="F255">
        <v>3913</v>
      </c>
      <c r="G255" s="4">
        <f t="shared" si="3"/>
        <v>0.87013564598621307</v>
      </c>
    </row>
    <row r="256" spans="1:7">
      <c r="A256" t="s">
        <v>222</v>
      </c>
      <c r="B256">
        <v>4</v>
      </c>
      <c r="C256" t="s">
        <v>430</v>
      </c>
      <c r="D256">
        <v>2</v>
      </c>
      <c r="E256">
        <v>4497</v>
      </c>
      <c r="F256">
        <v>3921</v>
      </c>
      <c r="G256" s="4">
        <f t="shared" si="3"/>
        <v>0.8719146097398266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4497</v>
      </c>
      <c r="F257">
        <v>3976</v>
      </c>
      <c r="G257" s="4">
        <f t="shared" si="3"/>
        <v>0.88414498554591947</v>
      </c>
    </row>
    <row r="258" spans="1:7">
      <c r="A258" t="s">
        <v>222</v>
      </c>
      <c r="B258">
        <v>4</v>
      </c>
      <c r="C258" t="s">
        <v>436</v>
      </c>
      <c r="D258">
        <v>4</v>
      </c>
      <c r="E258">
        <v>4497</v>
      </c>
      <c r="F258">
        <v>4015</v>
      </c>
      <c r="G258" s="4">
        <f t="shared" ref="G258:G321" si="4">F258/E258</f>
        <v>0.8928174338447854</v>
      </c>
    </row>
    <row r="259" spans="1:7">
      <c r="A259" t="s">
        <v>222</v>
      </c>
      <c r="B259">
        <v>4</v>
      </c>
      <c r="C259" t="s">
        <v>438</v>
      </c>
      <c r="D259">
        <v>5</v>
      </c>
      <c r="E259">
        <v>4497</v>
      </c>
      <c r="F259">
        <v>4092</v>
      </c>
      <c r="G259" s="4">
        <f t="shared" si="4"/>
        <v>0.90993995997331556</v>
      </c>
    </row>
    <row r="260" spans="1:7">
      <c r="A260" t="s">
        <v>222</v>
      </c>
      <c r="B260">
        <v>4</v>
      </c>
      <c r="C260" t="s">
        <v>437</v>
      </c>
      <c r="D260">
        <v>6</v>
      </c>
      <c r="E260">
        <v>4497</v>
      </c>
      <c r="F260">
        <v>4278</v>
      </c>
      <c r="G260" s="4">
        <f t="shared" si="4"/>
        <v>0.95130086724482987</v>
      </c>
    </row>
    <row r="261" spans="1:7">
      <c r="A261" t="s">
        <v>222</v>
      </c>
      <c r="B261">
        <v>4</v>
      </c>
      <c r="C261" t="s">
        <v>433</v>
      </c>
      <c r="D261">
        <v>7</v>
      </c>
      <c r="E261">
        <v>4497</v>
      </c>
      <c r="F261">
        <v>4282</v>
      </c>
      <c r="G261" s="4">
        <f t="shared" si="4"/>
        <v>0.95219034912163669</v>
      </c>
    </row>
    <row r="262" spans="1:7">
      <c r="A262" t="s">
        <v>222</v>
      </c>
      <c r="B262">
        <v>4</v>
      </c>
      <c r="C262" t="s">
        <v>435</v>
      </c>
      <c r="D262">
        <v>8</v>
      </c>
      <c r="E262">
        <v>4497</v>
      </c>
      <c r="F262">
        <v>4349</v>
      </c>
      <c r="G262" s="4">
        <f t="shared" si="4"/>
        <v>0.96708917055814991</v>
      </c>
    </row>
    <row r="263" spans="1:7">
      <c r="A263" t="s">
        <v>222</v>
      </c>
      <c r="B263">
        <v>4</v>
      </c>
      <c r="C263" t="s">
        <v>434</v>
      </c>
      <c r="D263">
        <v>9</v>
      </c>
      <c r="E263">
        <v>4497</v>
      </c>
      <c r="F263">
        <v>9290</v>
      </c>
      <c r="G263" s="4">
        <f t="shared" si="4"/>
        <v>2.0658216588837002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6103</v>
      </c>
      <c r="F264">
        <v>3811</v>
      </c>
      <c r="G264" s="4">
        <f t="shared" si="4"/>
        <v>0.62444699328199249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6103</v>
      </c>
      <c r="F265">
        <v>3886</v>
      </c>
      <c r="G265" s="4">
        <f t="shared" si="4"/>
        <v>0.63673603145993773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1152</v>
      </c>
      <c r="F266">
        <v>95</v>
      </c>
      <c r="G266" s="4">
        <f t="shared" si="4"/>
        <v>8.2465277777777776E-2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1152</v>
      </c>
      <c r="F267">
        <v>166</v>
      </c>
      <c r="G267" s="4">
        <f t="shared" si="4"/>
        <v>0.14409722222222221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1152</v>
      </c>
      <c r="F268">
        <v>199</v>
      </c>
      <c r="G268" s="4">
        <f t="shared" si="4"/>
        <v>0.17274305555555555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1152</v>
      </c>
      <c r="F269">
        <v>240</v>
      </c>
      <c r="G269" s="4">
        <f t="shared" si="4"/>
        <v>0.20833333333333334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1152</v>
      </c>
      <c r="F270">
        <v>466</v>
      </c>
      <c r="G270" s="4">
        <f t="shared" si="4"/>
        <v>0.4045138888888889</v>
      </c>
    </row>
    <row r="271" spans="1:7">
      <c r="A271" t="s">
        <v>222</v>
      </c>
      <c r="B271">
        <v>7</v>
      </c>
      <c r="C271" t="s">
        <v>443</v>
      </c>
      <c r="D271">
        <v>6</v>
      </c>
      <c r="E271">
        <v>1152</v>
      </c>
      <c r="F271">
        <v>1027</v>
      </c>
      <c r="G271" s="4">
        <f t="shared" si="4"/>
        <v>0.89149305555555558</v>
      </c>
    </row>
    <row r="272" spans="1:7">
      <c r="A272" t="s">
        <v>222</v>
      </c>
      <c r="B272">
        <v>7</v>
      </c>
      <c r="C272" t="s">
        <v>442</v>
      </c>
      <c r="D272">
        <v>7</v>
      </c>
      <c r="E272">
        <v>1152</v>
      </c>
      <c r="F272">
        <v>1157</v>
      </c>
      <c r="G272" s="4">
        <f t="shared" si="4"/>
        <v>1.0043402777777777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5234</v>
      </c>
      <c r="F273">
        <v>356</v>
      </c>
      <c r="G273" s="4">
        <f t="shared" si="4"/>
        <v>6.8016813144822316E-2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5234</v>
      </c>
      <c r="F274">
        <v>3224</v>
      </c>
      <c r="G274" s="4">
        <f t="shared" si="4"/>
        <v>0.61597248758119982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5234</v>
      </c>
      <c r="F275">
        <v>3295</v>
      </c>
      <c r="G275" s="4">
        <f t="shared" si="4"/>
        <v>0.62953763851738631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4870</v>
      </c>
      <c r="F276">
        <v>52</v>
      </c>
      <c r="G276" s="4">
        <f t="shared" si="4"/>
        <v>1.0677618069815195E-2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4870</v>
      </c>
      <c r="F277">
        <v>123</v>
      </c>
      <c r="G277" s="4">
        <f t="shared" si="4"/>
        <v>2.5256673511293636E-2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4870</v>
      </c>
      <c r="F278">
        <v>341</v>
      </c>
      <c r="G278" s="4">
        <f t="shared" si="4"/>
        <v>7.0020533880903485E-2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4870</v>
      </c>
      <c r="F279">
        <v>496</v>
      </c>
      <c r="G279" s="4">
        <f t="shared" si="4"/>
        <v>0.10184804928131416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4870</v>
      </c>
      <c r="F280">
        <v>499</v>
      </c>
      <c r="G280" s="4">
        <f t="shared" si="4"/>
        <v>0.10246406570841889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4870</v>
      </c>
      <c r="F281">
        <v>4722</v>
      </c>
      <c r="G281" s="4">
        <f t="shared" si="4"/>
        <v>0.96960985626283369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3314</v>
      </c>
      <c r="F282">
        <v>169</v>
      </c>
      <c r="G282" s="4">
        <f t="shared" si="4"/>
        <v>5.0995775497887752E-2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3314</v>
      </c>
      <c r="F283">
        <v>435</v>
      </c>
      <c r="G283" s="4">
        <f t="shared" si="4"/>
        <v>0.13126131563065782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3314</v>
      </c>
      <c r="F284">
        <v>508</v>
      </c>
      <c r="G284" s="4">
        <f t="shared" si="4"/>
        <v>0.15328907664453834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3314</v>
      </c>
      <c r="F285">
        <v>601</v>
      </c>
      <c r="G285" s="4">
        <f t="shared" si="4"/>
        <v>0.18135184067592033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3314</v>
      </c>
      <c r="F286">
        <v>626</v>
      </c>
      <c r="G286" s="4">
        <f t="shared" si="4"/>
        <v>0.18889559444779722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3314</v>
      </c>
      <c r="F287">
        <v>2485</v>
      </c>
      <c r="G287" s="4">
        <f t="shared" si="4"/>
        <v>0.74984912492456246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3314</v>
      </c>
      <c r="F288">
        <v>2554</v>
      </c>
      <c r="G288" s="4">
        <f t="shared" si="4"/>
        <v>0.77066988533494263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3314</v>
      </c>
      <c r="F289">
        <v>2660</v>
      </c>
      <c r="G289" s="4">
        <f t="shared" si="4"/>
        <v>0.80265540132770063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3314</v>
      </c>
      <c r="F290">
        <v>2710</v>
      </c>
      <c r="G290" s="4">
        <f t="shared" si="4"/>
        <v>0.8177429088714544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3314</v>
      </c>
      <c r="F291">
        <v>2820</v>
      </c>
      <c r="G291" s="4">
        <f t="shared" si="4"/>
        <v>0.85093542546771272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3314</v>
      </c>
      <c r="F292">
        <v>5053</v>
      </c>
      <c r="G292" s="4">
        <f t="shared" si="4"/>
        <v>1.5247435123717561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2109</v>
      </c>
      <c r="F293">
        <v>158</v>
      </c>
      <c r="G293" s="4">
        <f t="shared" si="4"/>
        <v>7.4917022285443335E-2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2109</v>
      </c>
      <c r="F294">
        <v>258</v>
      </c>
      <c r="G294" s="4">
        <f t="shared" si="4"/>
        <v>0.12233285917496443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2109</v>
      </c>
      <c r="F295">
        <v>595</v>
      </c>
      <c r="G295" s="4">
        <f t="shared" si="4"/>
        <v>0.28212422949265054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2109</v>
      </c>
      <c r="F296">
        <v>625</v>
      </c>
      <c r="G296" s="4">
        <f t="shared" si="4"/>
        <v>0.29634898055950687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2109</v>
      </c>
      <c r="F297">
        <v>2062</v>
      </c>
      <c r="G297" s="4">
        <f t="shared" si="4"/>
        <v>0.97771455666192508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1002</v>
      </c>
      <c r="F298">
        <v>77</v>
      </c>
      <c r="G298" s="4">
        <f t="shared" si="4"/>
        <v>7.6846307385229545E-2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1002</v>
      </c>
      <c r="F299">
        <v>344</v>
      </c>
      <c r="G299" s="4">
        <f t="shared" si="4"/>
        <v>0.34331337325349304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1002</v>
      </c>
      <c r="F300">
        <v>481</v>
      </c>
      <c r="G300" s="4">
        <f t="shared" si="4"/>
        <v>0.48003992015968067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1002</v>
      </c>
      <c r="F301">
        <v>542</v>
      </c>
      <c r="G301" s="4">
        <f t="shared" si="4"/>
        <v>0.54091816367265466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1002</v>
      </c>
      <c r="F302">
        <v>635</v>
      </c>
      <c r="G302" s="4">
        <f t="shared" si="4"/>
        <v>0.6337325349301397</v>
      </c>
    </row>
    <row r="303" spans="1:7">
      <c r="A303" t="s">
        <v>223</v>
      </c>
      <c r="B303">
        <v>10</v>
      </c>
      <c r="C303" t="s">
        <v>463</v>
      </c>
      <c r="D303">
        <v>6</v>
      </c>
      <c r="E303">
        <v>1002</v>
      </c>
      <c r="F303">
        <v>697</v>
      </c>
      <c r="G303" s="4">
        <f t="shared" si="4"/>
        <v>0.69560878243512969</v>
      </c>
    </row>
    <row r="304" spans="1:7">
      <c r="A304" t="s">
        <v>223</v>
      </c>
      <c r="B304">
        <v>10</v>
      </c>
      <c r="C304" t="s">
        <v>464</v>
      </c>
      <c r="D304">
        <v>7</v>
      </c>
      <c r="E304">
        <v>1002</v>
      </c>
      <c r="F304">
        <v>712</v>
      </c>
      <c r="G304" s="4">
        <f t="shared" si="4"/>
        <v>0.71057884231536927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1002</v>
      </c>
      <c r="F305">
        <v>723</v>
      </c>
      <c r="G305" s="4">
        <f t="shared" si="4"/>
        <v>0.72155688622754488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1002</v>
      </c>
      <c r="F306">
        <v>765</v>
      </c>
      <c r="G306" s="4">
        <f t="shared" si="4"/>
        <v>0.76347305389221554</v>
      </c>
    </row>
    <row r="307" spans="1:7">
      <c r="A307" t="s">
        <v>223</v>
      </c>
      <c r="B307">
        <v>10</v>
      </c>
      <c r="C307" t="s">
        <v>468</v>
      </c>
      <c r="D307">
        <v>10</v>
      </c>
      <c r="E307">
        <v>1002</v>
      </c>
      <c r="F307">
        <v>782</v>
      </c>
      <c r="G307" s="4">
        <f t="shared" si="4"/>
        <v>0.780439121756487</v>
      </c>
    </row>
    <row r="308" spans="1:7">
      <c r="A308" t="s">
        <v>223</v>
      </c>
      <c r="B308">
        <v>10</v>
      </c>
      <c r="C308" t="s">
        <v>467</v>
      </c>
      <c r="D308">
        <v>11</v>
      </c>
      <c r="E308">
        <v>1002</v>
      </c>
      <c r="F308">
        <v>784</v>
      </c>
      <c r="G308" s="4">
        <f t="shared" si="4"/>
        <v>0.78243512974051899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1002</v>
      </c>
      <c r="F309">
        <v>785</v>
      </c>
      <c r="G309" s="4">
        <f t="shared" si="4"/>
        <v>0.78343313373253498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1002</v>
      </c>
      <c r="F310">
        <v>789</v>
      </c>
      <c r="G310" s="4">
        <f t="shared" si="4"/>
        <v>0.78742514970059885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1002</v>
      </c>
      <c r="F311">
        <v>809</v>
      </c>
      <c r="G311" s="4">
        <f t="shared" si="4"/>
        <v>0.80738522954091818</v>
      </c>
    </row>
    <row r="312" spans="1:7">
      <c r="A312" t="s">
        <v>223</v>
      </c>
      <c r="B312">
        <v>10</v>
      </c>
      <c r="C312" t="s">
        <v>473</v>
      </c>
      <c r="D312">
        <v>15</v>
      </c>
      <c r="E312">
        <v>1002</v>
      </c>
      <c r="F312">
        <v>858</v>
      </c>
      <c r="G312" s="4">
        <f t="shared" si="4"/>
        <v>0.85628742514970058</v>
      </c>
    </row>
    <row r="313" spans="1:7">
      <c r="A313" t="s">
        <v>223</v>
      </c>
      <c r="B313">
        <v>10</v>
      </c>
      <c r="C313" t="s">
        <v>480</v>
      </c>
      <c r="D313">
        <v>16</v>
      </c>
      <c r="E313">
        <v>1002</v>
      </c>
      <c r="F313">
        <v>859</v>
      </c>
      <c r="G313" s="4">
        <f t="shared" si="4"/>
        <v>0.85728542914171657</v>
      </c>
    </row>
    <row r="314" spans="1:7">
      <c r="A314" t="s">
        <v>223</v>
      </c>
      <c r="B314">
        <v>10</v>
      </c>
      <c r="C314" t="s">
        <v>479</v>
      </c>
      <c r="D314">
        <v>17</v>
      </c>
      <c r="E314">
        <v>1002</v>
      </c>
      <c r="F314">
        <v>866</v>
      </c>
      <c r="G314" s="4">
        <f t="shared" si="4"/>
        <v>0.86427145708582831</v>
      </c>
    </row>
    <row r="315" spans="1:7">
      <c r="A315" t="s">
        <v>223</v>
      </c>
      <c r="B315">
        <v>10</v>
      </c>
      <c r="C315" t="s">
        <v>472</v>
      </c>
      <c r="D315">
        <v>18</v>
      </c>
      <c r="E315">
        <v>1002</v>
      </c>
      <c r="F315">
        <v>867</v>
      </c>
      <c r="G315" s="4">
        <f t="shared" si="4"/>
        <v>0.8652694610778443</v>
      </c>
    </row>
    <row r="316" spans="1:7">
      <c r="A316" t="s">
        <v>223</v>
      </c>
      <c r="B316">
        <v>10</v>
      </c>
      <c r="C316" t="s">
        <v>476</v>
      </c>
      <c r="D316">
        <v>19</v>
      </c>
      <c r="E316">
        <v>1002</v>
      </c>
      <c r="F316">
        <v>870</v>
      </c>
      <c r="G316" s="4">
        <f t="shared" si="4"/>
        <v>0.86826347305389218</v>
      </c>
    </row>
    <row r="317" spans="1:7">
      <c r="A317" t="s">
        <v>223</v>
      </c>
      <c r="B317">
        <v>10</v>
      </c>
      <c r="C317" t="s">
        <v>478</v>
      </c>
      <c r="D317">
        <v>20</v>
      </c>
      <c r="E317">
        <v>1002</v>
      </c>
      <c r="F317">
        <v>874</v>
      </c>
      <c r="G317" s="4">
        <f t="shared" si="4"/>
        <v>0.87225548902195604</v>
      </c>
    </row>
    <row r="318" spans="1:7">
      <c r="A318" t="s">
        <v>223</v>
      </c>
      <c r="B318">
        <v>10</v>
      </c>
      <c r="C318" t="s">
        <v>477</v>
      </c>
      <c r="D318">
        <v>21</v>
      </c>
      <c r="E318">
        <v>1002</v>
      </c>
      <c r="F318">
        <v>878</v>
      </c>
      <c r="G318" s="4">
        <f t="shared" si="4"/>
        <v>0.87624750499001991</v>
      </c>
    </row>
    <row r="319" spans="1:7">
      <c r="A319" t="s">
        <v>223</v>
      </c>
      <c r="B319">
        <v>10</v>
      </c>
      <c r="C319" t="s">
        <v>475</v>
      </c>
      <c r="D319">
        <v>22</v>
      </c>
      <c r="E319">
        <v>1002</v>
      </c>
      <c r="F319">
        <v>883</v>
      </c>
      <c r="G319" s="4">
        <f t="shared" si="4"/>
        <v>0.88123752495009977</v>
      </c>
    </row>
    <row r="320" spans="1:7">
      <c r="A320" t="s">
        <v>223</v>
      </c>
      <c r="B320">
        <v>10</v>
      </c>
      <c r="C320" t="s">
        <v>474</v>
      </c>
      <c r="D320">
        <v>23</v>
      </c>
      <c r="E320">
        <v>1002</v>
      </c>
      <c r="F320">
        <v>890</v>
      </c>
      <c r="G320" s="4">
        <f t="shared" si="4"/>
        <v>0.88822355289421162</v>
      </c>
    </row>
    <row r="321" spans="1:7">
      <c r="A321" t="s">
        <v>223</v>
      </c>
      <c r="B321">
        <v>10</v>
      </c>
      <c r="C321" t="s">
        <v>487</v>
      </c>
      <c r="D321">
        <v>24</v>
      </c>
      <c r="E321">
        <v>1002</v>
      </c>
      <c r="F321">
        <v>920</v>
      </c>
      <c r="G321" s="4">
        <f t="shared" si="4"/>
        <v>0.91816367265469057</v>
      </c>
    </row>
    <row r="322" spans="1:7">
      <c r="A322" t="s">
        <v>223</v>
      </c>
      <c r="B322">
        <v>10</v>
      </c>
      <c r="C322" t="s">
        <v>484</v>
      </c>
      <c r="D322">
        <v>25</v>
      </c>
      <c r="E322">
        <v>1002</v>
      </c>
      <c r="F322">
        <v>925</v>
      </c>
      <c r="G322" s="4">
        <f t="shared" ref="G322:G385" si="5">F322/E322</f>
        <v>0.92315369261477043</v>
      </c>
    </row>
    <row r="323" spans="1:7">
      <c r="A323" t="s">
        <v>223</v>
      </c>
      <c r="B323">
        <v>10</v>
      </c>
      <c r="C323" t="s">
        <v>483</v>
      </c>
      <c r="D323">
        <v>26</v>
      </c>
      <c r="E323">
        <v>1002</v>
      </c>
      <c r="F323">
        <v>926</v>
      </c>
      <c r="G323" s="4">
        <f t="shared" si="5"/>
        <v>0.92415169660678642</v>
      </c>
    </row>
    <row r="324" spans="1:7">
      <c r="A324" t="s">
        <v>223</v>
      </c>
      <c r="B324">
        <v>10</v>
      </c>
      <c r="C324" t="s">
        <v>485</v>
      </c>
      <c r="D324">
        <v>27</v>
      </c>
      <c r="E324">
        <v>1002</v>
      </c>
      <c r="F324">
        <v>930</v>
      </c>
      <c r="G324" s="4">
        <f t="shared" si="5"/>
        <v>0.92814371257485029</v>
      </c>
    </row>
    <row r="325" spans="1:7">
      <c r="A325" t="s">
        <v>223</v>
      </c>
      <c r="B325">
        <v>10</v>
      </c>
      <c r="C325" t="s">
        <v>486</v>
      </c>
      <c r="D325">
        <v>28</v>
      </c>
      <c r="E325">
        <v>1002</v>
      </c>
      <c r="F325">
        <v>931</v>
      </c>
      <c r="G325" s="4">
        <f t="shared" si="5"/>
        <v>0.92914171656686628</v>
      </c>
    </row>
    <row r="326" spans="1:7">
      <c r="A326" t="s">
        <v>223</v>
      </c>
      <c r="B326">
        <v>10</v>
      </c>
      <c r="C326" t="s">
        <v>481</v>
      </c>
      <c r="D326">
        <v>29</v>
      </c>
      <c r="E326">
        <v>1002</v>
      </c>
      <c r="F326">
        <v>935</v>
      </c>
      <c r="G326" s="4">
        <f t="shared" si="5"/>
        <v>0.93313373253493015</v>
      </c>
    </row>
    <row r="327" spans="1:7">
      <c r="A327" t="s">
        <v>223</v>
      </c>
      <c r="B327">
        <v>10</v>
      </c>
      <c r="C327" t="s">
        <v>489</v>
      </c>
      <c r="D327">
        <v>30</v>
      </c>
      <c r="E327">
        <v>1002</v>
      </c>
      <c r="F327">
        <v>978</v>
      </c>
      <c r="G327" s="4">
        <f t="shared" si="5"/>
        <v>0.9760479041916168</v>
      </c>
    </row>
    <row r="328" spans="1:7">
      <c r="A328" t="s">
        <v>223</v>
      </c>
      <c r="B328">
        <v>10</v>
      </c>
      <c r="C328" t="s">
        <v>482</v>
      </c>
      <c r="D328">
        <v>31</v>
      </c>
      <c r="E328">
        <v>1002</v>
      </c>
      <c r="F328">
        <v>980</v>
      </c>
      <c r="G328" s="4">
        <f t="shared" si="5"/>
        <v>0.97804391217564868</v>
      </c>
    </row>
    <row r="329" spans="1:7">
      <c r="A329" t="s">
        <v>223</v>
      </c>
      <c r="B329">
        <v>10</v>
      </c>
      <c r="C329" t="s">
        <v>488</v>
      </c>
      <c r="D329">
        <v>32</v>
      </c>
      <c r="E329">
        <v>1002</v>
      </c>
      <c r="F329">
        <v>985</v>
      </c>
      <c r="G329" s="4">
        <f t="shared" si="5"/>
        <v>0.98303393213572854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34362</v>
      </c>
      <c r="F330">
        <v>33539</v>
      </c>
      <c r="G330" s="4">
        <f t="shared" si="5"/>
        <v>0.97604912403236133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34362</v>
      </c>
      <c r="F331">
        <v>34437</v>
      </c>
      <c r="G331" s="4">
        <f t="shared" si="5"/>
        <v>1.00218264361795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3003</v>
      </c>
      <c r="F332">
        <v>550</v>
      </c>
      <c r="G332" s="4">
        <f t="shared" si="5"/>
        <v>0.18315018315018314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3003</v>
      </c>
      <c r="F333">
        <v>585</v>
      </c>
      <c r="G333" s="4">
        <f t="shared" si="5"/>
        <v>0.19480519480519481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3003</v>
      </c>
      <c r="F334">
        <v>656</v>
      </c>
      <c r="G334" s="4">
        <f t="shared" si="5"/>
        <v>0.21844821844821846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3003</v>
      </c>
      <c r="F335">
        <v>668</v>
      </c>
      <c r="G335" s="4">
        <f t="shared" si="5"/>
        <v>0.22244422244422243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3003</v>
      </c>
      <c r="F336">
        <v>774</v>
      </c>
      <c r="G336" s="4">
        <f t="shared" si="5"/>
        <v>0.25774225774225773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3003</v>
      </c>
      <c r="F337">
        <v>824</v>
      </c>
      <c r="G337" s="4">
        <f t="shared" si="5"/>
        <v>0.27439227439227437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3003</v>
      </c>
      <c r="F338">
        <v>895</v>
      </c>
      <c r="G338" s="4">
        <f t="shared" si="5"/>
        <v>0.29803529803529805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3003</v>
      </c>
      <c r="F339">
        <v>916</v>
      </c>
      <c r="G339" s="4">
        <f t="shared" si="5"/>
        <v>0.30502830502830502</v>
      </c>
    </row>
    <row r="340" spans="1:7">
      <c r="A340" t="s">
        <v>225</v>
      </c>
      <c r="B340">
        <v>2</v>
      </c>
      <c r="C340" t="s">
        <v>498</v>
      </c>
      <c r="D340">
        <v>9</v>
      </c>
      <c r="E340">
        <v>3003</v>
      </c>
      <c r="F340">
        <v>931</v>
      </c>
      <c r="G340" s="4">
        <f t="shared" si="5"/>
        <v>0.31002331002331002</v>
      </c>
    </row>
    <row r="341" spans="1:7">
      <c r="A341" t="s">
        <v>225</v>
      </c>
      <c r="B341">
        <v>2</v>
      </c>
      <c r="C341" t="s">
        <v>497</v>
      </c>
      <c r="D341">
        <v>10</v>
      </c>
      <c r="E341">
        <v>3003</v>
      </c>
      <c r="F341">
        <v>963</v>
      </c>
      <c r="G341" s="4">
        <f t="shared" si="5"/>
        <v>0.3206793206793207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3003</v>
      </c>
      <c r="F342">
        <v>1053</v>
      </c>
      <c r="G342" s="4">
        <f t="shared" si="5"/>
        <v>0.35064935064935066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3003</v>
      </c>
      <c r="F343">
        <v>1129</v>
      </c>
      <c r="G343" s="4">
        <f t="shared" si="5"/>
        <v>0.37595737595737594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3003</v>
      </c>
      <c r="F344">
        <v>1221</v>
      </c>
      <c r="G344" s="4">
        <f t="shared" si="5"/>
        <v>0.40659340659340659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3003</v>
      </c>
      <c r="F345">
        <v>1403</v>
      </c>
      <c r="G345" s="4">
        <f t="shared" si="5"/>
        <v>0.4671994671994672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9177</v>
      </c>
      <c r="F346">
        <v>645</v>
      </c>
      <c r="G346" s="4">
        <f t="shared" si="5"/>
        <v>7.0284406668846028E-2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9177</v>
      </c>
      <c r="F347">
        <v>1035</v>
      </c>
      <c r="G347" s="4">
        <f t="shared" si="5"/>
        <v>0.11278195488721804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9177</v>
      </c>
      <c r="F348">
        <v>2033</v>
      </c>
      <c r="G348" s="4">
        <f t="shared" si="5"/>
        <v>0.22153209109730848</v>
      </c>
    </row>
    <row r="349" spans="1:7">
      <c r="A349" t="s">
        <v>225</v>
      </c>
      <c r="B349">
        <v>3</v>
      </c>
      <c r="C349" t="s">
        <v>504</v>
      </c>
      <c r="D349">
        <v>4</v>
      </c>
      <c r="E349">
        <v>9177</v>
      </c>
      <c r="F349">
        <v>2038</v>
      </c>
      <c r="G349" s="4">
        <f t="shared" si="5"/>
        <v>0.2220769314590825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9177</v>
      </c>
      <c r="F350">
        <v>2906</v>
      </c>
      <c r="G350" s="4">
        <f t="shared" si="5"/>
        <v>0.31666121826304894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9177</v>
      </c>
      <c r="F351">
        <v>5060</v>
      </c>
      <c r="G351" s="4">
        <f t="shared" si="5"/>
        <v>0.55137844611528819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24936</v>
      </c>
      <c r="F352">
        <v>657</v>
      </c>
      <c r="G352" s="4">
        <f t="shared" si="5"/>
        <v>2.6347449470644851E-2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24936</v>
      </c>
      <c r="F353">
        <v>1216</v>
      </c>
      <c r="G353" s="4">
        <f t="shared" si="5"/>
        <v>4.876483798524222E-2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24936</v>
      </c>
      <c r="F354">
        <v>2061</v>
      </c>
      <c r="G354" s="4">
        <f t="shared" si="5"/>
        <v>8.2651588065447548E-2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24936</v>
      </c>
      <c r="F355">
        <v>2105</v>
      </c>
      <c r="G355" s="4">
        <f t="shared" si="5"/>
        <v>8.4416105229387237E-2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24936</v>
      </c>
      <c r="F356">
        <v>2967</v>
      </c>
      <c r="G356" s="4">
        <f t="shared" si="5"/>
        <v>0.11898460057747834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24936</v>
      </c>
      <c r="F357">
        <v>4990</v>
      </c>
      <c r="G357" s="4">
        <f t="shared" si="5"/>
        <v>0.20011228745588708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24936</v>
      </c>
      <c r="F358">
        <v>5883</v>
      </c>
      <c r="G358" s="4">
        <f t="shared" si="5"/>
        <v>0.23592396535129934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24936</v>
      </c>
      <c r="F359">
        <v>6229</v>
      </c>
      <c r="G359" s="4">
        <f t="shared" si="5"/>
        <v>0.24979948668591595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24936</v>
      </c>
      <c r="F360">
        <v>6687</v>
      </c>
      <c r="G360" s="4">
        <f t="shared" si="5"/>
        <v>0.2681665062560154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782</v>
      </c>
      <c r="F361">
        <v>416</v>
      </c>
      <c r="G361" s="4">
        <f t="shared" si="5"/>
        <v>0.53196930946291565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782</v>
      </c>
      <c r="F362">
        <v>544</v>
      </c>
      <c r="G362" s="4">
        <f t="shared" si="5"/>
        <v>0.69565217391304346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782</v>
      </c>
      <c r="F363">
        <v>621</v>
      </c>
      <c r="G363" s="4">
        <f t="shared" si="5"/>
        <v>0.79411764705882348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782</v>
      </c>
      <c r="F364">
        <v>705</v>
      </c>
      <c r="G364" s="4">
        <f t="shared" si="5"/>
        <v>0.90153452685421998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782</v>
      </c>
      <c r="F365">
        <v>742</v>
      </c>
      <c r="G365" s="4">
        <f t="shared" si="5"/>
        <v>0.94884910485933505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782</v>
      </c>
      <c r="F366">
        <v>808</v>
      </c>
      <c r="G366" s="4">
        <f t="shared" si="5"/>
        <v>1.0332480818414322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828</v>
      </c>
      <c r="F367">
        <v>106</v>
      </c>
      <c r="G367" s="4">
        <f t="shared" si="5"/>
        <v>0.1280193236714976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828</v>
      </c>
      <c r="F368">
        <v>284</v>
      </c>
      <c r="G368" s="4">
        <f t="shared" si="5"/>
        <v>0.34299516908212563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828</v>
      </c>
      <c r="F369">
        <v>312</v>
      </c>
      <c r="G369" s="4">
        <f t="shared" si="5"/>
        <v>0.37681159420289856</v>
      </c>
    </row>
    <row r="370" spans="1:7">
      <c r="A370" t="s">
        <v>225</v>
      </c>
      <c r="B370">
        <v>6</v>
      </c>
      <c r="C370" t="s">
        <v>516</v>
      </c>
      <c r="D370">
        <v>4</v>
      </c>
      <c r="E370">
        <v>828</v>
      </c>
      <c r="F370">
        <v>448</v>
      </c>
      <c r="G370" s="4">
        <f t="shared" si="5"/>
        <v>0.54106280193236711</v>
      </c>
    </row>
    <row r="371" spans="1:7">
      <c r="A371" t="s">
        <v>225</v>
      </c>
      <c r="B371">
        <v>6</v>
      </c>
      <c r="C371" t="s">
        <v>521</v>
      </c>
      <c r="D371">
        <v>5</v>
      </c>
      <c r="E371">
        <v>828</v>
      </c>
      <c r="F371">
        <v>505</v>
      </c>
      <c r="G371" s="4">
        <f t="shared" si="5"/>
        <v>0.60990338164251212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828</v>
      </c>
      <c r="F372">
        <v>529</v>
      </c>
      <c r="G372" s="4">
        <f t="shared" si="5"/>
        <v>0.63888888888888884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828</v>
      </c>
      <c r="F373">
        <v>568</v>
      </c>
      <c r="G373" s="4">
        <f t="shared" si="5"/>
        <v>0.68599033816425126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828</v>
      </c>
      <c r="F374">
        <v>658</v>
      </c>
      <c r="G374" s="4">
        <f t="shared" si="5"/>
        <v>0.79468599033816423</v>
      </c>
    </row>
    <row r="375" spans="1:7">
      <c r="A375" t="s">
        <v>225</v>
      </c>
      <c r="B375">
        <v>6</v>
      </c>
      <c r="C375" t="s">
        <v>520</v>
      </c>
      <c r="D375">
        <v>9</v>
      </c>
      <c r="E375">
        <v>828</v>
      </c>
      <c r="F375">
        <v>744</v>
      </c>
      <c r="G375" s="4">
        <f t="shared" si="5"/>
        <v>0.89855072463768115</v>
      </c>
    </row>
    <row r="376" spans="1:7">
      <c r="A376" t="s">
        <v>225</v>
      </c>
      <c r="B376">
        <v>6</v>
      </c>
      <c r="C376" t="s">
        <v>522</v>
      </c>
      <c r="D376">
        <v>10</v>
      </c>
      <c r="E376">
        <v>828</v>
      </c>
      <c r="F376">
        <v>786</v>
      </c>
      <c r="G376" s="4">
        <f t="shared" si="5"/>
        <v>0.94927536231884058</v>
      </c>
    </row>
    <row r="377" spans="1:7">
      <c r="A377" t="s">
        <v>225</v>
      </c>
      <c r="B377">
        <v>7</v>
      </c>
      <c r="C377" t="s">
        <v>525</v>
      </c>
      <c r="D377">
        <v>1</v>
      </c>
      <c r="E377">
        <v>2859</v>
      </c>
      <c r="F377">
        <v>835</v>
      </c>
      <c r="G377" s="4">
        <f t="shared" si="5"/>
        <v>0.29206016089541798</v>
      </c>
    </row>
    <row r="378" spans="1:7">
      <c r="A378" t="s">
        <v>225</v>
      </c>
      <c r="B378">
        <v>7</v>
      </c>
      <c r="C378" t="s">
        <v>528</v>
      </c>
      <c r="D378">
        <v>2</v>
      </c>
      <c r="E378">
        <v>2859</v>
      </c>
      <c r="F378">
        <v>849</v>
      </c>
      <c r="G378" s="4">
        <f t="shared" si="5"/>
        <v>0.29695697796432319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2859</v>
      </c>
      <c r="F379">
        <v>883</v>
      </c>
      <c r="G379" s="4">
        <f t="shared" si="5"/>
        <v>0.30884924798880725</v>
      </c>
    </row>
    <row r="380" spans="1:7">
      <c r="A380" t="s">
        <v>225</v>
      </c>
      <c r="B380">
        <v>7</v>
      </c>
      <c r="C380" t="s">
        <v>524</v>
      </c>
      <c r="D380">
        <v>4</v>
      </c>
      <c r="E380">
        <v>2859</v>
      </c>
      <c r="F380">
        <v>899</v>
      </c>
      <c r="G380" s="4">
        <f t="shared" si="5"/>
        <v>0.3144456103532704</v>
      </c>
    </row>
    <row r="381" spans="1:7">
      <c r="A381" t="s">
        <v>225</v>
      </c>
      <c r="B381">
        <v>7</v>
      </c>
      <c r="C381" t="s">
        <v>526</v>
      </c>
      <c r="D381">
        <v>5</v>
      </c>
      <c r="E381">
        <v>2859</v>
      </c>
      <c r="F381">
        <v>900</v>
      </c>
      <c r="G381" s="4">
        <f t="shared" si="5"/>
        <v>0.31479538300104931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2859</v>
      </c>
      <c r="F382">
        <v>921</v>
      </c>
      <c r="G382" s="4">
        <f t="shared" si="5"/>
        <v>0.32214060860440713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2859</v>
      </c>
      <c r="F383">
        <v>962</v>
      </c>
      <c r="G383" s="4">
        <f t="shared" si="5"/>
        <v>0.3364812871633438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2859</v>
      </c>
      <c r="F384">
        <v>1032</v>
      </c>
      <c r="G384" s="4">
        <f t="shared" si="5"/>
        <v>0.36096537250786986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2859</v>
      </c>
      <c r="F385">
        <v>1203</v>
      </c>
      <c r="G385" s="4">
        <f t="shared" si="5"/>
        <v>0.42077649527806926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2859</v>
      </c>
      <c r="F386">
        <v>1339</v>
      </c>
      <c r="G386" s="4">
        <f t="shared" ref="G386:G449" si="6">F386/E386</f>
        <v>0.46834557537600557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8978</v>
      </c>
      <c r="F387">
        <v>650</v>
      </c>
      <c r="G387" s="4">
        <f t="shared" si="6"/>
        <v>7.2399198039652488E-2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8978</v>
      </c>
      <c r="F388">
        <v>1027</v>
      </c>
      <c r="G388" s="4">
        <f t="shared" si="6"/>
        <v>0.11439073290265092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8978</v>
      </c>
      <c r="F389">
        <v>1861</v>
      </c>
      <c r="G389" s="4">
        <f t="shared" si="6"/>
        <v>0.20728447315660503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8978</v>
      </c>
      <c r="F390">
        <v>2127</v>
      </c>
      <c r="G390" s="4">
        <f t="shared" si="6"/>
        <v>0.23691245266206282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8978</v>
      </c>
      <c r="F391">
        <v>2785</v>
      </c>
      <c r="G391" s="4">
        <f t="shared" si="6"/>
        <v>0.31020271775451103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8978</v>
      </c>
      <c r="F392">
        <v>4960</v>
      </c>
      <c r="G392" s="4">
        <f t="shared" si="6"/>
        <v>0.55246157273334817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24607</v>
      </c>
      <c r="F393">
        <v>687</v>
      </c>
      <c r="G393" s="4">
        <f t="shared" si="6"/>
        <v>2.7918884870158898E-2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24607</v>
      </c>
      <c r="F394">
        <v>1251</v>
      </c>
      <c r="G394" s="4">
        <f t="shared" si="6"/>
        <v>5.0839192099809E-2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24607</v>
      </c>
      <c r="F395">
        <v>1921</v>
      </c>
      <c r="G395" s="4">
        <f t="shared" si="6"/>
        <v>7.8067216645669929E-2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24607</v>
      </c>
      <c r="F396">
        <v>2203</v>
      </c>
      <c r="G396" s="4">
        <f t="shared" si="6"/>
        <v>8.9527370260494982E-2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24607</v>
      </c>
      <c r="F397">
        <v>2859</v>
      </c>
      <c r="G397" s="4">
        <f t="shared" si="6"/>
        <v>0.11618645100987524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24607</v>
      </c>
      <c r="F398">
        <v>4980</v>
      </c>
      <c r="G398" s="4">
        <f t="shared" si="6"/>
        <v>0.20238143617669768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24607</v>
      </c>
      <c r="F399">
        <v>5681</v>
      </c>
      <c r="G399" s="4">
        <f t="shared" si="6"/>
        <v>0.23086926484333725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24607</v>
      </c>
      <c r="F400">
        <v>6250</v>
      </c>
      <c r="G400" s="4">
        <f t="shared" si="6"/>
        <v>0.25399276628601619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24607</v>
      </c>
      <c r="F401">
        <v>6809</v>
      </c>
      <c r="G401" s="4">
        <f t="shared" si="6"/>
        <v>0.27670987930263746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6555</v>
      </c>
      <c r="F402">
        <v>310</v>
      </c>
      <c r="G402" s="4">
        <f t="shared" si="6"/>
        <v>4.7292143401983219E-2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6555</v>
      </c>
      <c r="F403">
        <v>6149</v>
      </c>
      <c r="G403" s="4">
        <f t="shared" si="6"/>
        <v>0.9380625476735317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21766</v>
      </c>
      <c r="F404">
        <v>1368</v>
      </c>
      <c r="G404" s="4">
        <f t="shared" si="6"/>
        <v>6.2850317008177892E-2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21766</v>
      </c>
      <c r="F405">
        <v>1422</v>
      </c>
      <c r="G405" s="4">
        <f t="shared" si="6"/>
        <v>6.5331250574290178E-2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21766</v>
      </c>
      <c r="F406">
        <v>1545</v>
      </c>
      <c r="G406" s="4">
        <f t="shared" si="6"/>
        <v>7.0982265919323717E-2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21766</v>
      </c>
      <c r="F407">
        <v>26886</v>
      </c>
      <c r="G407" s="4">
        <f t="shared" si="6"/>
        <v>1.2352292566387943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56592</v>
      </c>
      <c r="F408">
        <v>2122</v>
      </c>
      <c r="G408" s="4">
        <f t="shared" si="6"/>
        <v>3.7496465931580437E-2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56592</v>
      </c>
      <c r="F409">
        <v>2222</v>
      </c>
      <c r="G409" s="4">
        <f t="shared" si="6"/>
        <v>3.9263500141362734E-2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56592</v>
      </c>
      <c r="F410">
        <v>2327</v>
      </c>
      <c r="G410" s="4">
        <f t="shared" si="6"/>
        <v>4.1118886061634156E-2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56592</v>
      </c>
      <c r="F411">
        <v>26025</v>
      </c>
      <c r="G411" s="4">
        <f t="shared" si="6"/>
        <v>0.45987065309584396</v>
      </c>
    </row>
    <row r="412" spans="1:7">
      <c r="A412" t="s">
        <v>225</v>
      </c>
      <c r="B412">
        <v>14</v>
      </c>
      <c r="C412" t="s">
        <v>689</v>
      </c>
      <c r="D412">
        <v>5</v>
      </c>
      <c r="E412">
        <v>56592</v>
      </c>
      <c r="F412">
        <v>26166</v>
      </c>
      <c r="G412" s="4">
        <f t="shared" si="6"/>
        <v>0.46236217133163698</v>
      </c>
    </row>
    <row r="413" spans="1:7">
      <c r="A413" t="s">
        <v>225</v>
      </c>
      <c r="B413">
        <v>14</v>
      </c>
      <c r="C413" t="s">
        <v>688</v>
      </c>
      <c r="D413">
        <v>6</v>
      </c>
      <c r="E413">
        <v>56592</v>
      </c>
      <c r="F413">
        <v>26662</v>
      </c>
      <c r="G413" s="4">
        <f t="shared" si="6"/>
        <v>0.47112666101215722</v>
      </c>
    </row>
    <row r="414" spans="1:7">
      <c r="A414" t="s">
        <v>225</v>
      </c>
      <c r="B414">
        <v>14</v>
      </c>
      <c r="C414" t="s">
        <v>691</v>
      </c>
      <c r="D414">
        <v>7</v>
      </c>
      <c r="E414">
        <v>56592</v>
      </c>
      <c r="F414">
        <v>26725</v>
      </c>
      <c r="G414" s="4">
        <f t="shared" si="6"/>
        <v>0.47223989256432003</v>
      </c>
    </row>
    <row r="415" spans="1:7">
      <c r="A415" t="s">
        <v>225</v>
      </c>
      <c r="B415">
        <v>14</v>
      </c>
      <c r="C415" t="s">
        <v>687</v>
      </c>
      <c r="D415">
        <v>8</v>
      </c>
      <c r="E415">
        <v>56592</v>
      </c>
      <c r="F415">
        <v>26775</v>
      </c>
      <c r="G415" s="4">
        <f t="shared" si="6"/>
        <v>0.47312340966921118</v>
      </c>
    </row>
    <row r="416" spans="1:7">
      <c r="A416" t="s">
        <v>225</v>
      </c>
      <c r="B416">
        <v>14</v>
      </c>
      <c r="C416" t="s">
        <v>690</v>
      </c>
      <c r="D416">
        <v>9</v>
      </c>
      <c r="E416">
        <v>56592</v>
      </c>
      <c r="F416">
        <v>26819</v>
      </c>
      <c r="G416" s="4">
        <f t="shared" si="6"/>
        <v>0.47390090472151541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56592</v>
      </c>
      <c r="F417">
        <v>44642</v>
      </c>
      <c r="G417" s="4">
        <f t="shared" si="6"/>
        <v>0.78883941193101503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56592</v>
      </c>
      <c r="F418">
        <v>45764</v>
      </c>
      <c r="G418" s="4">
        <f t="shared" si="6"/>
        <v>0.8086655357647724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15498</v>
      </c>
      <c r="F419">
        <v>796</v>
      </c>
      <c r="G419" s="4">
        <f t="shared" si="6"/>
        <v>5.1361465995612338E-2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15498</v>
      </c>
      <c r="F420">
        <v>900</v>
      </c>
      <c r="G420" s="4">
        <f t="shared" si="6"/>
        <v>5.8072009291521488E-2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15498</v>
      </c>
      <c r="F421">
        <v>952</v>
      </c>
      <c r="G421" s="4">
        <f t="shared" si="6"/>
        <v>6.142728093947606E-2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15498</v>
      </c>
      <c r="F422">
        <v>15548</v>
      </c>
      <c r="G422" s="4">
        <f t="shared" si="6"/>
        <v>1.0032262227384179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28887</v>
      </c>
      <c r="F423">
        <v>979</v>
      </c>
      <c r="G423" s="4">
        <f t="shared" si="6"/>
        <v>3.3890677467372864E-2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28887</v>
      </c>
      <c r="F424">
        <v>1043</v>
      </c>
      <c r="G424" s="4">
        <f t="shared" si="6"/>
        <v>3.6106206944300202E-2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28887</v>
      </c>
      <c r="F425">
        <v>1089</v>
      </c>
      <c r="G425" s="4">
        <f t="shared" si="6"/>
        <v>3.7698618755841726E-2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28887</v>
      </c>
      <c r="F426">
        <v>29212</v>
      </c>
      <c r="G426" s="4">
        <f t="shared" si="6"/>
        <v>1.0112507356250215</v>
      </c>
    </row>
    <row r="427" spans="1:7">
      <c r="A427" t="s">
        <v>225</v>
      </c>
      <c r="B427">
        <v>20</v>
      </c>
      <c r="C427" t="s">
        <v>2</v>
      </c>
      <c r="D427">
        <v>1</v>
      </c>
      <c r="E427">
        <v>3279</v>
      </c>
      <c r="F427">
        <v>1816</v>
      </c>
      <c r="G427" s="4">
        <f t="shared" si="6"/>
        <v>0.55382738639829221</v>
      </c>
    </row>
    <row r="428" spans="1:7">
      <c r="A428" t="s">
        <v>225</v>
      </c>
      <c r="B428">
        <v>20</v>
      </c>
      <c r="C428" t="s">
        <v>203</v>
      </c>
      <c r="D428">
        <v>2</v>
      </c>
      <c r="E428">
        <v>3279</v>
      </c>
      <c r="F428">
        <v>1822</v>
      </c>
      <c r="G428" s="4">
        <f t="shared" si="6"/>
        <v>0.55565721256480638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13270</v>
      </c>
      <c r="F429">
        <v>6766</v>
      </c>
      <c r="G429" s="4">
        <f t="shared" si="6"/>
        <v>0.50987189148455159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13270</v>
      </c>
      <c r="F430">
        <v>7008</v>
      </c>
      <c r="G430" s="4">
        <f t="shared" si="6"/>
        <v>0.52810851544837978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198</v>
      </c>
      <c r="F431">
        <v>80</v>
      </c>
      <c r="G431" s="4">
        <f t="shared" si="6"/>
        <v>0.40404040404040403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198</v>
      </c>
      <c r="F432">
        <v>124</v>
      </c>
      <c r="G432" s="4">
        <f t="shared" si="6"/>
        <v>0.6262626262626263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198</v>
      </c>
      <c r="F433">
        <v>138</v>
      </c>
      <c r="G433" s="4">
        <f t="shared" si="6"/>
        <v>0.69696969696969702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198</v>
      </c>
      <c r="F434">
        <v>197</v>
      </c>
      <c r="G434" s="4">
        <f t="shared" si="6"/>
        <v>0.99494949494949492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8633</v>
      </c>
      <c r="F435">
        <v>700</v>
      </c>
      <c r="G435" s="4">
        <f t="shared" si="6"/>
        <v>8.1084211745627244E-2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8633</v>
      </c>
      <c r="F436">
        <v>1743</v>
      </c>
      <c r="G436" s="4">
        <f t="shared" si="6"/>
        <v>0.20189968724661184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8633</v>
      </c>
      <c r="F437">
        <v>2491</v>
      </c>
      <c r="G437" s="4">
        <f t="shared" si="6"/>
        <v>0.28854395922622494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8633</v>
      </c>
      <c r="F438">
        <v>5279</v>
      </c>
      <c r="G438" s="4">
        <f t="shared" si="6"/>
        <v>0.61149079115023741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3594</v>
      </c>
      <c r="F439">
        <v>478</v>
      </c>
      <c r="G439" s="4">
        <f t="shared" si="6"/>
        <v>0.13299944351697274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3594</v>
      </c>
      <c r="F440">
        <v>502</v>
      </c>
      <c r="G440" s="4">
        <f t="shared" si="6"/>
        <v>0.13967723984418476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3594</v>
      </c>
      <c r="F441">
        <v>870</v>
      </c>
      <c r="G441" s="4">
        <f t="shared" si="6"/>
        <v>0.24207011686143573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3594</v>
      </c>
      <c r="F442">
        <v>911</v>
      </c>
      <c r="G442" s="4">
        <f t="shared" si="6"/>
        <v>0.25347801892042293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3594</v>
      </c>
      <c r="F443">
        <v>916</v>
      </c>
      <c r="G443" s="4">
        <f t="shared" si="6"/>
        <v>0.25486922648859212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3594</v>
      </c>
      <c r="F444">
        <v>932</v>
      </c>
      <c r="G444" s="4">
        <f t="shared" si="6"/>
        <v>0.25932109070673343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3594</v>
      </c>
      <c r="F445">
        <v>946</v>
      </c>
      <c r="G445" s="4">
        <f t="shared" si="6"/>
        <v>0.26321647189760711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3594</v>
      </c>
      <c r="F446">
        <v>1114</v>
      </c>
      <c r="G446" s="4">
        <f t="shared" si="6"/>
        <v>0.30996104618809128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26862</v>
      </c>
      <c r="F447">
        <v>5968</v>
      </c>
      <c r="G447" s="4">
        <f t="shared" si="6"/>
        <v>0.22217258580894944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26862</v>
      </c>
      <c r="F448">
        <v>6511</v>
      </c>
      <c r="G448" s="4">
        <f t="shared" si="6"/>
        <v>0.24238701511428784</v>
      </c>
    </row>
    <row r="449" spans="1:7">
      <c r="A449" t="s">
        <v>230</v>
      </c>
      <c r="B449">
        <v>1</v>
      </c>
      <c r="C449" t="s">
        <v>551</v>
      </c>
      <c r="D449">
        <v>3</v>
      </c>
      <c r="E449">
        <v>26862</v>
      </c>
      <c r="F449">
        <v>6682</v>
      </c>
      <c r="G449" s="4">
        <f t="shared" si="6"/>
        <v>0.24875288511652149</v>
      </c>
    </row>
    <row r="450" spans="1:7">
      <c r="A450" t="s">
        <v>230</v>
      </c>
      <c r="B450">
        <v>1</v>
      </c>
      <c r="C450" t="s">
        <v>552</v>
      </c>
      <c r="D450">
        <v>4</v>
      </c>
      <c r="E450">
        <v>26862</v>
      </c>
      <c r="F450">
        <v>7087</v>
      </c>
      <c r="G450" s="4">
        <f t="shared" ref="G450:G513" si="7">F450/E450</f>
        <v>0.26382994564812745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26862</v>
      </c>
      <c r="F451">
        <v>7571</v>
      </c>
      <c r="G451" s="4">
        <f t="shared" si="7"/>
        <v>0.28184796366614551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26217</v>
      </c>
      <c r="F452">
        <v>5141</v>
      </c>
      <c r="G452" s="4">
        <f t="shared" si="7"/>
        <v>0.1960941373917687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26217</v>
      </c>
      <c r="F453">
        <v>5212</v>
      </c>
      <c r="G453" s="4">
        <f t="shared" si="7"/>
        <v>0.19880230384864783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26217</v>
      </c>
      <c r="F454">
        <v>7782</v>
      </c>
      <c r="G454" s="4">
        <f t="shared" si="7"/>
        <v>0.29683030094976542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26217</v>
      </c>
      <c r="F455">
        <v>12272</v>
      </c>
      <c r="G455" s="4">
        <f t="shared" si="7"/>
        <v>0.46809322195521991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26217</v>
      </c>
      <c r="F456">
        <v>17449</v>
      </c>
      <c r="G456" s="4">
        <f t="shared" si="7"/>
        <v>0.66556051417019491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824</v>
      </c>
      <c r="F457">
        <v>235</v>
      </c>
      <c r="G457" s="4">
        <f t="shared" si="7"/>
        <v>0.28519417475728154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824</v>
      </c>
      <c r="F458">
        <v>455</v>
      </c>
      <c r="G458" s="4">
        <f t="shared" si="7"/>
        <v>0.55218446601941751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824</v>
      </c>
      <c r="F459">
        <v>714</v>
      </c>
      <c r="G459" s="4">
        <f t="shared" si="7"/>
        <v>0.86650485436893199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881</v>
      </c>
      <c r="F460">
        <v>215</v>
      </c>
      <c r="G460" s="4">
        <f t="shared" si="7"/>
        <v>0.24404086265607264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881</v>
      </c>
      <c r="F461">
        <v>236</v>
      </c>
      <c r="G461" s="4">
        <f t="shared" si="7"/>
        <v>0.26787741203178206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881</v>
      </c>
      <c r="F462">
        <v>241</v>
      </c>
      <c r="G462" s="4">
        <f t="shared" si="7"/>
        <v>0.27355278093076052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881</v>
      </c>
      <c r="F463">
        <v>256</v>
      </c>
      <c r="G463" s="4">
        <f t="shared" si="7"/>
        <v>0.29057888762769579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881</v>
      </c>
      <c r="F464">
        <v>274</v>
      </c>
      <c r="G464" s="4">
        <f t="shared" si="7"/>
        <v>0.31101021566401815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881</v>
      </c>
      <c r="F465">
        <v>281</v>
      </c>
      <c r="G465" s="4">
        <f t="shared" si="7"/>
        <v>0.31895573212258799</v>
      </c>
    </row>
    <row r="466" spans="1:7">
      <c r="A466" t="s">
        <v>231</v>
      </c>
      <c r="B466">
        <v>9</v>
      </c>
      <c r="C466" t="s">
        <v>565</v>
      </c>
      <c r="D466">
        <v>7</v>
      </c>
      <c r="E466">
        <v>881</v>
      </c>
      <c r="F466">
        <v>282</v>
      </c>
      <c r="G466" s="4">
        <f t="shared" si="7"/>
        <v>0.32009080590238365</v>
      </c>
    </row>
    <row r="467" spans="1:7">
      <c r="A467" t="s">
        <v>231</v>
      </c>
      <c r="B467">
        <v>9</v>
      </c>
      <c r="C467" t="s">
        <v>562</v>
      </c>
      <c r="D467">
        <v>8</v>
      </c>
      <c r="E467">
        <v>881</v>
      </c>
      <c r="F467">
        <v>294</v>
      </c>
      <c r="G467" s="4">
        <f t="shared" si="7"/>
        <v>0.33371169125993189</v>
      </c>
    </row>
    <row r="468" spans="1:7">
      <c r="A468" t="s">
        <v>231</v>
      </c>
      <c r="B468">
        <v>9</v>
      </c>
      <c r="C468" t="s">
        <v>566</v>
      </c>
      <c r="D468">
        <v>9</v>
      </c>
      <c r="E468">
        <v>881</v>
      </c>
      <c r="F468">
        <v>295</v>
      </c>
      <c r="G468" s="4">
        <f t="shared" si="7"/>
        <v>0.3348467650397276</v>
      </c>
    </row>
    <row r="469" spans="1:7">
      <c r="A469" t="s">
        <v>231</v>
      </c>
      <c r="B469">
        <v>9</v>
      </c>
      <c r="C469" t="s">
        <v>205</v>
      </c>
      <c r="D469">
        <v>10</v>
      </c>
      <c r="E469">
        <v>881</v>
      </c>
      <c r="F469">
        <v>296</v>
      </c>
      <c r="G469" s="4">
        <f t="shared" si="7"/>
        <v>0.33598183881952326</v>
      </c>
    </row>
    <row r="470" spans="1:7">
      <c r="A470" t="s">
        <v>231</v>
      </c>
      <c r="B470">
        <v>9</v>
      </c>
      <c r="C470" t="s">
        <v>564</v>
      </c>
      <c r="D470">
        <v>11</v>
      </c>
      <c r="E470">
        <v>881</v>
      </c>
      <c r="F470">
        <v>306</v>
      </c>
      <c r="G470" s="4">
        <f t="shared" si="7"/>
        <v>0.34733257661748013</v>
      </c>
    </row>
    <row r="471" spans="1:7">
      <c r="A471" t="s">
        <v>231</v>
      </c>
      <c r="B471">
        <v>9</v>
      </c>
      <c r="C471" t="s">
        <v>568</v>
      </c>
      <c r="D471">
        <v>12</v>
      </c>
      <c r="E471">
        <v>881</v>
      </c>
      <c r="F471">
        <v>337</v>
      </c>
      <c r="G471" s="4">
        <f t="shared" si="7"/>
        <v>0.38251986379114644</v>
      </c>
    </row>
    <row r="472" spans="1:7">
      <c r="A472" t="s">
        <v>231</v>
      </c>
      <c r="B472">
        <v>9</v>
      </c>
      <c r="C472" t="s">
        <v>567</v>
      </c>
      <c r="D472">
        <v>13</v>
      </c>
      <c r="E472">
        <v>881</v>
      </c>
      <c r="F472">
        <v>361</v>
      </c>
      <c r="G472" s="4">
        <f t="shared" si="7"/>
        <v>0.40976163450624292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881</v>
      </c>
      <c r="F473">
        <v>399</v>
      </c>
      <c r="G473" s="4">
        <f t="shared" si="7"/>
        <v>0.45289443813847902</v>
      </c>
    </row>
    <row r="474" spans="1:7">
      <c r="A474" t="s">
        <v>231</v>
      </c>
      <c r="B474">
        <v>9</v>
      </c>
      <c r="C474" t="s">
        <v>570</v>
      </c>
      <c r="D474">
        <v>15</v>
      </c>
      <c r="E474">
        <v>881</v>
      </c>
      <c r="F474">
        <v>554</v>
      </c>
      <c r="G474" s="4">
        <f t="shared" si="7"/>
        <v>0.62883087400681048</v>
      </c>
    </row>
    <row r="475" spans="1:7">
      <c r="A475" t="s">
        <v>231</v>
      </c>
      <c r="B475">
        <v>9</v>
      </c>
      <c r="C475" t="s">
        <v>571</v>
      </c>
      <c r="D475">
        <v>16</v>
      </c>
      <c r="E475">
        <v>881</v>
      </c>
      <c r="F475">
        <v>566</v>
      </c>
      <c r="G475" s="4">
        <f t="shared" si="7"/>
        <v>0.64245175936435872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881</v>
      </c>
      <c r="F476">
        <v>624</v>
      </c>
      <c r="G476" s="4">
        <f t="shared" si="7"/>
        <v>0.70828603859250849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881</v>
      </c>
      <c r="F477">
        <v>655</v>
      </c>
      <c r="G477" s="4">
        <f t="shared" si="7"/>
        <v>0.74347332576617475</v>
      </c>
    </row>
    <row r="478" spans="1:7">
      <c r="A478" t="s">
        <v>231</v>
      </c>
      <c r="B478">
        <v>10</v>
      </c>
      <c r="C478" t="s">
        <v>1</v>
      </c>
      <c r="D478">
        <v>1</v>
      </c>
      <c r="E478">
        <v>1019</v>
      </c>
      <c r="F478">
        <v>978</v>
      </c>
      <c r="G478" s="4">
        <f t="shared" si="7"/>
        <v>0.95976447497546613</v>
      </c>
    </row>
    <row r="479" spans="1:7">
      <c r="A479" t="s">
        <v>231</v>
      </c>
      <c r="B479">
        <v>10</v>
      </c>
      <c r="C479" t="s">
        <v>0</v>
      </c>
      <c r="D479">
        <v>2</v>
      </c>
      <c r="E479">
        <v>1019</v>
      </c>
      <c r="F479">
        <v>981</v>
      </c>
      <c r="G479" s="4">
        <f t="shared" si="7"/>
        <v>0.96270853778213938</v>
      </c>
    </row>
    <row r="480" spans="1:7">
      <c r="A480" t="s">
        <v>231</v>
      </c>
      <c r="B480">
        <v>10</v>
      </c>
      <c r="C480" t="s">
        <v>179</v>
      </c>
      <c r="D480">
        <v>3</v>
      </c>
      <c r="E480">
        <v>1019</v>
      </c>
      <c r="F480">
        <v>994</v>
      </c>
      <c r="G480" s="4">
        <f t="shared" si="7"/>
        <v>0.9754661432777233</v>
      </c>
    </row>
    <row r="481" spans="1:7">
      <c r="A481" t="s">
        <v>231</v>
      </c>
      <c r="B481">
        <v>10</v>
      </c>
      <c r="C481" t="s">
        <v>180</v>
      </c>
      <c r="D481">
        <v>4</v>
      </c>
      <c r="E481">
        <v>1019</v>
      </c>
      <c r="F481">
        <v>997</v>
      </c>
      <c r="G481" s="4">
        <f t="shared" si="7"/>
        <v>0.97841020608439644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1915</v>
      </c>
      <c r="F482">
        <v>202</v>
      </c>
      <c r="G482" s="4">
        <f t="shared" si="7"/>
        <v>0.10548302872062663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1915</v>
      </c>
      <c r="F483">
        <v>823</v>
      </c>
      <c r="G483" s="4">
        <f t="shared" si="7"/>
        <v>0.42976501305483028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1915</v>
      </c>
      <c r="F484">
        <v>825</v>
      </c>
      <c r="G484" s="4">
        <f t="shared" si="7"/>
        <v>0.43080939947780678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1915</v>
      </c>
      <c r="F485">
        <v>836</v>
      </c>
      <c r="G485" s="4">
        <f t="shared" si="7"/>
        <v>0.43655352480417753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1915</v>
      </c>
      <c r="F486">
        <v>861</v>
      </c>
      <c r="G486" s="4">
        <f t="shared" si="7"/>
        <v>0.4496083550913838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1915</v>
      </c>
      <c r="F487">
        <v>887</v>
      </c>
      <c r="G487" s="4">
        <f t="shared" si="7"/>
        <v>0.46318537859007836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1915</v>
      </c>
      <c r="F488">
        <v>898</v>
      </c>
      <c r="G488" s="4">
        <f t="shared" si="7"/>
        <v>0.46892950391644911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1915</v>
      </c>
      <c r="F489">
        <v>993</v>
      </c>
      <c r="G489" s="4">
        <f t="shared" si="7"/>
        <v>0.51853785900783289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1915</v>
      </c>
      <c r="F490">
        <v>1004</v>
      </c>
      <c r="G490" s="4">
        <f t="shared" si="7"/>
        <v>0.5242819843342037</v>
      </c>
    </row>
    <row r="491" spans="1:7">
      <c r="A491" t="s">
        <v>231</v>
      </c>
      <c r="B491">
        <v>11</v>
      </c>
      <c r="C491" t="s">
        <v>582</v>
      </c>
      <c r="D491">
        <v>10</v>
      </c>
      <c r="E491">
        <v>1915</v>
      </c>
      <c r="F491">
        <v>1030</v>
      </c>
      <c r="G491" s="4">
        <f t="shared" si="7"/>
        <v>0.53785900783289819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1915</v>
      </c>
      <c r="F492">
        <v>1042</v>
      </c>
      <c r="G492" s="4">
        <f t="shared" si="7"/>
        <v>0.54412532637075717</v>
      </c>
    </row>
    <row r="493" spans="1:7">
      <c r="A493" t="s">
        <v>231</v>
      </c>
      <c r="B493">
        <v>11</v>
      </c>
      <c r="C493" t="s">
        <v>581</v>
      </c>
      <c r="D493">
        <v>12</v>
      </c>
      <c r="E493">
        <v>1915</v>
      </c>
      <c r="F493">
        <v>1052</v>
      </c>
      <c r="G493" s="4">
        <f t="shared" si="7"/>
        <v>0.5493472584856397</v>
      </c>
    </row>
    <row r="494" spans="1:7">
      <c r="A494" t="s">
        <v>231</v>
      </c>
      <c r="B494">
        <v>11</v>
      </c>
      <c r="C494" t="s">
        <v>586</v>
      </c>
      <c r="D494">
        <v>13</v>
      </c>
      <c r="E494">
        <v>1915</v>
      </c>
      <c r="F494">
        <v>1059</v>
      </c>
      <c r="G494" s="4">
        <f t="shared" si="7"/>
        <v>0.55300261096605741</v>
      </c>
    </row>
    <row r="495" spans="1:7">
      <c r="A495" t="s">
        <v>231</v>
      </c>
      <c r="B495">
        <v>11</v>
      </c>
      <c r="C495" t="s">
        <v>585</v>
      </c>
      <c r="D495">
        <v>14</v>
      </c>
      <c r="E495">
        <v>1915</v>
      </c>
      <c r="F495">
        <v>1072</v>
      </c>
      <c r="G495" s="4">
        <f t="shared" si="7"/>
        <v>0.55979112271540465</v>
      </c>
    </row>
    <row r="496" spans="1:7">
      <c r="A496" t="s">
        <v>231</v>
      </c>
      <c r="B496">
        <v>11</v>
      </c>
      <c r="C496" t="s">
        <v>590</v>
      </c>
      <c r="D496">
        <v>15</v>
      </c>
      <c r="E496">
        <v>1915</v>
      </c>
      <c r="F496">
        <v>1085</v>
      </c>
      <c r="G496" s="4">
        <f t="shared" si="7"/>
        <v>0.56657963446475201</v>
      </c>
    </row>
    <row r="497" spans="1:7">
      <c r="A497" t="s">
        <v>231</v>
      </c>
      <c r="B497">
        <v>11</v>
      </c>
      <c r="C497" t="s">
        <v>589</v>
      </c>
      <c r="D497">
        <v>16</v>
      </c>
      <c r="E497">
        <v>1915</v>
      </c>
      <c r="F497">
        <v>1098</v>
      </c>
      <c r="G497" s="4">
        <f t="shared" si="7"/>
        <v>0.57336814621409926</v>
      </c>
    </row>
    <row r="498" spans="1:7">
      <c r="A498" t="s">
        <v>231</v>
      </c>
      <c r="B498">
        <v>11</v>
      </c>
      <c r="C498" t="s">
        <v>587</v>
      </c>
      <c r="D498">
        <v>17</v>
      </c>
      <c r="E498">
        <v>1915</v>
      </c>
      <c r="F498">
        <v>1099</v>
      </c>
      <c r="G498" s="4">
        <f t="shared" si="7"/>
        <v>0.57389033942558743</v>
      </c>
    </row>
    <row r="499" spans="1:7">
      <c r="A499" t="s">
        <v>231</v>
      </c>
      <c r="B499">
        <v>11</v>
      </c>
      <c r="C499" t="s">
        <v>584</v>
      </c>
      <c r="D499">
        <v>18</v>
      </c>
      <c r="E499">
        <v>1915</v>
      </c>
      <c r="F499">
        <v>1116</v>
      </c>
      <c r="G499" s="4">
        <f t="shared" si="7"/>
        <v>0.58276762402088778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1915</v>
      </c>
      <c r="F500">
        <v>1122</v>
      </c>
      <c r="G500" s="4">
        <f t="shared" si="7"/>
        <v>0.58590078328981721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1063</v>
      </c>
      <c r="F501">
        <v>191</v>
      </c>
      <c r="G501" s="4">
        <f t="shared" si="7"/>
        <v>0.17968015051740358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1063</v>
      </c>
      <c r="F502">
        <v>609</v>
      </c>
      <c r="G502" s="4">
        <f t="shared" si="7"/>
        <v>0.57290686735653806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1063</v>
      </c>
      <c r="F503">
        <v>614</v>
      </c>
      <c r="G503" s="4">
        <f t="shared" si="7"/>
        <v>0.5776105362182502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1063</v>
      </c>
      <c r="F504">
        <v>645</v>
      </c>
      <c r="G504" s="4">
        <f t="shared" si="7"/>
        <v>0.60677328316086543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1063</v>
      </c>
      <c r="F505">
        <v>651</v>
      </c>
      <c r="G505" s="4">
        <f t="shared" si="7"/>
        <v>0.61241768579492006</v>
      </c>
    </row>
    <row r="506" spans="1:7">
      <c r="A506" t="s">
        <v>231</v>
      </c>
      <c r="B506">
        <v>12</v>
      </c>
      <c r="C506" t="s">
        <v>595</v>
      </c>
      <c r="D506">
        <v>6</v>
      </c>
      <c r="E506">
        <v>1063</v>
      </c>
      <c r="F506">
        <v>676</v>
      </c>
      <c r="G506" s="4">
        <f t="shared" si="7"/>
        <v>0.63593603010348076</v>
      </c>
    </row>
    <row r="507" spans="1:7">
      <c r="A507" t="s">
        <v>231</v>
      </c>
      <c r="B507">
        <v>12</v>
      </c>
      <c r="C507" t="s">
        <v>597</v>
      </c>
      <c r="D507">
        <v>7</v>
      </c>
      <c r="E507">
        <v>1063</v>
      </c>
      <c r="F507">
        <v>700</v>
      </c>
      <c r="G507" s="4">
        <f t="shared" si="7"/>
        <v>0.65851364063969897</v>
      </c>
    </row>
    <row r="508" spans="1:7">
      <c r="A508" t="s">
        <v>231</v>
      </c>
      <c r="B508">
        <v>12</v>
      </c>
      <c r="C508" t="s">
        <v>197</v>
      </c>
      <c r="D508">
        <v>8</v>
      </c>
      <c r="E508">
        <v>1063</v>
      </c>
      <c r="F508">
        <v>717</v>
      </c>
      <c r="G508" s="4">
        <f t="shared" si="7"/>
        <v>0.67450611476952027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1063</v>
      </c>
      <c r="F509">
        <v>729</v>
      </c>
      <c r="G509" s="4">
        <f t="shared" si="7"/>
        <v>0.68579492003762932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190</v>
      </c>
      <c r="F510">
        <v>126</v>
      </c>
      <c r="G510" s="4">
        <f t="shared" si="7"/>
        <v>0.66315789473684206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190</v>
      </c>
      <c r="F511">
        <v>209</v>
      </c>
      <c r="G511" s="4">
        <f t="shared" si="7"/>
        <v>1.1000000000000001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2316</v>
      </c>
      <c r="F512">
        <v>692</v>
      </c>
      <c r="G512" s="4">
        <f t="shared" si="7"/>
        <v>0.29879101899827287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2316</v>
      </c>
      <c r="F513">
        <v>1012</v>
      </c>
      <c r="G513" s="4">
        <f t="shared" si="7"/>
        <v>0.4369602763385147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2316</v>
      </c>
      <c r="F514">
        <v>1563</v>
      </c>
      <c r="G514" s="4">
        <f t="shared" ref="G514:G577" si="8">F514/E514</f>
        <v>0.67487046632124348</v>
      </c>
    </row>
    <row r="515" spans="1:7">
      <c r="A515" t="s">
        <v>598</v>
      </c>
      <c r="B515">
        <v>6</v>
      </c>
      <c r="C515" t="s">
        <v>236</v>
      </c>
      <c r="D515">
        <v>1</v>
      </c>
      <c r="E515">
        <v>942</v>
      </c>
      <c r="F515">
        <v>708</v>
      </c>
      <c r="G515" s="4">
        <f t="shared" si="8"/>
        <v>0.75159235668789814</v>
      </c>
    </row>
    <row r="516" spans="1:7">
      <c r="A516" t="s">
        <v>598</v>
      </c>
      <c r="B516">
        <v>6</v>
      </c>
      <c r="C516" t="s">
        <v>599</v>
      </c>
      <c r="D516">
        <v>2</v>
      </c>
      <c r="E516">
        <v>942</v>
      </c>
      <c r="F516">
        <v>716</v>
      </c>
      <c r="G516" s="4">
        <f t="shared" si="8"/>
        <v>0.76008492569002128</v>
      </c>
    </row>
    <row r="517" spans="1:7">
      <c r="A517" t="s">
        <v>598</v>
      </c>
      <c r="B517">
        <v>6</v>
      </c>
      <c r="C517" t="s">
        <v>600</v>
      </c>
      <c r="D517">
        <v>3</v>
      </c>
      <c r="E517">
        <v>942</v>
      </c>
      <c r="F517">
        <v>807</v>
      </c>
      <c r="G517" s="4">
        <f t="shared" si="8"/>
        <v>0.85668789808917201</v>
      </c>
    </row>
    <row r="518" spans="1:7">
      <c r="A518" t="s">
        <v>598</v>
      </c>
      <c r="B518">
        <v>6</v>
      </c>
      <c r="C518" t="s">
        <v>602</v>
      </c>
      <c r="D518">
        <v>4</v>
      </c>
      <c r="E518">
        <v>942</v>
      </c>
      <c r="F518">
        <v>825</v>
      </c>
      <c r="G518" s="4">
        <f t="shared" si="8"/>
        <v>0.87579617834394907</v>
      </c>
    </row>
    <row r="519" spans="1:7">
      <c r="A519" t="s">
        <v>598</v>
      </c>
      <c r="B519">
        <v>6</v>
      </c>
      <c r="C519" t="s">
        <v>601</v>
      </c>
      <c r="D519">
        <v>5</v>
      </c>
      <c r="E519">
        <v>942</v>
      </c>
      <c r="F519">
        <v>830</v>
      </c>
      <c r="G519" s="4">
        <f t="shared" si="8"/>
        <v>0.88110403397027603</v>
      </c>
    </row>
    <row r="520" spans="1:7">
      <c r="A520" t="s">
        <v>598</v>
      </c>
      <c r="B520">
        <v>6</v>
      </c>
      <c r="C520" t="s">
        <v>446</v>
      </c>
      <c r="D520">
        <v>6</v>
      </c>
      <c r="E520">
        <v>942</v>
      </c>
      <c r="F520">
        <v>2795</v>
      </c>
      <c r="G520" s="4">
        <f t="shared" si="8"/>
        <v>2.9670912951167727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1059</v>
      </c>
      <c r="F521">
        <v>995</v>
      </c>
      <c r="G521" s="4">
        <f t="shared" si="8"/>
        <v>0.93956562795089704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1059</v>
      </c>
      <c r="F522">
        <v>1016</v>
      </c>
      <c r="G522" s="4">
        <f t="shared" si="8"/>
        <v>0.95939565627950896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B4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3</v>
      </c>
      <c r="B1" t="s">
        <v>4</v>
      </c>
      <c r="C1" t="s">
        <v>5</v>
      </c>
      <c r="D1" t="s">
        <v>7</v>
      </c>
      <c r="E1" t="s">
        <v>8</v>
      </c>
      <c r="F1" t="s">
        <v>162</v>
      </c>
      <c r="G1" t="s">
        <v>10</v>
      </c>
      <c r="H1" t="s">
        <v>11</v>
      </c>
      <c r="I1" t="s">
        <v>12</v>
      </c>
      <c r="J1" t="s">
        <v>19</v>
      </c>
      <c r="K1" t="s">
        <v>20</v>
      </c>
    </row>
    <row r="2" spans="1:11">
      <c r="A2" t="s">
        <v>165</v>
      </c>
      <c r="B2" t="s">
        <v>6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21</v>
      </c>
    </row>
    <row r="3" spans="1:11">
      <c r="B3" t="s">
        <v>9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13</v>
      </c>
      <c r="C4">
        <v>3</v>
      </c>
      <c r="D4" t="s">
        <v>14</v>
      </c>
      <c r="F4" s="4" t="s">
        <v>163</v>
      </c>
    </row>
    <row r="5" spans="1:11">
      <c r="B5" t="s">
        <v>15</v>
      </c>
      <c r="C5">
        <v>4</v>
      </c>
      <c r="D5" t="s">
        <v>16</v>
      </c>
      <c r="F5" s="4" t="s">
        <v>163</v>
      </c>
    </row>
    <row r="6" spans="1:11">
      <c r="B6" t="s">
        <v>17</v>
      </c>
      <c r="C6">
        <v>5</v>
      </c>
      <c r="D6" t="s">
        <v>16</v>
      </c>
      <c r="F6" s="4" t="s">
        <v>163</v>
      </c>
    </row>
    <row r="7" spans="1:11">
      <c r="B7" t="s">
        <v>18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22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23</v>
      </c>
      <c r="K8" t="s">
        <v>25</v>
      </c>
    </row>
    <row r="9" spans="1:11">
      <c r="B9" t="s">
        <v>26</v>
      </c>
      <c r="C9">
        <v>8</v>
      </c>
      <c r="D9" t="s">
        <v>14</v>
      </c>
      <c r="F9" s="4" t="s">
        <v>163</v>
      </c>
    </row>
    <row r="10" spans="1:11">
      <c r="B10" t="s">
        <v>27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24</v>
      </c>
    </row>
    <row r="11" spans="1:11">
      <c r="A11" t="s">
        <v>28</v>
      </c>
      <c r="B11" t="s">
        <v>29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30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31</v>
      </c>
      <c r="C13">
        <v>7</v>
      </c>
      <c r="D13" t="s">
        <v>16</v>
      </c>
      <c r="F13" s="4" t="s">
        <v>163</v>
      </c>
    </row>
    <row r="14" spans="1:11">
      <c r="B14" t="s">
        <v>32</v>
      </c>
      <c r="C14">
        <v>8</v>
      </c>
      <c r="D14" t="s">
        <v>16</v>
      </c>
      <c r="F14" s="4" t="s">
        <v>163</v>
      </c>
    </row>
    <row r="15" spans="1:11">
      <c r="B15" t="s">
        <v>33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34</v>
      </c>
      <c r="C16">
        <v>14</v>
      </c>
      <c r="D16" t="s">
        <v>35</v>
      </c>
      <c r="F16" s="4" t="s">
        <v>163</v>
      </c>
    </row>
    <row r="17" spans="1:10">
      <c r="B17" t="s">
        <v>30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55</v>
      </c>
    </row>
    <row r="18" spans="1:10">
      <c r="B18" t="s">
        <v>36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32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37</v>
      </c>
    </row>
    <row r="20" spans="1:10">
      <c r="B20" t="s">
        <v>38</v>
      </c>
      <c r="C20">
        <v>21</v>
      </c>
      <c r="D20" t="s">
        <v>16</v>
      </c>
      <c r="F20" s="4" t="s">
        <v>163</v>
      </c>
    </row>
    <row r="21" spans="1:10">
      <c r="B21" t="s">
        <v>39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40</v>
      </c>
      <c r="B22" t="s">
        <v>41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45</v>
      </c>
    </row>
    <row r="23" spans="1:10">
      <c r="B23" t="s">
        <v>42</v>
      </c>
      <c r="C23">
        <v>2</v>
      </c>
      <c r="D23" t="s">
        <v>43</v>
      </c>
      <c r="F23" s="4" t="s">
        <v>163</v>
      </c>
    </row>
    <row r="24" spans="1:10">
      <c r="B24" t="s">
        <v>44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46</v>
      </c>
    </row>
    <row r="25" spans="1:10">
      <c r="B25" t="s">
        <v>47</v>
      </c>
      <c r="C25">
        <v>4</v>
      </c>
      <c r="D25" t="s">
        <v>14</v>
      </c>
      <c r="F25" s="4" t="s">
        <v>163</v>
      </c>
    </row>
    <row r="26" spans="1:10">
      <c r="B26" t="s">
        <v>48</v>
      </c>
      <c r="C26">
        <v>6</v>
      </c>
      <c r="D26" t="s">
        <v>16</v>
      </c>
      <c r="F26" s="4" t="s">
        <v>163</v>
      </c>
    </row>
    <row r="27" spans="1:10">
      <c r="B27" t="s">
        <v>49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46</v>
      </c>
    </row>
    <row r="28" spans="1:10">
      <c r="B28" t="s">
        <v>50</v>
      </c>
      <c r="C28">
        <v>8</v>
      </c>
      <c r="D28" t="s">
        <v>14</v>
      </c>
      <c r="F28" s="4" t="s">
        <v>163</v>
      </c>
    </row>
    <row r="29" spans="1:10">
      <c r="B29" t="s">
        <v>52</v>
      </c>
      <c r="C29">
        <v>9</v>
      </c>
      <c r="D29" t="s">
        <v>14</v>
      </c>
      <c r="F29" s="4" t="s">
        <v>163</v>
      </c>
    </row>
    <row r="30" spans="1:10">
      <c r="B30" t="s">
        <v>53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51</v>
      </c>
    </row>
    <row r="31" spans="1:10">
      <c r="B31" t="s">
        <v>54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57</v>
      </c>
    </row>
    <row r="32" spans="1:10">
      <c r="B32" t="s">
        <v>56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58</v>
      </c>
      <c r="B33" t="s">
        <v>59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60</v>
      </c>
      <c r="C34">
        <v>2</v>
      </c>
      <c r="D34" t="s">
        <v>61</v>
      </c>
      <c r="F34" s="4" t="s">
        <v>163</v>
      </c>
    </row>
    <row r="35" spans="1:10">
      <c r="A35" t="s">
        <v>62</v>
      </c>
      <c r="B35" t="s">
        <v>63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64</v>
      </c>
      <c r="C36">
        <v>2</v>
      </c>
      <c r="D36" t="s">
        <v>16</v>
      </c>
      <c r="F36" s="4" t="s">
        <v>163</v>
      </c>
    </row>
    <row r="37" spans="1:10">
      <c r="B37" t="s">
        <v>65</v>
      </c>
      <c r="C37">
        <v>3</v>
      </c>
      <c r="D37" t="s">
        <v>70</v>
      </c>
      <c r="F37" s="4" t="s">
        <v>163</v>
      </c>
    </row>
    <row r="38" spans="1:10">
      <c r="B38" t="s">
        <v>66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71</v>
      </c>
    </row>
    <row r="39" spans="1:10">
      <c r="B39" t="s">
        <v>67</v>
      </c>
      <c r="C39">
        <v>5</v>
      </c>
      <c r="D39" t="s">
        <v>16</v>
      </c>
      <c r="F39" s="4" t="s">
        <v>163</v>
      </c>
    </row>
    <row r="40" spans="1:10">
      <c r="B40" t="s">
        <v>68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69</v>
      </c>
      <c r="C41">
        <v>7</v>
      </c>
      <c r="D41" t="s">
        <v>16</v>
      </c>
      <c r="F41" s="4" t="s">
        <v>163</v>
      </c>
    </row>
    <row r="42" spans="1:10">
      <c r="A42" t="s">
        <v>73</v>
      </c>
      <c r="B42" t="s">
        <v>74</v>
      </c>
      <c r="C42">
        <v>1</v>
      </c>
      <c r="D42" t="s">
        <v>16</v>
      </c>
      <c r="F42" s="4" t="s">
        <v>163</v>
      </c>
    </row>
    <row r="43" spans="1:10">
      <c r="A43" t="s">
        <v>72</v>
      </c>
      <c r="B43" t="s">
        <v>75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76</v>
      </c>
    </row>
    <row r="44" spans="1:10">
      <c r="B44" t="s">
        <v>77</v>
      </c>
      <c r="C44">
        <v>4</v>
      </c>
      <c r="D44" t="s">
        <v>14</v>
      </c>
      <c r="F44" s="4" t="s">
        <v>163</v>
      </c>
    </row>
    <row r="45" spans="1:10">
      <c r="B45" t="s">
        <v>79</v>
      </c>
      <c r="C45">
        <v>5</v>
      </c>
      <c r="D45" t="s">
        <v>14</v>
      </c>
      <c r="F45" s="4" t="s">
        <v>163</v>
      </c>
    </row>
    <row r="46" spans="1:10">
      <c r="B46" t="s">
        <v>80</v>
      </c>
      <c r="C46">
        <v>6</v>
      </c>
      <c r="D46" t="s">
        <v>14</v>
      </c>
      <c r="F46" s="4" t="s">
        <v>163</v>
      </c>
    </row>
    <row r="47" spans="1:10">
      <c r="B47" t="s">
        <v>82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81</v>
      </c>
    </row>
    <row r="48" spans="1:10">
      <c r="B48" t="s">
        <v>83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81</v>
      </c>
    </row>
    <row r="49" spans="1:10">
      <c r="B49" t="s">
        <v>84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85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86</v>
      </c>
      <c r="B51" t="s">
        <v>87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88</v>
      </c>
      <c r="B52" t="s">
        <v>89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90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90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91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92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93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94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94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95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96</v>
      </c>
    </row>
    <row r="61" spans="1:10">
      <c r="B61" t="s">
        <v>98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97</v>
      </c>
    </row>
    <row r="62" spans="1:10">
      <c r="B62" t="s">
        <v>99</v>
      </c>
      <c r="C62">
        <v>12</v>
      </c>
      <c r="D62" t="s">
        <v>16</v>
      </c>
      <c r="F62" s="4" t="s">
        <v>163</v>
      </c>
    </row>
    <row r="63" spans="1:10">
      <c r="B63" t="s">
        <v>100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101</v>
      </c>
    </row>
    <row r="64" spans="1:10">
      <c r="B64" t="s">
        <v>100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100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100</v>
      </c>
      <c r="C66">
        <v>16</v>
      </c>
      <c r="F66" s="4" t="s">
        <v>163</v>
      </c>
      <c r="J66" s="3" t="s">
        <v>102</v>
      </c>
    </row>
    <row r="67" spans="1:10">
      <c r="B67" t="s">
        <v>103</v>
      </c>
      <c r="C67">
        <v>17</v>
      </c>
      <c r="D67" t="s">
        <v>16</v>
      </c>
      <c r="F67" s="4" t="s">
        <v>163</v>
      </c>
    </row>
    <row r="68" spans="1:10">
      <c r="B68" t="s">
        <v>104</v>
      </c>
      <c r="C68">
        <v>18</v>
      </c>
      <c r="D68" t="s">
        <v>16</v>
      </c>
      <c r="F68" s="4" t="s">
        <v>163</v>
      </c>
    </row>
    <row r="69" spans="1:10">
      <c r="B69" t="s">
        <v>105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106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107</v>
      </c>
      <c r="B71" s="3" t="s">
        <v>115</v>
      </c>
      <c r="C71" s="3">
        <v>2</v>
      </c>
      <c r="F71" s="5" t="s">
        <v>163</v>
      </c>
      <c r="J71" s="3" t="s">
        <v>116</v>
      </c>
    </row>
    <row r="72" spans="1:10" s="3" customFormat="1">
      <c r="A72" s="3" t="s">
        <v>108</v>
      </c>
      <c r="B72" s="3" t="s">
        <v>115</v>
      </c>
      <c r="C72" s="3">
        <v>2</v>
      </c>
      <c r="F72" s="5" t="s">
        <v>163</v>
      </c>
      <c r="J72" s="3" t="s">
        <v>116</v>
      </c>
    </row>
    <row r="73" spans="1:10" s="3" customFormat="1">
      <c r="A73" s="3" t="s">
        <v>109</v>
      </c>
      <c r="B73" s="3" t="s">
        <v>117</v>
      </c>
      <c r="C73" s="3">
        <v>2</v>
      </c>
      <c r="D73" s="3" t="s">
        <v>118</v>
      </c>
      <c r="F73" s="5" t="s">
        <v>163</v>
      </c>
      <c r="J73" s="3" t="s">
        <v>119</v>
      </c>
    </row>
    <row r="74" spans="1:10">
      <c r="A74" t="s">
        <v>110</v>
      </c>
      <c r="B74" t="s">
        <v>121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96</v>
      </c>
    </row>
    <row r="75" spans="1:10">
      <c r="B75" t="s">
        <v>120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96</v>
      </c>
    </row>
    <row r="76" spans="1:10">
      <c r="A76" t="s">
        <v>111</v>
      </c>
      <c r="B76" t="s">
        <v>122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123</v>
      </c>
    </row>
    <row r="77" spans="1:10">
      <c r="B77" t="s">
        <v>124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125</v>
      </c>
    </row>
    <row r="78" spans="1:10">
      <c r="B78" t="s">
        <v>127</v>
      </c>
      <c r="C78">
        <v>2</v>
      </c>
      <c r="D78" t="s">
        <v>126</v>
      </c>
      <c r="F78" s="4" t="s">
        <v>163</v>
      </c>
    </row>
    <row r="79" spans="1:10">
      <c r="A79" t="s">
        <v>112</v>
      </c>
      <c r="B79" t="s">
        <v>128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113</v>
      </c>
      <c r="B80" t="s">
        <v>122</v>
      </c>
      <c r="C80">
        <v>1</v>
      </c>
      <c r="D80" t="s">
        <v>14</v>
      </c>
      <c r="F80" s="4" t="s">
        <v>163</v>
      </c>
    </row>
    <row r="81" spans="1:13">
      <c r="B81" t="s">
        <v>131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129</v>
      </c>
    </row>
    <row r="82" spans="1:13" s="3" customFormat="1">
      <c r="B82" s="3" t="s">
        <v>130</v>
      </c>
      <c r="C82" s="3">
        <v>4</v>
      </c>
      <c r="F82" s="5" t="s">
        <v>163</v>
      </c>
      <c r="J82" s="3" t="s">
        <v>132</v>
      </c>
    </row>
    <row r="83" spans="1:13">
      <c r="C83">
        <v>5</v>
      </c>
      <c r="D83" t="s">
        <v>14</v>
      </c>
      <c r="F83" s="4" t="s">
        <v>163</v>
      </c>
    </row>
    <row r="84" spans="1:13">
      <c r="A84" t="s">
        <v>114</v>
      </c>
      <c r="B84" t="s">
        <v>133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137</v>
      </c>
      <c r="B85" t="s">
        <v>122</v>
      </c>
      <c r="C85">
        <v>2</v>
      </c>
      <c r="D85" t="s">
        <v>14</v>
      </c>
      <c r="F85" s="4" t="s">
        <v>163</v>
      </c>
    </row>
    <row r="86" spans="1:13">
      <c r="B86" t="s">
        <v>135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136</v>
      </c>
      <c r="K86">
        <v>14366</v>
      </c>
      <c r="L86">
        <v>160</v>
      </c>
      <c r="M86" t="s">
        <v>138</v>
      </c>
    </row>
    <row r="87" spans="1:13">
      <c r="B87" t="s">
        <v>139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140</v>
      </c>
    </row>
    <row r="88" spans="1:13">
      <c r="B88" t="s">
        <v>141</v>
      </c>
      <c r="C88">
        <v>6</v>
      </c>
      <c r="D88" t="s">
        <v>14</v>
      </c>
      <c r="F88" s="4" t="s">
        <v>163</v>
      </c>
      <c r="J88" t="s">
        <v>96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142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96</v>
      </c>
    </row>
    <row r="91" spans="1:13">
      <c r="B91" t="s">
        <v>143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144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145</v>
      </c>
    </row>
    <row r="93" spans="1:13">
      <c r="B93" t="s">
        <v>146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148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147</v>
      </c>
    </row>
    <row r="95" spans="1:13">
      <c r="B95" t="s">
        <v>150</v>
      </c>
      <c r="C95">
        <v>13</v>
      </c>
      <c r="D95" t="s">
        <v>16</v>
      </c>
      <c r="F95" s="4" t="s">
        <v>163</v>
      </c>
      <c r="J95" t="s">
        <v>149</v>
      </c>
    </row>
    <row r="96" spans="1:13">
      <c r="C96">
        <v>14</v>
      </c>
      <c r="D96" t="s">
        <v>14</v>
      </c>
      <c r="F96" s="4" t="s">
        <v>163</v>
      </c>
      <c r="J96" t="s">
        <v>149</v>
      </c>
    </row>
    <row r="97" spans="1:10">
      <c r="A97" t="s">
        <v>134</v>
      </c>
      <c r="B97" t="s">
        <v>151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152</v>
      </c>
      <c r="C98">
        <v>4</v>
      </c>
      <c r="D98" t="s">
        <v>16</v>
      </c>
      <c r="F98" s="4" t="s">
        <v>163</v>
      </c>
    </row>
    <row r="99" spans="1:10">
      <c r="B99" t="s">
        <v>153</v>
      </c>
      <c r="C99">
        <v>5</v>
      </c>
      <c r="D99" t="s">
        <v>14</v>
      </c>
      <c r="F99" s="4" t="s">
        <v>163</v>
      </c>
    </row>
    <row r="100" spans="1:10">
      <c r="B100" t="s">
        <v>154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155</v>
      </c>
      <c r="C101">
        <v>7</v>
      </c>
      <c r="D101" t="s">
        <v>16</v>
      </c>
      <c r="F101" s="4" t="s">
        <v>163</v>
      </c>
    </row>
    <row r="102" spans="1:10">
      <c r="B102" t="s">
        <v>156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157</v>
      </c>
      <c r="C103">
        <v>9</v>
      </c>
      <c r="D103" t="s">
        <v>16</v>
      </c>
      <c r="F103" s="4" t="s">
        <v>163</v>
      </c>
    </row>
    <row r="104" spans="1:10" s="3" customFormat="1">
      <c r="B104" s="3" t="s">
        <v>158</v>
      </c>
      <c r="C104" s="3">
        <v>10</v>
      </c>
      <c r="F104" s="5" t="s">
        <v>163</v>
      </c>
      <c r="J104" s="3" t="s">
        <v>159</v>
      </c>
    </row>
    <row r="105" spans="1:10">
      <c r="B105" t="s">
        <v>160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161</v>
      </c>
    </row>
    <row r="106" spans="1:10">
      <c r="E106" t="s">
        <v>164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opLeftCell="A2" workbookViewId="0">
      <selection activeCell="A14" sqref="A14:F14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5">
      <c r="A1" s="2" t="s">
        <v>3</v>
      </c>
      <c r="B1" s="2" t="s">
        <v>4</v>
      </c>
      <c r="C1" s="2" t="s">
        <v>5</v>
      </c>
      <c r="D1" s="2" t="s">
        <v>172</v>
      </c>
      <c r="E1" s="2" t="s">
        <v>173</v>
      </c>
      <c r="F1" s="2" t="s">
        <v>170</v>
      </c>
      <c r="G1" s="2" t="s">
        <v>166</v>
      </c>
      <c r="H1" s="2" t="s">
        <v>167</v>
      </c>
      <c r="I1" s="2" t="s">
        <v>168</v>
      </c>
      <c r="J1" s="2" t="s">
        <v>171</v>
      </c>
    </row>
    <row r="2" spans="1:15">
      <c r="A2" s="2" t="s">
        <v>165</v>
      </c>
      <c r="B2" s="2" t="s">
        <v>6</v>
      </c>
      <c r="C2" s="2">
        <v>1</v>
      </c>
      <c r="D2" s="2">
        <v>3</v>
      </c>
      <c r="E2" s="2">
        <v>60</v>
      </c>
      <c r="F2" s="2">
        <v>4</v>
      </c>
      <c r="G2" s="2" t="s">
        <v>169</v>
      </c>
      <c r="H2" s="2">
        <v>3</v>
      </c>
      <c r="I2" s="2">
        <v>60</v>
      </c>
      <c r="J2" s="2">
        <v>16</v>
      </c>
      <c r="N2" t="s">
        <v>619</v>
      </c>
    </row>
    <row r="3" spans="1:15">
      <c r="A3" s="2"/>
      <c r="B3" s="2" t="s">
        <v>9</v>
      </c>
      <c r="C3" s="2">
        <v>2</v>
      </c>
      <c r="D3" s="2">
        <v>3</v>
      </c>
      <c r="E3" s="2">
        <v>60</v>
      </c>
      <c r="F3" s="2">
        <v>15</v>
      </c>
      <c r="G3" s="2" t="s">
        <v>78</v>
      </c>
      <c r="H3" s="2"/>
      <c r="I3" s="2"/>
      <c r="N3" t="s">
        <v>620</v>
      </c>
    </row>
    <row r="4" spans="1:15">
      <c r="A4" s="2"/>
      <c r="B4" s="2" t="s">
        <v>18</v>
      </c>
      <c r="C4" s="2">
        <v>6</v>
      </c>
      <c r="D4" s="2">
        <v>3</v>
      </c>
      <c r="E4" s="2">
        <v>60</v>
      </c>
      <c r="F4" s="2">
        <v>5</v>
      </c>
      <c r="G4" s="2" t="s">
        <v>78</v>
      </c>
      <c r="H4" s="2"/>
      <c r="I4" s="2"/>
      <c r="N4" t="s">
        <v>621</v>
      </c>
    </row>
    <row r="5" spans="1:15">
      <c r="A5" s="2"/>
      <c r="B5" s="2" t="s">
        <v>22</v>
      </c>
      <c r="C5" s="2">
        <v>7</v>
      </c>
      <c r="D5" s="2">
        <v>3</v>
      </c>
      <c r="E5" s="2">
        <v>60</v>
      </c>
      <c r="F5" s="2">
        <v>0</v>
      </c>
      <c r="G5" s="2" t="s">
        <v>169</v>
      </c>
      <c r="H5" s="2">
        <v>3</v>
      </c>
      <c r="I5" s="2">
        <v>60</v>
      </c>
      <c r="J5" s="2">
        <v>16</v>
      </c>
    </row>
    <row r="6" spans="1:15">
      <c r="A6" s="2"/>
      <c r="B6" s="2" t="s">
        <v>27</v>
      </c>
      <c r="C6" s="2">
        <v>9</v>
      </c>
      <c r="D6" s="2">
        <v>3</v>
      </c>
      <c r="E6" s="2">
        <v>60</v>
      </c>
      <c r="F6" s="2">
        <v>10</v>
      </c>
      <c r="G6" s="2" t="s">
        <v>78</v>
      </c>
      <c r="H6" s="2"/>
      <c r="I6" s="2"/>
      <c r="N6" t="s">
        <v>622</v>
      </c>
    </row>
    <row r="7" spans="1:15">
      <c r="A7" s="2" t="s">
        <v>28</v>
      </c>
      <c r="B7" s="2" t="s">
        <v>29</v>
      </c>
      <c r="C7" s="2">
        <v>2</v>
      </c>
      <c r="D7" s="2">
        <v>3</v>
      </c>
      <c r="E7" s="2">
        <v>60</v>
      </c>
      <c r="F7" s="2">
        <v>4</v>
      </c>
      <c r="G7" s="2" t="s">
        <v>78</v>
      </c>
      <c r="H7" s="2"/>
      <c r="I7" s="2"/>
      <c r="N7" t="s">
        <v>623</v>
      </c>
    </row>
    <row r="8" spans="1:15">
      <c r="A8" s="2"/>
      <c r="B8" s="2" t="s">
        <v>30</v>
      </c>
      <c r="C8" s="2">
        <v>4</v>
      </c>
      <c r="D8" s="2">
        <v>3</v>
      </c>
      <c r="E8" s="2">
        <v>60</v>
      </c>
      <c r="F8" s="2">
        <v>4</v>
      </c>
      <c r="G8" s="2" t="s">
        <v>78</v>
      </c>
      <c r="H8" s="2"/>
      <c r="I8" s="2"/>
      <c r="N8" t="s">
        <v>624</v>
      </c>
    </row>
    <row r="9" spans="1:15">
      <c r="A9" s="2"/>
      <c r="B9" s="2" t="s">
        <v>33</v>
      </c>
      <c r="C9" s="2">
        <v>13</v>
      </c>
      <c r="D9" s="2">
        <v>3</v>
      </c>
      <c r="E9" s="2">
        <v>60</v>
      </c>
      <c r="F9" s="2">
        <v>5</v>
      </c>
      <c r="G9" s="2" t="s">
        <v>78</v>
      </c>
      <c r="H9" s="2"/>
      <c r="I9" s="2"/>
      <c r="N9" t="s">
        <v>625</v>
      </c>
    </row>
    <row r="10" spans="1:15">
      <c r="A10" s="2"/>
      <c r="B10" s="2" t="s">
        <v>30</v>
      </c>
      <c r="C10" s="2">
        <v>16</v>
      </c>
      <c r="D10" s="2">
        <v>3</v>
      </c>
      <c r="E10" s="2">
        <v>60</v>
      </c>
      <c r="F10" s="2">
        <v>4</v>
      </c>
      <c r="G10" s="2" t="s">
        <v>169</v>
      </c>
      <c r="H10" s="2">
        <v>3</v>
      </c>
      <c r="I10" s="2">
        <v>60</v>
      </c>
      <c r="J10" s="2">
        <v>4</v>
      </c>
      <c r="K10" t="s">
        <v>174</v>
      </c>
      <c r="N10" t="s">
        <v>626</v>
      </c>
    </row>
    <row r="11" spans="1:15">
      <c r="A11" s="2"/>
      <c r="B11" s="2" t="s">
        <v>36</v>
      </c>
      <c r="C11" s="2">
        <v>18</v>
      </c>
      <c r="D11" s="2">
        <v>15</v>
      </c>
      <c r="E11" s="2">
        <v>60</v>
      </c>
      <c r="F11" s="2">
        <v>24</v>
      </c>
      <c r="G11" s="2" t="s">
        <v>169</v>
      </c>
      <c r="H11" s="2">
        <v>15</v>
      </c>
      <c r="I11" s="2">
        <v>60</v>
      </c>
      <c r="J11" s="2">
        <v>27</v>
      </c>
      <c r="K11" t="s">
        <v>175</v>
      </c>
      <c r="N11" t="s">
        <v>627</v>
      </c>
    </row>
    <row r="12" spans="1:15">
      <c r="A12" s="2"/>
      <c r="B12" s="2" t="s">
        <v>32</v>
      </c>
      <c r="C12" s="2">
        <v>19</v>
      </c>
      <c r="D12" s="2">
        <v>3</v>
      </c>
      <c r="E12" s="2">
        <v>60</v>
      </c>
      <c r="F12" s="2">
        <v>28</v>
      </c>
      <c r="G12" s="2" t="s">
        <v>169</v>
      </c>
      <c r="H12" s="2">
        <v>3</v>
      </c>
      <c r="I12" s="2">
        <v>60</v>
      </c>
      <c r="J12" s="2">
        <v>15</v>
      </c>
      <c r="N12" t="s">
        <v>628</v>
      </c>
    </row>
    <row r="13" spans="1:15">
      <c r="A13" s="2"/>
      <c r="B13" s="2" t="s">
        <v>39</v>
      </c>
      <c r="C13" s="2">
        <v>20</v>
      </c>
      <c r="D13" s="2">
        <v>15</v>
      </c>
      <c r="E13" s="2">
        <v>60</v>
      </c>
      <c r="F13" s="2">
        <v>33</v>
      </c>
      <c r="G13" s="2" t="s">
        <v>169</v>
      </c>
      <c r="H13" s="2">
        <v>15</v>
      </c>
      <c r="I13" s="2">
        <v>60</v>
      </c>
      <c r="J13" s="2">
        <v>45</v>
      </c>
      <c r="N13" t="s">
        <v>629</v>
      </c>
      <c r="O13" t="s">
        <v>698</v>
      </c>
    </row>
    <row r="14" spans="1:15">
      <c r="A14" s="10" t="s">
        <v>40</v>
      </c>
      <c r="B14" s="10" t="s">
        <v>41</v>
      </c>
      <c r="C14" s="10">
        <v>1</v>
      </c>
      <c r="D14" s="10">
        <v>3</v>
      </c>
      <c r="E14" s="10">
        <v>60</v>
      </c>
      <c r="F14" s="10">
        <v>0</v>
      </c>
      <c r="G14" s="2" t="s">
        <v>169</v>
      </c>
      <c r="H14" s="2">
        <v>3</v>
      </c>
      <c r="I14" s="2">
        <v>60</v>
      </c>
      <c r="J14" s="2">
        <v>5</v>
      </c>
      <c r="N14" s="9"/>
      <c r="O14" s="9"/>
    </row>
    <row r="15" spans="1:15">
      <c r="A15" s="2"/>
      <c r="B15" s="2" t="s">
        <v>42</v>
      </c>
      <c r="C15" s="2">
        <v>2</v>
      </c>
      <c r="D15" s="2">
        <v>3</v>
      </c>
      <c r="E15" s="2">
        <v>60</v>
      </c>
      <c r="F15" s="2">
        <v>3</v>
      </c>
      <c r="G15" s="2" t="s">
        <v>78</v>
      </c>
      <c r="H15" s="2"/>
      <c r="I15" s="2"/>
      <c r="N15" t="s">
        <v>617</v>
      </c>
    </row>
    <row r="16" spans="1:15">
      <c r="A16" s="2"/>
      <c r="B16" s="2" t="s">
        <v>44</v>
      </c>
      <c r="C16" s="2">
        <v>3</v>
      </c>
      <c r="D16" s="2">
        <v>3</v>
      </c>
      <c r="E16" s="2">
        <v>60</v>
      </c>
      <c r="F16" s="2">
        <v>2</v>
      </c>
      <c r="G16" s="2" t="s">
        <v>169</v>
      </c>
      <c r="H16" s="2">
        <v>3</v>
      </c>
      <c r="I16" s="2">
        <v>60</v>
      </c>
      <c r="J16" s="2">
        <v>2</v>
      </c>
      <c r="K16" t="s">
        <v>174</v>
      </c>
      <c r="N16" t="s">
        <v>616</v>
      </c>
    </row>
    <row r="17" spans="1:14">
      <c r="A17" s="2"/>
      <c r="B17" s="2" t="s">
        <v>48</v>
      </c>
      <c r="C17" s="2">
        <v>6</v>
      </c>
      <c r="D17" s="2">
        <v>3</v>
      </c>
      <c r="E17" s="2">
        <v>60</v>
      </c>
      <c r="F17" s="2">
        <v>0</v>
      </c>
      <c r="G17" s="2" t="s">
        <v>78</v>
      </c>
      <c r="H17" s="2"/>
      <c r="I17" s="2"/>
    </row>
    <row r="18" spans="1:14">
      <c r="A18" s="2"/>
      <c r="B18" s="2" t="s">
        <v>49</v>
      </c>
      <c r="C18" s="2">
        <v>7</v>
      </c>
      <c r="D18" s="2">
        <v>3</v>
      </c>
      <c r="E18" s="2">
        <v>60</v>
      </c>
      <c r="F18" s="2">
        <v>2</v>
      </c>
      <c r="G18" s="2" t="s">
        <v>169</v>
      </c>
      <c r="H18" s="2">
        <v>3</v>
      </c>
      <c r="I18" s="2">
        <v>60</v>
      </c>
      <c r="J18" s="2">
        <v>2</v>
      </c>
      <c r="K18" t="s">
        <v>174</v>
      </c>
      <c r="N18" t="s">
        <v>684</v>
      </c>
    </row>
    <row r="19" spans="1:14">
      <c r="A19" s="2"/>
      <c r="B19" s="2" t="s">
        <v>53</v>
      </c>
      <c r="C19" s="2">
        <v>10</v>
      </c>
      <c r="D19" s="2">
        <v>15</v>
      </c>
      <c r="E19" s="2">
        <v>30</v>
      </c>
      <c r="F19" s="2">
        <v>32</v>
      </c>
      <c r="G19" s="2" t="s">
        <v>78</v>
      </c>
      <c r="H19" s="2"/>
      <c r="I19" s="2"/>
      <c r="N19" t="s">
        <v>618</v>
      </c>
    </row>
    <row r="20" spans="1:14">
      <c r="A20" s="2"/>
      <c r="B20" s="2" t="s">
        <v>54</v>
      </c>
      <c r="C20" s="2">
        <v>11</v>
      </c>
      <c r="D20" s="2">
        <v>20</v>
      </c>
      <c r="E20" s="2">
        <v>15</v>
      </c>
      <c r="F20" s="2">
        <v>13</v>
      </c>
      <c r="G20" s="2" t="s">
        <v>78</v>
      </c>
      <c r="H20" s="2"/>
      <c r="I20" s="2"/>
      <c r="N20" t="s">
        <v>630</v>
      </c>
    </row>
    <row r="21" spans="1:14">
      <c r="A21" s="2"/>
      <c r="B21" s="2" t="s">
        <v>56</v>
      </c>
      <c r="C21" s="2">
        <v>12</v>
      </c>
      <c r="D21" s="2">
        <v>20</v>
      </c>
      <c r="E21" s="2">
        <v>30</v>
      </c>
      <c r="F21" s="2">
        <v>17</v>
      </c>
      <c r="G21" s="2" t="s">
        <v>78</v>
      </c>
      <c r="H21" s="2"/>
      <c r="I21" s="2"/>
      <c r="N21" t="s">
        <v>631</v>
      </c>
    </row>
    <row r="22" spans="1:14">
      <c r="A22" s="2" t="s">
        <v>58</v>
      </c>
      <c r="B22" s="2" t="s">
        <v>59</v>
      </c>
      <c r="C22" s="2">
        <v>1</v>
      </c>
      <c r="D22" s="2">
        <v>3</v>
      </c>
      <c r="E22" s="2">
        <v>60</v>
      </c>
      <c r="F22" s="2">
        <v>7</v>
      </c>
      <c r="G22" s="2" t="s">
        <v>78</v>
      </c>
      <c r="H22" s="2"/>
      <c r="I22" s="2"/>
      <c r="N22" t="s">
        <v>632</v>
      </c>
    </row>
    <row r="23" spans="1:14">
      <c r="A23" s="2" t="s">
        <v>62</v>
      </c>
      <c r="B23" s="2" t="s">
        <v>63</v>
      </c>
      <c r="C23" s="2">
        <v>1</v>
      </c>
      <c r="D23" s="2">
        <v>3</v>
      </c>
      <c r="E23" s="2">
        <v>60</v>
      </c>
      <c r="F23" s="2">
        <v>16</v>
      </c>
      <c r="G23" s="2" t="s">
        <v>169</v>
      </c>
      <c r="H23" s="2">
        <v>3</v>
      </c>
      <c r="I23" s="2">
        <v>60</v>
      </c>
      <c r="J23" s="2">
        <v>16</v>
      </c>
      <c r="K23" t="s">
        <v>174</v>
      </c>
      <c r="N23" t="s">
        <v>633</v>
      </c>
    </row>
    <row r="24" spans="1:14">
      <c r="A24" s="2"/>
      <c r="B24" s="2" t="s">
        <v>65</v>
      </c>
      <c r="C24" s="2">
        <v>3</v>
      </c>
      <c r="D24" s="2">
        <v>3</v>
      </c>
      <c r="E24" s="2">
        <v>60</v>
      </c>
      <c r="F24" s="2">
        <v>3</v>
      </c>
      <c r="G24" s="2" t="s">
        <v>169</v>
      </c>
      <c r="H24" s="2">
        <v>3</v>
      </c>
      <c r="I24" s="2">
        <v>60</v>
      </c>
      <c r="J24" s="2">
        <v>3</v>
      </c>
      <c r="K24" t="s">
        <v>174</v>
      </c>
      <c r="N24" t="s">
        <v>634</v>
      </c>
    </row>
    <row r="25" spans="1:14">
      <c r="A25" s="2"/>
      <c r="B25" s="2" t="s">
        <v>66</v>
      </c>
      <c r="C25" s="2">
        <v>4</v>
      </c>
      <c r="D25" s="2">
        <v>3</v>
      </c>
      <c r="E25" s="2">
        <v>60</v>
      </c>
      <c r="F25" s="2">
        <v>9</v>
      </c>
      <c r="G25" s="2" t="s">
        <v>169</v>
      </c>
      <c r="H25" s="2">
        <v>3</v>
      </c>
      <c r="I25" s="2">
        <v>60</v>
      </c>
      <c r="J25" s="2">
        <v>9</v>
      </c>
      <c r="K25" t="s">
        <v>174</v>
      </c>
      <c r="N25" t="s">
        <v>635</v>
      </c>
    </row>
    <row r="26" spans="1:14">
      <c r="A26" s="2"/>
      <c r="B26" s="2" t="s">
        <v>68</v>
      </c>
      <c r="C26" s="2">
        <v>6</v>
      </c>
      <c r="D26" s="2">
        <v>3</v>
      </c>
      <c r="E26" s="2">
        <v>60</v>
      </c>
      <c r="F26" s="2">
        <v>2</v>
      </c>
      <c r="G26" s="2" t="s">
        <v>169</v>
      </c>
      <c r="H26" s="2">
        <v>3</v>
      </c>
      <c r="I26" s="2">
        <v>60</v>
      </c>
      <c r="J26" s="2">
        <v>2</v>
      </c>
      <c r="K26" t="s">
        <v>174</v>
      </c>
      <c r="N26" t="s">
        <v>636</v>
      </c>
    </row>
    <row r="27" spans="1:14">
      <c r="A27" s="2"/>
      <c r="B27" s="2" t="s">
        <v>69</v>
      </c>
      <c r="C27" s="2">
        <v>7</v>
      </c>
      <c r="D27" s="2">
        <v>3</v>
      </c>
      <c r="E27" s="2">
        <v>60</v>
      </c>
      <c r="F27" s="2">
        <v>7</v>
      </c>
      <c r="G27" s="2" t="s">
        <v>78</v>
      </c>
      <c r="H27" s="2"/>
      <c r="I27" s="2"/>
      <c r="N27" t="s">
        <v>637</v>
      </c>
    </row>
    <row r="28" spans="1:14">
      <c r="A28" s="2" t="s">
        <v>72</v>
      </c>
      <c r="B28" s="2" t="s">
        <v>75</v>
      </c>
      <c r="C28" s="2">
        <v>3</v>
      </c>
      <c r="D28" s="2">
        <v>3</v>
      </c>
      <c r="E28" s="2">
        <v>60</v>
      </c>
      <c r="F28" s="2">
        <v>3</v>
      </c>
      <c r="G28" s="2" t="s">
        <v>169</v>
      </c>
      <c r="H28" s="2">
        <v>3</v>
      </c>
      <c r="I28" s="2">
        <v>60</v>
      </c>
      <c r="J28" s="2">
        <v>3</v>
      </c>
      <c r="K28" t="s">
        <v>174</v>
      </c>
      <c r="N28" t="s">
        <v>638</v>
      </c>
    </row>
    <row r="29" spans="1:14">
      <c r="A29" s="2"/>
      <c r="B29" s="2" t="s">
        <v>82</v>
      </c>
      <c r="C29" s="2">
        <v>7</v>
      </c>
      <c r="D29" s="2">
        <v>3</v>
      </c>
      <c r="E29" s="2">
        <v>60</v>
      </c>
      <c r="F29" s="2">
        <v>6</v>
      </c>
      <c r="G29" s="2" t="s">
        <v>169</v>
      </c>
      <c r="H29" s="2">
        <v>3</v>
      </c>
      <c r="I29" s="2">
        <v>60</v>
      </c>
      <c r="J29" s="2">
        <v>6</v>
      </c>
      <c r="K29" t="s">
        <v>174</v>
      </c>
      <c r="N29" t="s">
        <v>639</v>
      </c>
    </row>
    <row r="30" spans="1:14">
      <c r="A30" s="2"/>
      <c r="B30" s="2" t="s">
        <v>83</v>
      </c>
      <c r="C30" s="2">
        <v>8</v>
      </c>
      <c r="D30" s="2">
        <v>3</v>
      </c>
      <c r="E30" s="2">
        <v>60</v>
      </c>
      <c r="F30" s="2">
        <v>11</v>
      </c>
      <c r="G30" s="2" t="s">
        <v>169</v>
      </c>
      <c r="H30" s="2">
        <v>3</v>
      </c>
      <c r="I30" s="2">
        <v>60</v>
      </c>
      <c r="J30" s="2">
        <v>11</v>
      </c>
      <c r="K30" t="s">
        <v>174</v>
      </c>
      <c r="N30" t="s">
        <v>640</v>
      </c>
    </row>
    <row r="31" spans="1:14">
      <c r="A31" s="2"/>
      <c r="B31" s="2" t="s">
        <v>84</v>
      </c>
      <c r="C31" s="2">
        <v>9</v>
      </c>
      <c r="D31" s="2">
        <v>3</v>
      </c>
      <c r="E31" s="2">
        <v>60</v>
      </c>
      <c r="F31" s="2">
        <v>5</v>
      </c>
      <c r="G31" s="2" t="s">
        <v>169</v>
      </c>
      <c r="H31" s="2">
        <v>3</v>
      </c>
      <c r="I31" s="2">
        <v>60</v>
      </c>
      <c r="J31" s="2">
        <v>5</v>
      </c>
      <c r="K31" t="s">
        <v>174</v>
      </c>
      <c r="N31" t="s">
        <v>641</v>
      </c>
    </row>
    <row r="32" spans="1:14">
      <c r="A32" s="2"/>
      <c r="B32" s="2" t="s">
        <v>85</v>
      </c>
      <c r="C32" s="2">
        <v>10</v>
      </c>
      <c r="D32" s="2">
        <v>3</v>
      </c>
      <c r="E32" s="2">
        <v>60</v>
      </c>
      <c r="F32" s="2">
        <v>32</v>
      </c>
      <c r="G32" s="2" t="s">
        <v>78</v>
      </c>
      <c r="H32" s="2"/>
      <c r="I32" s="2"/>
      <c r="N32" t="s">
        <v>642</v>
      </c>
    </row>
    <row r="33" spans="1:14">
      <c r="A33" s="2" t="s">
        <v>86</v>
      </c>
      <c r="B33" s="2" t="s">
        <v>87</v>
      </c>
      <c r="C33" s="2">
        <v>3</v>
      </c>
      <c r="D33" s="2">
        <v>3</v>
      </c>
      <c r="E33" s="2">
        <v>60</v>
      </c>
      <c r="F33" s="2">
        <v>2</v>
      </c>
      <c r="G33" s="2" t="s">
        <v>169</v>
      </c>
      <c r="H33" s="2">
        <v>3</v>
      </c>
      <c r="I33" s="2">
        <v>60</v>
      </c>
      <c r="J33" s="2">
        <v>2</v>
      </c>
      <c r="K33" t="s">
        <v>174</v>
      </c>
      <c r="N33" t="s">
        <v>643</v>
      </c>
    </row>
    <row r="34" spans="1:14">
      <c r="A34" s="2" t="s">
        <v>88</v>
      </c>
      <c r="B34" s="2" t="s">
        <v>89</v>
      </c>
      <c r="C34" s="2">
        <v>2</v>
      </c>
      <c r="D34" s="2">
        <v>3</v>
      </c>
      <c r="E34" s="2">
        <v>60</v>
      </c>
      <c r="F34" s="2">
        <v>8</v>
      </c>
      <c r="G34" s="2" t="s">
        <v>78</v>
      </c>
      <c r="H34" s="2"/>
      <c r="I34" s="2"/>
      <c r="N34" t="s">
        <v>644</v>
      </c>
    </row>
    <row r="35" spans="1:14">
      <c r="A35" s="2"/>
      <c r="B35" s="2" t="s">
        <v>90</v>
      </c>
      <c r="C35" s="2">
        <v>3</v>
      </c>
      <c r="D35" s="2">
        <v>3</v>
      </c>
      <c r="E35" s="2">
        <v>60</v>
      </c>
      <c r="F35" s="2">
        <v>6</v>
      </c>
      <c r="G35" s="2" t="s">
        <v>169</v>
      </c>
      <c r="H35" s="2">
        <v>3</v>
      </c>
      <c r="I35" s="2">
        <v>60</v>
      </c>
      <c r="J35" s="2">
        <v>9</v>
      </c>
      <c r="N35" t="s">
        <v>645</v>
      </c>
    </row>
    <row r="36" spans="1:14">
      <c r="A36" s="2"/>
      <c r="B36" s="2" t="s">
        <v>90</v>
      </c>
      <c r="C36" s="2">
        <v>4</v>
      </c>
      <c r="D36" s="2">
        <v>3</v>
      </c>
      <c r="E36" s="2">
        <v>60</v>
      </c>
      <c r="F36" s="2">
        <v>9</v>
      </c>
      <c r="G36" s="2" t="s">
        <v>169</v>
      </c>
      <c r="H36" s="2">
        <v>3</v>
      </c>
      <c r="I36" s="2">
        <v>60</v>
      </c>
      <c r="J36" s="2">
        <v>10</v>
      </c>
      <c r="N36" t="s">
        <v>646</v>
      </c>
    </row>
    <row r="37" spans="1:14">
      <c r="A37" s="2"/>
      <c r="B37" s="2" t="s">
        <v>91</v>
      </c>
      <c r="C37" s="2">
        <v>5</v>
      </c>
      <c r="D37" s="2">
        <v>3</v>
      </c>
      <c r="E37" s="2">
        <v>60</v>
      </c>
      <c r="F37" s="2">
        <v>6</v>
      </c>
      <c r="G37" s="2" t="s">
        <v>78</v>
      </c>
      <c r="H37" s="2"/>
      <c r="I37" s="2"/>
      <c r="N37" t="s">
        <v>647</v>
      </c>
    </row>
    <row r="38" spans="1:14">
      <c r="A38" s="2"/>
      <c r="B38" s="2" t="s">
        <v>92</v>
      </c>
      <c r="C38" s="2">
        <v>6</v>
      </c>
      <c r="D38" s="2">
        <v>3</v>
      </c>
      <c r="E38" s="2">
        <v>60</v>
      </c>
      <c r="F38" s="2">
        <v>10</v>
      </c>
      <c r="G38" s="2" t="s">
        <v>78</v>
      </c>
      <c r="H38" s="2"/>
      <c r="I38" s="2"/>
      <c r="N38" t="s">
        <v>648</v>
      </c>
    </row>
    <row r="39" spans="1:14">
      <c r="A39" s="2"/>
      <c r="B39" s="2" t="s">
        <v>93</v>
      </c>
      <c r="C39" s="2">
        <v>7</v>
      </c>
      <c r="D39" s="2">
        <v>3</v>
      </c>
      <c r="E39" s="2">
        <v>60</v>
      </c>
      <c r="F39" s="2">
        <v>10</v>
      </c>
      <c r="G39" s="2" t="s">
        <v>78</v>
      </c>
      <c r="H39" s="2"/>
      <c r="I39" s="2"/>
      <c r="N39" t="s">
        <v>649</v>
      </c>
    </row>
    <row r="40" spans="1:14">
      <c r="A40" s="2"/>
      <c r="B40" s="2" t="s">
        <v>94</v>
      </c>
      <c r="C40" s="2">
        <v>8</v>
      </c>
      <c r="D40" s="2">
        <v>3</v>
      </c>
      <c r="E40" s="2">
        <v>60</v>
      </c>
      <c r="F40" s="2">
        <v>6</v>
      </c>
      <c r="G40" s="2" t="s">
        <v>169</v>
      </c>
      <c r="H40" s="2">
        <v>3</v>
      </c>
      <c r="I40" s="2">
        <v>60</v>
      </c>
      <c r="J40" s="2">
        <v>10</v>
      </c>
      <c r="N40" t="s">
        <v>650</v>
      </c>
    </row>
    <row r="41" spans="1:14">
      <c r="A41" s="2"/>
      <c r="B41" s="2" t="s">
        <v>94</v>
      </c>
      <c r="C41" s="2">
        <v>9</v>
      </c>
      <c r="D41" s="2">
        <v>3</v>
      </c>
      <c r="E41" s="2">
        <v>60</v>
      </c>
      <c r="F41" s="2">
        <v>9</v>
      </c>
      <c r="G41" s="2" t="s">
        <v>169</v>
      </c>
      <c r="H41" s="2">
        <v>3</v>
      </c>
      <c r="I41" s="2">
        <v>60</v>
      </c>
      <c r="J41" s="2">
        <v>10</v>
      </c>
      <c r="N41" t="s">
        <v>651</v>
      </c>
    </row>
    <row r="42" spans="1:14">
      <c r="A42" s="2"/>
      <c r="B42" s="2" t="s">
        <v>95</v>
      </c>
      <c r="C42" s="2">
        <v>10</v>
      </c>
      <c r="D42" s="2">
        <v>3</v>
      </c>
      <c r="E42" s="2">
        <v>60</v>
      </c>
      <c r="F42" s="2">
        <v>0</v>
      </c>
      <c r="G42" s="2" t="s">
        <v>169</v>
      </c>
      <c r="H42" s="2">
        <v>3</v>
      </c>
      <c r="I42" s="2">
        <v>60</v>
      </c>
      <c r="J42" s="2">
        <v>2</v>
      </c>
      <c r="N42" s="9"/>
    </row>
    <row r="43" spans="1:14">
      <c r="A43" s="2"/>
      <c r="B43" s="2" t="s">
        <v>98</v>
      </c>
      <c r="C43" s="2">
        <v>11</v>
      </c>
      <c r="D43" s="2">
        <v>3</v>
      </c>
      <c r="E43" s="2">
        <v>60</v>
      </c>
      <c r="F43" s="2">
        <v>2</v>
      </c>
      <c r="G43" s="2" t="s">
        <v>169</v>
      </c>
      <c r="H43" s="2">
        <v>3</v>
      </c>
      <c r="I43" s="2">
        <v>60</v>
      </c>
      <c r="J43" s="2">
        <v>3</v>
      </c>
      <c r="N43" t="s">
        <v>653</v>
      </c>
    </row>
    <row r="44" spans="1:14">
      <c r="A44" s="2"/>
      <c r="B44" s="2" t="s">
        <v>100</v>
      </c>
      <c r="C44" s="2">
        <v>13</v>
      </c>
      <c r="D44" s="2">
        <v>3</v>
      </c>
      <c r="E44" s="2">
        <v>60</v>
      </c>
      <c r="F44" s="2">
        <v>4</v>
      </c>
      <c r="G44" s="2" t="s">
        <v>169</v>
      </c>
      <c r="H44" s="2">
        <v>3</v>
      </c>
      <c r="I44" s="2">
        <v>60</v>
      </c>
      <c r="J44" s="2">
        <v>11</v>
      </c>
      <c r="K44" t="s">
        <v>174</v>
      </c>
      <c r="N44" t="s">
        <v>654</v>
      </c>
    </row>
    <row r="45" spans="1:14">
      <c r="A45" s="2"/>
      <c r="B45" s="2" t="s">
        <v>100</v>
      </c>
      <c r="C45" s="2">
        <v>14</v>
      </c>
      <c r="D45" s="2">
        <v>3</v>
      </c>
      <c r="E45" s="2">
        <v>60</v>
      </c>
      <c r="F45" s="2">
        <v>11</v>
      </c>
      <c r="G45" s="2" t="s">
        <v>169</v>
      </c>
      <c r="H45" s="2">
        <v>3</v>
      </c>
      <c r="I45" s="2">
        <v>60</v>
      </c>
      <c r="J45" s="2">
        <v>15</v>
      </c>
      <c r="K45" t="s">
        <v>176</v>
      </c>
      <c r="N45" t="s">
        <v>685</v>
      </c>
    </row>
    <row r="46" spans="1:14">
      <c r="A46" s="2"/>
      <c r="B46" s="2" t="s">
        <v>100</v>
      </c>
      <c r="C46" s="2">
        <v>15</v>
      </c>
      <c r="D46" s="2">
        <v>3</v>
      </c>
      <c r="E46" s="2">
        <v>60</v>
      </c>
      <c r="F46" s="2">
        <v>4</v>
      </c>
      <c r="G46" s="2" t="s">
        <v>169</v>
      </c>
      <c r="H46" s="2">
        <v>3</v>
      </c>
      <c r="I46" s="2">
        <v>60</v>
      </c>
      <c r="J46" s="2">
        <v>4</v>
      </c>
      <c r="K46" t="s">
        <v>174</v>
      </c>
      <c r="N46" t="s">
        <v>655</v>
      </c>
    </row>
    <row r="47" spans="1:14">
      <c r="A47" s="2"/>
      <c r="B47" s="2" t="s">
        <v>100</v>
      </c>
      <c r="C47" s="2">
        <v>16</v>
      </c>
      <c r="D47" s="2">
        <v>3</v>
      </c>
      <c r="E47" s="2">
        <v>60</v>
      </c>
      <c r="F47" s="2">
        <v>4</v>
      </c>
      <c r="G47" s="2" t="s">
        <v>169</v>
      </c>
      <c r="H47" s="2">
        <v>3</v>
      </c>
      <c r="I47" s="2">
        <v>60</v>
      </c>
      <c r="J47" s="2">
        <v>4</v>
      </c>
      <c r="K47" t="s">
        <v>178</v>
      </c>
      <c r="N47" t="s">
        <v>656</v>
      </c>
    </row>
    <row r="48" spans="1:14">
      <c r="A48" s="2"/>
      <c r="B48" s="2" t="s">
        <v>105</v>
      </c>
      <c r="C48" s="2">
        <v>20</v>
      </c>
      <c r="D48" s="2">
        <v>3</v>
      </c>
      <c r="E48" s="2">
        <v>60</v>
      </c>
      <c r="F48" s="2">
        <v>2</v>
      </c>
      <c r="G48" s="2" t="s">
        <v>169</v>
      </c>
      <c r="H48" s="2">
        <v>3</v>
      </c>
      <c r="I48" s="2">
        <v>60</v>
      </c>
      <c r="J48" s="2">
        <v>2</v>
      </c>
      <c r="K48" t="s">
        <v>174</v>
      </c>
      <c r="N48" t="s">
        <v>657</v>
      </c>
    </row>
    <row r="49" spans="1:14">
      <c r="A49" s="2"/>
      <c r="B49" s="2" t="s">
        <v>106</v>
      </c>
      <c r="C49" s="2">
        <v>21</v>
      </c>
      <c r="D49" s="2">
        <v>3</v>
      </c>
      <c r="E49" s="2">
        <v>60</v>
      </c>
      <c r="F49" s="2">
        <v>2</v>
      </c>
      <c r="G49" s="2" t="s">
        <v>169</v>
      </c>
      <c r="H49" s="2">
        <v>3</v>
      </c>
      <c r="I49" s="2">
        <v>60</v>
      </c>
      <c r="J49" s="2">
        <v>4</v>
      </c>
      <c r="N49" t="s">
        <v>658</v>
      </c>
    </row>
    <row r="50" spans="1:14">
      <c r="A50" s="2" t="s">
        <v>110</v>
      </c>
      <c r="B50" s="2" t="s">
        <v>121</v>
      </c>
      <c r="C50" s="2">
        <v>2</v>
      </c>
      <c r="D50" s="2">
        <v>3</v>
      </c>
      <c r="E50" s="2">
        <v>60</v>
      </c>
      <c r="F50" s="2">
        <v>0</v>
      </c>
      <c r="G50" s="2" t="s">
        <v>169</v>
      </c>
      <c r="H50" s="2">
        <v>3</v>
      </c>
      <c r="I50" s="2">
        <v>60</v>
      </c>
      <c r="J50" s="2">
        <v>4</v>
      </c>
      <c r="N50" s="9"/>
    </row>
    <row r="51" spans="1:14">
      <c r="A51" s="2"/>
      <c r="B51" s="2" t="s">
        <v>120</v>
      </c>
      <c r="C51" s="2">
        <v>3</v>
      </c>
      <c r="D51" s="2">
        <v>3</v>
      </c>
      <c r="E51" s="2">
        <v>60</v>
      </c>
      <c r="F51" s="2">
        <v>0</v>
      </c>
      <c r="G51" s="2" t="s">
        <v>169</v>
      </c>
      <c r="H51" s="2">
        <v>3</v>
      </c>
      <c r="I51" s="2">
        <v>60</v>
      </c>
      <c r="J51" s="2">
        <v>6</v>
      </c>
      <c r="N51" s="9"/>
    </row>
    <row r="52" spans="1:14">
      <c r="A52" s="2" t="s">
        <v>111</v>
      </c>
      <c r="B52" s="2" t="s">
        <v>122</v>
      </c>
      <c r="C52" s="2">
        <v>0</v>
      </c>
      <c r="D52" s="2">
        <v>3</v>
      </c>
      <c r="E52" s="2">
        <v>60</v>
      </c>
      <c r="F52" s="2">
        <v>4</v>
      </c>
      <c r="G52" s="2" t="s">
        <v>78</v>
      </c>
      <c r="H52" s="2"/>
      <c r="I52" s="2"/>
      <c r="N52" t="s">
        <v>661</v>
      </c>
    </row>
    <row r="53" spans="1:14">
      <c r="A53" s="2"/>
      <c r="B53" s="2" t="s">
        <v>124</v>
      </c>
      <c r="C53" s="2">
        <v>1</v>
      </c>
      <c r="D53" s="2">
        <v>3</v>
      </c>
      <c r="E53" s="2">
        <v>60</v>
      </c>
      <c r="F53" s="2">
        <v>4</v>
      </c>
      <c r="G53" s="2" t="s">
        <v>169</v>
      </c>
      <c r="H53" s="2">
        <v>3</v>
      </c>
      <c r="I53" s="2">
        <v>60</v>
      </c>
      <c r="J53" s="2">
        <v>4</v>
      </c>
      <c r="K53" t="s">
        <v>174</v>
      </c>
      <c r="N53" t="s">
        <v>662</v>
      </c>
    </row>
    <row r="54" spans="1:14">
      <c r="A54" s="2" t="s">
        <v>112</v>
      </c>
      <c r="B54" s="2" t="s">
        <v>128</v>
      </c>
      <c r="C54" s="2">
        <v>1</v>
      </c>
      <c r="D54" s="2">
        <v>3</v>
      </c>
      <c r="E54" s="2">
        <v>60</v>
      </c>
      <c r="F54" s="2">
        <v>8</v>
      </c>
      <c r="G54" s="2" t="s">
        <v>78</v>
      </c>
      <c r="H54" s="2"/>
      <c r="I54" s="2"/>
      <c r="N54" t="s">
        <v>663</v>
      </c>
    </row>
    <row r="55" spans="1:14">
      <c r="A55" s="2" t="s">
        <v>113</v>
      </c>
      <c r="B55" s="2" t="s">
        <v>131</v>
      </c>
      <c r="C55" s="2">
        <v>3</v>
      </c>
      <c r="D55" s="2">
        <v>3</v>
      </c>
      <c r="E55" s="2">
        <v>60</v>
      </c>
      <c r="F55" s="2">
        <v>0</v>
      </c>
      <c r="G55" s="2" t="s">
        <v>169</v>
      </c>
      <c r="H55" s="2">
        <v>3</v>
      </c>
      <c r="I55" s="2">
        <v>60</v>
      </c>
      <c r="J55" s="2">
        <v>2</v>
      </c>
      <c r="N55" s="9"/>
    </row>
    <row r="56" spans="1:14">
      <c r="A56" s="2" t="s">
        <v>114</v>
      </c>
      <c r="B56" s="2" t="s">
        <v>133</v>
      </c>
      <c r="C56" s="2">
        <v>1</v>
      </c>
      <c r="D56" s="2">
        <v>3</v>
      </c>
      <c r="E56" s="2">
        <v>60</v>
      </c>
      <c r="F56" s="2">
        <v>5</v>
      </c>
      <c r="G56" s="2" t="s">
        <v>169</v>
      </c>
      <c r="H56" s="2">
        <v>3</v>
      </c>
      <c r="I56" s="2">
        <v>60</v>
      </c>
      <c r="J56" s="2">
        <v>16</v>
      </c>
      <c r="L56">
        <v>60</v>
      </c>
      <c r="N56" t="s">
        <v>665</v>
      </c>
    </row>
    <row r="57" spans="1:14">
      <c r="A57" s="2" t="s">
        <v>137</v>
      </c>
      <c r="B57" s="2" t="s">
        <v>135</v>
      </c>
      <c r="C57" s="2">
        <v>4</v>
      </c>
      <c r="D57" s="2">
        <v>3</v>
      </c>
      <c r="E57" s="2">
        <v>60</v>
      </c>
      <c r="F57" s="2">
        <v>0</v>
      </c>
      <c r="G57" s="2" t="s">
        <v>169</v>
      </c>
      <c r="H57" s="2">
        <v>3</v>
      </c>
      <c r="I57" s="2">
        <v>60</v>
      </c>
      <c r="J57" s="2">
        <v>7</v>
      </c>
      <c r="N57" s="9"/>
    </row>
    <row r="58" spans="1:14">
      <c r="A58" s="2"/>
      <c r="B58" s="2" t="s">
        <v>139</v>
      </c>
      <c r="C58" s="2">
        <v>5</v>
      </c>
      <c r="D58" s="2">
        <v>3</v>
      </c>
      <c r="E58" s="2">
        <v>60</v>
      </c>
      <c r="F58" s="2">
        <v>5</v>
      </c>
      <c r="G58" s="2" t="s">
        <v>169</v>
      </c>
      <c r="H58" s="2">
        <v>3</v>
      </c>
      <c r="I58" s="2">
        <v>60</v>
      </c>
      <c r="J58" s="2">
        <v>8</v>
      </c>
      <c r="N58" t="s">
        <v>667</v>
      </c>
    </row>
    <row r="59" spans="1:14">
      <c r="A59" s="2"/>
      <c r="B59" s="2" t="s">
        <v>177</v>
      </c>
      <c r="C59" s="2">
        <v>7</v>
      </c>
      <c r="D59" s="2">
        <v>3</v>
      </c>
      <c r="E59" s="2">
        <v>60</v>
      </c>
      <c r="F59" s="2">
        <v>3</v>
      </c>
      <c r="G59" s="2" t="s">
        <v>169</v>
      </c>
      <c r="H59" s="2">
        <v>3</v>
      </c>
      <c r="I59" s="2">
        <v>60</v>
      </c>
      <c r="J59" s="2">
        <v>4</v>
      </c>
      <c r="N59" t="s">
        <v>668</v>
      </c>
    </row>
    <row r="60" spans="1:14">
      <c r="A60" s="2"/>
      <c r="B60" s="2" t="s">
        <v>142</v>
      </c>
      <c r="C60" s="2">
        <v>8</v>
      </c>
      <c r="D60" s="2">
        <v>3</v>
      </c>
      <c r="E60" s="2">
        <v>60</v>
      </c>
      <c r="F60" s="2">
        <v>0</v>
      </c>
      <c r="G60" s="2" t="s">
        <v>169</v>
      </c>
      <c r="H60" s="2">
        <v>3</v>
      </c>
      <c r="I60" s="2">
        <v>60</v>
      </c>
      <c r="J60" s="2">
        <v>5</v>
      </c>
      <c r="N60" s="9"/>
    </row>
    <row r="61" spans="1:14">
      <c r="A61" s="2"/>
      <c r="B61" s="2" t="s">
        <v>143</v>
      </c>
      <c r="C61" s="2">
        <v>9</v>
      </c>
      <c r="D61" s="2">
        <v>3</v>
      </c>
      <c r="E61" s="2">
        <v>60</v>
      </c>
      <c r="F61" s="2">
        <v>18</v>
      </c>
      <c r="G61" s="2" t="s">
        <v>169</v>
      </c>
      <c r="H61" s="2">
        <v>3</v>
      </c>
      <c r="I61" s="2">
        <v>60</v>
      </c>
      <c r="J61" s="2">
        <v>20</v>
      </c>
      <c r="N61" t="s">
        <v>670</v>
      </c>
    </row>
    <row r="62" spans="1:14">
      <c r="A62" s="2"/>
      <c r="B62" s="2" t="s">
        <v>144</v>
      </c>
      <c r="C62" s="2">
        <v>10</v>
      </c>
      <c r="D62" s="2">
        <v>3</v>
      </c>
      <c r="E62" s="2">
        <v>60</v>
      </c>
      <c r="F62" s="2">
        <v>4</v>
      </c>
      <c r="G62" s="2" t="s">
        <v>169</v>
      </c>
      <c r="H62" s="2">
        <v>3</v>
      </c>
      <c r="I62" s="2">
        <v>60</v>
      </c>
      <c r="J62" s="2">
        <v>8</v>
      </c>
      <c r="N62" t="s">
        <v>671</v>
      </c>
    </row>
    <row r="63" spans="1:14">
      <c r="A63" s="2"/>
      <c r="B63" s="2" t="s">
        <v>146</v>
      </c>
      <c r="C63" s="2">
        <v>11</v>
      </c>
      <c r="D63" s="2">
        <v>3</v>
      </c>
      <c r="E63" s="2">
        <v>60</v>
      </c>
      <c r="F63" s="2">
        <v>19</v>
      </c>
      <c r="G63" s="2" t="s">
        <v>78</v>
      </c>
      <c r="H63" s="2"/>
      <c r="I63" s="2"/>
      <c r="N63" t="s">
        <v>672</v>
      </c>
    </row>
    <row r="64" spans="1:14">
      <c r="A64" s="2"/>
      <c r="B64" s="2" t="s">
        <v>148</v>
      </c>
      <c r="C64" s="2">
        <v>12</v>
      </c>
      <c r="D64" s="2">
        <v>3</v>
      </c>
      <c r="E64" s="2">
        <v>60</v>
      </c>
      <c r="F64" s="2">
        <v>9</v>
      </c>
      <c r="G64" s="2" t="s">
        <v>78</v>
      </c>
      <c r="H64" s="2"/>
      <c r="I64" s="2"/>
      <c r="N64" t="s">
        <v>673</v>
      </c>
    </row>
    <row r="65" spans="1:14">
      <c r="A65" s="2"/>
      <c r="B65" s="2" t="s">
        <v>150</v>
      </c>
      <c r="C65" s="2">
        <v>13</v>
      </c>
      <c r="D65" s="2">
        <v>3</v>
      </c>
      <c r="E65" s="2">
        <v>60</v>
      </c>
      <c r="F65" s="2">
        <v>2</v>
      </c>
      <c r="G65" s="2" t="s">
        <v>78</v>
      </c>
      <c r="H65" s="2"/>
      <c r="I65" s="2"/>
      <c r="N65" t="s">
        <v>674</v>
      </c>
    </row>
    <row r="66" spans="1:14">
      <c r="A66" s="2" t="s">
        <v>134</v>
      </c>
      <c r="B66" s="2" t="s">
        <v>151</v>
      </c>
      <c r="C66" s="2">
        <v>2</v>
      </c>
      <c r="D66" s="2">
        <v>3</v>
      </c>
      <c r="E66" s="2">
        <v>60</v>
      </c>
      <c r="F66" s="2">
        <v>3</v>
      </c>
      <c r="G66" s="2" t="s">
        <v>169</v>
      </c>
      <c r="H66" s="2">
        <v>3</v>
      </c>
      <c r="I66" s="2">
        <v>60</v>
      </c>
      <c r="J66" s="2">
        <v>6</v>
      </c>
      <c r="N66" t="s">
        <v>675</v>
      </c>
    </row>
    <row r="67" spans="1:14">
      <c r="A67" s="2"/>
      <c r="B67" s="2" t="s">
        <v>154</v>
      </c>
      <c r="C67" s="2">
        <v>6</v>
      </c>
      <c r="D67" s="2">
        <v>3</v>
      </c>
      <c r="E67" s="2">
        <v>60</v>
      </c>
      <c r="F67" s="2">
        <v>6</v>
      </c>
      <c r="G67" s="2" t="s">
        <v>169</v>
      </c>
      <c r="H67" s="2">
        <v>3</v>
      </c>
      <c r="I67" s="2">
        <v>60</v>
      </c>
      <c r="J67" s="2">
        <v>6</v>
      </c>
      <c r="K67" t="s">
        <v>174</v>
      </c>
      <c r="N67" t="s">
        <v>676</v>
      </c>
    </row>
    <row r="68" spans="1:14">
      <c r="A68" s="2"/>
      <c r="B68" s="2" t="s">
        <v>156</v>
      </c>
      <c r="C68" s="2">
        <v>8</v>
      </c>
      <c r="D68" s="2">
        <v>3</v>
      </c>
      <c r="E68" s="2">
        <v>60</v>
      </c>
      <c r="F68" s="2">
        <v>2</v>
      </c>
      <c r="G68" s="2" t="s">
        <v>169</v>
      </c>
      <c r="H68" s="2">
        <v>3</v>
      </c>
      <c r="I68" s="2">
        <v>60</v>
      </c>
      <c r="J68" s="2">
        <v>2</v>
      </c>
      <c r="K68" t="s">
        <v>174</v>
      </c>
      <c r="N68" t="s">
        <v>677</v>
      </c>
    </row>
    <row r="69" spans="1:14">
      <c r="A69" s="2"/>
      <c r="B69" s="2" t="s">
        <v>160</v>
      </c>
      <c r="C69" s="2">
        <v>11</v>
      </c>
      <c r="D69" s="2">
        <v>3</v>
      </c>
      <c r="E69" s="2">
        <v>60</v>
      </c>
      <c r="F69" s="2">
        <v>0</v>
      </c>
      <c r="G69" s="2" t="s">
        <v>169</v>
      </c>
      <c r="H69" s="2">
        <v>3</v>
      </c>
      <c r="I69" s="2">
        <v>60</v>
      </c>
      <c r="J69" s="2">
        <v>24</v>
      </c>
      <c r="N69" s="9"/>
    </row>
    <row r="70" spans="1:14">
      <c r="A70" s="2"/>
      <c r="F70">
        <f>COUNTIF(F2:F69,"&lt;&gt;0")</f>
        <v>58</v>
      </c>
      <c r="G70" s="2"/>
      <c r="H70" s="2"/>
      <c r="I70" s="2"/>
    </row>
    <row r="71" spans="1:14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L1" workbookViewId="0">
      <selection activeCell="P1" sqref="P1:V9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696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5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0.11979166666666667</v>
      </c>
      <c r="AN3">
        <f t="shared" si="13"/>
        <v>8.4745762711864406E-3</v>
      </c>
      <c r="AO3">
        <f t="shared" si="13"/>
        <v>0</v>
      </c>
      <c r="AP3">
        <f t="shared" si="13"/>
        <v>0.24848484848484848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0.2</v>
      </c>
      <c r="BC3">
        <f t="shared" si="13"/>
        <v>0.56617647058823528</v>
      </c>
      <c r="BD3">
        <f t="shared" si="13"/>
        <v>0</v>
      </c>
      <c r="BE3">
        <f t="shared" si="13"/>
        <v>0.2857142857142857</v>
      </c>
      <c r="BF3">
        <f t="shared" si="13"/>
        <v>0</v>
      </c>
      <c r="BG3">
        <f t="shared" si="13"/>
        <v>0.3888888888888889</v>
      </c>
      <c r="BH3">
        <f t="shared" si="13"/>
        <v>0.63953488372093026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8.4210526315789472E-3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0.265625</v>
      </c>
      <c r="O4" s="4">
        <f t="shared" ref="O4:O7" si="15">SUM(Q4:V4)</f>
        <v>58</v>
      </c>
      <c r="P4" t="s">
        <v>605</v>
      </c>
      <c r="Q4" s="8">
        <f t="shared" si="7"/>
        <v>16</v>
      </c>
      <c r="R4" s="8">
        <f t="shared" si="8"/>
        <v>18</v>
      </c>
      <c r="S4" s="8">
        <f t="shared" si="9"/>
        <v>7</v>
      </c>
      <c r="T4" s="8">
        <f t="shared" si="10"/>
        <v>8</v>
      </c>
      <c r="U4" s="8">
        <f t="shared" si="11"/>
        <v>3</v>
      </c>
      <c r="V4" s="8">
        <f t="shared" si="12"/>
        <v>6</v>
      </c>
      <c r="W4" t="s">
        <v>605</v>
      </c>
      <c r="X4">
        <f t="shared" ref="X4:AM8" si="16">IF(X3&lt;DMAX($A$1:$L$540,$W4,X$1:X$2),DMAX($A$1:$L$540,$W4,X$1:X$2),X3)</f>
        <v>0</v>
      </c>
      <c r="Y4">
        <f t="shared" si="16"/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0.69291338582677164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0.68229166666666663</v>
      </c>
      <c r="AN4">
        <f t="shared" ref="AN4:BC8" si="17">IF(AN3&lt;DMAX($A$1:$L$540,$W4,AN$1:AN$2),DMAX($A$1:$L$540,$W4,AN$1:AN$2),AN3)</f>
        <v>8.4745762711864406E-3</v>
      </c>
      <c r="AO4">
        <f t="shared" si="17"/>
        <v>0.20454545454545456</v>
      </c>
      <c r="AP4">
        <f t="shared" si="17"/>
        <v>0.24848484848484848</v>
      </c>
      <c r="AQ4">
        <f t="shared" si="17"/>
        <v>0</v>
      </c>
      <c r="AR4">
        <f t="shared" si="17"/>
        <v>0</v>
      </c>
      <c r="AS4">
        <f t="shared" si="17"/>
        <v>0</v>
      </c>
      <c r="AT4">
        <f t="shared" si="17"/>
        <v>0.13953488372093023</v>
      </c>
      <c r="AU4">
        <f t="shared" si="17"/>
        <v>9.6774193548387094E-2</v>
      </c>
      <c r="AV4">
        <f t="shared" si="17"/>
        <v>0.5178571428571429</v>
      </c>
      <c r="AW4">
        <f t="shared" si="17"/>
        <v>0.36046511627906974</v>
      </c>
      <c r="AX4">
        <f t="shared" si="17"/>
        <v>0.45652173913043476</v>
      </c>
      <c r="AY4">
        <f t="shared" si="17"/>
        <v>0.2</v>
      </c>
      <c r="AZ4">
        <f t="shared" si="17"/>
        <v>0</v>
      </c>
      <c r="BA4">
        <f t="shared" si="17"/>
        <v>1</v>
      </c>
      <c r="BB4">
        <f t="shared" si="17"/>
        <v>0.8571428571428571</v>
      </c>
      <c r="BC4">
        <f t="shared" si="17"/>
        <v>1</v>
      </c>
      <c r="BD4">
        <f t="shared" ref="BD4:BS8" si="18">IF(BD3&lt;DMAX($A$1:$L$540,$W4,BD$1:BD$2),DMAX($A$1:$L$540,$W4,BD$1:BD$2),BD3)</f>
        <v>0</v>
      </c>
      <c r="BE4">
        <f t="shared" si="18"/>
        <v>0.47619047619047616</v>
      </c>
      <c r="BF4">
        <f t="shared" si="18"/>
        <v>0.73333333333333328</v>
      </c>
      <c r="BG4">
        <f t="shared" si="18"/>
        <v>0.66049382716049387</v>
      </c>
      <c r="BH4">
        <f t="shared" si="18"/>
        <v>1</v>
      </c>
      <c r="BI4">
        <f t="shared" si="18"/>
        <v>0.33962264150943394</v>
      </c>
      <c r="BJ4">
        <f t="shared" si="18"/>
        <v>6.7842605156037995E-3</v>
      </c>
      <c r="BK4">
        <f t="shared" si="18"/>
        <v>5.2192066805845511E-3</v>
      </c>
      <c r="BL4">
        <f t="shared" si="18"/>
        <v>8.4210526315789472E-3</v>
      </c>
      <c r="BM4">
        <f t="shared" si="18"/>
        <v>8.2372322899505763E-3</v>
      </c>
      <c r="BN4">
        <f t="shared" si="18"/>
        <v>0</v>
      </c>
      <c r="BO4">
        <f t="shared" si="18"/>
        <v>0</v>
      </c>
      <c r="BP4">
        <f t="shared" si="18"/>
        <v>0</v>
      </c>
      <c r="BQ4">
        <f t="shared" si="18"/>
        <v>0.51327433628318586</v>
      </c>
      <c r="BR4">
        <f t="shared" si="18"/>
        <v>1</v>
      </c>
      <c r="BS4">
        <f t="shared" si="18"/>
        <v>1</v>
      </c>
      <c r="BT4">
        <f t="shared" ref="BT4:CC8" si="19">IF(BT3&lt;DMAX($A$1:$L$540,$W4,BT$1:BT$2),DMAX($A$1:$L$540,$W4,BT$1:BT$2),BT3)</f>
        <v>0.44715447154471544</v>
      </c>
      <c r="BU4">
        <f t="shared" si="19"/>
        <v>0.30303030303030304</v>
      </c>
      <c r="BV4">
        <f t="shared" si="19"/>
        <v>0.66666666666666663</v>
      </c>
      <c r="BW4">
        <f t="shared" si="19"/>
        <v>0</v>
      </c>
      <c r="BX4">
        <f t="shared" si="19"/>
        <v>7.9545454545454544E-2</v>
      </c>
      <c r="BY4">
        <f t="shared" si="19"/>
        <v>0.125</v>
      </c>
      <c r="BZ4">
        <f t="shared" si="19"/>
        <v>0</v>
      </c>
      <c r="CA4">
        <f t="shared" si="19"/>
        <v>0.352112676056338</v>
      </c>
      <c r="CB4">
        <f t="shared" si="19"/>
        <v>0</v>
      </c>
      <c r="CC4">
        <f t="shared" si="19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14"/>
        <v>0.4375</v>
      </c>
      <c r="O5" s="4">
        <f t="shared" si="15"/>
        <v>58</v>
      </c>
      <c r="P5" t="s">
        <v>606</v>
      </c>
      <c r="Q5" s="8">
        <f t="shared" si="7"/>
        <v>11</v>
      </c>
      <c r="R5" s="8">
        <f t="shared" si="8"/>
        <v>11</v>
      </c>
      <c r="S5" s="8">
        <f t="shared" si="9"/>
        <v>8</v>
      </c>
      <c r="T5" s="8">
        <f t="shared" si="10"/>
        <v>12</v>
      </c>
      <c r="U5" s="8">
        <f t="shared" si="11"/>
        <v>2</v>
      </c>
      <c r="V5" s="8">
        <f t="shared" si="12"/>
        <v>14</v>
      </c>
      <c r="W5" t="s">
        <v>606</v>
      </c>
      <c r="X5">
        <f t="shared" si="16"/>
        <v>0</v>
      </c>
      <c r="Y5">
        <f t="shared" si="16"/>
        <v>0.5757575757575758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0.69291338582677164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0.68229166666666663</v>
      </c>
      <c r="AN5">
        <f t="shared" si="17"/>
        <v>8.4745762711864406E-3</v>
      </c>
      <c r="AO5">
        <f t="shared" si="17"/>
        <v>0.38636363636363635</v>
      </c>
      <c r="AP5">
        <f t="shared" si="17"/>
        <v>0.24848484848484848</v>
      </c>
      <c r="AQ5">
        <f t="shared" si="17"/>
        <v>0</v>
      </c>
      <c r="AR5">
        <f t="shared" si="17"/>
        <v>0</v>
      </c>
      <c r="AS5">
        <f t="shared" si="17"/>
        <v>0</v>
      </c>
      <c r="AT5">
        <f t="shared" si="17"/>
        <v>0.16279069767441862</v>
      </c>
      <c r="AU5">
        <f t="shared" si="17"/>
        <v>0.74193548387096775</v>
      </c>
      <c r="AV5">
        <f t="shared" si="17"/>
        <v>0.5178571428571429</v>
      </c>
      <c r="AW5">
        <f t="shared" si="17"/>
        <v>0.36046511627906974</v>
      </c>
      <c r="AX5">
        <f t="shared" si="17"/>
        <v>0.45652173913043476</v>
      </c>
      <c r="AY5">
        <f t="shared" si="17"/>
        <v>0.43333333333333335</v>
      </c>
      <c r="AZ5">
        <f t="shared" si="17"/>
        <v>0</v>
      </c>
      <c r="BA5">
        <f t="shared" si="17"/>
        <v>1</v>
      </c>
      <c r="BB5">
        <f t="shared" si="17"/>
        <v>1</v>
      </c>
      <c r="BC5">
        <f t="shared" si="17"/>
        <v>1</v>
      </c>
      <c r="BD5">
        <f t="shared" si="18"/>
        <v>0.36363636363636365</v>
      </c>
      <c r="BE5">
        <f t="shared" si="18"/>
        <v>0.47619047619047616</v>
      </c>
      <c r="BF5">
        <f t="shared" si="18"/>
        <v>1</v>
      </c>
      <c r="BG5">
        <f t="shared" si="18"/>
        <v>1</v>
      </c>
      <c r="BH5">
        <f t="shared" si="18"/>
        <v>1</v>
      </c>
      <c r="BI5">
        <f t="shared" si="18"/>
        <v>0.33962264150943394</v>
      </c>
      <c r="BJ5">
        <f t="shared" si="18"/>
        <v>6.7842605156037995E-3</v>
      </c>
      <c r="BK5">
        <f t="shared" si="18"/>
        <v>0.58872651356993733</v>
      </c>
      <c r="BL5">
        <f t="shared" si="18"/>
        <v>8.4210526315789472E-3</v>
      </c>
      <c r="BM5">
        <f t="shared" si="18"/>
        <v>8.2372322899505763E-3</v>
      </c>
      <c r="BN5">
        <f t="shared" si="18"/>
        <v>1</v>
      </c>
      <c r="BO5">
        <f t="shared" si="18"/>
        <v>1</v>
      </c>
      <c r="BP5">
        <f t="shared" si="18"/>
        <v>0.1</v>
      </c>
      <c r="BQ5">
        <f t="shared" si="18"/>
        <v>1</v>
      </c>
      <c r="BR5">
        <f t="shared" si="18"/>
        <v>1</v>
      </c>
      <c r="BS5">
        <f t="shared" si="18"/>
        <v>1</v>
      </c>
      <c r="BT5">
        <f t="shared" si="19"/>
        <v>0.57723577235772361</v>
      </c>
      <c r="BU5">
        <f t="shared" si="19"/>
        <v>0.66666666666666663</v>
      </c>
      <c r="BV5">
        <f t="shared" si="19"/>
        <v>0.77777777777777779</v>
      </c>
      <c r="BW5">
        <f t="shared" si="19"/>
        <v>0</v>
      </c>
      <c r="BX5">
        <f t="shared" si="19"/>
        <v>1</v>
      </c>
      <c r="BY5">
        <f t="shared" si="19"/>
        <v>0.5714285714285714</v>
      </c>
      <c r="BZ5">
        <f t="shared" si="19"/>
        <v>0</v>
      </c>
      <c r="CA5">
        <f t="shared" si="19"/>
        <v>0.70422535211267601</v>
      </c>
      <c r="CB5">
        <f t="shared" si="19"/>
        <v>0</v>
      </c>
      <c r="CC5">
        <f t="shared" si="19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15"/>
        <v>58</v>
      </c>
      <c r="P6" t="s">
        <v>681</v>
      </c>
      <c r="Q6" s="8">
        <f t="shared" si="7"/>
        <v>7</v>
      </c>
      <c r="R6" s="8">
        <f t="shared" si="8"/>
        <v>6</v>
      </c>
      <c r="S6" s="8">
        <f t="shared" si="9"/>
        <v>6</v>
      </c>
      <c r="T6" s="8">
        <f t="shared" si="10"/>
        <v>8</v>
      </c>
      <c r="U6" s="8">
        <f t="shared" si="11"/>
        <v>9</v>
      </c>
      <c r="V6" s="8">
        <f t="shared" si="12"/>
        <v>22</v>
      </c>
      <c r="W6" t="s">
        <v>681</v>
      </c>
      <c r="X6">
        <f t="shared" si="16"/>
        <v>0</v>
      </c>
      <c r="Y6">
        <f t="shared" si="16"/>
        <v>0.96969696969696972</v>
      </c>
      <c r="Z6">
        <f t="shared" si="16"/>
        <v>0.22222222222222221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0.99212598425196852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0.68229166666666663</v>
      </c>
      <c r="AN6">
        <f t="shared" si="17"/>
        <v>1</v>
      </c>
      <c r="AO6">
        <f t="shared" si="17"/>
        <v>0.38636363636363635</v>
      </c>
      <c r="AP6">
        <f t="shared" si="17"/>
        <v>0.24848484848484848</v>
      </c>
      <c r="AQ6">
        <f t="shared" si="17"/>
        <v>0.84036144578313254</v>
      </c>
      <c r="AR6">
        <f t="shared" si="17"/>
        <v>0</v>
      </c>
      <c r="AS6">
        <f t="shared" si="17"/>
        <v>1</v>
      </c>
      <c r="AT6">
        <f t="shared" si="17"/>
        <v>0.2558139534883721</v>
      </c>
      <c r="AU6">
        <f t="shared" si="17"/>
        <v>1</v>
      </c>
      <c r="AV6">
        <f t="shared" si="17"/>
        <v>0.5178571428571429</v>
      </c>
      <c r="AW6">
        <f t="shared" si="17"/>
        <v>0.81395348837209303</v>
      </c>
      <c r="AX6">
        <f t="shared" si="17"/>
        <v>0.45652173913043476</v>
      </c>
      <c r="AY6">
        <f t="shared" si="17"/>
        <v>0.93333333333333335</v>
      </c>
      <c r="AZ6">
        <f t="shared" si="17"/>
        <v>0</v>
      </c>
      <c r="BA6">
        <f t="shared" si="17"/>
        <v>1</v>
      </c>
      <c r="BB6">
        <f t="shared" si="17"/>
        <v>1</v>
      </c>
      <c r="BC6">
        <f t="shared" si="17"/>
        <v>1</v>
      </c>
      <c r="BD6">
        <f t="shared" si="18"/>
        <v>0.54545454545454541</v>
      </c>
      <c r="BE6">
        <f t="shared" si="18"/>
        <v>1</v>
      </c>
      <c r="BF6">
        <f t="shared" si="18"/>
        <v>1</v>
      </c>
      <c r="BG6">
        <f t="shared" si="18"/>
        <v>1</v>
      </c>
      <c r="BH6">
        <f t="shared" si="18"/>
        <v>1</v>
      </c>
      <c r="BI6">
        <f t="shared" si="18"/>
        <v>0.33962264150943394</v>
      </c>
      <c r="BJ6">
        <f t="shared" si="18"/>
        <v>6.7842605156037995E-3</v>
      </c>
      <c r="BK6">
        <f t="shared" si="18"/>
        <v>0.9989561586638831</v>
      </c>
      <c r="BL6">
        <f t="shared" si="18"/>
        <v>8.4210526315789472E-3</v>
      </c>
      <c r="BM6">
        <f t="shared" si="18"/>
        <v>8.2372322899505763E-3</v>
      </c>
      <c r="BN6">
        <f t="shared" si="18"/>
        <v>1</v>
      </c>
      <c r="BO6">
        <f t="shared" si="18"/>
        <v>1</v>
      </c>
      <c r="BP6">
        <f t="shared" si="18"/>
        <v>0.6</v>
      </c>
      <c r="BQ6">
        <f t="shared" si="18"/>
        <v>1</v>
      </c>
      <c r="BR6">
        <f t="shared" si="18"/>
        <v>1</v>
      </c>
      <c r="BS6">
        <f t="shared" si="18"/>
        <v>1</v>
      </c>
      <c r="BT6">
        <f t="shared" si="19"/>
        <v>1</v>
      </c>
      <c r="BU6">
        <f t="shared" si="19"/>
        <v>0.66666666666666663</v>
      </c>
      <c r="BV6">
        <f t="shared" si="19"/>
        <v>1</v>
      </c>
      <c r="BW6">
        <f t="shared" si="19"/>
        <v>0</v>
      </c>
      <c r="BX6">
        <f t="shared" si="19"/>
        <v>1</v>
      </c>
      <c r="BY6">
        <f t="shared" si="19"/>
        <v>1</v>
      </c>
      <c r="BZ6">
        <f t="shared" si="19"/>
        <v>0.42857142857142855</v>
      </c>
      <c r="CA6">
        <f t="shared" si="19"/>
        <v>1</v>
      </c>
      <c r="CB6">
        <f t="shared" si="19"/>
        <v>0.323943661971831</v>
      </c>
      <c r="CC6">
        <f t="shared" si="19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5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0</v>
      </c>
      <c r="V7" s="8">
        <f t="shared" si="12"/>
        <v>56</v>
      </c>
      <c r="W7" s="7" t="s">
        <v>607</v>
      </c>
      <c r="X7">
        <f t="shared" si="16"/>
        <v>1</v>
      </c>
      <c r="Y7">
        <f t="shared" si="16"/>
        <v>1</v>
      </c>
      <c r="Z7">
        <f t="shared" si="16"/>
        <v>0.61111111111111116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7"/>
        <v>1</v>
      </c>
      <c r="AO7">
        <f t="shared" si="17"/>
        <v>1</v>
      </c>
      <c r="AP7">
        <f t="shared" si="17"/>
        <v>1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0.2558139534883721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1</v>
      </c>
      <c r="BB7">
        <f t="shared" si="17"/>
        <v>1</v>
      </c>
      <c r="BC7">
        <f t="shared" si="17"/>
        <v>1</v>
      </c>
      <c r="BD7">
        <f t="shared" si="18"/>
        <v>1</v>
      </c>
      <c r="BE7">
        <f t="shared" si="18"/>
        <v>1</v>
      </c>
      <c r="BF7">
        <f t="shared" si="18"/>
        <v>1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1</v>
      </c>
      <c r="BM7">
        <f t="shared" si="18"/>
        <v>1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1</v>
      </c>
      <c r="BS7">
        <f t="shared" si="18"/>
        <v>1</v>
      </c>
      <c r="BT7">
        <f t="shared" si="19"/>
        <v>1</v>
      </c>
      <c r="BU7">
        <f t="shared" si="19"/>
        <v>1</v>
      </c>
      <c r="BV7">
        <f t="shared" si="19"/>
        <v>1</v>
      </c>
      <c r="BW7">
        <f t="shared" si="19"/>
        <v>1</v>
      </c>
      <c r="BX7">
        <f t="shared" si="19"/>
        <v>1</v>
      </c>
      <c r="BY7">
        <f t="shared" si="19"/>
        <v>1</v>
      </c>
      <c r="BZ7">
        <f t="shared" si="19"/>
        <v>1</v>
      </c>
      <c r="CA7">
        <f t="shared" si="19"/>
        <v>1</v>
      </c>
      <c r="CB7">
        <f t="shared" si="19"/>
        <v>1</v>
      </c>
      <c r="CC7">
        <f t="shared" si="19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6"/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7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8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9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  <c r="BY8">
        <f t="shared" si="19"/>
        <v>1</v>
      </c>
      <c r="BZ8">
        <f t="shared" si="19"/>
        <v>1</v>
      </c>
      <c r="CA8">
        <f t="shared" si="19"/>
        <v>1</v>
      </c>
      <c r="CB8">
        <f t="shared" si="19"/>
        <v>1</v>
      </c>
      <c r="CC8">
        <f t="shared" si="19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0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21">IF($F67 &lt;= 0.2,$E67,"")</f>
        <v>0.36170212765957449</v>
      </c>
      <c r="H67" s="4" t="str">
        <f t="shared" ref="H67:H130" si="22">IF(AND($F67 &gt; 0.2,$F67 &lt;= 0.4),$E67,"")</f>
        <v/>
      </c>
      <c r="I67" s="4" t="str">
        <f t="shared" ref="I67:I130" si="23">IF(AND($F67 &gt; 0.4,$F67 &lt;= 0.6),$E67,"")</f>
        <v/>
      </c>
      <c r="J67" s="4" t="str">
        <f t="shared" ref="J67:J130" si="24">IF(AND($F67 &gt; 0.6,$F67 &lt;= 0.8),$E67,"")</f>
        <v/>
      </c>
      <c r="K67" s="4" t="str">
        <f t="shared" ref="K67:K130" si="25">IF(AND($F67 &gt; 0.8, $F67 &lt;=1.1),$E67,"")</f>
        <v/>
      </c>
      <c r="L67" s="4" t="str">
        <f t="shared" ref="L67:L130" si="26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0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21"/>
        <v>0.36170212765957449</v>
      </c>
      <c r="H68" s="4" t="str">
        <f t="shared" si="22"/>
        <v/>
      </c>
      <c r="I68" s="4" t="str">
        <f t="shared" si="23"/>
        <v/>
      </c>
      <c r="J68" s="4" t="str">
        <f t="shared" si="24"/>
        <v/>
      </c>
      <c r="K68" s="4" t="str">
        <f t="shared" si="25"/>
        <v/>
      </c>
      <c r="L68" s="4" t="str">
        <f t="shared" si="26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0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21"/>
        <v>0.36170212765957449</v>
      </c>
      <c r="H69" s="4" t="str">
        <f t="shared" si="22"/>
        <v/>
      </c>
      <c r="I69" s="4" t="str">
        <f t="shared" si="23"/>
        <v/>
      </c>
      <c r="J69" s="4" t="str">
        <f t="shared" si="24"/>
        <v/>
      </c>
      <c r="K69" s="4" t="str">
        <f t="shared" si="25"/>
        <v/>
      </c>
      <c r="L69" s="4" t="str">
        <f t="shared" si="26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0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21"/>
        <v>0.36170212765957449</v>
      </c>
      <c r="H70" s="4" t="str">
        <f t="shared" si="22"/>
        <v/>
      </c>
      <c r="I70" s="4" t="str">
        <f t="shared" si="23"/>
        <v/>
      </c>
      <c r="J70" s="4" t="str">
        <f t="shared" si="24"/>
        <v/>
      </c>
      <c r="K70" s="4" t="str">
        <f t="shared" si="25"/>
        <v/>
      </c>
      <c r="L70" s="4" t="str">
        <f t="shared" si="26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0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21"/>
        <v>0.46099290780141844</v>
      </c>
      <c r="H71" s="4" t="str">
        <f t="shared" si="22"/>
        <v/>
      </c>
      <c r="I71" s="4" t="str">
        <f t="shared" si="23"/>
        <v/>
      </c>
      <c r="J71" s="4" t="str">
        <f t="shared" si="24"/>
        <v/>
      </c>
      <c r="K71" s="4" t="str">
        <f t="shared" si="25"/>
        <v/>
      </c>
      <c r="L71" s="4" t="str">
        <f t="shared" si="26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0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21"/>
        <v>0.5957446808510638</v>
      </c>
      <c r="H72" s="4" t="str">
        <f t="shared" si="22"/>
        <v/>
      </c>
      <c r="I72" s="4" t="str">
        <f t="shared" si="23"/>
        <v/>
      </c>
      <c r="J72" s="4" t="str">
        <f t="shared" si="24"/>
        <v/>
      </c>
      <c r="K72" s="4" t="str">
        <f t="shared" si="25"/>
        <v/>
      </c>
      <c r="L72" s="4" t="str">
        <f t="shared" si="26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0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21"/>
        <v>0.5957446808510638</v>
      </c>
      <c r="H73" s="4" t="str">
        <f t="shared" si="22"/>
        <v/>
      </c>
      <c r="I73" s="4" t="str">
        <f t="shared" si="23"/>
        <v/>
      </c>
      <c r="J73" s="4" t="str">
        <f t="shared" si="24"/>
        <v/>
      </c>
      <c r="K73" s="4" t="str">
        <f t="shared" si="25"/>
        <v/>
      </c>
      <c r="L73" s="4" t="str">
        <f t="shared" si="26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0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21"/>
        <v>0.63120567375886527</v>
      </c>
      <c r="H74" s="4" t="str">
        <f t="shared" si="22"/>
        <v/>
      </c>
      <c r="I74" s="4" t="str">
        <f t="shared" si="23"/>
        <v/>
      </c>
      <c r="J74" s="4" t="str">
        <f t="shared" si="24"/>
        <v/>
      </c>
      <c r="K74" s="4" t="str">
        <f t="shared" si="25"/>
        <v/>
      </c>
      <c r="L74" s="4" t="str">
        <f t="shared" si="26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0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21"/>
        <v>0.72340425531914898</v>
      </c>
      <c r="H75" s="4" t="str">
        <f t="shared" si="22"/>
        <v/>
      </c>
      <c r="I75" s="4" t="str">
        <f t="shared" si="23"/>
        <v/>
      </c>
      <c r="J75" s="4" t="str">
        <f t="shared" si="24"/>
        <v/>
      </c>
      <c r="K75" s="4" t="str">
        <f t="shared" si="25"/>
        <v/>
      </c>
      <c r="L75" s="4" t="str">
        <f t="shared" si="26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0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21"/>
        <v>0.72340425531914898</v>
      </c>
      <c r="H76" s="4" t="str">
        <f t="shared" si="22"/>
        <v/>
      </c>
      <c r="I76" s="4" t="str">
        <f t="shared" si="23"/>
        <v/>
      </c>
      <c r="J76" s="4" t="str">
        <f t="shared" si="24"/>
        <v/>
      </c>
      <c r="K76" s="4" t="str">
        <f t="shared" si="25"/>
        <v/>
      </c>
      <c r="L76" s="4" t="str">
        <f t="shared" si="26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0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21"/>
        <v>0.72340425531914898</v>
      </c>
      <c r="H77" s="4" t="str">
        <f t="shared" si="22"/>
        <v/>
      </c>
      <c r="I77" s="4" t="str">
        <f t="shared" si="23"/>
        <v/>
      </c>
      <c r="J77" s="4" t="str">
        <f t="shared" si="24"/>
        <v/>
      </c>
      <c r="K77" s="4" t="str">
        <f t="shared" si="25"/>
        <v/>
      </c>
      <c r="L77" s="4" t="str">
        <f t="shared" si="26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0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21"/>
        <v>0.75886524822695034</v>
      </c>
      <c r="H78" s="4" t="str">
        <f t="shared" si="22"/>
        <v/>
      </c>
      <c r="I78" s="4" t="str">
        <f t="shared" si="23"/>
        <v/>
      </c>
      <c r="J78" s="4" t="str">
        <f t="shared" si="24"/>
        <v/>
      </c>
      <c r="K78" s="4" t="str">
        <f t="shared" si="25"/>
        <v/>
      </c>
      <c r="L78" s="4" t="str">
        <f t="shared" si="26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0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21"/>
        <v>0.75886524822695034</v>
      </c>
      <c r="H79" s="4" t="str">
        <f t="shared" si="22"/>
        <v/>
      </c>
      <c r="I79" s="4" t="str">
        <f t="shared" si="23"/>
        <v/>
      </c>
      <c r="J79" s="4" t="str">
        <f t="shared" si="24"/>
        <v/>
      </c>
      <c r="K79" s="4" t="str">
        <f t="shared" si="25"/>
        <v/>
      </c>
      <c r="L79" s="4" t="str">
        <f t="shared" si="26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0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21"/>
        <v>0.75886524822695034</v>
      </c>
      <c r="H80" s="4" t="str">
        <f t="shared" si="22"/>
        <v/>
      </c>
      <c r="I80" s="4" t="str">
        <f t="shared" si="23"/>
        <v/>
      </c>
      <c r="J80" s="4" t="str">
        <f t="shared" si="24"/>
        <v/>
      </c>
      <c r="K80" s="4" t="str">
        <f t="shared" si="25"/>
        <v/>
      </c>
      <c r="L80" s="4" t="str">
        <f t="shared" si="26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0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21"/>
        <v>0.75886524822695034</v>
      </c>
      <c r="H81" s="4" t="str">
        <f t="shared" si="22"/>
        <v/>
      </c>
      <c r="I81" s="4" t="str">
        <f t="shared" si="23"/>
        <v/>
      </c>
      <c r="J81" s="4" t="str">
        <f t="shared" si="24"/>
        <v/>
      </c>
      <c r="K81" s="4" t="str">
        <f t="shared" si="25"/>
        <v/>
      </c>
      <c r="L81" s="4" t="str">
        <f t="shared" si="26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0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21"/>
        <v>0.75886524822695034</v>
      </c>
      <c r="H82" s="4" t="str">
        <f t="shared" si="22"/>
        <v/>
      </c>
      <c r="I82" s="4" t="str">
        <f t="shared" si="23"/>
        <v/>
      </c>
      <c r="J82" s="4" t="str">
        <f t="shared" si="24"/>
        <v/>
      </c>
      <c r="K82" s="4" t="str">
        <f t="shared" si="25"/>
        <v/>
      </c>
      <c r="L82" s="4" t="str">
        <f t="shared" si="26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0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21"/>
        <v/>
      </c>
      <c r="H83" s="4">
        <f t="shared" si="22"/>
        <v>0.75886524822695034</v>
      </c>
      <c r="I83" s="4" t="str">
        <f t="shared" si="23"/>
        <v/>
      </c>
      <c r="J83" s="4" t="str">
        <f t="shared" si="24"/>
        <v/>
      </c>
      <c r="K83" s="4" t="str">
        <f t="shared" si="25"/>
        <v/>
      </c>
      <c r="L83" s="4" t="str">
        <f t="shared" si="26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0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21"/>
        <v/>
      </c>
      <c r="H84" s="4">
        <f t="shared" si="22"/>
        <v>0.75886524822695034</v>
      </c>
      <c r="I84" s="4" t="str">
        <f t="shared" si="23"/>
        <v/>
      </c>
      <c r="J84" s="4" t="str">
        <f t="shared" si="24"/>
        <v/>
      </c>
      <c r="K84" s="4" t="str">
        <f t="shared" si="25"/>
        <v/>
      </c>
      <c r="L84" s="4" t="str">
        <f t="shared" si="26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0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21"/>
        <v/>
      </c>
      <c r="H85" s="4">
        <f t="shared" si="22"/>
        <v>0.75886524822695034</v>
      </c>
      <c r="I85" s="4" t="str">
        <f t="shared" si="23"/>
        <v/>
      </c>
      <c r="J85" s="4" t="str">
        <f t="shared" si="24"/>
        <v/>
      </c>
      <c r="K85" s="4" t="str">
        <f t="shared" si="25"/>
        <v/>
      </c>
      <c r="L85" s="4" t="str">
        <f t="shared" si="26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0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21"/>
        <v/>
      </c>
      <c r="H86" s="4">
        <f t="shared" si="22"/>
        <v>0.75886524822695034</v>
      </c>
      <c r="I86" s="4" t="str">
        <f t="shared" si="23"/>
        <v/>
      </c>
      <c r="J86" s="4" t="str">
        <f t="shared" si="24"/>
        <v/>
      </c>
      <c r="K86" s="4" t="str">
        <f t="shared" si="25"/>
        <v/>
      </c>
      <c r="L86" s="4" t="str">
        <f t="shared" si="26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0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21"/>
        <v/>
      </c>
      <c r="H87" s="4">
        <f t="shared" si="22"/>
        <v>0.75886524822695034</v>
      </c>
      <c r="I87" s="4" t="str">
        <f t="shared" si="23"/>
        <v/>
      </c>
      <c r="J87" s="4" t="str">
        <f t="shared" si="24"/>
        <v/>
      </c>
      <c r="K87" s="4" t="str">
        <f t="shared" si="25"/>
        <v/>
      </c>
      <c r="L87" s="4" t="str">
        <f t="shared" si="26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0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21"/>
        <v/>
      </c>
      <c r="H88" s="4">
        <f t="shared" si="22"/>
        <v>0.75886524822695034</v>
      </c>
      <c r="I88" s="4" t="str">
        <f t="shared" si="23"/>
        <v/>
      </c>
      <c r="J88" s="4" t="str">
        <f t="shared" si="24"/>
        <v/>
      </c>
      <c r="K88" s="4" t="str">
        <f t="shared" si="25"/>
        <v/>
      </c>
      <c r="L88" s="4" t="str">
        <f t="shared" si="26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0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21"/>
        <v/>
      </c>
      <c r="H89" s="4">
        <f t="shared" si="22"/>
        <v>0.75886524822695034</v>
      </c>
      <c r="I89" s="4" t="str">
        <f t="shared" si="23"/>
        <v/>
      </c>
      <c r="J89" s="4" t="str">
        <f t="shared" si="24"/>
        <v/>
      </c>
      <c r="K89" s="4" t="str">
        <f t="shared" si="25"/>
        <v/>
      </c>
      <c r="L89" s="4" t="str">
        <f t="shared" si="26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0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21"/>
        <v/>
      </c>
      <c r="H90" s="4">
        <f t="shared" si="22"/>
        <v>0.75886524822695034</v>
      </c>
      <c r="I90" s="4" t="str">
        <f t="shared" si="23"/>
        <v/>
      </c>
      <c r="J90" s="4" t="str">
        <f t="shared" si="24"/>
        <v/>
      </c>
      <c r="K90" s="4" t="str">
        <f t="shared" si="25"/>
        <v/>
      </c>
      <c r="L90" s="4" t="str">
        <f t="shared" si="26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0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21"/>
        <v/>
      </c>
      <c r="H91" s="4" t="str">
        <f t="shared" si="22"/>
        <v/>
      </c>
      <c r="I91" s="4">
        <f t="shared" si="23"/>
        <v>0.75886524822695034</v>
      </c>
      <c r="J91" s="4" t="str">
        <f t="shared" si="24"/>
        <v/>
      </c>
      <c r="K91" s="4" t="str">
        <f t="shared" si="25"/>
        <v/>
      </c>
      <c r="L91" s="4" t="str">
        <f t="shared" si="26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0"/>
        <v>test.Base64_18_</v>
      </c>
      <c r="D92">
        <v>40</v>
      </c>
      <c r="E92" s="4">
        <v>1</v>
      </c>
      <c r="F92" s="4">
        <v>0.8146011865524061</v>
      </c>
      <c r="G92" s="4" t="str">
        <f t="shared" si="21"/>
        <v/>
      </c>
      <c r="H92" s="4" t="str">
        <f t="shared" si="22"/>
        <v/>
      </c>
      <c r="I92" s="4" t="str">
        <f t="shared" si="23"/>
        <v/>
      </c>
      <c r="J92" s="4" t="str">
        <f t="shared" si="24"/>
        <v/>
      </c>
      <c r="K92" s="4">
        <f t="shared" si="25"/>
        <v>1</v>
      </c>
      <c r="L92" s="4" t="str">
        <f t="shared" si="26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0"/>
        <v>test.Base64_18_</v>
      </c>
      <c r="D93">
        <v>41</v>
      </c>
      <c r="E93" s="4">
        <v>1</v>
      </c>
      <c r="F93" s="4">
        <v>0.81905075807514827</v>
      </c>
      <c r="G93" s="4" t="str">
        <f t="shared" si="21"/>
        <v/>
      </c>
      <c r="H93" s="4" t="str">
        <f t="shared" si="22"/>
        <v/>
      </c>
      <c r="I93" s="4" t="str">
        <f t="shared" si="23"/>
        <v/>
      </c>
      <c r="J93" s="4" t="str">
        <f t="shared" si="24"/>
        <v/>
      </c>
      <c r="K93" s="4">
        <f t="shared" si="25"/>
        <v>1</v>
      </c>
      <c r="L93" s="4" t="str">
        <f t="shared" si="26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0"/>
        <v>test.Base64_18_</v>
      </c>
      <c r="D94">
        <v>42</v>
      </c>
      <c r="E94" s="4">
        <v>1</v>
      </c>
      <c r="F94" s="4">
        <v>0.8199571522742255</v>
      </c>
      <c r="G94" s="4" t="str">
        <f t="shared" si="21"/>
        <v/>
      </c>
      <c r="H94" s="4" t="str">
        <f t="shared" si="22"/>
        <v/>
      </c>
      <c r="I94" s="4" t="str">
        <f t="shared" si="23"/>
        <v/>
      </c>
      <c r="J94" s="4" t="str">
        <f t="shared" si="24"/>
        <v/>
      </c>
      <c r="K94" s="4">
        <f t="shared" si="25"/>
        <v>1</v>
      </c>
      <c r="L94" s="4" t="str">
        <f t="shared" si="26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0"/>
        <v>test.Base64_18_</v>
      </c>
      <c r="D95">
        <v>43</v>
      </c>
      <c r="E95" s="4">
        <v>1</v>
      </c>
      <c r="F95" s="4">
        <v>0.84360580092287407</v>
      </c>
      <c r="G95" s="4" t="str">
        <f t="shared" si="21"/>
        <v/>
      </c>
      <c r="H95" s="4" t="str">
        <f t="shared" si="22"/>
        <v/>
      </c>
      <c r="I95" s="4" t="str">
        <f t="shared" si="23"/>
        <v/>
      </c>
      <c r="J95" s="4" t="str">
        <f t="shared" si="24"/>
        <v/>
      </c>
      <c r="K95" s="4">
        <f t="shared" si="25"/>
        <v>1</v>
      </c>
      <c r="L95" s="4" t="str">
        <f t="shared" si="26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0"/>
        <v>test.Base64_18_</v>
      </c>
      <c r="D96">
        <v>44</v>
      </c>
      <c r="E96" s="4">
        <v>1</v>
      </c>
      <c r="F96" s="4">
        <v>0.9489123269611075</v>
      </c>
      <c r="G96" s="4" t="str">
        <f t="shared" si="21"/>
        <v/>
      </c>
      <c r="H96" s="4" t="str">
        <f t="shared" si="22"/>
        <v/>
      </c>
      <c r="I96" s="4" t="str">
        <f t="shared" si="23"/>
        <v/>
      </c>
      <c r="J96" s="4" t="str">
        <f t="shared" si="24"/>
        <v/>
      </c>
      <c r="K96" s="4">
        <f t="shared" si="25"/>
        <v>1</v>
      </c>
      <c r="L96" s="4" t="str">
        <f t="shared" si="26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0"/>
        <v>test.Base64_18_</v>
      </c>
      <c r="D97">
        <v>45</v>
      </c>
      <c r="E97" s="4">
        <v>1</v>
      </c>
      <c r="F97" s="4">
        <v>1.0361733684904417</v>
      </c>
      <c r="G97" s="4" t="str">
        <f t="shared" si="21"/>
        <v/>
      </c>
      <c r="H97" s="4" t="str">
        <f t="shared" si="22"/>
        <v/>
      </c>
      <c r="I97" s="4" t="str">
        <f t="shared" si="23"/>
        <v/>
      </c>
      <c r="J97" s="4" t="str">
        <f t="shared" si="24"/>
        <v/>
      </c>
      <c r="K97" s="4">
        <f t="shared" si="25"/>
        <v>1</v>
      </c>
      <c r="L97" s="4" t="str">
        <f t="shared" si="26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0"/>
        <v>test.Base64_18_</v>
      </c>
      <c r="D98">
        <v>46</v>
      </c>
      <c r="E98" s="4">
        <v>1</v>
      </c>
      <c r="F98" s="4">
        <v>1.0446605141727092</v>
      </c>
      <c r="G98" s="4" t="str">
        <f t="shared" si="21"/>
        <v/>
      </c>
      <c r="H98" s="4" t="str">
        <f t="shared" si="22"/>
        <v/>
      </c>
      <c r="I98" s="4" t="str">
        <f t="shared" si="23"/>
        <v/>
      </c>
      <c r="J98" s="4" t="str">
        <f t="shared" si="24"/>
        <v/>
      </c>
      <c r="K98" s="4">
        <f t="shared" si="25"/>
        <v>1</v>
      </c>
      <c r="L98" s="4" t="str">
        <f t="shared" si="26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0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21"/>
        <v>2.3622047244094488E-2</v>
      </c>
      <c r="H99" s="4" t="str">
        <f t="shared" si="22"/>
        <v/>
      </c>
      <c r="I99" s="4" t="str">
        <f t="shared" si="23"/>
        <v/>
      </c>
      <c r="J99" s="4" t="str">
        <f t="shared" si="24"/>
        <v/>
      </c>
      <c r="K99" s="4" t="str">
        <f t="shared" si="25"/>
        <v/>
      </c>
      <c r="L99" s="4" t="str">
        <f t="shared" si="26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0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21"/>
        <v>4.7244094488188976E-2</v>
      </c>
      <c r="H100" s="4" t="str">
        <f t="shared" si="22"/>
        <v/>
      </c>
      <c r="I100" s="4" t="str">
        <f t="shared" si="23"/>
        <v/>
      </c>
      <c r="J100" s="4" t="str">
        <f t="shared" si="24"/>
        <v/>
      </c>
      <c r="K100" s="4" t="str">
        <f t="shared" si="25"/>
        <v/>
      </c>
      <c r="L100" s="4" t="str">
        <f t="shared" si="26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0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21"/>
        <v/>
      </c>
      <c r="H101" s="4">
        <f t="shared" si="22"/>
        <v>0.65354330708661412</v>
      </c>
      <c r="I101" s="4" t="str">
        <f t="shared" si="23"/>
        <v/>
      </c>
      <c r="J101" s="4" t="str">
        <f t="shared" si="24"/>
        <v/>
      </c>
      <c r="K101" s="4" t="str">
        <f t="shared" si="25"/>
        <v/>
      </c>
      <c r="L101" s="4" t="str">
        <f t="shared" si="26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0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21"/>
        <v/>
      </c>
      <c r="H102" s="4">
        <f t="shared" si="22"/>
        <v>0.69291338582677164</v>
      </c>
      <c r="I102" s="4" t="str">
        <f t="shared" si="23"/>
        <v/>
      </c>
      <c r="J102" s="4" t="str">
        <f t="shared" si="24"/>
        <v/>
      </c>
      <c r="K102" s="4" t="str">
        <f t="shared" si="25"/>
        <v/>
      </c>
      <c r="L102" s="4" t="str">
        <f t="shared" si="26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0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21"/>
        <v/>
      </c>
      <c r="H103" s="4" t="str">
        <f t="shared" si="22"/>
        <v/>
      </c>
      <c r="I103" s="4" t="str">
        <f t="shared" si="23"/>
        <v/>
      </c>
      <c r="J103" s="4">
        <f t="shared" si="24"/>
        <v>0.73228346456692917</v>
      </c>
      <c r="K103" s="4" t="str">
        <f t="shared" si="25"/>
        <v/>
      </c>
      <c r="L103" s="4" t="str">
        <f t="shared" si="26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0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21"/>
        <v/>
      </c>
      <c r="H104" s="4" t="str">
        <f t="shared" si="22"/>
        <v/>
      </c>
      <c r="I104" s="4" t="str">
        <f t="shared" si="23"/>
        <v/>
      </c>
      <c r="J104" s="4">
        <f t="shared" si="24"/>
        <v>0.99212598425196852</v>
      </c>
      <c r="K104" s="4" t="str">
        <f t="shared" si="25"/>
        <v/>
      </c>
      <c r="L104" s="4" t="str">
        <f t="shared" si="26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0"/>
        <v>test.Base64_19_</v>
      </c>
      <c r="D105">
        <v>7</v>
      </c>
      <c r="E105" s="4">
        <v>1</v>
      </c>
      <c r="F105" s="4">
        <v>0.80580627151763284</v>
      </c>
      <c r="G105" s="4" t="str">
        <f t="shared" si="21"/>
        <v/>
      </c>
      <c r="H105" s="4" t="str">
        <f t="shared" si="22"/>
        <v/>
      </c>
      <c r="I105" s="4" t="str">
        <f t="shared" si="23"/>
        <v/>
      </c>
      <c r="J105" s="4" t="str">
        <f t="shared" si="24"/>
        <v/>
      </c>
      <c r="K105" s="4">
        <f t="shared" si="25"/>
        <v>1</v>
      </c>
      <c r="L105" s="4" t="str">
        <f t="shared" si="26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0"/>
        <v>test.Base64_19_</v>
      </c>
      <c r="D106">
        <v>8</v>
      </c>
      <c r="E106" s="4">
        <v>1</v>
      </c>
      <c r="F106" s="4">
        <v>0.80664371452498373</v>
      </c>
      <c r="G106" s="4" t="str">
        <f t="shared" si="21"/>
        <v/>
      </c>
      <c r="H106" s="4" t="str">
        <f t="shared" si="22"/>
        <v/>
      </c>
      <c r="I106" s="4" t="str">
        <f t="shared" si="23"/>
        <v/>
      </c>
      <c r="J106" s="4" t="str">
        <f t="shared" si="24"/>
        <v/>
      </c>
      <c r="K106" s="4">
        <f t="shared" si="25"/>
        <v>1</v>
      </c>
      <c r="L106" s="4" t="str">
        <f t="shared" si="26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0"/>
        <v>test.Base64_19_</v>
      </c>
      <c r="D107">
        <v>9</v>
      </c>
      <c r="E107" s="4">
        <v>1</v>
      </c>
      <c r="F107" s="4">
        <v>0.80980738810830932</v>
      </c>
      <c r="G107" s="4" t="str">
        <f t="shared" si="21"/>
        <v/>
      </c>
      <c r="H107" s="4" t="str">
        <f t="shared" si="22"/>
        <v/>
      </c>
      <c r="I107" s="4" t="str">
        <f t="shared" si="23"/>
        <v/>
      </c>
      <c r="J107" s="4" t="str">
        <f t="shared" si="24"/>
        <v/>
      </c>
      <c r="K107" s="4">
        <f t="shared" si="25"/>
        <v>1</v>
      </c>
      <c r="L107" s="4" t="str">
        <f t="shared" si="26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0"/>
        <v>test.Base64_19_</v>
      </c>
      <c r="D108">
        <v>10</v>
      </c>
      <c r="E108" s="4">
        <v>1</v>
      </c>
      <c r="F108" s="4">
        <v>0.81418070159114175</v>
      </c>
      <c r="G108" s="4" t="str">
        <f t="shared" si="21"/>
        <v/>
      </c>
      <c r="H108" s="4" t="str">
        <f t="shared" si="22"/>
        <v/>
      </c>
      <c r="I108" s="4" t="str">
        <f t="shared" si="23"/>
        <v/>
      </c>
      <c r="J108" s="4" t="str">
        <f t="shared" si="24"/>
        <v/>
      </c>
      <c r="K108" s="4">
        <f t="shared" si="25"/>
        <v>1</v>
      </c>
      <c r="L108" s="4" t="str">
        <f t="shared" si="26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0"/>
        <v>test.Base64_19_</v>
      </c>
      <c r="D109">
        <v>11</v>
      </c>
      <c r="E109" s="4">
        <v>1</v>
      </c>
      <c r="F109" s="4">
        <v>0.81753047362054532</v>
      </c>
      <c r="G109" s="4" t="str">
        <f t="shared" si="21"/>
        <v/>
      </c>
      <c r="H109" s="4" t="str">
        <f t="shared" si="22"/>
        <v/>
      </c>
      <c r="I109" s="4" t="str">
        <f t="shared" si="23"/>
        <v/>
      </c>
      <c r="J109" s="4" t="str">
        <f t="shared" si="24"/>
        <v/>
      </c>
      <c r="K109" s="4">
        <f t="shared" si="25"/>
        <v>1</v>
      </c>
      <c r="L109" s="4" t="str">
        <f t="shared" si="26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0"/>
        <v>test.Base64_19_</v>
      </c>
      <c r="D110">
        <v>12</v>
      </c>
      <c r="E110" s="4">
        <v>1</v>
      </c>
      <c r="F110" s="4">
        <v>0.81836791662789621</v>
      </c>
      <c r="G110" s="4" t="str">
        <f t="shared" si="21"/>
        <v/>
      </c>
      <c r="H110" s="4" t="str">
        <f t="shared" si="22"/>
        <v/>
      </c>
      <c r="I110" s="4" t="str">
        <f t="shared" si="23"/>
        <v/>
      </c>
      <c r="J110" s="4" t="str">
        <f t="shared" si="24"/>
        <v/>
      </c>
      <c r="K110" s="4">
        <f t="shared" si="25"/>
        <v>1</v>
      </c>
      <c r="L110" s="4" t="str">
        <f t="shared" si="26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0"/>
        <v>test.Base64_19_</v>
      </c>
      <c r="D111">
        <v>13</v>
      </c>
      <c r="E111" s="4">
        <v>1</v>
      </c>
      <c r="F111" s="4">
        <v>0.81957755652740305</v>
      </c>
      <c r="G111" s="4" t="str">
        <f t="shared" si="21"/>
        <v/>
      </c>
      <c r="H111" s="4" t="str">
        <f t="shared" si="22"/>
        <v/>
      </c>
      <c r="I111" s="4" t="str">
        <f t="shared" si="23"/>
        <v/>
      </c>
      <c r="J111" s="4" t="str">
        <f t="shared" si="24"/>
        <v/>
      </c>
      <c r="K111" s="4">
        <f t="shared" si="25"/>
        <v>1</v>
      </c>
      <c r="L111" s="4" t="str">
        <f t="shared" si="26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0"/>
        <v>test.Base64_19_</v>
      </c>
      <c r="D112">
        <v>14</v>
      </c>
      <c r="E112" s="4">
        <v>1</v>
      </c>
      <c r="F112" s="4">
        <v>0.82134549176514371</v>
      </c>
      <c r="G112" s="4" t="str">
        <f t="shared" si="21"/>
        <v/>
      </c>
      <c r="H112" s="4" t="str">
        <f t="shared" si="22"/>
        <v/>
      </c>
      <c r="I112" s="4" t="str">
        <f t="shared" si="23"/>
        <v/>
      </c>
      <c r="J112" s="4" t="str">
        <f t="shared" si="24"/>
        <v/>
      </c>
      <c r="K112" s="4">
        <f t="shared" si="25"/>
        <v>1</v>
      </c>
      <c r="L112" s="4" t="str">
        <f t="shared" si="26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0"/>
        <v>test.Base64_19_</v>
      </c>
      <c r="D113">
        <v>15</v>
      </c>
      <c r="E113" s="4">
        <v>1</v>
      </c>
      <c r="F113" s="4">
        <v>0.82543965757885918</v>
      </c>
      <c r="G113" s="4" t="str">
        <f t="shared" si="21"/>
        <v/>
      </c>
      <c r="H113" s="4" t="str">
        <f t="shared" si="22"/>
        <v/>
      </c>
      <c r="I113" s="4" t="str">
        <f t="shared" si="23"/>
        <v/>
      </c>
      <c r="J113" s="4" t="str">
        <f t="shared" si="24"/>
        <v/>
      </c>
      <c r="K113" s="4">
        <f t="shared" si="25"/>
        <v>1</v>
      </c>
      <c r="L113" s="4" t="str">
        <f t="shared" si="26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0"/>
        <v>test.Base64_19_</v>
      </c>
      <c r="D114">
        <v>16</v>
      </c>
      <c r="E114" s="4">
        <v>1</v>
      </c>
      <c r="F114" s="4">
        <v>0.83958313948078533</v>
      </c>
      <c r="G114" s="4" t="str">
        <f t="shared" si="21"/>
        <v/>
      </c>
      <c r="H114" s="4" t="str">
        <f t="shared" si="22"/>
        <v/>
      </c>
      <c r="I114" s="4" t="str">
        <f t="shared" si="23"/>
        <v/>
      </c>
      <c r="J114" s="4" t="str">
        <f t="shared" si="24"/>
        <v/>
      </c>
      <c r="K114" s="4">
        <f t="shared" si="25"/>
        <v>1</v>
      </c>
      <c r="L114" s="4" t="str">
        <f t="shared" si="26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0"/>
        <v>test.Base64_19_</v>
      </c>
      <c r="D115">
        <v>17</v>
      </c>
      <c r="E115" s="4">
        <v>1</v>
      </c>
      <c r="F115" s="4">
        <v>0.88443286498557738</v>
      </c>
      <c r="G115" s="4" t="str">
        <f t="shared" si="21"/>
        <v/>
      </c>
      <c r="H115" s="4" t="str">
        <f t="shared" si="22"/>
        <v/>
      </c>
      <c r="I115" s="4" t="str">
        <f t="shared" si="23"/>
        <v/>
      </c>
      <c r="J115" s="4" t="str">
        <f t="shared" si="24"/>
        <v/>
      </c>
      <c r="K115" s="4">
        <f t="shared" si="25"/>
        <v>1</v>
      </c>
      <c r="L115" s="4" t="str">
        <f t="shared" si="26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0"/>
        <v>test.Base64_19_</v>
      </c>
      <c r="D116">
        <v>18</v>
      </c>
      <c r="E116" s="4">
        <v>1</v>
      </c>
      <c r="F116" s="4">
        <v>0.93533078998790364</v>
      </c>
      <c r="G116" s="4" t="str">
        <f t="shared" si="21"/>
        <v/>
      </c>
      <c r="H116" s="4" t="str">
        <f t="shared" si="22"/>
        <v/>
      </c>
      <c r="I116" s="4" t="str">
        <f t="shared" si="23"/>
        <v/>
      </c>
      <c r="J116" s="4" t="str">
        <f t="shared" si="24"/>
        <v/>
      </c>
      <c r="K116" s="4">
        <f t="shared" si="25"/>
        <v>1</v>
      </c>
      <c r="L116" s="4" t="str">
        <f t="shared" si="26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0"/>
        <v>test.Base64_19_</v>
      </c>
      <c r="D117">
        <v>19</v>
      </c>
      <c r="E117" s="4">
        <v>1</v>
      </c>
      <c r="F117" s="4">
        <v>0.94333302316925649</v>
      </c>
      <c r="G117" s="4" t="str">
        <f t="shared" si="21"/>
        <v/>
      </c>
      <c r="H117" s="4" t="str">
        <f t="shared" si="22"/>
        <v/>
      </c>
      <c r="I117" s="4" t="str">
        <f t="shared" si="23"/>
        <v/>
      </c>
      <c r="J117" s="4" t="str">
        <f t="shared" si="24"/>
        <v/>
      </c>
      <c r="K117" s="4">
        <f t="shared" si="25"/>
        <v>1</v>
      </c>
      <c r="L117" s="4" t="str">
        <f t="shared" si="26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0"/>
        <v>test.Base64_19_</v>
      </c>
      <c r="D118">
        <v>20</v>
      </c>
      <c r="E118" s="4">
        <v>1</v>
      </c>
      <c r="F118" s="4">
        <v>0.94444961384572435</v>
      </c>
      <c r="G118" s="4" t="str">
        <f t="shared" si="21"/>
        <v/>
      </c>
      <c r="H118" s="4" t="str">
        <f t="shared" si="22"/>
        <v/>
      </c>
      <c r="I118" s="4" t="str">
        <f t="shared" si="23"/>
        <v/>
      </c>
      <c r="J118" s="4" t="str">
        <f t="shared" si="24"/>
        <v/>
      </c>
      <c r="K118" s="4">
        <f t="shared" si="25"/>
        <v>1</v>
      </c>
      <c r="L118" s="4" t="str">
        <f t="shared" si="26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0"/>
        <v>test.Base64_19_</v>
      </c>
      <c r="D119">
        <v>21</v>
      </c>
      <c r="E119" s="4">
        <v>1</v>
      </c>
      <c r="F119" s="4">
        <v>0.95468502838001301</v>
      </c>
      <c r="G119" s="4" t="str">
        <f t="shared" si="21"/>
        <v/>
      </c>
      <c r="H119" s="4" t="str">
        <f t="shared" si="22"/>
        <v/>
      </c>
      <c r="I119" s="4" t="str">
        <f t="shared" si="23"/>
        <v/>
      </c>
      <c r="J119" s="4" t="str">
        <f t="shared" si="24"/>
        <v/>
      </c>
      <c r="K119" s="4">
        <f t="shared" si="25"/>
        <v>1</v>
      </c>
      <c r="L119" s="4" t="str">
        <f t="shared" si="26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0"/>
        <v>test.Base64_19_</v>
      </c>
      <c r="D120">
        <v>22</v>
      </c>
      <c r="E120" s="4">
        <v>1</v>
      </c>
      <c r="F120" s="4">
        <v>0.9578487019633386</v>
      </c>
      <c r="G120" s="4" t="str">
        <f t="shared" si="21"/>
        <v/>
      </c>
      <c r="H120" s="4" t="str">
        <f t="shared" si="22"/>
        <v/>
      </c>
      <c r="I120" s="4" t="str">
        <f t="shared" si="23"/>
        <v/>
      </c>
      <c r="J120" s="4" t="str">
        <f t="shared" si="24"/>
        <v/>
      </c>
      <c r="K120" s="4">
        <f t="shared" si="25"/>
        <v>1</v>
      </c>
      <c r="L120" s="4" t="str">
        <f t="shared" si="26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0"/>
        <v>test.Base64_19_</v>
      </c>
      <c r="D121">
        <v>23</v>
      </c>
      <c r="E121" s="4">
        <v>1</v>
      </c>
      <c r="F121" s="4">
        <v>0.9678049688285103</v>
      </c>
      <c r="G121" s="4" t="str">
        <f t="shared" si="21"/>
        <v/>
      </c>
      <c r="H121" s="4" t="str">
        <f t="shared" si="22"/>
        <v/>
      </c>
      <c r="I121" s="4" t="str">
        <f t="shared" si="23"/>
        <v/>
      </c>
      <c r="J121" s="4" t="str">
        <f t="shared" si="24"/>
        <v/>
      </c>
      <c r="K121" s="4">
        <f t="shared" si="25"/>
        <v>1</v>
      </c>
      <c r="L121" s="4" t="str">
        <f t="shared" si="26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0"/>
        <v>test.Base64_19_</v>
      </c>
      <c r="D122">
        <v>24</v>
      </c>
      <c r="E122" s="4">
        <v>1</v>
      </c>
      <c r="F122" s="4">
        <v>0.98380943519121611</v>
      </c>
      <c r="G122" s="4" t="str">
        <f t="shared" si="21"/>
        <v/>
      </c>
      <c r="H122" s="4" t="str">
        <f t="shared" si="22"/>
        <v/>
      </c>
      <c r="I122" s="4" t="str">
        <f t="shared" si="23"/>
        <v/>
      </c>
      <c r="J122" s="4" t="str">
        <f t="shared" si="24"/>
        <v/>
      </c>
      <c r="K122" s="4">
        <f t="shared" si="25"/>
        <v>1</v>
      </c>
      <c r="L122" s="4" t="str">
        <f t="shared" si="26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0"/>
        <v>test.Base64_19_</v>
      </c>
      <c r="D123">
        <v>25</v>
      </c>
      <c r="E123" s="4">
        <v>1</v>
      </c>
      <c r="F123" s="4">
        <v>1.044477528612636</v>
      </c>
      <c r="G123" s="4" t="str">
        <f t="shared" si="21"/>
        <v/>
      </c>
      <c r="H123" s="4" t="str">
        <f t="shared" si="22"/>
        <v/>
      </c>
      <c r="I123" s="4" t="str">
        <f t="shared" si="23"/>
        <v/>
      </c>
      <c r="J123" s="4" t="str">
        <f t="shared" si="24"/>
        <v/>
      </c>
      <c r="K123" s="4">
        <f t="shared" si="25"/>
        <v>1</v>
      </c>
      <c r="L123" s="4" t="str">
        <f t="shared" si="26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0"/>
        <v>test.Base64_19_</v>
      </c>
      <c r="D124">
        <v>26</v>
      </c>
      <c r="E124" s="4">
        <v>1</v>
      </c>
      <c r="F124" s="4">
        <v>1.0501535312180144</v>
      </c>
      <c r="G124" s="4" t="str">
        <f t="shared" si="21"/>
        <v/>
      </c>
      <c r="H124" s="4" t="str">
        <f t="shared" si="22"/>
        <v/>
      </c>
      <c r="I124" s="4" t="str">
        <f t="shared" si="23"/>
        <v/>
      </c>
      <c r="J124" s="4" t="str">
        <f t="shared" si="24"/>
        <v/>
      </c>
      <c r="K124" s="4">
        <f t="shared" si="25"/>
        <v>1</v>
      </c>
      <c r="L124" s="4" t="str">
        <f t="shared" si="26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0"/>
        <v>test.Base64_19_</v>
      </c>
      <c r="D125">
        <v>27</v>
      </c>
      <c r="E125" s="4">
        <v>1</v>
      </c>
      <c r="F125" s="4">
        <v>1.0539685493626127</v>
      </c>
      <c r="G125" s="4" t="str">
        <f t="shared" si="21"/>
        <v/>
      </c>
      <c r="H125" s="4" t="str">
        <f t="shared" si="22"/>
        <v/>
      </c>
      <c r="I125" s="4" t="str">
        <f t="shared" si="23"/>
        <v/>
      </c>
      <c r="J125" s="4" t="str">
        <f t="shared" si="24"/>
        <v/>
      </c>
      <c r="K125" s="4">
        <f t="shared" si="25"/>
        <v>1</v>
      </c>
      <c r="L125" s="4" t="str">
        <f t="shared" si="26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0"/>
        <v>test.Base64_19_</v>
      </c>
      <c r="D126">
        <v>28</v>
      </c>
      <c r="E126" s="4">
        <v>1</v>
      </c>
      <c r="F126" s="4">
        <v>1.0541546478086907</v>
      </c>
      <c r="G126" s="4" t="str">
        <f t="shared" si="21"/>
        <v/>
      </c>
      <c r="H126" s="4" t="str">
        <f t="shared" si="22"/>
        <v/>
      </c>
      <c r="I126" s="4" t="str">
        <f t="shared" si="23"/>
        <v/>
      </c>
      <c r="J126" s="4" t="str">
        <f t="shared" si="24"/>
        <v/>
      </c>
      <c r="K126" s="4">
        <f t="shared" si="25"/>
        <v>1</v>
      </c>
      <c r="L126" s="4" t="str">
        <f t="shared" si="26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0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21"/>
        <v>0.19801980198019803</v>
      </c>
      <c r="H127" s="4" t="str">
        <f t="shared" si="22"/>
        <v/>
      </c>
      <c r="I127" s="4" t="str">
        <f t="shared" si="23"/>
        <v/>
      </c>
      <c r="J127" s="4" t="str">
        <f t="shared" si="24"/>
        <v/>
      </c>
      <c r="K127" s="4" t="str">
        <f t="shared" si="25"/>
        <v/>
      </c>
      <c r="L127" s="4" t="str">
        <f t="shared" si="26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0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21"/>
        <v>0.22772277227722773</v>
      </c>
      <c r="H128" s="4" t="str">
        <f t="shared" si="22"/>
        <v/>
      </c>
      <c r="I128" s="4" t="str">
        <f t="shared" si="23"/>
        <v/>
      </c>
      <c r="J128" s="4" t="str">
        <f t="shared" si="24"/>
        <v/>
      </c>
      <c r="K128" s="4" t="str">
        <f t="shared" si="25"/>
        <v/>
      </c>
      <c r="L128" s="4" t="str">
        <f t="shared" si="26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0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21"/>
        <v>0.25742574257425743</v>
      </c>
      <c r="H129" s="4" t="str">
        <f t="shared" si="22"/>
        <v/>
      </c>
      <c r="I129" s="4" t="str">
        <f t="shared" si="23"/>
        <v/>
      </c>
      <c r="J129" s="4" t="str">
        <f t="shared" si="24"/>
        <v/>
      </c>
      <c r="K129" s="4" t="str">
        <f t="shared" si="25"/>
        <v/>
      </c>
      <c r="L129" s="4" t="str">
        <f t="shared" si="26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0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21"/>
        <v>0.28712871287128711</v>
      </c>
      <c r="H130" s="4" t="str">
        <f t="shared" si="22"/>
        <v/>
      </c>
      <c r="I130" s="4" t="str">
        <f t="shared" si="23"/>
        <v/>
      </c>
      <c r="J130" s="4" t="str">
        <f t="shared" si="24"/>
        <v/>
      </c>
      <c r="K130" s="4" t="str">
        <f t="shared" si="25"/>
        <v/>
      </c>
      <c r="L130" s="4" t="str">
        <f t="shared" si="26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7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8">IF($F131 &lt;= 0.2,$E131,"")</f>
        <v>0.44554455445544555</v>
      </c>
      <c r="H131" s="4" t="str">
        <f t="shared" ref="H131:H194" si="29">IF(AND($F131 &gt; 0.2,$F131 &lt;= 0.4),$E131,"")</f>
        <v/>
      </c>
      <c r="I131" s="4" t="str">
        <f t="shared" ref="I131:I194" si="30">IF(AND($F131 &gt; 0.4,$F131 &lt;= 0.6),$E131,"")</f>
        <v/>
      </c>
      <c r="J131" s="4" t="str">
        <f t="shared" ref="J131:J194" si="31">IF(AND($F131 &gt; 0.6,$F131 &lt;= 0.8),$E131,"")</f>
        <v/>
      </c>
      <c r="K131" s="4" t="str">
        <f t="shared" ref="K131:K194" si="32">IF(AND($F131 &gt; 0.8, $F131 &lt;=1.1),$E131,"")</f>
        <v/>
      </c>
      <c r="L131" s="4" t="str">
        <f t="shared" ref="L131:L194" si="33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7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8"/>
        <v>0.44554455445544555</v>
      </c>
      <c r="H132" s="4" t="str">
        <f t="shared" si="29"/>
        <v/>
      </c>
      <c r="I132" s="4" t="str">
        <f t="shared" si="30"/>
        <v/>
      </c>
      <c r="J132" s="4" t="str">
        <f t="shared" si="31"/>
        <v/>
      </c>
      <c r="K132" s="4" t="str">
        <f t="shared" si="32"/>
        <v/>
      </c>
      <c r="L132" s="4" t="str">
        <f t="shared" si="33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7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8"/>
        <v>0.52475247524752477</v>
      </c>
      <c r="H133" s="4" t="str">
        <f t="shared" si="29"/>
        <v/>
      </c>
      <c r="I133" s="4" t="str">
        <f t="shared" si="30"/>
        <v/>
      </c>
      <c r="J133" s="4" t="str">
        <f t="shared" si="31"/>
        <v/>
      </c>
      <c r="K133" s="4" t="str">
        <f t="shared" si="32"/>
        <v/>
      </c>
      <c r="L133" s="4" t="str">
        <f t="shared" si="33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7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8"/>
        <v>0.52475247524752477</v>
      </c>
      <c r="H134" s="4" t="str">
        <f t="shared" si="29"/>
        <v/>
      </c>
      <c r="I134" s="4" t="str">
        <f t="shared" si="30"/>
        <v/>
      </c>
      <c r="J134" s="4" t="str">
        <f t="shared" si="31"/>
        <v/>
      </c>
      <c r="K134" s="4" t="str">
        <f t="shared" si="32"/>
        <v/>
      </c>
      <c r="L134" s="4" t="str">
        <f t="shared" si="33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7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8"/>
        <v>0.52475247524752477</v>
      </c>
      <c r="H135" s="4" t="str">
        <f t="shared" si="29"/>
        <v/>
      </c>
      <c r="I135" s="4" t="str">
        <f t="shared" si="30"/>
        <v/>
      </c>
      <c r="J135" s="4" t="str">
        <f t="shared" si="31"/>
        <v/>
      </c>
      <c r="K135" s="4" t="str">
        <f t="shared" si="32"/>
        <v/>
      </c>
      <c r="L135" s="4" t="str">
        <f t="shared" si="33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7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8"/>
        <v>0.52475247524752477</v>
      </c>
      <c r="H136" s="4" t="str">
        <f t="shared" si="29"/>
        <v/>
      </c>
      <c r="I136" s="4" t="str">
        <f t="shared" si="30"/>
        <v/>
      </c>
      <c r="J136" s="4" t="str">
        <f t="shared" si="31"/>
        <v/>
      </c>
      <c r="K136" s="4" t="str">
        <f t="shared" si="32"/>
        <v/>
      </c>
      <c r="L136" s="4" t="str">
        <f t="shared" si="33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7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8"/>
        <v>0.52475247524752477</v>
      </c>
      <c r="H137" s="4" t="str">
        <f t="shared" si="29"/>
        <v/>
      </c>
      <c r="I137" s="4" t="str">
        <f t="shared" si="30"/>
        <v/>
      </c>
      <c r="J137" s="4" t="str">
        <f t="shared" si="31"/>
        <v/>
      </c>
      <c r="K137" s="4" t="str">
        <f t="shared" si="32"/>
        <v/>
      </c>
      <c r="L137" s="4" t="str">
        <f t="shared" si="33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7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8"/>
        <v>0.52475247524752477</v>
      </c>
      <c r="H138" s="4" t="str">
        <f t="shared" si="29"/>
        <v/>
      </c>
      <c r="I138" s="4" t="str">
        <f t="shared" si="30"/>
        <v/>
      </c>
      <c r="J138" s="4" t="str">
        <f t="shared" si="31"/>
        <v/>
      </c>
      <c r="K138" s="4" t="str">
        <f t="shared" si="32"/>
        <v/>
      </c>
      <c r="L138" s="4" t="str">
        <f t="shared" si="33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7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8"/>
        <v>0.52475247524752477</v>
      </c>
      <c r="H139" s="4" t="str">
        <f t="shared" si="29"/>
        <v/>
      </c>
      <c r="I139" s="4" t="str">
        <f t="shared" si="30"/>
        <v/>
      </c>
      <c r="J139" s="4" t="str">
        <f t="shared" si="31"/>
        <v/>
      </c>
      <c r="K139" s="4" t="str">
        <f t="shared" si="32"/>
        <v/>
      </c>
      <c r="L139" s="4" t="str">
        <f t="shared" si="33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7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8"/>
        <v>0.70297029702970293</v>
      </c>
      <c r="H140" s="4" t="str">
        <f t="shared" si="29"/>
        <v/>
      </c>
      <c r="I140" s="4" t="str">
        <f t="shared" si="30"/>
        <v/>
      </c>
      <c r="J140" s="4" t="str">
        <f t="shared" si="31"/>
        <v/>
      </c>
      <c r="K140" s="4" t="str">
        <f t="shared" si="32"/>
        <v/>
      </c>
      <c r="L140" s="4" t="str">
        <f t="shared" si="33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7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8"/>
        <v>0.70297029702970293</v>
      </c>
      <c r="H141" s="4" t="str">
        <f t="shared" si="29"/>
        <v/>
      </c>
      <c r="I141" s="4" t="str">
        <f t="shared" si="30"/>
        <v/>
      </c>
      <c r="J141" s="4" t="str">
        <f t="shared" si="31"/>
        <v/>
      </c>
      <c r="K141" s="4" t="str">
        <f t="shared" si="32"/>
        <v/>
      </c>
      <c r="L141" s="4" t="str">
        <f t="shared" si="33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7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8"/>
        <v>0.70297029702970293</v>
      </c>
      <c r="H142" s="4" t="str">
        <f t="shared" si="29"/>
        <v/>
      </c>
      <c r="I142" s="4" t="str">
        <f t="shared" si="30"/>
        <v/>
      </c>
      <c r="J142" s="4" t="str">
        <f t="shared" si="31"/>
        <v/>
      </c>
      <c r="K142" s="4" t="str">
        <f t="shared" si="32"/>
        <v/>
      </c>
      <c r="L142" s="4" t="str">
        <f t="shared" si="33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7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8"/>
        <v>0.70297029702970293</v>
      </c>
      <c r="H143" s="4" t="str">
        <f t="shared" si="29"/>
        <v/>
      </c>
      <c r="I143" s="4" t="str">
        <f t="shared" si="30"/>
        <v/>
      </c>
      <c r="J143" s="4" t="str">
        <f t="shared" si="31"/>
        <v/>
      </c>
      <c r="K143" s="4" t="str">
        <f t="shared" si="32"/>
        <v/>
      </c>
      <c r="L143" s="4" t="str">
        <f t="shared" si="33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7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8"/>
        <v>0.70297029702970293</v>
      </c>
      <c r="H144" s="4" t="str">
        <f t="shared" si="29"/>
        <v/>
      </c>
      <c r="I144" s="4" t="str">
        <f t="shared" si="30"/>
        <v/>
      </c>
      <c r="J144" s="4" t="str">
        <f t="shared" si="31"/>
        <v/>
      </c>
      <c r="K144" s="4" t="str">
        <f t="shared" si="32"/>
        <v/>
      </c>
      <c r="L144" s="4" t="str">
        <f t="shared" si="33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7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8"/>
        <v>0.70297029702970293</v>
      </c>
      <c r="H145" s="4" t="str">
        <f t="shared" si="29"/>
        <v/>
      </c>
      <c r="I145" s="4" t="str">
        <f t="shared" si="30"/>
        <v/>
      </c>
      <c r="J145" s="4" t="str">
        <f t="shared" si="31"/>
        <v/>
      </c>
      <c r="K145" s="4" t="str">
        <f t="shared" si="32"/>
        <v/>
      </c>
      <c r="L145" s="4" t="str">
        <f t="shared" si="33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7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8"/>
        <v>0.70297029702970293</v>
      </c>
      <c r="H146" s="4" t="str">
        <f t="shared" si="29"/>
        <v/>
      </c>
      <c r="I146" s="4" t="str">
        <f t="shared" si="30"/>
        <v/>
      </c>
      <c r="J146" s="4" t="str">
        <f t="shared" si="31"/>
        <v/>
      </c>
      <c r="K146" s="4" t="str">
        <f t="shared" si="32"/>
        <v/>
      </c>
      <c r="L146" s="4" t="str">
        <f t="shared" si="33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7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8"/>
        <v>0.70297029702970293</v>
      </c>
      <c r="H147" s="4" t="str">
        <f t="shared" si="29"/>
        <v/>
      </c>
      <c r="I147" s="4" t="str">
        <f t="shared" si="30"/>
        <v/>
      </c>
      <c r="J147" s="4" t="str">
        <f t="shared" si="31"/>
        <v/>
      </c>
      <c r="K147" s="4" t="str">
        <f t="shared" si="32"/>
        <v/>
      </c>
      <c r="L147" s="4" t="str">
        <f t="shared" si="33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7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8"/>
        <v>0.70297029702970293</v>
      </c>
      <c r="H148" s="4" t="str">
        <f t="shared" si="29"/>
        <v/>
      </c>
      <c r="I148" s="4" t="str">
        <f t="shared" si="30"/>
        <v/>
      </c>
      <c r="J148" s="4" t="str">
        <f t="shared" si="31"/>
        <v/>
      </c>
      <c r="K148" s="4" t="str">
        <f t="shared" si="32"/>
        <v/>
      </c>
      <c r="L148" s="4" t="str">
        <f t="shared" si="33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7"/>
        <v>test.Base64_20_</v>
      </c>
      <c r="D149">
        <v>23</v>
      </c>
      <c r="E149" s="4">
        <v>1</v>
      </c>
      <c r="F149" s="4">
        <v>0.84958757884522074</v>
      </c>
      <c r="G149" s="4" t="str">
        <f t="shared" si="28"/>
        <v/>
      </c>
      <c r="H149" s="4" t="str">
        <f t="shared" si="29"/>
        <v/>
      </c>
      <c r="I149" s="4" t="str">
        <f t="shared" si="30"/>
        <v/>
      </c>
      <c r="J149" s="4" t="str">
        <f t="shared" si="31"/>
        <v/>
      </c>
      <c r="K149" s="4">
        <f t="shared" si="32"/>
        <v>1</v>
      </c>
      <c r="L149" s="4" t="str">
        <f t="shared" si="33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7"/>
        <v>test.Base64_20_</v>
      </c>
      <c r="D150">
        <v>24</v>
      </c>
      <c r="E150" s="4">
        <v>1</v>
      </c>
      <c r="F150" s="4">
        <v>0.85702733300986578</v>
      </c>
      <c r="G150" s="4" t="str">
        <f t="shared" si="28"/>
        <v/>
      </c>
      <c r="H150" s="4" t="str">
        <f t="shared" si="29"/>
        <v/>
      </c>
      <c r="I150" s="4" t="str">
        <f t="shared" si="30"/>
        <v/>
      </c>
      <c r="J150" s="4" t="str">
        <f t="shared" si="31"/>
        <v/>
      </c>
      <c r="K150" s="4">
        <f t="shared" si="32"/>
        <v>1</v>
      </c>
      <c r="L150" s="4" t="str">
        <f t="shared" si="33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7"/>
        <v>test.Base64_20_</v>
      </c>
      <c r="D151">
        <v>25</v>
      </c>
      <c r="E151" s="4">
        <v>1</v>
      </c>
      <c r="F151" s="4">
        <v>0.86996603590490051</v>
      </c>
      <c r="G151" s="4" t="str">
        <f t="shared" si="28"/>
        <v/>
      </c>
      <c r="H151" s="4" t="str">
        <f t="shared" si="29"/>
        <v/>
      </c>
      <c r="I151" s="4" t="str">
        <f t="shared" si="30"/>
        <v/>
      </c>
      <c r="J151" s="4" t="str">
        <f t="shared" si="31"/>
        <v/>
      </c>
      <c r="K151" s="4">
        <f t="shared" si="32"/>
        <v>1</v>
      </c>
      <c r="L151" s="4" t="str">
        <f t="shared" si="33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7"/>
        <v>test.Base64_20_</v>
      </c>
      <c r="D152">
        <v>26</v>
      </c>
      <c r="E152" s="4">
        <v>1</v>
      </c>
      <c r="F152" s="4">
        <v>0.87740579006954555</v>
      </c>
      <c r="G152" s="4" t="str">
        <f t="shared" si="28"/>
        <v/>
      </c>
      <c r="H152" s="4" t="str">
        <f t="shared" si="29"/>
        <v/>
      </c>
      <c r="I152" s="4" t="str">
        <f t="shared" si="30"/>
        <v/>
      </c>
      <c r="J152" s="4" t="str">
        <f t="shared" si="31"/>
        <v/>
      </c>
      <c r="K152" s="4">
        <f t="shared" si="32"/>
        <v>1</v>
      </c>
      <c r="L152" s="4" t="str">
        <f t="shared" si="33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7"/>
        <v>test.Base64_20_</v>
      </c>
      <c r="D153">
        <v>27</v>
      </c>
      <c r="E153" s="4">
        <v>1</v>
      </c>
      <c r="F153" s="4">
        <v>0.88031699822092835</v>
      </c>
      <c r="G153" s="4" t="str">
        <f t="shared" si="28"/>
        <v/>
      </c>
      <c r="H153" s="4" t="str">
        <f t="shared" si="29"/>
        <v/>
      </c>
      <c r="I153" s="4" t="str">
        <f t="shared" si="30"/>
        <v/>
      </c>
      <c r="J153" s="4" t="str">
        <f t="shared" si="31"/>
        <v/>
      </c>
      <c r="K153" s="4">
        <f t="shared" si="32"/>
        <v>1</v>
      </c>
      <c r="L153" s="4" t="str">
        <f t="shared" si="33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7"/>
        <v>test.Base64_20_</v>
      </c>
      <c r="D154">
        <v>28</v>
      </c>
      <c r="E154" s="4">
        <v>1</v>
      </c>
      <c r="F154" s="4">
        <v>0.89454957140546665</v>
      </c>
      <c r="G154" s="4" t="str">
        <f t="shared" si="28"/>
        <v/>
      </c>
      <c r="H154" s="4" t="str">
        <f t="shared" si="29"/>
        <v/>
      </c>
      <c r="I154" s="4" t="str">
        <f t="shared" si="30"/>
        <v/>
      </c>
      <c r="J154" s="4" t="str">
        <f t="shared" si="31"/>
        <v/>
      </c>
      <c r="K154" s="4">
        <f t="shared" si="32"/>
        <v>1</v>
      </c>
      <c r="L154" s="4" t="str">
        <f t="shared" si="33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7"/>
        <v>test.Base64_20_</v>
      </c>
      <c r="D155">
        <v>29</v>
      </c>
      <c r="E155" s="4">
        <v>1</v>
      </c>
      <c r="F155" s="4">
        <v>0.90587093643862204</v>
      </c>
      <c r="G155" s="4" t="str">
        <f t="shared" si="28"/>
        <v/>
      </c>
      <c r="H155" s="4" t="str">
        <f t="shared" si="29"/>
        <v/>
      </c>
      <c r="I155" s="4" t="str">
        <f t="shared" si="30"/>
        <v/>
      </c>
      <c r="J155" s="4" t="str">
        <f t="shared" si="31"/>
        <v/>
      </c>
      <c r="K155" s="4">
        <f t="shared" si="32"/>
        <v>1</v>
      </c>
      <c r="L155" s="4" t="str">
        <f t="shared" si="33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7"/>
        <v>test.Base64_20_</v>
      </c>
      <c r="D156">
        <v>30</v>
      </c>
      <c r="E156" s="4">
        <v>1</v>
      </c>
      <c r="F156" s="4">
        <v>0.91088468381044796</v>
      </c>
      <c r="G156" s="4" t="str">
        <f t="shared" si="28"/>
        <v/>
      </c>
      <c r="H156" s="4" t="str">
        <f t="shared" si="29"/>
        <v/>
      </c>
      <c r="I156" s="4" t="str">
        <f t="shared" si="30"/>
        <v/>
      </c>
      <c r="J156" s="4" t="str">
        <f t="shared" si="31"/>
        <v/>
      </c>
      <c r="K156" s="4">
        <f t="shared" si="32"/>
        <v>1</v>
      </c>
      <c r="L156" s="4" t="str">
        <f t="shared" si="33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7"/>
        <v>test.Base64_20_</v>
      </c>
      <c r="D157">
        <v>31</v>
      </c>
      <c r="E157" s="4">
        <v>1</v>
      </c>
      <c r="F157" s="4">
        <v>0.92058871098172412</v>
      </c>
      <c r="G157" s="4" t="str">
        <f t="shared" si="28"/>
        <v/>
      </c>
      <c r="H157" s="4" t="str">
        <f t="shared" si="29"/>
        <v/>
      </c>
      <c r="I157" s="4" t="str">
        <f t="shared" si="30"/>
        <v/>
      </c>
      <c r="J157" s="4" t="str">
        <f t="shared" si="31"/>
        <v/>
      </c>
      <c r="K157" s="4">
        <f t="shared" si="32"/>
        <v>1</v>
      </c>
      <c r="L157" s="4" t="str">
        <f t="shared" si="33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7"/>
        <v>test.Base64_20_</v>
      </c>
      <c r="D158">
        <v>32</v>
      </c>
      <c r="E158" s="4">
        <v>1</v>
      </c>
      <c r="F158" s="4">
        <v>0.93530648552482609</v>
      </c>
      <c r="G158" s="4" t="str">
        <f t="shared" si="28"/>
        <v/>
      </c>
      <c r="H158" s="4" t="str">
        <f t="shared" si="29"/>
        <v/>
      </c>
      <c r="I158" s="4" t="str">
        <f t="shared" si="30"/>
        <v/>
      </c>
      <c r="J158" s="4" t="str">
        <f t="shared" si="31"/>
        <v/>
      </c>
      <c r="K158" s="4">
        <f t="shared" si="32"/>
        <v>1</v>
      </c>
      <c r="L158" s="4" t="str">
        <f t="shared" si="33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7"/>
        <v>test.Base64_20_</v>
      </c>
      <c r="D159">
        <v>33</v>
      </c>
      <c r="E159" s="4">
        <v>1</v>
      </c>
      <c r="F159" s="4">
        <v>1.0635613779718582</v>
      </c>
      <c r="G159" s="4" t="str">
        <f t="shared" si="28"/>
        <v/>
      </c>
      <c r="H159" s="4" t="str">
        <f t="shared" si="29"/>
        <v/>
      </c>
      <c r="I159" s="4" t="str">
        <f t="shared" si="30"/>
        <v/>
      </c>
      <c r="J159" s="4" t="str">
        <f t="shared" si="31"/>
        <v/>
      </c>
      <c r="K159" s="4">
        <f t="shared" si="32"/>
        <v>1</v>
      </c>
      <c r="L159" s="4" t="str">
        <f t="shared" si="33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7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8"/>
        <v>4.4642857142857144E-2</v>
      </c>
      <c r="H160" s="4" t="str">
        <f t="shared" si="29"/>
        <v/>
      </c>
      <c r="I160" s="4" t="str">
        <f t="shared" si="30"/>
        <v/>
      </c>
      <c r="J160" s="4" t="str">
        <f t="shared" si="31"/>
        <v/>
      </c>
      <c r="K160" s="4" t="str">
        <f t="shared" si="32"/>
        <v/>
      </c>
      <c r="L160" s="4" t="str">
        <f t="shared" si="33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7"/>
        <v>test.Class11_2_</v>
      </c>
      <c r="D161">
        <v>2</v>
      </c>
      <c r="E161" s="4">
        <v>0.5</v>
      </c>
      <c r="F161" s="4">
        <v>0.50975715524718124</v>
      </c>
      <c r="G161" s="4" t="str">
        <f t="shared" si="28"/>
        <v/>
      </c>
      <c r="H161" s="4" t="str">
        <f t="shared" si="29"/>
        <v/>
      </c>
      <c r="I161" s="4">
        <f t="shared" si="30"/>
        <v>0.5</v>
      </c>
      <c r="J161" s="4" t="str">
        <f t="shared" si="31"/>
        <v/>
      </c>
      <c r="K161" s="4" t="str">
        <f t="shared" si="32"/>
        <v/>
      </c>
      <c r="L161" s="4" t="str">
        <f t="shared" si="33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7"/>
        <v>test.Class11_2_</v>
      </c>
      <c r="D162">
        <v>3</v>
      </c>
      <c r="E162" s="4">
        <v>1</v>
      </c>
      <c r="F162" s="4">
        <v>0.99739809193408502</v>
      </c>
      <c r="G162" s="4" t="str">
        <f t="shared" si="28"/>
        <v/>
      </c>
      <c r="H162" s="4" t="str">
        <f t="shared" si="29"/>
        <v/>
      </c>
      <c r="I162" s="4" t="str">
        <f t="shared" si="30"/>
        <v/>
      </c>
      <c r="J162" s="4" t="str">
        <f t="shared" si="31"/>
        <v/>
      </c>
      <c r="K162" s="4">
        <f t="shared" si="32"/>
        <v>1</v>
      </c>
      <c r="L162" s="4" t="str">
        <f t="shared" si="33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7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8"/>
        <v/>
      </c>
      <c r="H163" s="4" t="str">
        <f t="shared" si="29"/>
        <v/>
      </c>
      <c r="I163" s="4" t="str">
        <f t="shared" si="30"/>
        <v/>
      </c>
      <c r="J163" s="4" t="str">
        <f t="shared" si="31"/>
        <v/>
      </c>
      <c r="K163" s="4">
        <f t="shared" si="32"/>
        <v>0.93181818181818177</v>
      </c>
      <c r="L163" s="4" t="str">
        <f t="shared" si="33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7"/>
        <v>test.Class11_3_</v>
      </c>
      <c r="D164">
        <v>2</v>
      </c>
      <c r="E164" s="4">
        <v>1</v>
      </c>
      <c r="F164" s="4">
        <v>1.0032171581769438</v>
      </c>
      <c r="G164" s="4" t="str">
        <f t="shared" si="28"/>
        <v/>
      </c>
      <c r="H164" s="4" t="str">
        <f t="shared" si="29"/>
        <v/>
      </c>
      <c r="I164" s="4" t="str">
        <f t="shared" si="30"/>
        <v/>
      </c>
      <c r="J164" s="4" t="str">
        <f t="shared" si="31"/>
        <v/>
      </c>
      <c r="K164" s="4">
        <f t="shared" si="32"/>
        <v>1</v>
      </c>
      <c r="L164" s="4" t="str">
        <f t="shared" si="33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7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8"/>
        <v/>
      </c>
      <c r="H165" s="4" t="str">
        <f t="shared" si="29"/>
        <v/>
      </c>
      <c r="I165" s="4" t="str">
        <f t="shared" si="30"/>
        <v/>
      </c>
      <c r="J165" s="4" t="str">
        <f t="shared" si="31"/>
        <v/>
      </c>
      <c r="K165" s="4">
        <f t="shared" si="32"/>
        <v>0.93023255813953487</v>
      </c>
      <c r="L165" s="4" t="str">
        <f t="shared" si="33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7"/>
        <v>test.Class11_7_</v>
      </c>
      <c r="D166">
        <v>2</v>
      </c>
      <c r="E166" s="4">
        <v>1</v>
      </c>
      <c r="F166" s="4">
        <v>1.012394366197183</v>
      </c>
      <c r="G166" s="4" t="str">
        <f t="shared" si="28"/>
        <v/>
      </c>
      <c r="H166" s="4" t="str">
        <f t="shared" si="29"/>
        <v/>
      </c>
      <c r="I166" s="4" t="str">
        <f t="shared" si="30"/>
        <v/>
      </c>
      <c r="J166" s="4" t="str">
        <f t="shared" si="31"/>
        <v/>
      </c>
      <c r="K166" s="4">
        <f t="shared" si="32"/>
        <v>1</v>
      </c>
      <c r="L166" s="4" t="str">
        <f t="shared" si="33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7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8"/>
        <v>0.11576354679802955</v>
      </c>
      <c r="H167" s="4" t="str">
        <f t="shared" si="29"/>
        <v/>
      </c>
      <c r="I167" s="4" t="str">
        <f t="shared" si="30"/>
        <v/>
      </c>
      <c r="J167" s="4" t="str">
        <f t="shared" si="31"/>
        <v/>
      </c>
      <c r="K167" s="4" t="str">
        <f t="shared" si="32"/>
        <v/>
      </c>
      <c r="L167" s="4" t="str">
        <f t="shared" si="33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7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8"/>
        <v>0.11576354679802955</v>
      </c>
      <c r="H168" s="4" t="str">
        <f t="shared" si="29"/>
        <v/>
      </c>
      <c r="I168" s="4" t="str">
        <f t="shared" si="30"/>
        <v/>
      </c>
      <c r="J168" s="4" t="str">
        <f t="shared" si="31"/>
        <v/>
      </c>
      <c r="K168" s="4" t="str">
        <f t="shared" si="32"/>
        <v/>
      </c>
      <c r="L168" s="4" t="str">
        <f t="shared" si="33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7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8"/>
        <v>0.11576354679802955</v>
      </c>
      <c r="H169" s="4" t="str">
        <f t="shared" si="29"/>
        <v/>
      </c>
      <c r="I169" s="4" t="str">
        <f t="shared" si="30"/>
        <v/>
      </c>
      <c r="J169" s="4" t="str">
        <f t="shared" si="31"/>
        <v/>
      </c>
      <c r="K169" s="4" t="str">
        <f t="shared" si="32"/>
        <v/>
      </c>
      <c r="L169" s="4" t="str">
        <f t="shared" si="33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7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8"/>
        <v>0.11576354679802955</v>
      </c>
      <c r="H170" s="4" t="str">
        <f t="shared" si="29"/>
        <v/>
      </c>
      <c r="I170" s="4" t="str">
        <f t="shared" si="30"/>
        <v/>
      </c>
      <c r="J170" s="4" t="str">
        <f t="shared" si="31"/>
        <v/>
      </c>
      <c r="K170" s="4" t="str">
        <f t="shared" si="32"/>
        <v/>
      </c>
      <c r="L170" s="4" t="str">
        <f t="shared" si="33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7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8"/>
        <v>0.20689655172413793</v>
      </c>
      <c r="H171" s="4" t="str">
        <f t="shared" si="29"/>
        <v/>
      </c>
      <c r="I171" s="4" t="str">
        <f t="shared" si="30"/>
        <v/>
      </c>
      <c r="J171" s="4" t="str">
        <f t="shared" si="31"/>
        <v/>
      </c>
      <c r="K171" s="4" t="str">
        <f t="shared" si="32"/>
        <v/>
      </c>
      <c r="L171" s="4" t="str">
        <f t="shared" si="33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7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8"/>
        <v>0.20689655172413793</v>
      </c>
      <c r="H172" s="4" t="str">
        <f t="shared" si="29"/>
        <v/>
      </c>
      <c r="I172" s="4" t="str">
        <f t="shared" si="30"/>
        <v/>
      </c>
      <c r="J172" s="4" t="str">
        <f t="shared" si="31"/>
        <v/>
      </c>
      <c r="K172" s="4" t="str">
        <f t="shared" si="32"/>
        <v/>
      </c>
      <c r="L172" s="4" t="str">
        <f t="shared" si="33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7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8"/>
        <v>0.20689655172413793</v>
      </c>
      <c r="H173" s="4" t="str">
        <f t="shared" si="29"/>
        <v/>
      </c>
      <c r="I173" s="4" t="str">
        <f t="shared" si="30"/>
        <v/>
      </c>
      <c r="J173" s="4" t="str">
        <f t="shared" si="31"/>
        <v/>
      </c>
      <c r="K173" s="4" t="str">
        <f t="shared" si="32"/>
        <v/>
      </c>
      <c r="L173" s="4" t="str">
        <f t="shared" si="33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7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8"/>
        <v>0.20689655172413793</v>
      </c>
      <c r="H174" s="4" t="str">
        <f t="shared" si="29"/>
        <v/>
      </c>
      <c r="I174" s="4" t="str">
        <f t="shared" si="30"/>
        <v/>
      </c>
      <c r="J174" s="4" t="str">
        <f t="shared" si="31"/>
        <v/>
      </c>
      <c r="K174" s="4" t="str">
        <f t="shared" si="32"/>
        <v/>
      </c>
      <c r="L174" s="4" t="str">
        <f t="shared" si="33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7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8"/>
        <v>0.22167487684729065</v>
      </c>
      <c r="H175" s="4" t="str">
        <f t="shared" si="29"/>
        <v/>
      </c>
      <c r="I175" s="4" t="str">
        <f t="shared" si="30"/>
        <v/>
      </c>
      <c r="J175" s="4" t="str">
        <f t="shared" si="31"/>
        <v/>
      </c>
      <c r="K175" s="4" t="str">
        <f t="shared" si="32"/>
        <v/>
      </c>
      <c r="L175" s="4" t="str">
        <f t="shared" si="33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7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8"/>
        <v>0.22167487684729065</v>
      </c>
      <c r="H176" s="4" t="str">
        <f t="shared" si="29"/>
        <v/>
      </c>
      <c r="I176" s="4" t="str">
        <f t="shared" si="30"/>
        <v/>
      </c>
      <c r="J176" s="4" t="str">
        <f t="shared" si="31"/>
        <v/>
      </c>
      <c r="K176" s="4" t="str">
        <f t="shared" si="32"/>
        <v/>
      </c>
      <c r="L176" s="4" t="str">
        <f t="shared" si="33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7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8"/>
        <v>0.22167487684729065</v>
      </c>
      <c r="H177" s="4" t="str">
        <f t="shared" si="29"/>
        <v/>
      </c>
      <c r="I177" s="4" t="str">
        <f t="shared" si="30"/>
        <v/>
      </c>
      <c r="J177" s="4" t="str">
        <f t="shared" si="31"/>
        <v/>
      </c>
      <c r="K177" s="4" t="str">
        <f t="shared" si="32"/>
        <v/>
      </c>
      <c r="L177" s="4" t="str">
        <f t="shared" si="33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7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8"/>
        <v>0.22167487684729065</v>
      </c>
      <c r="H178" s="4" t="str">
        <f t="shared" si="29"/>
        <v/>
      </c>
      <c r="I178" s="4" t="str">
        <f t="shared" si="30"/>
        <v/>
      </c>
      <c r="J178" s="4" t="str">
        <f t="shared" si="31"/>
        <v/>
      </c>
      <c r="K178" s="4" t="str">
        <f t="shared" si="32"/>
        <v/>
      </c>
      <c r="L178" s="4" t="str">
        <f t="shared" si="33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7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8"/>
        <v>0.22167487684729065</v>
      </c>
      <c r="H179" s="4" t="str">
        <f t="shared" si="29"/>
        <v/>
      </c>
      <c r="I179" s="4" t="str">
        <f t="shared" si="30"/>
        <v/>
      </c>
      <c r="J179" s="4" t="str">
        <f t="shared" si="31"/>
        <v/>
      </c>
      <c r="K179" s="4" t="str">
        <f t="shared" si="32"/>
        <v/>
      </c>
      <c r="L179" s="4" t="str">
        <f t="shared" si="33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7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8"/>
        <v>0.22167487684729065</v>
      </c>
      <c r="H180" s="4" t="str">
        <f t="shared" si="29"/>
        <v/>
      </c>
      <c r="I180" s="4" t="str">
        <f t="shared" si="30"/>
        <v/>
      </c>
      <c r="J180" s="4" t="str">
        <f t="shared" si="31"/>
        <v/>
      </c>
      <c r="K180" s="4" t="str">
        <f t="shared" si="32"/>
        <v/>
      </c>
      <c r="L180" s="4" t="str">
        <f t="shared" si="33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7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8"/>
        <v>0.22167487684729065</v>
      </c>
      <c r="H181" s="4" t="str">
        <f t="shared" si="29"/>
        <v/>
      </c>
      <c r="I181" s="4" t="str">
        <f t="shared" si="30"/>
        <v/>
      </c>
      <c r="J181" s="4" t="str">
        <f t="shared" si="31"/>
        <v/>
      </c>
      <c r="K181" s="4" t="str">
        <f t="shared" si="32"/>
        <v/>
      </c>
      <c r="L181" s="4" t="str">
        <f t="shared" si="33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7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8"/>
        <v>0.22167487684729065</v>
      </c>
      <c r="H182" s="4" t="str">
        <f t="shared" si="29"/>
        <v/>
      </c>
      <c r="I182" s="4" t="str">
        <f t="shared" si="30"/>
        <v/>
      </c>
      <c r="J182" s="4" t="str">
        <f t="shared" si="31"/>
        <v/>
      </c>
      <c r="K182" s="4" t="str">
        <f t="shared" si="32"/>
        <v/>
      </c>
      <c r="L182" s="4" t="str">
        <f t="shared" si="33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7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8"/>
        <v>0.33743842364532017</v>
      </c>
      <c r="H183" s="4" t="str">
        <f t="shared" si="29"/>
        <v/>
      </c>
      <c r="I183" s="4" t="str">
        <f t="shared" si="30"/>
        <v/>
      </c>
      <c r="J183" s="4" t="str">
        <f t="shared" si="31"/>
        <v/>
      </c>
      <c r="K183" s="4" t="str">
        <f t="shared" si="32"/>
        <v/>
      </c>
      <c r="L183" s="4" t="str">
        <f t="shared" si="33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7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8"/>
        <v>0.45073891625615764</v>
      </c>
      <c r="H184" s="4" t="str">
        <f t="shared" si="29"/>
        <v/>
      </c>
      <c r="I184" s="4" t="str">
        <f t="shared" si="30"/>
        <v/>
      </c>
      <c r="J184" s="4" t="str">
        <f t="shared" si="31"/>
        <v/>
      </c>
      <c r="K184" s="4" t="str">
        <f t="shared" si="32"/>
        <v/>
      </c>
      <c r="L184" s="4" t="str">
        <f t="shared" si="33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7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8"/>
        <v>0.58620689655172409</v>
      </c>
      <c r="H185" s="4" t="str">
        <f t="shared" si="29"/>
        <v/>
      </c>
      <c r="I185" s="4" t="str">
        <f t="shared" si="30"/>
        <v/>
      </c>
      <c r="J185" s="4" t="str">
        <f t="shared" si="31"/>
        <v/>
      </c>
      <c r="K185" s="4" t="str">
        <f t="shared" si="32"/>
        <v/>
      </c>
      <c r="L185" s="4" t="str">
        <f t="shared" si="33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7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8"/>
        <v>0.58620689655172409</v>
      </c>
      <c r="H186" s="4" t="str">
        <f t="shared" si="29"/>
        <v/>
      </c>
      <c r="I186" s="4" t="str">
        <f t="shared" si="30"/>
        <v/>
      </c>
      <c r="J186" s="4" t="str">
        <f t="shared" si="31"/>
        <v/>
      </c>
      <c r="K186" s="4" t="str">
        <f t="shared" si="32"/>
        <v/>
      </c>
      <c r="L186" s="4" t="str">
        <f t="shared" si="33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7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8"/>
        <v>0.58620689655172409</v>
      </c>
      <c r="H187" s="4" t="str">
        <f t="shared" si="29"/>
        <v/>
      </c>
      <c r="I187" s="4" t="str">
        <f t="shared" si="30"/>
        <v/>
      </c>
      <c r="J187" s="4" t="str">
        <f t="shared" si="31"/>
        <v/>
      </c>
      <c r="K187" s="4" t="str">
        <f t="shared" si="32"/>
        <v/>
      </c>
      <c r="L187" s="4" t="str">
        <f t="shared" si="33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7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8"/>
        <v>0.58620689655172409</v>
      </c>
      <c r="H188" s="4" t="str">
        <f t="shared" si="29"/>
        <v/>
      </c>
      <c r="I188" s="4" t="str">
        <f t="shared" si="30"/>
        <v/>
      </c>
      <c r="J188" s="4" t="str">
        <f t="shared" si="31"/>
        <v/>
      </c>
      <c r="K188" s="4" t="str">
        <f t="shared" si="32"/>
        <v/>
      </c>
      <c r="L188" s="4" t="str">
        <f t="shared" si="33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7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8"/>
        <v/>
      </c>
      <c r="H189" s="4">
        <f t="shared" si="29"/>
        <v>0.77093596059113301</v>
      </c>
      <c r="I189" s="4" t="str">
        <f t="shared" si="30"/>
        <v/>
      </c>
      <c r="J189" s="4" t="str">
        <f t="shared" si="31"/>
        <v/>
      </c>
      <c r="K189" s="4" t="str">
        <f t="shared" si="32"/>
        <v/>
      </c>
      <c r="L189" s="4" t="str">
        <f t="shared" si="33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7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8"/>
        <v/>
      </c>
      <c r="H190" s="4">
        <f t="shared" si="29"/>
        <v>0.77093596059113301</v>
      </c>
      <c r="I190" s="4" t="str">
        <f t="shared" si="30"/>
        <v/>
      </c>
      <c r="J190" s="4" t="str">
        <f t="shared" si="31"/>
        <v/>
      </c>
      <c r="K190" s="4" t="str">
        <f t="shared" si="32"/>
        <v/>
      </c>
      <c r="L190" s="4" t="str">
        <f t="shared" si="33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7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8"/>
        <v/>
      </c>
      <c r="H191" s="4">
        <f t="shared" si="29"/>
        <v>0.77093596059113301</v>
      </c>
      <c r="I191" s="4" t="str">
        <f t="shared" si="30"/>
        <v/>
      </c>
      <c r="J191" s="4" t="str">
        <f t="shared" si="31"/>
        <v/>
      </c>
      <c r="K191" s="4" t="str">
        <f t="shared" si="32"/>
        <v/>
      </c>
      <c r="L191" s="4" t="str">
        <f t="shared" si="33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7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8"/>
        <v/>
      </c>
      <c r="H192" s="4">
        <f t="shared" si="29"/>
        <v>0.77093596059113301</v>
      </c>
      <c r="I192" s="4" t="str">
        <f t="shared" si="30"/>
        <v/>
      </c>
      <c r="J192" s="4" t="str">
        <f t="shared" si="31"/>
        <v/>
      </c>
      <c r="K192" s="4" t="str">
        <f t="shared" si="32"/>
        <v/>
      </c>
      <c r="L192" s="4" t="str">
        <f t="shared" si="33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7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8"/>
        <v/>
      </c>
      <c r="H193" s="4">
        <f t="shared" si="29"/>
        <v>0.77093596059113301</v>
      </c>
      <c r="I193" s="4" t="str">
        <f t="shared" si="30"/>
        <v/>
      </c>
      <c r="J193" s="4" t="str">
        <f t="shared" si="31"/>
        <v/>
      </c>
      <c r="K193" s="4" t="str">
        <f t="shared" si="32"/>
        <v/>
      </c>
      <c r="L193" s="4" t="str">
        <f t="shared" si="33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7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8"/>
        <v/>
      </c>
      <c r="H194" s="4">
        <f t="shared" si="29"/>
        <v>0.77093596059113301</v>
      </c>
      <c r="I194" s="4" t="str">
        <f t="shared" si="30"/>
        <v/>
      </c>
      <c r="J194" s="4" t="str">
        <f t="shared" si="31"/>
        <v/>
      </c>
      <c r="K194" s="4" t="str">
        <f t="shared" si="32"/>
        <v/>
      </c>
      <c r="L194" s="4" t="str">
        <f t="shared" si="33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4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35">IF($F195 &lt;= 0.2,$E195,"")</f>
        <v/>
      </c>
      <c r="H195" s="4">
        <f t="shared" ref="H195:H258" si="36">IF(AND($F195 &gt; 0.2,$F195 &lt;= 0.4),$E195,"")</f>
        <v>0.77093596059113301</v>
      </c>
      <c r="I195" s="4" t="str">
        <f t="shared" ref="I195:I258" si="37">IF(AND($F195 &gt; 0.4,$F195 &lt;= 0.6),$E195,"")</f>
        <v/>
      </c>
      <c r="J195" s="4" t="str">
        <f t="shared" ref="J195:J258" si="38">IF(AND($F195 &gt; 0.6,$F195 &lt;= 0.8),$E195,"")</f>
        <v/>
      </c>
      <c r="K195" s="4" t="str">
        <f t="shared" ref="K195:K258" si="39">IF(AND($F195 &gt; 0.8, $F195 &lt;=1.1),$E195,"")</f>
        <v/>
      </c>
      <c r="L195" s="4" t="str">
        <f t="shared" ref="L195:L258" si="40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4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35"/>
        <v/>
      </c>
      <c r="H196" s="4">
        <f t="shared" si="36"/>
        <v>0.77093596059113301</v>
      </c>
      <c r="I196" s="4" t="str">
        <f t="shared" si="37"/>
        <v/>
      </c>
      <c r="J196" s="4" t="str">
        <f t="shared" si="38"/>
        <v/>
      </c>
      <c r="K196" s="4" t="str">
        <f t="shared" si="39"/>
        <v/>
      </c>
      <c r="L196" s="4" t="str">
        <f t="shared" si="40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4"/>
        <v>test.Class11_10_</v>
      </c>
      <c r="D197">
        <v>31</v>
      </c>
      <c r="E197" s="4">
        <v>1</v>
      </c>
      <c r="F197" s="4">
        <v>0.27941621752558587</v>
      </c>
      <c r="G197" s="4" t="str">
        <f t="shared" si="35"/>
        <v/>
      </c>
      <c r="H197" s="4">
        <f t="shared" si="36"/>
        <v>1</v>
      </c>
      <c r="I197" s="4" t="str">
        <f t="shared" si="37"/>
        <v/>
      </c>
      <c r="J197" s="4" t="str">
        <f t="shared" si="38"/>
        <v/>
      </c>
      <c r="K197" s="4" t="str">
        <f t="shared" si="39"/>
        <v/>
      </c>
      <c r="L197" s="4" t="str">
        <f t="shared" si="40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4"/>
        <v>test.Class11_10_</v>
      </c>
      <c r="D198">
        <v>32</v>
      </c>
      <c r="E198" s="4">
        <v>1</v>
      </c>
      <c r="F198" s="4">
        <v>0.29316296251438262</v>
      </c>
      <c r="G198" s="4" t="str">
        <f t="shared" si="35"/>
        <v/>
      </c>
      <c r="H198" s="4">
        <f t="shared" si="36"/>
        <v>1</v>
      </c>
      <c r="I198" s="4" t="str">
        <f t="shared" si="37"/>
        <v/>
      </c>
      <c r="J198" s="4" t="str">
        <f t="shared" si="38"/>
        <v/>
      </c>
      <c r="K198" s="4" t="str">
        <f t="shared" si="39"/>
        <v/>
      </c>
      <c r="L198" s="4" t="str">
        <f t="shared" si="40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4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35"/>
        <v>5.208333333333333E-3</v>
      </c>
      <c r="H199" s="4" t="str">
        <f t="shared" si="36"/>
        <v/>
      </c>
      <c r="I199" s="4" t="str">
        <f t="shared" si="37"/>
        <v/>
      </c>
      <c r="J199" s="4" t="str">
        <f t="shared" si="38"/>
        <v/>
      </c>
      <c r="K199" s="4" t="str">
        <f t="shared" si="39"/>
        <v/>
      </c>
      <c r="L199" s="4" t="str">
        <f t="shared" si="40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4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35"/>
        <v>8.8541666666666671E-2</v>
      </c>
      <c r="H200" s="4" t="str">
        <f t="shared" si="36"/>
        <v/>
      </c>
      <c r="I200" s="4" t="str">
        <f t="shared" si="37"/>
        <v/>
      </c>
      <c r="J200" s="4" t="str">
        <f t="shared" si="38"/>
        <v/>
      </c>
      <c r="K200" s="4" t="str">
        <f t="shared" si="39"/>
        <v/>
      </c>
      <c r="L200" s="4" t="str">
        <f t="shared" si="40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4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35"/>
        <v>0.11979166666666667</v>
      </c>
      <c r="H201" s="4" t="str">
        <f t="shared" si="36"/>
        <v/>
      </c>
      <c r="I201" s="4" t="str">
        <f t="shared" si="37"/>
        <v/>
      </c>
      <c r="J201" s="4" t="str">
        <f t="shared" si="38"/>
        <v/>
      </c>
      <c r="K201" s="4" t="str">
        <f t="shared" si="39"/>
        <v/>
      </c>
      <c r="L201" s="4" t="str">
        <f t="shared" si="40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4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35"/>
        <v/>
      </c>
      <c r="H202" s="4">
        <f t="shared" si="36"/>
        <v>0.26041666666666669</v>
      </c>
      <c r="I202" s="4" t="str">
        <f t="shared" si="37"/>
        <v/>
      </c>
      <c r="J202" s="4" t="str">
        <f t="shared" si="38"/>
        <v/>
      </c>
      <c r="K202" s="4" t="str">
        <f t="shared" si="39"/>
        <v/>
      </c>
      <c r="L202" s="4" t="str">
        <f t="shared" si="40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4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35"/>
        <v/>
      </c>
      <c r="H203" s="4">
        <f t="shared" si="36"/>
        <v>0.40104166666666669</v>
      </c>
      <c r="I203" s="4" t="str">
        <f t="shared" si="37"/>
        <v/>
      </c>
      <c r="J203" s="4" t="str">
        <f t="shared" si="38"/>
        <v/>
      </c>
      <c r="K203" s="4" t="str">
        <f t="shared" si="39"/>
        <v/>
      </c>
      <c r="L203" s="4" t="str">
        <f t="shared" si="40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4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35"/>
        <v/>
      </c>
      <c r="H204" s="4">
        <f t="shared" si="36"/>
        <v>0.54166666666666663</v>
      </c>
      <c r="I204" s="4" t="str">
        <f t="shared" si="37"/>
        <v/>
      </c>
      <c r="J204" s="4" t="str">
        <f t="shared" si="38"/>
        <v/>
      </c>
      <c r="K204" s="4" t="str">
        <f t="shared" si="39"/>
        <v/>
      </c>
      <c r="L204" s="4" t="str">
        <f t="shared" si="40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4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35"/>
        <v/>
      </c>
      <c r="H205" s="4">
        <f t="shared" si="36"/>
        <v>0.68229166666666663</v>
      </c>
      <c r="I205" s="4" t="str">
        <f t="shared" si="37"/>
        <v/>
      </c>
      <c r="J205" s="4" t="str">
        <f t="shared" si="38"/>
        <v/>
      </c>
      <c r="K205" s="4" t="str">
        <f t="shared" si="39"/>
        <v/>
      </c>
      <c r="L205" s="4" t="str">
        <f t="shared" si="40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4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35"/>
        <v/>
      </c>
      <c r="H206" s="4">
        <f t="shared" si="36"/>
        <v>0.68229166666666663</v>
      </c>
      <c r="I206" s="4" t="str">
        <f t="shared" si="37"/>
        <v/>
      </c>
      <c r="J206" s="4" t="str">
        <f t="shared" si="38"/>
        <v/>
      </c>
      <c r="K206" s="4" t="str">
        <f t="shared" si="39"/>
        <v/>
      </c>
      <c r="L206" s="4" t="str">
        <f t="shared" si="40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4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35"/>
        <v/>
      </c>
      <c r="H207" s="4">
        <f t="shared" si="36"/>
        <v>0.68229166666666663</v>
      </c>
      <c r="I207" s="4" t="str">
        <f t="shared" si="37"/>
        <v/>
      </c>
      <c r="J207" s="4" t="str">
        <f t="shared" si="38"/>
        <v/>
      </c>
      <c r="K207" s="4" t="str">
        <f t="shared" si="39"/>
        <v/>
      </c>
      <c r="L207" s="4" t="str">
        <f t="shared" si="40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4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35"/>
        <v/>
      </c>
      <c r="H208" s="4">
        <f t="shared" si="36"/>
        <v>0.68229166666666663</v>
      </c>
      <c r="I208" s="4" t="str">
        <f t="shared" si="37"/>
        <v/>
      </c>
      <c r="J208" s="4" t="str">
        <f t="shared" si="38"/>
        <v/>
      </c>
      <c r="K208" s="4" t="str">
        <f t="shared" si="39"/>
        <v/>
      </c>
      <c r="L208" s="4" t="str">
        <f t="shared" si="40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4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35"/>
        <v/>
      </c>
      <c r="H209" s="4">
        <f t="shared" si="36"/>
        <v>0.68229166666666663</v>
      </c>
      <c r="I209" s="4" t="str">
        <f t="shared" si="37"/>
        <v/>
      </c>
      <c r="J209" s="4" t="str">
        <f t="shared" si="38"/>
        <v/>
      </c>
      <c r="K209" s="4" t="str">
        <f t="shared" si="39"/>
        <v/>
      </c>
      <c r="L209" s="4" t="str">
        <f t="shared" si="40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4"/>
        <v>test.Class11_11_</v>
      </c>
      <c r="D210">
        <v>12</v>
      </c>
      <c r="E210" s="4">
        <v>1</v>
      </c>
      <c r="F210" s="4">
        <v>0.96817558299039785</v>
      </c>
      <c r="G210" s="4" t="str">
        <f t="shared" si="35"/>
        <v/>
      </c>
      <c r="H210" s="4" t="str">
        <f t="shared" si="36"/>
        <v/>
      </c>
      <c r="I210" s="4" t="str">
        <f t="shared" si="37"/>
        <v/>
      </c>
      <c r="J210" s="4" t="str">
        <f t="shared" si="38"/>
        <v/>
      </c>
      <c r="K210" s="4">
        <f t="shared" si="39"/>
        <v>1</v>
      </c>
      <c r="L210" s="4" t="str">
        <f t="shared" si="40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4"/>
        <v>test.Class11_11_</v>
      </c>
      <c r="D211">
        <v>13</v>
      </c>
      <c r="E211" s="4">
        <v>1</v>
      </c>
      <c r="F211" s="4">
        <v>1.0006858710562414</v>
      </c>
      <c r="G211" s="4" t="str">
        <f t="shared" si="35"/>
        <v/>
      </c>
      <c r="H211" s="4" t="str">
        <f t="shared" si="36"/>
        <v/>
      </c>
      <c r="I211" s="4" t="str">
        <f t="shared" si="37"/>
        <v/>
      </c>
      <c r="J211" s="4" t="str">
        <f t="shared" si="38"/>
        <v/>
      </c>
      <c r="K211" s="4">
        <f t="shared" si="39"/>
        <v>1</v>
      </c>
      <c r="L211" s="4" t="str">
        <f t="shared" si="40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4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35"/>
        <v>8.4745762711864406E-3</v>
      </c>
      <c r="H212" s="4" t="str">
        <f t="shared" si="36"/>
        <v/>
      </c>
      <c r="I212" s="4" t="str">
        <f t="shared" si="37"/>
        <v/>
      </c>
      <c r="J212" s="4" t="str">
        <f t="shared" si="38"/>
        <v/>
      </c>
      <c r="K212" s="4" t="str">
        <f t="shared" si="39"/>
        <v/>
      </c>
      <c r="L212" s="4" t="str">
        <f t="shared" si="40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4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35"/>
        <v/>
      </c>
      <c r="H213" s="4" t="str">
        <f t="shared" si="36"/>
        <v/>
      </c>
      <c r="I213" s="4" t="str">
        <f t="shared" si="37"/>
        <v/>
      </c>
      <c r="J213" s="4">
        <f t="shared" si="38"/>
        <v>0.52542372881355937</v>
      </c>
      <c r="K213" s="4" t="str">
        <f t="shared" si="39"/>
        <v/>
      </c>
      <c r="L213" s="4" t="str">
        <f t="shared" si="40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4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35"/>
        <v/>
      </c>
      <c r="H214" s="4" t="str">
        <f t="shared" si="36"/>
        <v/>
      </c>
      <c r="I214" s="4" t="str">
        <f t="shared" si="37"/>
        <v/>
      </c>
      <c r="J214" s="4">
        <f t="shared" si="38"/>
        <v>0.55932203389830504</v>
      </c>
      <c r="K214" s="4" t="str">
        <f t="shared" si="39"/>
        <v/>
      </c>
      <c r="L214" s="4" t="str">
        <f t="shared" si="40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4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35"/>
        <v/>
      </c>
      <c r="H215" s="4" t="str">
        <f t="shared" si="36"/>
        <v/>
      </c>
      <c r="I215" s="4" t="str">
        <f t="shared" si="37"/>
        <v/>
      </c>
      <c r="J215" s="4">
        <f t="shared" si="38"/>
        <v>0.59322033898305082</v>
      </c>
      <c r="K215" s="4" t="str">
        <f t="shared" si="39"/>
        <v/>
      </c>
      <c r="L215" s="4" t="str">
        <f t="shared" si="40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4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35"/>
        <v/>
      </c>
      <c r="H216" s="4" t="str">
        <f t="shared" si="36"/>
        <v/>
      </c>
      <c r="I216" s="4" t="str">
        <f t="shared" si="37"/>
        <v/>
      </c>
      <c r="J216" s="4">
        <f t="shared" si="38"/>
        <v>0.71186440677966101</v>
      </c>
      <c r="K216" s="4" t="str">
        <f t="shared" si="39"/>
        <v/>
      </c>
      <c r="L216" s="4" t="str">
        <f t="shared" si="40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4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35"/>
        <v/>
      </c>
      <c r="H217" s="4" t="str">
        <f t="shared" si="36"/>
        <v/>
      </c>
      <c r="I217" s="4" t="str">
        <f t="shared" si="37"/>
        <v/>
      </c>
      <c r="J217" s="4">
        <f t="shared" si="38"/>
        <v>0.88983050847457623</v>
      </c>
      <c r="K217" s="4" t="str">
        <f t="shared" si="39"/>
        <v/>
      </c>
      <c r="L217" s="4" t="str">
        <f t="shared" si="40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4"/>
        <v>test.Class11_12_</v>
      </c>
      <c r="D218">
        <v>7</v>
      </c>
      <c r="E218" s="4">
        <v>1</v>
      </c>
      <c r="F218" s="4">
        <v>0.73529411764705888</v>
      </c>
      <c r="G218" s="4" t="str">
        <f t="shared" si="35"/>
        <v/>
      </c>
      <c r="H218" s="4" t="str">
        <f t="shared" si="36"/>
        <v/>
      </c>
      <c r="I218" s="4" t="str">
        <f t="shared" si="37"/>
        <v/>
      </c>
      <c r="J218" s="4">
        <f t="shared" si="38"/>
        <v>1</v>
      </c>
      <c r="K218" s="4" t="str">
        <f t="shared" si="39"/>
        <v/>
      </c>
      <c r="L218" s="4" t="str">
        <f t="shared" si="40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4"/>
        <v>test.Class11_12_</v>
      </c>
      <c r="D219">
        <v>8</v>
      </c>
      <c r="E219" s="4">
        <v>1</v>
      </c>
      <c r="F219" s="4">
        <v>0.76338893766461813</v>
      </c>
      <c r="G219" s="4" t="str">
        <f t="shared" si="35"/>
        <v/>
      </c>
      <c r="H219" s="4" t="str">
        <f t="shared" si="36"/>
        <v/>
      </c>
      <c r="I219" s="4" t="str">
        <f t="shared" si="37"/>
        <v/>
      </c>
      <c r="J219" s="4">
        <f t="shared" si="38"/>
        <v>1</v>
      </c>
      <c r="K219" s="4" t="str">
        <f t="shared" si="39"/>
        <v/>
      </c>
      <c r="L219" s="4" t="str">
        <f t="shared" si="40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4"/>
        <v>test.Class11_12_</v>
      </c>
      <c r="D220">
        <v>9</v>
      </c>
      <c r="E220" s="4">
        <v>1</v>
      </c>
      <c r="F220" s="4">
        <v>0.80114135206321335</v>
      </c>
      <c r="G220" s="4" t="str">
        <f t="shared" si="35"/>
        <v/>
      </c>
      <c r="H220" s="4" t="str">
        <f t="shared" si="36"/>
        <v/>
      </c>
      <c r="I220" s="4" t="str">
        <f t="shared" si="37"/>
        <v/>
      </c>
      <c r="J220" s="4" t="str">
        <f t="shared" si="38"/>
        <v/>
      </c>
      <c r="K220" s="4">
        <f t="shared" si="39"/>
        <v>1</v>
      </c>
      <c r="L220" s="4" t="str">
        <f t="shared" si="40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4"/>
        <v>test.Class11_12_</v>
      </c>
      <c r="D221">
        <v>10</v>
      </c>
      <c r="E221" s="4">
        <v>1</v>
      </c>
      <c r="F221" s="4">
        <v>0.82462686567164178</v>
      </c>
      <c r="G221" s="4" t="str">
        <f t="shared" si="35"/>
        <v/>
      </c>
      <c r="H221" s="4" t="str">
        <f t="shared" si="36"/>
        <v/>
      </c>
      <c r="I221" s="4" t="str">
        <f t="shared" si="37"/>
        <v/>
      </c>
      <c r="J221" s="4" t="str">
        <f t="shared" si="38"/>
        <v/>
      </c>
      <c r="K221" s="4">
        <f t="shared" si="39"/>
        <v>1</v>
      </c>
      <c r="L221" s="4" t="str">
        <f t="shared" si="40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4"/>
        <v>test.Class11_12_</v>
      </c>
      <c r="D222">
        <v>11</v>
      </c>
      <c r="E222" s="4">
        <v>1</v>
      </c>
      <c r="F222" s="4">
        <v>0.86523266022827039</v>
      </c>
      <c r="G222" s="4" t="str">
        <f t="shared" si="35"/>
        <v/>
      </c>
      <c r="H222" s="4" t="str">
        <f t="shared" si="36"/>
        <v/>
      </c>
      <c r="I222" s="4" t="str">
        <f t="shared" si="37"/>
        <v/>
      </c>
      <c r="J222" s="4" t="str">
        <f t="shared" si="38"/>
        <v/>
      </c>
      <c r="K222" s="4">
        <f t="shared" si="39"/>
        <v>1</v>
      </c>
      <c r="L222" s="4" t="str">
        <f t="shared" si="40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4"/>
        <v>test.Class11_12_</v>
      </c>
      <c r="D223">
        <v>12</v>
      </c>
      <c r="E223" s="4">
        <v>1</v>
      </c>
      <c r="F223" s="4">
        <v>0.86940298507462688</v>
      </c>
      <c r="G223" s="4" t="str">
        <f t="shared" si="35"/>
        <v/>
      </c>
      <c r="H223" s="4" t="str">
        <f t="shared" si="36"/>
        <v/>
      </c>
      <c r="I223" s="4" t="str">
        <f t="shared" si="37"/>
        <v/>
      </c>
      <c r="J223" s="4" t="str">
        <f t="shared" si="38"/>
        <v/>
      </c>
      <c r="K223" s="4">
        <f t="shared" si="39"/>
        <v>1</v>
      </c>
      <c r="L223" s="4" t="str">
        <f t="shared" si="40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4"/>
        <v>test.Class11_12_</v>
      </c>
      <c r="D224">
        <v>13</v>
      </c>
      <c r="E224" s="4">
        <v>1</v>
      </c>
      <c r="F224" s="4">
        <v>0.87181738366988581</v>
      </c>
      <c r="G224" s="4" t="str">
        <f t="shared" si="35"/>
        <v/>
      </c>
      <c r="H224" s="4" t="str">
        <f t="shared" si="36"/>
        <v/>
      </c>
      <c r="I224" s="4" t="str">
        <f t="shared" si="37"/>
        <v/>
      </c>
      <c r="J224" s="4" t="str">
        <f t="shared" si="38"/>
        <v/>
      </c>
      <c r="K224" s="4">
        <f t="shared" si="39"/>
        <v>1</v>
      </c>
      <c r="L224" s="4" t="str">
        <f t="shared" si="40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4"/>
        <v>test.Class11_12_</v>
      </c>
      <c r="D225">
        <v>14</v>
      </c>
      <c r="E225" s="4">
        <v>1</v>
      </c>
      <c r="F225" s="4">
        <v>0.88564530289727827</v>
      </c>
      <c r="G225" s="4" t="str">
        <f t="shared" si="35"/>
        <v/>
      </c>
      <c r="H225" s="4" t="str">
        <f t="shared" si="36"/>
        <v/>
      </c>
      <c r="I225" s="4" t="str">
        <f t="shared" si="37"/>
        <v/>
      </c>
      <c r="J225" s="4" t="str">
        <f t="shared" si="38"/>
        <v/>
      </c>
      <c r="K225" s="4">
        <f t="shared" si="39"/>
        <v>1</v>
      </c>
      <c r="L225" s="4" t="str">
        <f t="shared" si="40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4"/>
        <v>test.Class11_12_</v>
      </c>
      <c r="D226">
        <v>15</v>
      </c>
      <c r="E226" s="4">
        <v>1</v>
      </c>
      <c r="F226" s="4">
        <v>0.90605794556628627</v>
      </c>
      <c r="G226" s="4" t="str">
        <f t="shared" si="35"/>
        <v/>
      </c>
      <c r="H226" s="4" t="str">
        <f t="shared" si="36"/>
        <v/>
      </c>
      <c r="I226" s="4" t="str">
        <f t="shared" si="37"/>
        <v/>
      </c>
      <c r="J226" s="4" t="str">
        <f t="shared" si="38"/>
        <v/>
      </c>
      <c r="K226" s="4">
        <f t="shared" si="39"/>
        <v>1</v>
      </c>
      <c r="L226" s="4" t="str">
        <f t="shared" si="40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4"/>
        <v>test.Class11_12_</v>
      </c>
      <c r="D227">
        <v>16</v>
      </c>
      <c r="E227" s="4">
        <v>1</v>
      </c>
      <c r="F227" s="4">
        <v>0.94534679543459177</v>
      </c>
      <c r="G227" s="4" t="str">
        <f t="shared" si="35"/>
        <v/>
      </c>
      <c r="H227" s="4" t="str">
        <f t="shared" si="36"/>
        <v/>
      </c>
      <c r="I227" s="4" t="str">
        <f t="shared" si="37"/>
        <v/>
      </c>
      <c r="J227" s="4" t="str">
        <f t="shared" si="38"/>
        <v/>
      </c>
      <c r="K227" s="4">
        <f t="shared" si="39"/>
        <v>1</v>
      </c>
      <c r="L227" s="4" t="str">
        <f t="shared" si="40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4"/>
        <v>test.Class11_12_</v>
      </c>
      <c r="D228">
        <v>17</v>
      </c>
      <c r="E228" s="4">
        <v>1</v>
      </c>
      <c r="F228" s="4">
        <v>0.99978050921861283</v>
      </c>
      <c r="G228" s="4" t="str">
        <f t="shared" si="35"/>
        <v/>
      </c>
      <c r="H228" s="4" t="str">
        <f t="shared" si="36"/>
        <v/>
      </c>
      <c r="I228" s="4" t="str">
        <f t="shared" si="37"/>
        <v/>
      </c>
      <c r="J228" s="4" t="str">
        <f t="shared" si="38"/>
        <v/>
      </c>
      <c r="K228" s="4">
        <f t="shared" si="39"/>
        <v>1</v>
      </c>
      <c r="L228" s="4" t="str">
        <f t="shared" si="40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4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35"/>
        <v/>
      </c>
      <c r="H229" s="4">
        <f t="shared" si="36"/>
        <v>0.20454545454545456</v>
      </c>
      <c r="I229" s="4" t="str">
        <f t="shared" si="37"/>
        <v/>
      </c>
      <c r="J229" s="4" t="str">
        <f t="shared" si="38"/>
        <v/>
      </c>
      <c r="K229" s="4" t="str">
        <f t="shared" si="39"/>
        <v/>
      </c>
      <c r="L229" s="4" t="str">
        <f t="shared" si="40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4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35"/>
        <v/>
      </c>
      <c r="H230" s="4" t="str">
        <f t="shared" si="36"/>
        <v/>
      </c>
      <c r="I230" s="4">
        <f t="shared" si="37"/>
        <v>0.38636363636363635</v>
      </c>
      <c r="J230" s="4" t="str">
        <f t="shared" si="38"/>
        <v/>
      </c>
      <c r="K230" s="4" t="str">
        <f t="shared" si="39"/>
        <v/>
      </c>
      <c r="L230" s="4" t="str">
        <f t="shared" si="40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4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35"/>
        <v/>
      </c>
      <c r="H231" s="4" t="str">
        <f t="shared" si="36"/>
        <v/>
      </c>
      <c r="I231" s="4">
        <f t="shared" si="37"/>
        <v>0.38636363636363635</v>
      </c>
      <c r="J231" s="4" t="str">
        <f t="shared" si="38"/>
        <v/>
      </c>
      <c r="K231" s="4" t="str">
        <f t="shared" si="39"/>
        <v/>
      </c>
      <c r="L231" s="4" t="str">
        <f t="shared" si="40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4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35"/>
        <v/>
      </c>
      <c r="H232" s="4" t="str">
        <f t="shared" si="36"/>
        <v/>
      </c>
      <c r="I232" s="4">
        <f t="shared" si="37"/>
        <v>0.38636363636363635</v>
      </c>
      <c r="J232" s="4" t="str">
        <f t="shared" si="38"/>
        <v/>
      </c>
      <c r="K232" s="4" t="str">
        <f t="shared" si="39"/>
        <v/>
      </c>
      <c r="L232" s="4" t="str">
        <f t="shared" si="40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4"/>
        <v>test.Class13_1_</v>
      </c>
      <c r="D233">
        <v>5</v>
      </c>
      <c r="E233" s="4">
        <v>1</v>
      </c>
      <c r="F233" s="4">
        <v>0.85432473444613055</v>
      </c>
      <c r="G233" s="4" t="str">
        <f t="shared" si="35"/>
        <v/>
      </c>
      <c r="H233" s="4" t="str">
        <f t="shared" si="36"/>
        <v/>
      </c>
      <c r="I233" s="4" t="str">
        <f t="shared" si="37"/>
        <v/>
      </c>
      <c r="J233" s="4" t="str">
        <f t="shared" si="38"/>
        <v/>
      </c>
      <c r="K233" s="4">
        <f t="shared" si="39"/>
        <v>1</v>
      </c>
      <c r="L233" s="4" t="str">
        <f t="shared" si="40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4"/>
        <v>test.Class13_1_</v>
      </c>
      <c r="D234">
        <v>6</v>
      </c>
      <c r="E234" s="4">
        <v>1</v>
      </c>
      <c r="F234" s="4">
        <v>0.87344461305007592</v>
      </c>
      <c r="G234" s="4" t="str">
        <f t="shared" si="35"/>
        <v/>
      </c>
      <c r="H234" s="4" t="str">
        <f t="shared" si="36"/>
        <v/>
      </c>
      <c r="I234" s="4" t="str">
        <f t="shared" si="37"/>
        <v/>
      </c>
      <c r="J234" s="4" t="str">
        <f t="shared" si="38"/>
        <v/>
      </c>
      <c r="K234" s="4">
        <f t="shared" si="39"/>
        <v>1</v>
      </c>
      <c r="L234" s="4" t="str">
        <f t="shared" si="40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4"/>
        <v>test.Class13_1_</v>
      </c>
      <c r="D235">
        <v>7</v>
      </c>
      <c r="E235" s="4">
        <v>1</v>
      </c>
      <c r="F235" s="4">
        <v>0.89074355083459789</v>
      </c>
      <c r="G235" s="4" t="str">
        <f t="shared" si="35"/>
        <v/>
      </c>
      <c r="H235" s="4" t="str">
        <f t="shared" si="36"/>
        <v/>
      </c>
      <c r="I235" s="4" t="str">
        <f t="shared" si="37"/>
        <v/>
      </c>
      <c r="J235" s="4" t="str">
        <f t="shared" si="38"/>
        <v/>
      </c>
      <c r="K235" s="4">
        <f t="shared" si="39"/>
        <v>1</v>
      </c>
      <c r="L235" s="4" t="str">
        <f t="shared" si="40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4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35"/>
        <v>7.8787878787878782E-2</v>
      </c>
      <c r="H236" s="4" t="str">
        <f t="shared" si="36"/>
        <v/>
      </c>
      <c r="I236" s="4" t="str">
        <f t="shared" si="37"/>
        <v/>
      </c>
      <c r="J236" s="4" t="str">
        <f t="shared" si="38"/>
        <v/>
      </c>
      <c r="K236" s="4" t="str">
        <f t="shared" si="39"/>
        <v/>
      </c>
      <c r="L236" s="4" t="str">
        <f t="shared" si="40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4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35"/>
        <v>9.0909090909090912E-2</v>
      </c>
      <c r="H237" s="4" t="str">
        <f t="shared" si="36"/>
        <v/>
      </c>
      <c r="I237" s="4" t="str">
        <f t="shared" si="37"/>
        <v/>
      </c>
      <c r="J237" s="4" t="str">
        <f t="shared" si="38"/>
        <v/>
      </c>
      <c r="K237" s="4" t="str">
        <f t="shared" si="39"/>
        <v/>
      </c>
      <c r="L237" s="4" t="str">
        <f t="shared" si="40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4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35"/>
        <v>0.12727272727272726</v>
      </c>
      <c r="H238" s="4" t="str">
        <f t="shared" si="36"/>
        <v/>
      </c>
      <c r="I238" s="4" t="str">
        <f t="shared" si="37"/>
        <v/>
      </c>
      <c r="J238" s="4" t="str">
        <f t="shared" si="38"/>
        <v/>
      </c>
      <c r="K238" s="4" t="str">
        <f t="shared" si="39"/>
        <v/>
      </c>
      <c r="L238" s="4" t="str">
        <f t="shared" si="40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4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35"/>
        <v>0.13333333333333333</v>
      </c>
      <c r="H239" s="4" t="str">
        <f t="shared" si="36"/>
        <v/>
      </c>
      <c r="I239" s="4" t="str">
        <f t="shared" si="37"/>
        <v/>
      </c>
      <c r="J239" s="4" t="str">
        <f t="shared" si="38"/>
        <v/>
      </c>
      <c r="K239" s="4" t="str">
        <f t="shared" si="39"/>
        <v/>
      </c>
      <c r="L239" s="4" t="str">
        <f t="shared" si="40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4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35"/>
        <v>0.14545454545454545</v>
      </c>
      <c r="H240" s="4" t="str">
        <f t="shared" si="36"/>
        <v/>
      </c>
      <c r="I240" s="4" t="str">
        <f t="shared" si="37"/>
        <v/>
      </c>
      <c r="J240" s="4" t="str">
        <f t="shared" si="38"/>
        <v/>
      </c>
      <c r="K240" s="4" t="str">
        <f t="shared" si="39"/>
        <v/>
      </c>
      <c r="L240" s="4" t="str">
        <f t="shared" si="40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4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35"/>
        <v>0.15757575757575756</v>
      </c>
      <c r="H241" s="4" t="str">
        <f t="shared" si="36"/>
        <v/>
      </c>
      <c r="I241" s="4" t="str">
        <f t="shared" si="37"/>
        <v/>
      </c>
      <c r="J241" s="4" t="str">
        <f t="shared" si="38"/>
        <v/>
      </c>
      <c r="K241" s="4" t="str">
        <f t="shared" si="39"/>
        <v/>
      </c>
      <c r="L241" s="4" t="str">
        <f t="shared" si="40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4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35"/>
        <v>0.16363636363636364</v>
      </c>
      <c r="H242" s="4" t="str">
        <f t="shared" si="36"/>
        <v/>
      </c>
      <c r="I242" s="4" t="str">
        <f t="shared" si="37"/>
        <v/>
      </c>
      <c r="J242" s="4" t="str">
        <f t="shared" si="38"/>
        <v/>
      </c>
      <c r="K242" s="4" t="str">
        <f t="shared" si="39"/>
        <v/>
      </c>
      <c r="L242" s="4" t="str">
        <f t="shared" si="40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4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35"/>
        <v>0.16969696969696971</v>
      </c>
      <c r="H243" s="4" t="str">
        <f t="shared" si="36"/>
        <v/>
      </c>
      <c r="I243" s="4" t="str">
        <f t="shared" si="37"/>
        <v/>
      </c>
      <c r="J243" s="4" t="str">
        <f t="shared" si="38"/>
        <v/>
      </c>
      <c r="K243" s="4" t="str">
        <f t="shared" si="39"/>
        <v/>
      </c>
      <c r="L243" s="4" t="str">
        <f t="shared" si="40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4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35"/>
        <v>0.18181818181818182</v>
      </c>
      <c r="H244" s="4" t="str">
        <f t="shared" si="36"/>
        <v/>
      </c>
      <c r="I244" s="4" t="str">
        <f t="shared" si="37"/>
        <v/>
      </c>
      <c r="J244" s="4" t="str">
        <f t="shared" si="38"/>
        <v/>
      </c>
      <c r="K244" s="4" t="str">
        <f t="shared" si="39"/>
        <v/>
      </c>
      <c r="L244" s="4" t="str">
        <f t="shared" si="40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4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35"/>
        <v>0.19393939393939394</v>
      </c>
      <c r="H245" s="4" t="str">
        <f t="shared" si="36"/>
        <v/>
      </c>
      <c r="I245" s="4" t="str">
        <f t="shared" si="37"/>
        <v/>
      </c>
      <c r="J245" s="4" t="str">
        <f t="shared" si="38"/>
        <v/>
      </c>
      <c r="K245" s="4" t="str">
        <f t="shared" si="39"/>
        <v/>
      </c>
      <c r="L245" s="4" t="str">
        <f t="shared" si="40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4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35"/>
        <v>0.21212121212121213</v>
      </c>
      <c r="H246" s="4" t="str">
        <f t="shared" si="36"/>
        <v/>
      </c>
      <c r="I246" s="4" t="str">
        <f t="shared" si="37"/>
        <v/>
      </c>
      <c r="J246" s="4" t="str">
        <f t="shared" si="38"/>
        <v/>
      </c>
      <c r="K246" s="4" t="str">
        <f t="shared" si="39"/>
        <v/>
      </c>
      <c r="L246" s="4" t="str">
        <f t="shared" si="40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4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35"/>
        <v>0.21818181818181817</v>
      </c>
      <c r="H247" s="4" t="str">
        <f t="shared" si="36"/>
        <v/>
      </c>
      <c r="I247" s="4" t="str">
        <f t="shared" si="37"/>
        <v/>
      </c>
      <c r="J247" s="4" t="str">
        <f t="shared" si="38"/>
        <v/>
      </c>
      <c r="K247" s="4" t="str">
        <f t="shared" si="39"/>
        <v/>
      </c>
      <c r="L247" s="4" t="str">
        <f t="shared" si="40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4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35"/>
        <v>0.23636363636363636</v>
      </c>
      <c r="H248" s="4" t="str">
        <f t="shared" si="36"/>
        <v/>
      </c>
      <c r="I248" s="4" t="str">
        <f t="shared" si="37"/>
        <v/>
      </c>
      <c r="J248" s="4" t="str">
        <f t="shared" si="38"/>
        <v/>
      </c>
      <c r="K248" s="4" t="str">
        <f t="shared" si="39"/>
        <v/>
      </c>
      <c r="L248" s="4" t="str">
        <f t="shared" si="40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4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35"/>
        <v>0.24242424242424243</v>
      </c>
      <c r="H249" s="4" t="str">
        <f t="shared" si="36"/>
        <v/>
      </c>
      <c r="I249" s="4" t="str">
        <f t="shared" si="37"/>
        <v/>
      </c>
      <c r="J249" s="4" t="str">
        <f t="shared" si="38"/>
        <v/>
      </c>
      <c r="K249" s="4" t="str">
        <f t="shared" si="39"/>
        <v/>
      </c>
      <c r="L249" s="4" t="str">
        <f t="shared" si="40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4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35"/>
        <v>0.24848484848484848</v>
      </c>
      <c r="H250" s="4" t="str">
        <f t="shared" si="36"/>
        <v/>
      </c>
      <c r="I250" s="4" t="str">
        <f t="shared" si="37"/>
        <v/>
      </c>
      <c r="J250" s="4" t="str">
        <f t="shared" si="38"/>
        <v/>
      </c>
      <c r="K250" s="4" t="str">
        <f t="shared" si="39"/>
        <v/>
      </c>
      <c r="L250" s="4" t="str">
        <f t="shared" si="40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4"/>
        <v>test.client_1_</v>
      </c>
      <c r="D251">
        <v>16</v>
      </c>
      <c r="E251" s="4">
        <v>1</v>
      </c>
      <c r="F251" s="4">
        <v>0.95735350197025548</v>
      </c>
      <c r="G251" s="4" t="str">
        <f t="shared" si="35"/>
        <v/>
      </c>
      <c r="H251" s="4" t="str">
        <f t="shared" si="36"/>
        <v/>
      </c>
      <c r="I251" s="4" t="str">
        <f t="shared" si="37"/>
        <v/>
      </c>
      <c r="J251" s="4" t="str">
        <f t="shared" si="38"/>
        <v/>
      </c>
      <c r="K251" s="4">
        <f t="shared" si="39"/>
        <v>1</v>
      </c>
      <c r="L251" s="4" t="str">
        <f t="shared" si="40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4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35"/>
        <v/>
      </c>
      <c r="H252" s="4" t="str">
        <f t="shared" si="36"/>
        <v/>
      </c>
      <c r="I252" s="4" t="str">
        <f t="shared" si="37"/>
        <v/>
      </c>
      <c r="J252" s="4">
        <f t="shared" si="38"/>
        <v>0.84036144578313254</v>
      </c>
      <c r="K252" s="4" t="str">
        <f t="shared" si="39"/>
        <v/>
      </c>
      <c r="L252" s="4" t="str">
        <f t="shared" si="40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4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35"/>
        <v/>
      </c>
      <c r="H253" s="4" t="str">
        <f t="shared" si="36"/>
        <v/>
      </c>
      <c r="I253" s="4" t="str">
        <f t="shared" si="37"/>
        <v/>
      </c>
      <c r="J253" s="4" t="str">
        <f t="shared" si="38"/>
        <v/>
      </c>
      <c r="K253" s="4">
        <f t="shared" si="39"/>
        <v>0.99698795180722888</v>
      </c>
      <c r="L253" s="4" t="str">
        <f t="shared" si="40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4"/>
        <v>test.client_3_</v>
      </c>
      <c r="D254">
        <v>3</v>
      </c>
      <c r="E254" s="4">
        <v>1</v>
      </c>
      <c r="F254" s="4">
        <v>0.99789498768766383</v>
      </c>
      <c r="G254" s="4" t="str">
        <f t="shared" si="35"/>
        <v/>
      </c>
      <c r="H254" s="4" t="str">
        <f t="shared" si="36"/>
        <v/>
      </c>
      <c r="I254" s="4" t="str">
        <f t="shared" si="37"/>
        <v/>
      </c>
      <c r="J254" s="4" t="str">
        <f t="shared" si="38"/>
        <v/>
      </c>
      <c r="K254" s="4">
        <f t="shared" si="39"/>
        <v>1</v>
      </c>
      <c r="L254" s="4" t="str">
        <f t="shared" si="40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4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35"/>
        <v/>
      </c>
      <c r="H255" s="4" t="str">
        <f t="shared" si="36"/>
        <v/>
      </c>
      <c r="I255" s="4" t="str">
        <f t="shared" si="37"/>
        <v/>
      </c>
      <c r="J255" s="4" t="str">
        <f t="shared" si="38"/>
        <v/>
      </c>
      <c r="K255" s="4">
        <f t="shared" si="39"/>
        <v>0.86821705426356588</v>
      </c>
      <c r="L255" s="4" t="str">
        <f t="shared" si="40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4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35"/>
        <v/>
      </c>
      <c r="H256" s="4" t="str">
        <f t="shared" si="36"/>
        <v/>
      </c>
      <c r="I256" s="4" t="str">
        <f t="shared" si="37"/>
        <v/>
      </c>
      <c r="J256" s="4" t="str">
        <f t="shared" si="38"/>
        <v/>
      </c>
      <c r="K256" s="4">
        <f t="shared" si="39"/>
        <v>0.89922480620155043</v>
      </c>
      <c r="L256" s="4" t="str">
        <f t="shared" si="40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4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35"/>
        <v/>
      </c>
      <c r="H257" s="4" t="str">
        <f t="shared" si="36"/>
        <v/>
      </c>
      <c r="I257" s="4" t="str">
        <f t="shared" si="37"/>
        <v/>
      </c>
      <c r="J257" s="4" t="str">
        <f t="shared" si="38"/>
        <v/>
      </c>
      <c r="K257" s="4">
        <f t="shared" si="39"/>
        <v>0.92248062015503873</v>
      </c>
      <c r="L257" s="4" t="str">
        <f t="shared" si="40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4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35"/>
        <v/>
      </c>
      <c r="H258" s="4" t="str">
        <f t="shared" si="36"/>
        <v/>
      </c>
      <c r="I258" s="4" t="str">
        <f t="shared" si="37"/>
        <v/>
      </c>
      <c r="J258" s="4" t="str">
        <f t="shared" si="38"/>
        <v/>
      </c>
      <c r="K258" s="4">
        <f t="shared" si="39"/>
        <v>0.99224806201550386</v>
      </c>
      <c r="L258" s="4" t="str">
        <f t="shared" si="40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41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42">IF($F259 &lt;= 0.2,$E259,"")</f>
        <v/>
      </c>
      <c r="H259" s="4" t="str">
        <f t="shared" ref="H259:H322" si="43">IF(AND($F259 &gt; 0.2,$F259 &lt;= 0.4),$E259,"")</f>
        <v/>
      </c>
      <c r="I259" s="4" t="str">
        <f t="shared" ref="I259:I322" si="44">IF(AND($F259 &gt; 0.4,$F259 &lt;= 0.6),$E259,"")</f>
        <v/>
      </c>
      <c r="J259" s="4" t="str">
        <f t="shared" ref="J259:J322" si="45">IF(AND($F259 &gt; 0.6,$F259 &lt;= 0.8),$E259,"")</f>
        <v/>
      </c>
      <c r="K259" s="4">
        <f t="shared" ref="K259:K322" si="46">IF(AND($F259 &gt; 0.8, $F259 &lt;=1.1),$E259,"")</f>
        <v>0.99224806201550386</v>
      </c>
      <c r="L259" s="4" t="str">
        <f t="shared" ref="L259:L322" si="47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1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42"/>
        <v/>
      </c>
      <c r="H260" s="4" t="str">
        <f t="shared" si="43"/>
        <v/>
      </c>
      <c r="I260" s="4" t="str">
        <f t="shared" si="44"/>
        <v/>
      </c>
      <c r="J260" s="4" t="str">
        <f t="shared" si="45"/>
        <v/>
      </c>
      <c r="K260" s="4">
        <f t="shared" si="46"/>
        <v>0.99224806201550386</v>
      </c>
      <c r="L260" s="4" t="str">
        <f t="shared" si="47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1"/>
        <v>test.client_4_</v>
      </c>
      <c r="D261">
        <v>7</v>
      </c>
      <c r="E261" s="4">
        <v>1</v>
      </c>
      <c r="F261" s="4">
        <v>1.0804791315740221</v>
      </c>
      <c r="G261" s="4" t="str">
        <f t="shared" si="42"/>
        <v/>
      </c>
      <c r="H261" s="4" t="str">
        <f t="shared" si="43"/>
        <v/>
      </c>
      <c r="I261" s="4" t="str">
        <f t="shared" si="44"/>
        <v/>
      </c>
      <c r="J261" s="4" t="str">
        <f t="shared" si="45"/>
        <v/>
      </c>
      <c r="K261" s="4">
        <f t="shared" si="46"/>
        <v>1</v>
      </c>
      <c r="L261" s="4" t="str">
        <f t="shared" si="47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1"/>
        <v>test.client_4_</v>
      </c>
      <c r="D262">
        <v>8</v>
      </c>
      <c r="E262" s="4">
        <v>1</v>
      </c>
      <c r="F262" s="4">
        <v>1.0913344562979599</v>
      </c>
      <c r="G262" s="4" t="str">
        <f t="shared" si="42"/>
        <v/>
      </c>
      <c r="H262" s="4" t="str">
        <f t="shared" si="43"/>
        <v/>
      </c>
      <c r="I262" s="4" t="str">
        <f t="shared" si="44"/>
        <v/>
      </c>
      <c r="J262" s="4" t="str">
        <f t="shared" si="45"/>
        <v/>
      </c>
      <c r="K262" s="4">
        <f t="shared" si="46"/>
        <v>1</v>
      </c>
      <c r="L262" s="4" t="str">
        <f t="shared" si="47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1"/>
        <v>test.client_4_</v>
      </c>
      <c r="D263">
        <v>9</v>
      </c>
      <c r="E263" s="4">
        <v>1</v>
      </c>
      <c r="F263" s="4">
        <v>1.1018154594796929</v>
      </c>
      <c r="G263" s="4" t="str">
        <f t="shared" si="42"/>
        <v/>
      </c>
      <c r="H263" s="4" t="str">
        <f t="shared" si="43"/>
        <v/>
      </c>
      <c r="I263" s="4" t="str">
        <f t="shared" si="44"/>
        <v/>
      </c>
      <c r="J263" s="4" t="str">
        <f t="shared" si="45"/>
        <v/>
      </c>
      <c r="K263" s="4" t="str">
        <f t="shared" si="46"/>
        <v/>
      </c>
      <c r="L263" s="4">
        <f t="shared" si="47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41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42"/>
        <v/>
      </c>
      <c r="H264" s="4" t="str">
        <f t="shared" si="43"/>
        <v/>
      </c>
      <c r="I264" s="4" t="str">
        <f t="shared" si="44"/>
        <v/>
      </c>
      <c r="J264" s="4">
        <f t="shared" si="45"/>
        <v>0.64462809917355368</v>
      </c>
      <c r="K264" s="4" t="str">
        <f t="shared" si="46"/>
        <v/>
      </c>
      <c r="L264" s="4" t="str">
        <f t="shared" si="47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41"/>
        <v>test.client_6_</v>
      </c>
      <c r="D265">
        <v>2</v>
      </c>
      <c r="E265" s="4">
        <v>1</v>
      </c>
      <c r="F265" s="4">
        <v>0.6155597214783074</v>
      </c>
      <c r="G265" s="4" t="str">
        <f t="shared" si="42"/>
        <v/>
      </c>
      <c r="H265" s="4" t="str">
        <f t="shared" si="43"/>
        <v/>
      </c>
      <c r="I265" s="4" t="str">
        <f t="shared" si="44"/>
        <v/>
      </c>
      <c r="J265" s="4">
        <f t="shared" si="45"/>
        <v>1</v>
      </c>
      <c r="K265" s="4" t="str">
        <f t="shared" si="46"/>
        <v/>
      </c>
      <c r="L265" s="4" t="str">
        <f t="shared" si="47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41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42"/>
        <v>2.3255813953488372E-2</v>
      </c>
      <c r="H266" s="4" t="str">
        <f t="shared" si="43"/>
        <v/>
      </c>
      <c r="I266" s="4" t="str">
        <f t="shared" si="44"/>
        <v/>
      </c>
      <c r="J266" s="4" t="str">
        <f t="shared" si="45"/>
        <v/>
      </c>
      <c r="K266" s="4" t="str">
        <f t="shared" si="46"/>
        <v/>
      </c>
      <c r="L266" s="4" t="str">
        <f t="shared" si="47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41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42"/>
        <v>6.9767441860465115E-2</v>
      </c>
      <c r="H267" s="4" t="str">
        <f t="shared" si="43"/>
        <v/>
      </c>
      <c r="I267" s="4" t="str">
        <f t="shared" si="44"/>
        <v/>
      </c>
      <c r="J267" s="4" t="str">
        <f t="shared" si="45"/>
        <v/>
      </c>
      <c r="K267" s="4" t="str">
        <f t="shared" si="46"/>
        <v/>
      </c>
      <c r="L267" s="4" t="str">
        <f t="shared" si="47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41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42"/>
        <v/>
      </c>
      <c r="H268" s="4">
        <f t="shared" si="43"/>
        <v>0.13953488372093023</v>
      </c>
      <c r="I268" s="4" t="str">
        <f t="shared" si="44"/>
        <v/>
      </c>
      <c r="J268" s="4" t="str">
        <f t="shared" si="45"/>
        <v/>
      </c>
      <c r="K268" s="4" t="str">
        <f t="shared" si="46"/>
        <v/>
      </c>
      <c r="L268" s="4" t="str">
        <f t="shared" si="47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41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42"/>
        <v/>
      </c>
      <c r="H269" s="4" t="str">
        <f t="shared" si="43"/>
        <v/>
      </c>
      <c r="I269" s="4">
        <f t="shared" si="44"/>
        <v>0.16279069767441862</v>
      </c>
      <c r="J269" s="4" t="str">
        <f t="shared" si="45"/>
        <v/>
      </c>
      <c r="K269" s="4" t="str">
        <f t="shared" si="46"/>
        <v/>
      </c>
      <c r="L269" s="4" t="str">
        <f t="shared" si="47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41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42"/>
        <v/>
      </c>
      <c r="H270" s="4" t="str">
        <f t="shared" si="43"/>
        <v/>
      </c>
      <c r="I270" s="4" t="str">
        <f t="shared" si="44"/>
        <v/>
      </c>
      <c r="J270" s="4">
        <f t="shared" si="45"/>
        <v>0.2558139534883721</v>
      </c>
      <c r="K270" s="4" t="str">
        <f t="shared" si="46"/>
        <v/>
      </c>
      <c r="L270" s="4" t="str">
        <f t="shared" si="47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1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42"/>
        <v/>
      </c>
      <c r="H271" s="4" t="str">
        <f t="shared" si="43"/>
        <v/>
      </c>
      <c r="I271" s="4" t="str">
        <f t="shared" si="44"/>
        <v/>
      </c>
      <c r="J271" s="4" t="str">
        <f t="shared" si="45"/>
        <v/>
      </c>
      <c r="K271" s="4">
        <f t="shared" si="46"/>
        <v>0.2558139534883721</v>
      </c>
      <c r="L271" s="4" t="str">
        <f t="shared" si="47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1"/>
        <v>test.client_7_</v>
      </c>
      <c r="D272">
        <v>7</v>
      </c>
      <c r="E272" s="4">
        <v>1</v>
      </c>
      <c r="F272" s="4">
        <v>1.2057347670250895</v>
      </c>
      <c r="G272" s="4" t="str">
        <f t="shared" si="42"/>
        <v/>
      </c>
      <c r="H272" s="4" t="str">
        <f t="shared" si="43"/>
        <v/>
      </c>
      <c r="I272" s="4" t="str">
        <f t="shared" si="44"/>
        <v/>
      </c>
      <c r="J272" s="4" t="str">
        <f t="shared" si="45"/>
        <v/>
      </c>
      <c r="K272" s="4" t="str">
        <f t="shared" si="46"/>
        <v/>
      </c>
      <c r="L272" s="4">
        <f t="shared" si="47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41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42"/>
        <v>9.6774193548387094E-2</v>
      </c>
      <c r="H273" s="4" t="str">
        <f t="shared" si="43"/>
        <v/>
      </c>
      <c r="I273" s="4" t="str">
        <f t="shared" si="44"/>
        <v/>
      </c>
      <c r="J273" s="4" t="str">
        <f t="shared" si="45"/>
        <v/>
      </c>
      <c r="K273" s="4" t="str">
        <f t="shared" si="46"/>
        <v/>
      </c>
      <c r="L273" s="4" t="str">
        <f t="shared" si="47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41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42"/>
        <v/>
      </c>
      <c r="H274" s="4" t="str">
        <f t="shared" si="43"/>
        <v/>
      </c>
      <c r="I274" s="4">
        <f t="shared" si="44"/>
        <v>0.74193548387096775</v>
      </c>
      <c r="J274" s="4" t="str">
        <f t="shared" si="45"/>
        <v/>
      </c>
      <c r="K274" s="4" t="str">
        <f t="shared" si="46"/>
        <v/>
      </c>
      <c r="L274" s="4" t="str">
        <f t="shared" si="47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41"/>
        <v>test.GeoEngine_3_</v>
      </c>
      <c r="D275">
        <v>3</v>
      </c>
      <c r="E275" s="4">
        <v>1</v>
      </c>
      <c r="F275" s="4">
        <v>0.60096646653975694</v>
      </c>
      <c r="G275" s="4" t="str">
        <f t="shared" si="42"/>
        <v/>
      </c>
      <c r="H275" s="4" t="str">
        <f t="shared" si="43"/>
        <v/>
      </c>
      <c r="I275" s="4" t="str">
        <f t="shared" si="44"/>
        <v/>
      </c>
      <c r="J275" s="4">
        <f t="shared" si="45"/>
        <v>1</v>
      </c>
      <c r="K275" s="4" t="str">
        <f t="shared" si="46"/>
        <v/>
      </c>
      <c r="L275" s="4" t="str">
        <f t="shared" si="47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41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42"/>
        <v>5.3571428571428568E-2</v>
      </c>
      <c r="H276" s="4" t="str">
        <f t="shared" si="43"/>
        <v/>
      </c>
      <c r="I276" s="4" t="str">
        <f t="shared" si="44"/>
        <v/>
      </c>
      <c r="J276" s="4" t="str">
        <f t="shared" si="45"/>
        <v/>
      </c>
      <c r="K276" s="4" t="str">
        <f t="shared" si="46"/>
        <v/>
      </c>
      <c r="L276" s="4" t="str">
        <f t="shared" si="47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41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42"/>
        <v>7.1428571428571425E-2</v>
      </c>
      <c r="H277" s="4" t="str">
        <f t="shared" si="43"/>
        <v/>
      </c>
      <c r="I277" s="4" t="str">
        <f t="shared" si="44"/>
        <v/>
      </c>
      <c r="J277" s="4" t="str">
        <f t="shared" si="45"/>
        <v/>
      </c>
      <c r="K277" s="4" t="str">
        <f t="shared" si="46"/>
        <v/>
      </c>
      <c r="L277" s="4" t="str">
        <f t="shared" si="47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41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42"/>
        <v>0.2857142857142857</v>
      </c>
      <c r="H278" s="4" t="str">
        <f t="shared" si="43"/>
        <v/>
      </c>
      <c r="I278" s="4" t="str">
        <f t="shared" si="44"/>
        <v/>
      </c>
      <c r="J278" s="4" t="str">
        <f t="shared" si="45"/>
        <v/>
      </c>
      <c r="K278" s="4" t="str">
        <f t="shared" si="46"/>
        <v/>
      </c>
      <c r="L278" s="4" t="str">
        <f t="shared" si="47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41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42"/>
        <v>0.48214285714285715</v>
      </c>
      <c r="H279" s="4" t="str">
        <f t="shared" si="43"/>
        <v/>
      </c>
      <c r="I279" s="4" t="str">
        <f t="shared" si="44"/>
        <v/>
      </c>
      <c r="J279" s="4" t="str">
        <f t="shared" si="45"/>
        <v/>
      </c>
      <c r="K279" s="4" t="str">
        <f t="shared" si="46"/>
        <v/>
      </c>
      <c r="L279" s="4" t="str">
        <f t="shared" si="47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41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42"/>
        <v>0.5178571428571429</v>
      </c>
      <c r="H280" s="4" t="str">
        <f t="shared" si="43"/>
        <v/>
      </c>
      <c r="I280" s="4" t="str">
        <f t="shared" si="44"/>
        <v/>
      </c>
      <c r="J280" s="4" t="str">
        <f t="shared" si="45"/>
        <v/>
      </c>
      <c r="K280" s="4" t="str">
        <f t="shared" si="46"/>
        <v/>
      </c>
      <c r="L280" s="4" t="str">
        <f t="shared" si="47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1"/>
        <v>test.GeoEngine_7_</v>
      </c>
      <c r="D281">
        <v>6</v>
      </c>
      <c r="E281" s="4">
        <v>1</v>
      </c>
      <c r="F281" s="4">
        <v>0.98148991048399337</v>
      </c>
      <c r="G281" s="4" t="str">
        <f t="shared" si="42"/>
        <v/>
      </c>
      <c r="H281" s="4" t="str">
        <f t="shared" si="43"/>
        <v/>
      </c>
      <c r="I281" s="4" t="str">
        <f t="shared" si="44"/>
        <v/>
      </c>
      <c r="J281" s="4" t="str">
        <f t="shared" si="45"/>
        <v/>
      </c>
      <c r="K281" s="4">
        <f t="shared" si="46"/>
        <v>1</v>
      </c>
      <c r="L281" s="4" t="str">
        <f t="shared" si="47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41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42"/>
        <v>4.6511627906976744E-2</v>
      </c>
      <c r="H282" s="4" t="str">
        <f t="shared" si="43"/>
        <v/>
      </c>
      <c r="I282" s="4" t="str">
        <f t="shared" si="44"/>
        <v/>
      </c>
      <c r="J282" s="4" t="str">
        <f t="shared" si="45"/>
        <v/>
      </c>
      <c r="K282" s="4" t="str">
        <f t="shared" si="46"/>
        <v/>
      </c>
      <c r="L282" s="4" t="str">
        <f t="shared" si="47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41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42"/>
        <v>0.1744186046511628</v>
      </c>
      <c r="H283" s="4" t="str">
        <f t="shared" si="43"/>
        <v/>
      </c>
      <c r="I283" s="4" t="str">
        <f t="shared" si="44"/>
        <v/>
      </c>
      <c r="J283" s="4" t="str">
        <f t="shared" si="45"/>
        <v/>
      </c>
      <c r="K283" s="4" t="str">
        <f t="shared" si="46"/>
        <v/>
      </c>
      <c r="L283" s="4" t="str">
        <f t="shared" si="47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41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42"/>
        <v>0.22093023255813954</v>
      </c>
      <c r="H284" s="4" t="str">
        <f t="shared" si="43"/>
        <v/>
      </c>
      <c r="I284" s="4" t="str">
        <f t="shared" si="44"/>
        <v/>
      </c>
      <c r="J284" s="4" t="str">
        <f t="shared" si="45"/>
        <v/>
      </c>
      <c r="K284" s="4" t="str">
        <f t="shared" si="46"/>
        <v/>
      </c>
      <c r="L284" s="4" t="str">
        <f t="shared" si="47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41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42"/>
        <v>0.33720930232558138</v>
      </c>
      <c r="H285" s="4" t="str">
        <f t="shared" si="43"/>
        <v/>
      </c>
      <c r="I285" s="4" t="str">
        <f t="shared" si="44"/>
        <v/>
      </c>
      <c r="J285" s="4" t="str">
        <f t="shared" si="45"/>
        <v/>
      </c>
      <c r="K285" s="4" t="str">
        <f t="shared" si="46"/>
        <v/>
      </c>
      <c r="L285" s="4" t="str">
        <f t="shared" si="47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41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42"/>
        <v>0.36046511627906974</v>
      </c>
      <c r="H286" s="4" t="str">
        <f t="shared" si="43"/>
        <v/>
      </c>
      <c r="I286" s="4" t="str">
        <f t="shared" si="44"/>
        <v/>
      </c>
      <c r="J286" s="4" t="str">
        <f t="shared" si="45"/>
        <v/>
      </c>
      <c r="K286" s="4" t="str">
        <f t="shared" si="46"/>
        <v/>
      </c>
      <c r="L286" s="4" t="str">
        <f t="shared" si="47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1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42"/>
        <v/>
      </c>
      <c r="H287" s="4" t="str">
        <f t="shared" si="43"/>
        <v/>
      </c>
      <c r="I287" s="4" t="str">
        <f t="shared" si="44"/>
        <v/>
      </c>
      <c r="J287" s="4">
        <f t="shared" si="45"/>
        <v>0.7558139534883721</v>
      </c>
      <c r="K287" s="4" t="str">
        <f t="shared" si="46"/>
        <v/>
      </c>
      <c r="L287" s="4" t="str">
        <f t="shared" si="47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1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42"/>
        <v/>
      </c>
      <c r="H288" s="4" t="str">
        <f t="shared" si="43"/>
        <v/>
      </c>
      <c r="I288" s="4" t="str">
        <f t="shared" si="44"/>
        <v/>
      </c>
      <c r="J288" s="4">
        <f t="shared" si="45"/>
        <v>0.80232558139534882</v>
      </c>
      <c r="K288" s="4" t="str">
        <f t="shared" si="46"/>
        <v/>
      </c>
      <c r="L288" s="4" t="str">
        <f t="shared" si="47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1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42"/>
        <v/>
      </c>
      <c r="H289" s="4" t="str">
        <f t="shared" si="43"/>
        <v/>
      </c>
      <c r="I289" s="4" t="str">
        <f t="shared" si="44"/>
        <v/>
      </c>
      <c r="J289" s="4">
        <f t="shared" si="45"/>
        <v>0.81395348837209303</v>
      </c>
      <c r="K289" s="4" t="str">
        <f t="shared" si="46"/>
        <v/>
      </c>
      <c r="L289" s="4" t="str">
        <f t="shared" si="47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1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42"/>
        <v/>
      </c>
      <c r="H290" s="4" t="str">
        <f t="shared" si="43"/>
        <v/>
      </c>
      <c r="I290" s="4" t="str">
        <f t="shared" si="44"/>
        <v/>
      </c>
      <c r="J290" s="4" t="str">
        <f t="shared" si="45"/>
        <v/>
      </c>
      <c r="K290" s="4">
        <f t="shared" si="46"/>
        <v>0.87209302325581395</v>
      </c>
      <c r="L290" s="4" t="str">
        <f t="shared" si="47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1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42"/>
        <v/>
      </c>
      <c r="H291" s="4" t="str">
        <f t="shared" si="43"/>
        <v/>
      </c>
      <c r="I291" s="4" t="str">
        <f t="shared" si="44"/>
        <v/>
      </c>
      <c r="J291" s="4" t="str">
        <f t="shared" si="45"/>
        <v/>
      </c>
      <c r="K291" s="4">
        <f t="shared" si="46"/>
        <v>0.91860465116279066</v>
      </c>
      <c r="L291" s="4" t="str">
        <f t="shared" si="47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1"/>
        <v>test.GeoEngine_8_</v>
      </c>
      <c r="D292">
        <v>11</v>
      </c>
      <c r="E292" s="4">
        <v>1</v>
      </c>
      <c r="F292" s="4">
        <v>0.93033175355450237</v>
      </c>
      <c r="G292" s="4" t="str">
        <f t="shared" si="42"/>
        <v/>
      </c>
      <c r="H292" s="4" t="str">
        <f t="shared" si="43"/>
        <v/>
      </c>
      <c r="I292" s="4" t="str">
        <f t="shared" si="44"/>
        <v/>
      </c>
      <c r="J292" s="4" t="str">
        <f t="shared" si="45"/>
        <v/>
      </c>
      <c r="K292" s="4">
        <f t="shared" si="46"/>
        <v>1</v>
      </c>
      <c r="L292" s="4" t="str">
        <f t="shared" si="47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41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42"/>
        <v>8.6956521739130432E-2</v>
      </c>
      <c r="H293" s="4" t="str">
        <f t="shared" si="43"/>
        <v/>
      </c>
      <c r="I293" s="4" t="str">
        <f t="shared" si="44"/>
        <v/>
      </c>
      <c r="J293" s="4" t="str">
        <f t="shared" si="45"/>
        <v/>
      </c>
      <c r="K293" s="4" t="str">
        <f t="shared" si="46"/>
        <v/>
      </c>
      <c r="L293" s="4" t="str">
        <f t="shared" si="47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41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42"/>
        <v>0.19565217391304349</v>
      </c>
      <c r="H294" s="4" t="str">
        <f t="shared" si="43"/>
        <v/>
      </c>
      <c r="I294" s="4" t="str">
        <f t="shared" si="44"/>
        <v/>
      </c>
      <c r="J294" s="4" t="str">
        <f t="shared" si="45"/>
        <v/>
      </c>
      <c r="K294" s="4" t="str">
        <f t="shared" si="46"/>
        <v/>
      </c>
      <c r="L294" s="4" t="str">
        <f t="shared" si="47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41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42"/>
        <v/>
      </c>
      <c r="H295" s="4">
        <f t="shared" si="43"/>
        <v>0.41304347826086957</v>
      </c>
      <c r="I295" s="4" t="str">
        <f t="shared" si="44"/>
        <v/>
      </c>
      <c r="J295" s="4" t="str">
        <f t="shared" si="45"/>
        <v/>
      </c>
      <c r="K295" s="4" t="str">
        <f t="shared" si="46"/>
        <v/>
      </c>
      <c r="L295" s="4" t="str">
        <f t="shared" si="47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41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42"/>
        <v/>
      </c>
      <c r="H296" s="4">
        <f t="shared" si="43"/>
        <v>0.45652173913043476</v>
      </c>
      <c r="I296" s="4" t="str">
        <f t="shared" si="44"/>
        <v/>
      </c>
      <c r="J296" s="4" t="str">
        <f t="shared" si="45"/>
        <v/>
      </c>
      <c r="K296" s="4" t="str">
        <f t="shared" si="46"/>
        <v/>
      </c>
      <c r="L296" s="4" t="str">
        <f t="shared" si="47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41"/>
        <v>test.GeoEngine_9_</v>
      </c>
      <c r="D297">
        <v>5</v>
      </c>
      <c r="E297" s="4">
        <v>1</v>
      </c>
      <c r="F297" s="4">
        <v>0.97148891235480461</v>
      </c>
      <c r="G297" s="4" t="str">
        <f t="shared" si="42"/>
        <v/>
      </c>
      <c r="H297" s="4" t="str">
        <f t="shared" si="43"/>
        <v/>
      </c>
      <c r="I297" s="4" t="str">
        <f t="shared" si="44"/>
        <v/>
      </c>
      <c r="J297" s="4" t="str">
        <f t="shared" si="45"/>
        <v/>
      </c>
      <c r="K297" s="4">
        <f t="shared" si="46"/>
        <v>1</v>
      </c>
      <c r="L297" s="4" t="str">
        <f t="shared" si="47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41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42"/>
        <v>3.3333333333333333E-2</v>
      </c>
      <c r="H298" s="4" t="str">
        <f t="shared" si="43"/>
        <v/>
      </c>
      <c r="I298" s="4" t="str">
        <f t="shared" si="44"/>
        <v/>
      </c>
      <c r="J298" s="4" t="str">
        <f t="shared" si="45"/>
        <v/>
      </c>
      <c r="K298" s="4" t="str">
        <f t="shared" si="46"/>
        <v/>
      </c>
      <c r="L298" s="4" t="str">
        <f t="shared" si="47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41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42"/>
        <v/>
      </c>
      <c r="H299" s="4">
        <f t="shared" si="43"/>
        <v>0.2</v>
      </c>
      <c r="I299" s="4" t="str">
        <f t="shared" si="44"/>
        <v/>
      </c>
      <c r="J299" s="4" t="str">
        <f t="shared" si="45"/>
        <v/>
      </c>
      <c r="K299" s="4" t="str">
        <f t="shared" si="46"/>
        <v/>
      </c>
      <c r="L299" s="4" t="str">
        <f t="shared" si="47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41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42"/>
        <v/>
      </c>
      <c r="H300" s="4" t="str">
        <f t="shared" si="43"/>
        <v/>
      </c>
      <c r="I300" s="4">
        <f t="shared" si="44"/>
        <v>0.4</v>
      </c>
      <c r="J300" s="4" t="str">
        <f t="shared" si="45"/>
        <v/>
      </c>
      <c r="K300" s="4" t="str">
        <f t="shared" si="46"/>
        <v/>
      </c>
      <c r="L300" s="4" t="str">
        <f t="shared" si="47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41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42"/>
        <v/>
      </c>
      <c r="H301" s="4" t="str">
        <f t="shared" si="43"/>
        <v/>
      </c>
      <c r="I301" s="4">
        <f t="shared" si="44"/>
        <v>0.43333333333333335</v>
      </c>
      <c r="J301" s="4" t="str">
        <f t="shared" si="45"/>
        <v/>
      </c>
      <c r="K301" s="4" t="str">
        <f t="shared" si="46"/>
        <v/>
      </c>
      <c r="L301" s="4" t="str">
        <f t="shared" si="47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41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42"/>
        <v/>
      </c>
      <c r="H302" s="4" t="str">
        <f t="shared" si="43"/>
        <v/>
      </c>
      <c r="I302" s="4" t="str">
        <f t="shared" si="44"/>
        <v/>
      </c>
      <c r="J302" s="4">
        <f t="shared" si="45"/>
        <v>0.6333333333333333</v>
      </c>
      <c r="K302" s="4" t="str">
        <f t="shared" si="46"/>
        <v/>
      </c>
      <c r="L302" s="4" t="str">
        <f t="shared" si="47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1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42"/>
        <v/>
      </c>
      <c r="H303" s="4" t="str">
        <f t="shared" si="43"/>
        <v/>
      </c>
      <c r="I303" s="4" t="str">
        <f t="shared" si="44"/>
        <v/>
      </c>
      <c r="J303" s="4">
        <f t="shared" si="45"/>
        <v>0.6333333333333333</v>
      </c>
      <c r="K303" s="4" t="str">
        <f t="shared" si="46"/>
        <v/>
      </c>
      <c r="L303" s="4" t="str">
        <f t="shared" si="47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1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42"/>
        <v/>
      </c>
      <c r="H304" s="4" t="str">
        <f t="shared" si="43"/>
        <v/>
      </c>
      <c r="I304" s="4" t="str">
        <f t="shared" si="44"/>
        <v/>
      </c>
      <c r="J304" s="4">
        <f t="shared" si="45"/>
        <v>0.66666666666666663</v>
      </c>
      <c r="K304" s="4" t="str">
        <f t="shared" si="46"/>
        <v/>
      </c>
      <c r="L304" s="4" t="str">
        <f t="shared" si="47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1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42"/>
        <v/>
      </c>
      <c r="H305" s="4" t="str">
        <f t="shared" si="43"/>
        <v/>
      </c>
      <c r="I305" s="4" t="str">
        <f t="shared" si="44"/>
        <v/>
      </c>
      <c r="J305" s="4">
        <f t="shared" si="45"/>
        <v>0.8</v>
      </c>
      <c r="K305" s="4" t="str">
        <f t="shared" si="46"/>
        <v/>
      </c>
      <c r="L305" s="4" t="str">
        <f t="shared" si="47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1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42"/>
        <v/>
      </c>
      <c r="H306" s="4" t="str">
        <f t="shared" si="43"/>
        <v/>
      </c>
      <c r="I306" s="4" t="str">
        <f t="shared" si="44"/>
        <v/>
      </c>
      <c r="J306" s="4">
        <f t="shared" si="45"/>
        <v>0.8</v>
      </c>
      <c r="K306" s="4" t="str">
        <f t="shared" si="46"/>
        <v/>
      </c>
      <c r="L306" s="4" t="str">
        <f t="shared" si="47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1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42"/>
        <v/>
      </c>
      <c r="H307" s="4" t="str">
        <f t="shared" si="43"/>
        <v/>
      </c>
      <c r="I307" s="4" t="str">
        <f t="shared" si="44"/>
        <v/>
      </c>
      <c r="J307" s="4">
        <f t="shared" si="45"/>
        <v>0.93333333333333335</v>
      </c>
      <c r="K307" s="4" t="str">
        <f t="shared" si="46"/>
        <v/>
      </c>
      <c r="L307" s="4" t="str">
        <f t="shared" si="47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1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42"/>
        <v/>
      </c>
      <c r="H308" s="4" t="str">
        <f t="shared" si="43"/>
        <v/>
      </c>
      <c r="I308" s="4" t="str">
        <f t="shared" si="44"/>
        <v/>
      </c>
      <c r="J308" s="4" t="str">
        <f t="shared" si="45"/>
        <v/>
      </c>
      <c r="K308" s="4">
        <f t="shared" si="46"/>
        <v>0.93333333333333335</v>
      </c>
      <c r="L308" s="4" t="str">
        <f t="shared" si="47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1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42"/>
        <v/>
      </c>
      <c r="H309" s="4" t="str">
        <f t="shared" si="43"/>
        <v/>
      </c>
      <c r="I309" s="4" t="str">
        <f t="shared" si="44"/>
        <v/>
      </c>
      <c r="J309" s="4" t="str">
        <f t="shared" si="45"/>
        <v/>
      </c>
      <c r="K309" s="4">
        <f t="shared" si="46"/>
        <v>0.96666666666666667</v>
      </c>
      <c r="L309" s="4" t="str">
        <f t="shared" si="47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1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42"/>
        <v/>
      </c>
      <c r="H310" s="4" t="str">
        <f t="shared" si="43"/>
        <v/>
      </c>
      <c r="I310" s="4" t="str">
        <f t="shared" si="44"/>
        <v/>
      </c>
      <c r="J310" s="4" t="str">
        <f t="shared" si="45"/>
        <v/>
      </c>
      <c r="K310" s="4">
        <f t="shared" si="46"/>
        <v>1</v>
      </c>
      <c r="L310" s="4" t="str">
        <f t="shared" si="47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1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42"/>
        <v/>
      </c>
      <c r="H311" s="4" t="str">
        <f t="shared" si="43"/>
        <v/>
      </c>
      <c r="I311" s="4" t="str">
        <f t="shared" si="44"/>
        <v/>
      </c>
      <c r="J311" s="4" t="str">
        <f t="shared" si="45"/>
        <v/>
      </c>
      <c r="K311" s="4">
        <f t="shared" si="46"/>
        <v>1</v>
      </c>
      <c r="L311" s="4" t="str">
        <f t="shared" si="47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1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42"/>
        <v/>
      </c>
      <c r="H312" s="4" t="str">
        <f t="shared" si="43"/>
        <v/>
      </c>
      <c r="I312" s="4" t="str">
        <f t="shared" si="44"/>
        <v/>
      </c>
      <c r="J312" s="4" t="str">
        <f t="shared" si="45"/>
        <v/>
      </c>
      <c r="K312" s="4">
        <f t="shared" si="46"/>
        <v>1</v>
      </c>
      <c r="L312" s="4" t="str">
        <f t="shared" si="47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1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42"/>
        <v/>
      </c>
      <c r="H313" s="4" t="str">
        <f t="shared" si="43"/>
        <v/>
      </c>
      <c r="I313" s="4" t="str">
        <f t="shared" si="44"/>
        <v/>
      </c>
      <c r="J313" s="4" t="str">
        <f t="shared" si="45"/>
        <v/>
      </c>
      <c r="K313" s="4">
        <f t="shared" si="46"/>
        <v>1</v>
      </c>
      <c r="L313" s="4" t="str">
        <f t="shared" si="47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1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42"/>
        <v/>
      </c>
      <c r="H314" s="4" t="str">
        <f t="shared" si="43"/>
        <v/>
      </c>
      <c r="I314" s="4" t="str">
        <f t="shared" si="44"/>
        <v/>
      </c>
      <c r="J314" s="4" t="str">
        <f t="shared" si="45"/>
        <v/>
      </c>
      <c r="K314" s="4">
        <f t="shared" si="46"/>
        <v>1</v>
      </c>
      <c r="L314" s="4" t="str">
        <f t="shared" si="47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1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42"/>
        <v/>
      </c>
      <c r="H315" s="4" t="str">
        <f t="shared" si="43"/>
        <v/>
      </c>
      <c r="I315" s="4" t="str">
        <f t="shared" si="44"/>
        <v/>
      </c>
      <c r="J315" s="4" t="str">
        <f t="shared" si="45"/>
        <v/>
      </c>
      <c r="K315" s="4">
        <f t="shared" si="46"/>
        <v>1</v>
      </c>
      <c r="L315" s="4" t="str">
        <f t="shared" si="47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1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42"/>
        <v/>
      </c>
      <c r="H316" s="4" t="str">
        <f t="shared" si="43"/>
        <v/>
      </c>
      <c r="I316" s="4" t="str">
        <f t="shared" si="44"/>
        <v/>
      </c>
      <c r="J316" s="4" t="str">
        <f t="shared" si="45"/>
        <v/>
      </c>
      <c r="K316" s="4">
        <f t="shared" si="46"/>
        <v>1</v>
      </c>
      <c r="L316" s="4" t="str">
        <f t="shared" si="47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1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42"/>
        <v/>
      </c>
      <c r="H317" s="4" t="str">
        <f t="shared" si="43"/>
        <v/>
      </c>
      <c r="I317" s="4" t="str">
        <f t="shared" si="44"/>
        <v/>
      </c>
      <c r="J317" s="4" t="str">
        <f t="shared" si="45"/>
        <v/>
      </c>
      <c r="K317" s="4">
        <f t="shared" si="46"/>
        <v>1</v>
      </c>
      <c r="L317" s="4" t="str">
        <f t="shared" si="47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1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42"/>
        <v/>
      </c>
      <c r="H318" s="4" t="str">
        <f t="shared" si="43"/>
        <v/>
      </c>
      <c r="I318" s="4" t="str">
        <f t="shared" si="44"/>
        <v/>
      </c>
      <c r="J318" s="4" t="str">
        <f t="shared" si="45"/>
        <v/>
      </c>
      <c r="K318" s="4">
        <f t="shared" si="46"/>
        <v>1</v>
      </c>
      <c r="L318" s="4" t="str">
        <f t="shared" si="47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1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42"/>
        <v/>
      </c>
      <c r="H319" s="4" t="str">
        <f t="shared" si="43"/>
        <v/>
      </c>
      <c r="I319" s="4" t="str">
        <f t="shared" si="44"/>
        <v/>
      </c>
      <c r="J319" s="4" t="str">
        <f t="shared" si="45"/>
        <v/>
      </c>
      <c r="K319" s="4">
        <f t="shared" si="46"/>
        <v>1</v>
      </c>
      <c r="L319" s="4" t="str">
        <f t="shared" si="47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1"/>
        <v>test.GeoEngine_10_</v>
      </c>
      <c r="D320">
        <v>23</v>
      </c>
      <c r="E320" s="4">
        <v>1</v>
      </c>
      <c r="F320" s="4">
        <v>0.8853016142735769</v>
      </c>
      <c r="G320" s="4" t="str">
        <f t="shared" si="42"/>
        <v/>
      </c>
      <c r="H320" s="4" t="str">
        <f t="shared" si="43"/>
        <v/>
      </c>
      <c r="I320" s="4" t="str">
        <f t="shared" si="44"/>
        <v/>
      </c>
      <c r="J320" s="4" t="str">
        <f t="shared" si="45"/>
        <v/>
      </c>
      <c r="K320" s="4">
        <f t="shared" si="46"/>
        <v>1</v>
      </c>
      <c r="L320" s="4" t="str">
        <f t="shared" si="47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1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42"/>
        <v/>
      </c>
      <c r="H321" s="4" t="str">
        <f t="shared" si="43"/>
        <v/>
      </c>
      <c r="I321" s="4" t="str">
        <f t="shared" si="44"/>
        <v/>
      </c>
      <c r="J321" s="4" t="str">
        <f t="shared" si="45"/>
        <v/>
      </c>
      <c r="K321" s="4">
        <f t="shared" si="46"/>
        <v>1</v>
      </c>
      <c r="L321" s="4" t="str">
        <f t="shared" si="47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1"/>
        <v>test.GeoEngine_10_</v>
      </c>
      <c r="D322">
        <v>25</v>
      </c>
      <c r="E322" s="4">
        <v>1</v>
      </c>
      <c r="F322" s="4">
        <v>0.9430756159728122</v>
      </c>
      <c r="G322" s="4" t="str">
        <f t="shared" si="42"/>
        <v/>
      </c>
      <c r="H322" s="4" t="str">
        <f t="shared" si="43"/>
        <v/>
      </c>
      <c r="I322" s="4" t="str">
        <f t="shared" si="44"/>
        <v/>
      </c>
      <c r="J322" s="4" t="str">
        <f t="shared" si="45"/>
        <v/>
      </c>
      <c r="K322" s="4">
        <f t="shared" si="46"/>
        <v>1</v>
      </c>
      <c r="L322" s="4" t="str">
        <f t="shared" si="47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8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9">IF($F323 &lt;= 0.2,$E323,"")</f>
        <v/>
      </c>
      <c r="H323" s="4" t="str">
        <f t="shared" ref="H323:H386" si="50">IF(AND($F323 &gt; 0.2,$F323 &lt;= 0.4),$E323,"")</f>
        <v/>
      </c>
      <c r="I323" s="4" t="str">
        <f t="shared" ref="I323:I386" si="51">IF(AND($F323 &gt; 0.4,$F323 &lt;= 0.6),$E323,"")</f>
        <v/>
      </c>
      <c r="J323" s="4" t="str">
        <f t="shared" ref="J323:J386" si="52">IF(AND($F323 &gt; 0.6,$F323 &lt;= 0.8),$E323,"")</f>
        <v/>
      </c>
      <c r="K323" s="4">
        <f t="shared" ref="K323:K386" si="53">IF(AND($F323 &gt; 0.8, $F323 &lt;=1.1),$E323,"")</f>
        <v>1</v>
      </c>
      <c r="L323" s="4" t="str">
        <f t="shared" ref="L323:L386" si="54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8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9"/>
        <v/>
      </c>
      <c r="H324" s="4" t="str">
        <f t="shared" si="50"/>
        <v/>
      </c>
      <c r="I324" s="4" t="str">
        <f t="shared" si="51"/>
        <v/>
      </c>
      <c r="J324" s="4" t="str">
        <f t="shared" si="52"/>
        <v/>
      </c>
      <c r="K324" s="4">
        <f t="shared" si="53"/>
        <v>1</v>
      </c>
      <c r="L324" s="4" t="str">
        <f t="shared" si="54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8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9"/>
        <v/>
      </c>
      <c r="H325" s="4" t="str">
        <f t="shared" si="50"/>
        <v/>
      </c>
      <c r="I325" s="4" t="str">
        <f t="shared" si="51"/>
        <v/>
      </c>
      <c r="J325" s="4" t="str">
        <f t="shared" si="52"/>
        <v/>
      </c>
      <c r="K325" s="4">
        <f t="shared" si="53"/>
        <v>1</v>
      </c>
      <c r="L325" s="4" t="str">
        <f t="shared" si="54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8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9"/>
        <v/>
      </c>
      <c r="H326" s="4" t="str">
        <f t="shared" si="50"/>
        <v/>
      </c>
      <c r="I326" s="4" t="str">
        <f t="shared" si="51"/>
        <v/>
      </c>
      <c r="J326" s="4" t="str">
        <f t="shared" si="52"/>
        <v/>
      </c>
      <c r="K326" s="4">
        <f t="shared" si="53"/>
        <v>1</v>
      </c>
      <c r="L326" s="4" t="str">
        <f t="shared" si="54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8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9"/>
        <v/>
      </c>
      <c r="H327" s="4" t="str">
        <f t="shared" si="50"/>
        <v/>
      </c>
      <c r="I327" s="4" t="str">
        <f t="shared" si="51"/>
        <v/>
      </c>
      <c r="J327" s="4" t="str">
        <f t="shared" si="52"/>
        <v/>
      </c>
      <c r="K327" s="4">
        <f t="shared" si="53"/>
        <v>1</v>
      </c>
      <c r="L327" s="4" t="str">
        <f t="shared" si="54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8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9"/>
        <v/>
      </c>
      <c r="H328" s="4" t="str">
        <f t="shared" si="50"/>
        <v/>
      </c>
      <c r="I328" s="4" t="str">
        <f t="shared" si="51"/>
        <v/>
      </c>
      <c r="J328" s="4" t="str">
        <f t="shared" si="52"/>
        <v/>
      </c>
      <c r="K328" s="4">
        <f t="shared" si="53"/>
        <v>1</v>
      </c>
      <c r="L328" s="4" t="str">
        <f t="shared" si="54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8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9"/>
        <v/>
      </c>
      <c r="H329" s="4" t="str">
        <f t="shared" si="50"/>
        <v/>
      </c>
      <c r="I329" s="4" t="str">
        <f t="shared" si="51"/>
        <v/>
      </c>
      <c r="J329" s="4" t="str">
        <f t="shared" si="52"/>
        <v/>
      </c>
      <c r="K329" s="4">
        <f t="shared" si="53"/>
        <v>1</v>
      </c>
      <c r="L329" s="4" t="str">
        <f t="shared" si="54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8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9"/>
        <v/>
      </c>
      <c r="H330" s="4" t="str">
        <f t="shared" si="50"/>
        <v/>
      </c>
      <c r="I330" s="4" t="str">
        <f t="shared" si="51"/>
        <v/>
      </c>
      <c r="J330" s="4" t="str">
        <f t="shared" si="52"/>
        <v/>
      </c>
      <c r="K330" s="4">
        <f t="shared" si="53"/>
        <v>0.93525179856115104</v>
      </c>
      <c r="L330" s="4" t="str">
        <f t="shared" si="54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8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9"/>
        <v/>
      </c>
      <c r="H331" s="4" t="str">
        <f t="shared" si="50"/>
        <v/>
      </c>
      <c r="I331" s="4" t="str">
        <f t="shared" si="51"/>
        <v/>
      </c>
      <c r="J331" s="4" t="str">
        <f t="shared" si="52"/>
        <v/>
      </c>
      <c r="K331" s="4">
        <f t="shared" si="53"/>
        <v>1</v>
      </c>
      <c r="L331" s="4" t="str">
        <f t="shared" si="54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8"/>
        <v>test.ImageData_2_</v>
      </c>
      <c r="D332">
        <v>1</v>
      </c>
      <c r="E332" s="4">
        <v>0.125</v>
      </c>
      <c r="F332" s="4">
        <v>0.19022733211392737</v>
      </c>
      <c r="G332" s="4">
        <f t="shared" si="49"/>
        <v>0.125</v>
      </c>
      <c r="H332" s="4" t="str">
        <f t="shared" si="50"/>
        <v/>
      </c>
      <c r="I332" s="4" t="str">
        <f t="shared" si="51"/>
        <v/>
      </c>
      <c r="J332" s="4" t="str">
        <f t="shared" si="52"/>
        <v/>
      </c>
      <c r="K332" s="4" t="str">
        <f t="shared" si="53"/>
        <v/>
      </c>
      <c r="L332" s="4" t="str">
        <f t="shared" si="54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8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9"/>
        <v>0.23214285714285715</v>
      </c>
      <c r="H333" s="4" t="str">
        <f t="shared" si="50"/>
        <v/>
      </c>
      <c r="I333" s="4" t="str">
        <f t="shared" si="51"/>
        <v/>
      </c>
      <c r="J333" s="4" t="str">
        <f t="shared" si="52"/>
        <v/>
      </c>
      <c r="K333" s="4" t="str">
        <f t="shared" si="53"/>
        <v/>
      </c>
      <c r="L333" s="4" t="str">
        <f t="shared" si="54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8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9"/>
        <v/>
      </c>
      <c r="H334" s="4">
        <f t="shared" si="50"/>
        <v>0.3482142857142857</v>
      </c>
      <c r="I334" s="4" t="str">
        <f t="shared" si="51"/>
        <v/>
      </c>
      <c r="J334" s="4" t="str">
        <f t="shared" si="52"/>
        <v/>
      </c>
      <c r="K334" s="4" t="str">
        <f t="shared" si="53"/>
        <v/>
      </c>
      <c r="L334" s="4" t="str">
        <f t="shared" si="54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8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9"/>
        <v/>
      </c>
      <c r="H335" s="4">
        <f t="shared" si="50"/>
        <v>0.44642857142857145</v>
      </c>
      <c r="I335" s="4" t="str">
        <f t="shared" si="51"/>
        <v/>
      </c>
      <c r="J335" s="4" t="str">
        <f t="shared" si="52"/>
        <v/>
      </c>
      <c r="K335" s="4" t="str">
        <f t="shared" si="53"/>
        <v/>
      </c>
      <c r="L335" s="4" t="str">
        <f t="shared" si="54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8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9"/>
        <v/>
      </c>
      <c r="H336" s="4">
        <f t="shared" si="50"/>
        <v>0.5535714285714286</v>
      </c>
      <c r="I336" s="4" t="str">
        <f t="shared" si="51"/>
        <v/>
      </c>
      <c r="J336" s="4" t="str">
        <f t="shared" si="52"/>
        <v/>
      </c>
      <c r="K336" s="4" t="str">
        <f t="shared" si="53"/>
        <v/>
      </c>
      <c r="L336" s="4" t="str">
        <f t="shared" si="54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8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9"/>
        <v/>
      </c>
      <c r="H337" s="4">
        <f t="shared" si="50"/>
        <v>0.6428571428571429</v>
      </c>
      <c r="I337" s="4" t="str">
        <f t="shared" si="51"/>
        <v/>
      </c>
      <c r="J337" s="4" t="str">
        <f t="shared" si="52"/>
        <v/>
      </c>
      <c r="K337" s="4" t="str">
        <f t="shared" si="53"/>
        <v/>
      </c>
      <c r="L337" s="4" t="str">
        <f t="shared" si="54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8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9"/>
        <v/>
      </c>
      <c r="H338" s="4">
        <f t="shared" si="50"/>
        <v>0.6428571428571429</v>
      </c>
      <c r="I338" s="4" t="str">
        <f t="shared" si="51"/>
        <v/>
      </c>
      <c r="J338" s="4" t="str">
        <f t="shared" si="52"/>
        <v/>
      </c>
      <c r="K338" s="4" t="str">
        <f t="shared" si="53"/>
        <v/>
      </c>
      <c r="L338" s="4" t="str">
        <f t="shared" si="54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8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9"/>
        <v/>
      </c>
      <c r="H339" s="4">
        <f t="shared" si="50"/>
        <v>0.6428571428571429</v>
      </c>
      <c r="I339" s="4" t="str">
        <f t="shared" si="51"/>
        <v/>
      </c>
      <c r="J339" s="4" t="str">
        <f t="shared" si="52"/>
        <v/>
      </c>
      <c r="K339" s="4" t="str">
        <f t="shared" si="53"/>
        <v/>
      </c>
      <c r="L339" s="4" t="str">
        <f t="shared" si="54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8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9"/>
        <v/>
      </c>
      <c r="H340" s="4">
        <f t="shared" si="50"/>
        <v>0.6428571428571429</v>
      </c>
      <c r="I340" s="4" t="str">
        <f t="shared" si="51"/>
        <v/>
      </c>
      <c r="J340" s="4" t="str">
        <f t="shared" si="52"/>
        <v/>
      </c>
      <c r="K340" s="4" t="str">
        <f t="shared" si="53"/>
        <v/>
      </c>
      <c r="L340" s="4" t="str">
        <f t="shared" si="54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8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9"/>
        <v/>
      </c>
      <c r="H341" s="4">
        <f t="shared" si="50"/>
        <v>0.7946428571428571</v>
      </c>
      <c r="I341" s="4" t="str">
        <f t="shared" si="51"/>
        <v/>
      </c>
      <c r="J341" s="4" t="str">
        <f t="shared" si="52"/>
        <v/>
      </c>
      <c r="K341" s="4" t="str">
        <f t="shared" si="53"/>
        <v/>
      </c>
      <c r="L341" s="4" t="str">
        <f t="shared" si="54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8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9"/>
        <v/>
      </c>
      <c r="H342" s="4">
        <f t="shared" si="50"/>
        <v>0.7946428571428571</v>
      </c>
      <c r="I342" s="4" t="str">
        <f t="shared" si="51"/>
        <v/>
      </c>
      <c r="J342" s="4" t="str">
        <f t="shared" si="52"/>
        <v/>
      </c>
      <c r="K342" s="4" t="str">
        <f t="shared" si="53"/>
        <v/>
      </c>
      <c r="L342" s="4" t="str">
        <f t="shared" si="54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8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9"/>
        <v/>
      </c>
      <c r="H343" s="4">
        <f t="shared" si="50"/>
        <v>1</v>
      </c>
      <c r="I343" s="4" t="str">
        <f t="shared" si="51"/>
        <v/>
      </c>
      <c r="J343" s="4" t="str">
        <f t="shared" si="52"/>
        <v/>
      </c>
      <c r="K343" s="4" t="str">
        <f t="shared" si="53"/>
        <v/>
      </c>
      <c r="L343" s="4" t="str">
        <f t="shared" si="54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8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9"/>
        <v/>
      </c>
      <c r="H344" s="4" t="str">
        <f t="shared" si="50"/>
        <v/>
      </c>
      <c r="I344" s="4">
        <f t="shared" si="51"/>
        <v>1</v>
      </c>
      <c r="J344" s="4" t="str">
        <f t="shared" si="52"/>
        <v/>
      </c>
      <c r="K344" s="4" t="str">
        <f t="shared" si="53"/>
        <v/>
      </c>
      <c r="L344" s="4" t="str">
        <f t="shared" si="54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8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9"/>
        <v/>
      </c>
      <c r="H345" s="4" t="str">
        <f t="shared" si="50"/>
        <v/>
      </c>
      <c r="I345" s="4">
        <f t="shared" si="51"/>
        <v>1</v>
      </c>
      <c r="J345" s="4" t="str">
        <f t="shared" si="52"/>
        <v/>
      </c>
      <c r="K345" s="4" t="str">
        <f t="shared" si="53"/>
        <v/>
      </c>
      <c r="L345" s="4" t="str">
        <f t="shared" si="54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8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9"/>
        <v>0.1357142857142857</v>
      </c>
      <c r="H346" s="4" t="str">
        <f t="shared" si="50"/>
        <v/>
      </c>
      <c r="I346" s="4" t="str">
        <f t="shared" si="51"/>
        <v/>
      </c>
      <c r="J346" s="4" t="str">
        <f t="shared" si="52"/>
        <v/>
      </c>
      <c r="K346" s="4" t="str">
        <f t="shared" si="53"/>
        <v/>
      </c>
      <c r="L346" s="4" t="str">
        <f t="shared" si="54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8"/>
        <v>test.ImageData_3_</v>
      </c>
      <c r="D347">
        <v>2</v>
      </c>
      <c r="E347" s="4">
        <v>0.2</v>
      </c>
      <c r="F347" s="4">
        <v>0.15159574468085107</v>
      </c>
      <c r="G347" s="4">
        <f t="shared" si="49"/>
        <v>0.2</v>
      </c>
      <c r="H347" s="4" t="str">
        <f t="shared" si="50"/>
        <v/>
      </c>
      <c r="I347" s="4" t="str">
        <f t="shared" si="51"/>
        <v/>
      </c>
      <c r="J347" s="4" t="str">
        <f t="shared" si="52"/>
        <v/>
      </c>
      <c r="K347" s="4" t="str">
        <f t="shared" si="53"/>
        <v/>
      </c>
      <c r="L347" s="4" t="str">
        <f t="shared" si="54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8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9"/>
        <v/>
      </c>
      <c r="H348" s="4">
        <f t="shared" si="50"/>
        <v>0.45</v>
      </c>
      <c r="I348" s="4" t="str">
        <f t="shared" si="51"/>
        <v/>
      </c>
      <c r="J348" s="4" t="str">
        <f t="shared" si="52"/>
        <v/>
      </c>
      <c r="K348" s="4" t="str">
        <f t="shared" si="53"/>
        <v/>
      </c>
      <c r="L348" s="4" t="str">
        <f t="shared" si="54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8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9"/>
        <v/>
      </c>
      <c r="H349" s="4">
        <f t="shared" si="50"/>
        <v>0.45</v>
      </c>
      <c r="I349" s="4" t="str">
        <f t="shared" si="51"/>
        <v/>
      </c>
      <c r="J349" s="4" t="str">
        <f t="shared" si="52"/>
        <v/>
      </c>
      <c r="K349" s="4" t="str">
        <f t="shared" si="53"/>
        <v/>
      </c>
      <c r="L349" s="4" t="str">
        <f t="shared" si="54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8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9"/>
        <v/>
      </c>
      <c r="H350" s="4">
        <f t="shared" si="50"/>
        <v>0.8571428571428571</v>
      </c>
      <c r="I350" s="4" t="str">
        <f t="shared" si="51"/>
        <v/>
      </c>
      <c r="J350" s="4" t="str">
        <f t="shared" si="52"/>
        <v/>
      </c>
      <c r="K350" s="4" t="str">
        <f t="shared" si="53"/>
        <v/>
      </c>
      <c r="L350" s="4" t="str">
        <f t="shared" si="54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8"/>
        <v>test.ImageData_3_</v>
      </c>
      <c r="D351">
        <v>6</v>
      </c>
      <c r="E351" s="4">
        <v>1</v>
      </c>
      <c r="F351" s="4">
        <v>0.57240905971173639</v>
      </c>
      <c r="G351" s="4" t="str">
        <f t="shared" si="49"/>
        <v/>
      </c>
      <c r="H351" s="4" t="str">
        <f t="shared" si="50"/>
        <v/>
      </c>
      <c r="I351" s="4">
        <f t="shared" si="51"/>
        <v>1</v>
      </c>
      <c r="J351" s="4" t="str">
        <f t="shared" si="52"/>
        <v/>
      </c>
      <c r="K351" s="4" t="str">
        <f t="shared" si="53"/>
        <v/>
      </c>
      <c r="L351" s="4" t="str">
        <f t="shared" si="54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8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9"/>
        <v>6.985294117647059E-2</v>
      </c>
      <c r="H352" s="4" t="str">
        <f t="shared" si="50"/>
        <v/>
      </c>
      <c r="I352" s="4" t="str">
        <f t="shared" si="51"/>
        <v/>
      </c>
      <c r="J352" s="4" t="str">
        <f t="shared" si="52"/>
        <v/>
      </c>
      <c r="K352" s="4" t="str">
        <f t="shared" si="53"/>
        <v/>
      </c>
      <c r="L352" s="4" t="str">
        <f t="shared" si="54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8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9"/>
        <v>0.11397058823529412</v>
      </c>
      <c r="H353" s="4" t="str">
        <f t="shared" si="50"/>
        <v/>
      </c>
      <c r="I353" s="4" t="str">
        <f t="shared" si="51"/>
        <v/>
      </c>
      <c r="J353" s="4" t="str">
        <f t="shared" si="52"/>
        <v/>
      </c>
      <c r="K353" s="4" t="str">
        <f t="shared" si="53"/>
        <v/>
      </c>
      <c r="L353" s="4" t="str">
        <f t="shared" si="54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8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9"/>
        <v>0.24264705882352941</v>
      </c>
      <c r="H354" s="4" t="str">
        <f t="shared" si="50"/>
        <v/>
      </c>
      <c r="I354" s="4" t="str">
        <f t="shared" si="51"/>
        <v/>
      </c>
      <c r="J354" s="4" t="str">
        <f t="shared" si="52"/>
        <v/>
      </c>
      <c r="K354" s="4" t="str">
        <f t="shared" si="53"/>
        <v/>
      </c>
      <c r="L354" s="4" t="str">
        <f t="shared" si="54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8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9"/>
        <v>0.37132352941176472</v>
      </c>
      <c r="H355" s="4" t="str">
        <f t="shared" si="50"/>
        <v/>
      </c>
      <c r="I355" s="4" t="str">
        <f t="shared" si="51"/>
        <v/>
      </c>
      <c r="J355" s="4" t="str">
        <f t="shared" si="52"/>
        <v/>
      </c>
      <c r="K355" s="4" t="str">
        <f t="shared" si="53"/>
        <v/>
      </c>
      <c r="L355" s="4" t="str">
        <f t="shared" si="54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8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9"/>
        <v>0.56617647058823528</v>
      </c>
      <c r="H356" s="4" t="str">
        <f t="shared" si="50"/>
        <v/>
      </c>
      <c r="I356" s="4" t="str">
        <f t="shared" si="51"/>
        <v/>
      </c>
      <c r="J356" s="4" t="str">
        <f t="shared" si="52"/>
        <v/>
      </c>
      <c r="K356" s="4" t="str">
        <f t="shared" si="53"/>
        <v/>
      </c>
      <c r="L356" s="4" t="str">
        <f t="shared" si="54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8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9"/>
        <v/>
      </c>
      <c r="H357" s="4">
        <f t="shared" si="50"/>
        <v>0.64338235294117652</v>
      </c>
      <c r="I357" s="4" t="str">
        <f t="shared" si="51"/>
        <v/>
      </c>
      <c r="J357" s="4" t="str">
        <f t="shared" si="52"/>
        <v/>
      </c>
      <c r="K357" s="4" t="str">
        <f t="shared" si="53"/>
        <v/>
      </c>
      <c r="L357" s="4" t="str">
        <f t="shared" si="54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8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9"/>
        <v/>
      </c>
      <c r="H358" s="4">
        <f t="shared" si="50"/>
        <v>0.74264705882352944</v>
      </c>
      <c r="I358" s="4" t="str">
        <f t="shared" si="51"/>
        <v/>
      </c>
      <c r="J358" s="4" t="str">
        <f t="shared" si="52"/>
        <v/>
      </c>
      <c r="K358" s="4" t="str">
        <f t="shared" si="53"/>
        <v/>
      </c>
      <c r="L358" s="4" t="str">
        <f t="shared" si="54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8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9"/>
        <v/>
      </c>
      <c r="H359" s="4">
        <f t="shared" si="50"/>
        <v>0.86029411764705888</v>
      </c>
      <c r="I359" s="4" t="str">
        <f t="shared" si="51"/>
        <v/>
      </c>
      <c r="J359" s="4" t="str">
        <f t="shared" si="52"/>
        <v/>
      </c>
      <c r="K359" s="4" t="str">
        <f t="shared" si="53"/>
        <v/>
      </c>
      <c r="L359" s="4" t="str">
        <f t="shared" si="54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8"/>
        <v>test.ImageData_4_</v>
      </c>
      <c r="D360">
        <v>9</v>
      </c>
      <c r="E360" s="4">
        <v>1</v>
      </c>
      <c r="F360" s="4">
        <v>0.2721209844072891</v>
      </c>
      <c r="G360" s="4" t="str">
        <f t="shared" si="49"/>
        <v/>
      </c>
      <c r="H360" s="4">
        <f t="shared" si="50"/>
        <v>1</v>
      </c>
      <c r="I360" s="4" t="str">
        <f t="shared" si="51"/>
        <v/>
      </c>
      <c r="J360" s="4" t="str">
        <f t="shared" si="52"/>
        <v/>
      </c>
      <c r="K360" s="4" t="str">
        <f t="shared" si="53"/>
        <v/>
      </c>
      <c r="L360" s="4" t="str">
        <f t="shared" si="54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8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9"/>
        <v/>
      </c>
      <c r="H361" s="4" t="str">
        <f t="shared" si="50"/>
        <v/>
      </c>
      <c r="I361" s="4">
        <f t="shared" si="51"/>
        <v>0.36363636363636365</v>
      </c>
      <c r="J361" s="4" t="str">
        <f t="shared" si="52"/>
        <v/>
      </c>
      <c r="K361" s="4" t="str">
        <f t="shared" si="53"/>
        <v/>
      </c>
      <c r="L361" s="4" t="str">
        <f t="shared" si="54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8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9"/>
        <v/>
      </c>
      <c r="H362" s="4" t="str">
        <f t="shared" si="50"/>
        <v/>
      </c>
      <c r="I362" s="4" t="str">
        <f t="shared" si="51"/>
        <v/>
      </c>
      <c r="J362" s="4">
        <f t="shared" si="52"/>
        <v>0.54545454545454541</v>
      </c>
      <c r="K362" s="4" t="str">
        <f t="shared" si="53"/>
        <v/>
      </c>
      <c r="L362" s="4" t="str">
        <f t="shared" si="54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8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9"/>
        <v/>
      </c>
      <c r="H363" s="4" t="str">
        <f t="shared" si="50"/>
        <v/>
      </c>
      <c r="I363" s="4" t="str">
        <f t="shared" si="51"/>
        <v/>
      </c>
      <c r="J363" s="4" t="str">
        <f t="shared" si="52"/>
        <v/>
      </c>
      <c r="K363" s="4">
        <f t="shared" si="53"/>
        <v>0.72727272727272729</v>
      </c>
      <c r="L363" s="4" t="str">
        <f t="shared" si="54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8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9"/>
        <v/>
      </c>
      <c r="H364" s="4" t="str">
        <f t="shared" si="50"/>
        <v/>
      </c>
      <c r="I364" s="4" t="str">
        <f t="shared" si="51"/>
        <v/>
      </c>
      <c r="J364" s="4" t="str">
        <f t="shared" si="52"/>
        <v/>
      </c>
      <c r="K364" s="4">
        <f t="shared" si="53"/>
        <v>0.77272727272727271</v>
      </c>
      <c r="L364" s="4" t="str">
        <f t="shared" si="54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8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9"/>
        <v/>
      </c>
      <c r="H365" s="4" t="str">
        <f t="shared" si="50"/>
        <v/>
      </c>
      <c r="I365" s="4" t="str">
        <f t="shared" si="51"/>
        <v/>
      </c>
      <c r="J365" s="4" t="str">
        <f t="shared" si="52"/>
        <v/>
      </c>
      <c r="K365" s="4">
        <f t="shared" si="53"/>
        <v>0.86363636363636365</v>
      </c>
      <c r="L365" s="4" t="str">
        <f t="shared" si="54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8"/>
        <v>test.ImageData_5_</v>
      </c>
      <c r="D366">
        <v>6</v>
      </c>
      <c r="E366" s="4">
        <v>1</v>
      </c>
      <c r="F366" s="4">
        <v>1.0665301944728762</v>
      </c>
      <c r="G366" s="4" t="str">
        <f t="shared" si="49"/>
        <v/>
      </c>
      <c r="H366" s="4" t="str">
        <f t="shared" si="50"/>
        <v/>
      </c>
      <c r="I366" s="4" t="str">
        <f t="shared" si="51"/>
        <v/>
      </c>
      <c r="J366" s="4" t="str">
        <f t="shared" si="52"/>
        <v/>
      </c>
      <c r="K366" s="4">
        <f t="shared" si="53"/>
        <v>1</v>
      </c>
      <c r="L366" s="4" t="str">
        <f t="shared" si="54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8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9"/>
        <v>0.2857142857142857</v>
      </c>
      <c r="H367" s="4" t="str">
        <f t="shared" si="50"/>
        <v/>
      </c>
      <c r="I367" s="4" t="str">
        <f t="shared" si="51"/>
        <v/>
      </c>
      <c r="J367" s="4" t="str">
        <f t="shared" si="52"/>
        <v/>
      </c>
      <c r="K367" s="4" t="str">
        <f t="shared" si="53"/>
        <v/>
      </c>
      <c r="L367" s="4" t="str">
        <f t="shared" si="54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8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9"/>
        <v/>
      </c>
      <c r="H368" s="4">
        <f t="shared" si="50"/>
        <v>0.47619047619047616</v>
      </c>
      <c r="I368" s="4" t="str">
        <f t="shared" si="51"/>
        <v/>
      </c>
      <c r="J368" s="4" t="str">
        <f t="shared" si="52"/>
        <v/>
      </c>
      <c r="K368" s="4" t="str">
        <f t="shared" si="53"/>
        <v/>
      </c>
      <c r="L368" s="4" t="str">
        <f t="shared" si="54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8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9"/>
        <v/>
      </c>
      <c r="H369" s="4">
        <f t="shared" si="50"/>
        <v>0.47619047619047616</v>
      </c>
      <c r="I369" s="4" t="str">
        <f t="shared" si="51"/>
        <v/>
      </c>
      <c r="J369" s="4" t="str">
        <f t="shared" si="52"/>
        <v/>
      </c>
      <c r="K369" s="4" t="str">
        <f t="shared" si="53"/>
        <v/>
      </c>
      <c r="L369" s="4" t="str">
        <f t="shared" si="54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8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9"/>
        <v/>
      </c>
      <c r="H370" s="4" t="str">
        <f t="shared" si="50"/>
        <v/>
      </c>
      <c r="I370" s="4" t="str">
        <f t="shared" si="51"/>
        <v/>
      </c>
      <c r="J370" s="4">
        <f t="shared" si="52"/>
        <v>0.76190476190476186</v>
      </c>
      <c r="K370" s="4" t="str">
        <f t="shared" si="53"/>
        <v/>
      </c>
      <c r="L370" s="4" t="str">
        <f t="shared" si="54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8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9"/>
        <v/>
      </c>
      <c r="H371" s="4" t="str">
        <f t="shared" si="50"/>
        <v/>
      </c>
      <c r="I371" s="4" t="str">
        <f t="shared" si="51"/>
        <v/>
      </c>
      <c r="J371" s="4">
        <f t="shared" si="52"/>
        <v>0.8571428571428571</v>
      </c>
      <c r="K371" s="4" t="str">
        <f t="shared" si="53"/>
        <v/>
      </c>
      <c r="L371" s="4" t="str">
        <f t="shared" si="54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8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9"/>
        <v/>
      </c>
      <c r="H372" s="4" t="str">
        <f t="shared" si="50"/>
        <v/>
      </c>
      <c r="I372" s="4" t="str">
        <f t="shared" si="51"/>
        <v/>
      </c>
      <c r="J372" s="4">
        <f t="shared" si="52"/>
        <v>0.8571428571428571</v>
      </c>
      <c r="K372" s="4" t="str">
        <f t="shared" si="53"/>
        <v/>
      </c>
      <c r="L372" s="4" t="str">
        <f t="shared" si="54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8"/>
        <v>test.ImageData_6_</v>
      </c>
      <c r="D373">
        <v>7</v>
      </c>
      <c r="E373" s="4">
        <v>1</v>
      </c>
      <c r="F373" s="4">
        <v>0.72969374167776302</v>
      </c>
      <c r="G373" s="4" t="str">
        <f t="shared" si="49"/>
        <v/>
      </c>
      <c r="H373" s="4" t="str">
        <f t="shared" si="50"/>
        <v/>
      </c>
      <c r="I373" s="4" t="str">
        <f t="shared" si="51"/>
        <v/>
      </c>
      <c r="J373" s="4">
        <f t="shared" si="52"/>
        <v>1</v>
      </c>
      <c r="K373" s="4" t="str">
        <f t="shared" si="53"/>
        <v/>
      </c>
      <c r="L373" s="4" t="str">
        <f t="shared" si="54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8"/>
        <v>test.ImageData_6_</v>
      </c>
      <c r="D374">
        <v>8</v>
      </c>
      <c r="E374" s="4">
        <v>1</v>
      </c>
      <c r="F374" s="4">
        <v>0.77097203728362185</v>
      </c>
      <c r="G374" s="4" t="str">
        <f t="shared" si="49"/>
        <v/>
      </c>
      <c r="H374" s="4" t="str">
        <f t="shared" si="50"/>
        <v/>
      </c>
      <c r="I374" s="4" t="str">
        <f t="shared" si="51"/>
        <v/>
      </c>
      <c r="J374" s="4">
        <f t="shared" si="52"/>
        <v>1</v>
      </c>
      <c r="K374" s="4" t="str">
        <f t="shared" si="53"/>
        <v/>
      </c>
      <c r="L374" s="4" t="str">
        <f t="shared" si="54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8"/>
        <v>test.ImageData_6_</v>
      </c>
      <c r="D375">
        <v>9</v>
      </c>
      <c r="E375" s="4">
        <v>1</v>
      </c>
      <c r="F375" s="4">
        <v>0.82456724367509981</v>
      </c>
      <c r="G375" s="4" t="str">
        <f t="shared" si="49"/>
        <v/>
      </c>
      <c r="H375" s="4" t="str">
        <f t="shared" si="50"/>
        <v/>
      </c>
      <c r="I375" s="4" t="str">
        <f t="shared" si="51"/>
        <v/>
      </c>
      <c r="J375" s="4" t="str">
        <f t="shared" si="52"/>
        <v/>
      </c>
      <c r="K375" s="4">
        <f t="shared" si="53"/>
        <v>1</v>
      </c>
      <c r="L375" s="4" t="str">
        <f t="shared" si="54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8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9"/>
        <v/>
      </c>
      <c r="H376" s="4" t="str">
        <f t="shared" si="50"/>
        <v/>
      </c>
      <c r="I376" s="4" t="str">
        <f t="shared" si="51"/>
        <v/>
      </c>
      <c r="J376" s="4" t="str">
        <f t="shared" si="52"/>
        <v/>
      </c>
      <c r="K376" s="4">
        <f t="shared" si="53"/>
        <v>1</v>
      </c>
      <c r="L376" s="4" t="str">
        <f t="shared" si="54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8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9"/>
        <v/>
      </c>
      <c r="H377" s="4">
        <f t="shared" si="50"/>
        <v>0.2</v>
      </c>
      <c r="I377" s="4" t="str">
        <f t="shared" si="51"/>
        <v/>
      </c>
      <c r="J377" s="4" t="str">
        <f t="shared" si="52"/>
        <v/>
      </c>
      <c r="K377" s="4" t="str">
        <f t="shared" si="53"/>
        <v/>
      </c>
      <c r="L377" s="4" t="str">
        <f t="shared" si="54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8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9"/>
        <v/>
      </c>
      <c r="H378" s="4">
        <f t="shared" si="50"/>
        <v>0.29166666666666669</v>
      </c>
      <c r="I378" s="4" t="str">
        <f t="shared" si="51"/>
        <v/>
      </c>
      <c r="J378" s="4" t="str">
        <f t="shared" si="52"/>
        <v/>
      </c>
      <c r="K378" s="4" t="str">
        <f t="shared" si="53"/>
        <v/>
      </c>
      <c r="L378" s="4" t="str">
        <f t="shared" si="54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8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9"/>
        <v/>
      </c>
      <c r="H379" s="4">
        <f t="shared" si="50"/>
        <v>0.32500000000000001</v>
      </c>
      <c r="I379" s="4" t="str">
        <f t="shared" si="51"/>
        <v/>
      </c>
      <c r="J379" s="4" t="str">
        <f t="shared" si="52"/>
        <v/>
      </c>
      <c r="K379" s="4" t="str">
        <f t="shared" si="53"/>
        <v/>
      </c>
      <c r="L379" s="4" t="str">
        <f t="shared" si="54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8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9"/>
        <v/>
      </c>
      <c r="H380" s="4">
        <f t="shared" si="50"/>
        <v>0.43333333333333335</v>
      </c>
      <c r="I380" s="4" t="str">
        <f t="shared" si="51"/>
        <v/>
      </c>
      <c r="J380" s="4" t="str">
        <f t="shared" si="52"/>
        <v/>
      </c>
      <c r="K380" s="4" t="str">
        <f t="shared" si="53"/>
        <v/>
      </c>
      <c r="L380" s="4" t="str">
        <f t="shared" si="54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8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9"/>
        <v/>
      </c>
      <c r="H381" s="4">
        <f t="shared" si="50"/>
        <v>0.56666666666666665</v>
      </c>
      <c r="I381" s="4" t="str">
        <f t="shared" si="51"/>
        <v/>
      </c>
      <c r="J381" s="4" t="str">
        <f t="shared" si="52"/>
        <v/>
      </c>
      <c r="K381" s="4" t="str">
        <f t="shared" si="53"/>
        <v/>
      </c>
      <c r="L381" s="4" t="str">
        <f t="shared" si="54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8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9"/>
        <v/>
      </c>
      <c r="H382" s="4">
        <f t="shared" si="50"/>
        <v>0.59166666666666667</v>
      </c>
      <c r="I382" s="4" t="str">
        <f t="shared" si="51"/>
        <v/>
      </c>
      <c r="J382" s="4" t="str">
        <f t="shared" si="52"/>
        <v/>
      </c>
      <c r="K382" s="4" t="str">
        <f t="shared" si="53"/>
        <v/>
      </c>
      <c r="L382" s="4" t="str">
        <f t="shared" si="54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8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9"/>
        <v/>
      </c>
      <c r="H383" s="4">
        <f t="shared" si="50"/>
        <v>0.65</v>
      </c>
      <c r="I383" s="4" t="str">
        <f t="shared" si="51"/>
        <v/>
      </c>
      <c r="J383" s="4" t="str">
        <f t="shared" si="52"/>
        <v/>
      </c>
      <c r="K383" s="4" t="str">
        <f t="shared" si="53"/>
        <v/>
      </c>
      <c r="L383" s="4" t="str">
        <f t="shared" si="54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8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9"/>
        <v/>
      </c>
      <c r="H384" s="4">
        <f t="shared" si="50"/>
        <v>0.73333333333333328</v>
      </c>
      <c r="I384" s="4" t="str">
        <f t="shared" si="51"/>
        <v/>
      </c>
      <c r="J384" s="4" t="str">
        <f t="shared" si="52"/>
        <v/>
      </c>
      <c r="K384" s="4" t="str">
        <f t="shared" si="53"/>
        <v/>
      </c>
      <c r="L384" s="4" t="str">
        <f t="shared" si="54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8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9"/>
        <v/>
      </c>
      <c r="H385" s="4" t="str">
        <f t="shared" si="50"/>
        <v/>
      </c>
      <c r="I385" s="4">
        <f t="shared" si="51"/>
        <v>0.85</v>
      </c>
      <c r="J385" s="4" t="str">
        <f t="shared" si="52"/>
        <v/>
      </c>
      <c r="K385" s="4" t="str">
        <f t="shared" si="53"/>
        <v/>
      </c>
      <c r="L385" s="4" t="str">
        <f t="shared" si="54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8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9"/>
        <v/>
      </c>
      <c r="H386" s="4" t="str">
        <f t="shared" si="50"/>
        <v/>
      </c>
      <c r="I386" s="4">
        <f t="shared" si="51"/>
        <v>1</v>
      </c>
      <c r="J386" s="4" t="str">
        <f t="shared" si="52"/>
        <v/>
      </c>
      <c r="K386" s="4" t="str">
        <f t="shared" si="53"/>
        <v/>
      </c>
      <c r="L386" s="4" t="str">
        <f t="shared" si="54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5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6">IF($F387 &lt;= 0.2,$E387,"")</f>
        <v>0.11728395061728394</v>
      </c>
      <c r="H387" s="4" t="str">
        <f t="shared" ref="H387:H450" si="57">IF(AND($F387 &gt; 0.2,$F387 &lt;= 0.4),$E387,"")</f>
        <v/>
      </c>
      <c r="I387" s="4" t="str">
        <f t="shared" ref="I387:I450" si="58">IF(AND($F387 &gt; 0.4,$F387 &lt;= 0.6),$E387,"")</f>
        <v/>
      </c>
      <c r="J387" s="4" t="str">
        <f t="shared" ref="J387:J450" si="59">IF(AND($F387 &gt; 0.6,$F387 &lt;= 0.8),$E387,"")</f>
        <v/>
      </c>
      <c r="K387" s="4" t="str">
        <f t="shared" ref="K387:K450" si="60">IF(AND($F387 &gt; 0.8, $F387 &lt;=1.1),$E387,"")</f>
        <v/>
      </c>
      <c r="L387" s="4" t="str">
        <f t="shared" ref="L387:L450" si="61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5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6"/>
        <v>0.1728395061728395</v>
      </c>
      <c r="H388" s="4" t="str">
        <f t="shared" si="57"/>
        <v/>
      </c>
      <c r="I388" s="4" t="str">
        <f t="shared" si="58"/>
        <v/>
      </c>
      <c r="J388" s="4" t="str">
        <f t="shared" si="59"/>
        <v/>
      </c>
      <c r="K388" s="4" t="str">
        <f t="shared" si="60"/>
        <v/>
      </c>
      <c r="L388" s="4" t="str">
        <f t="shared" si="61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5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6"/>
        <v>0.3888888888888889</v>
      </c>
      <c r="H389" s="4" t="str">
        <f t="shared" si="57"/>
        <v/>
      </c>
      <c r="I389" s="4" t="str">
        <f t="shared" si="58"/>
        <v/>
      </c>
      <c r="J389" s="4" t="str">
        <f t="shared" si="59"/>
        <v/>
      </c>
      <c r="K389" s="4" t="str">
        <f t="shared" si="60"/>
        <v/>
      </c>
      <c r="L389" s="4" t="str">
        <f t="shared" si="61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5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6"/>
        <v/>
      </c>
      <c r="H390" s="4">
        <f t="shared" si="57"/>
        <v>0.66049382716049387</v>
      </c>
      <c r="I390" s="4" t="str">
        <f t="shared" si="58"/>
        <v/>
      </c>
      <c r="J390" s="4" t="str">
        <f t="shared" si="59"/>
        <v/>
      </c>
      <c r="K390" s="4" t="str">
        <f t="shared" si="60"/>
        <v/>
      </c>
      <c r="L390" s="4" t="str">
        <f t="shared" si="61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5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6"/>
        <v/>
      </c>
      <c r="H391" s="4" t="str">
        <f t="shared" si="57"/>
        <v/>
      </c>
      <c r="I391" s="4">
        <f t="shared" si="58"/>
        <v>0.86419753086419748</v>
      </c>
      <c r="J391" s="4" t="str">
        <f t="shared" si="59"/>
        <v/>
      </c>
      <c r="K391" s="4" t="str">
        <f t="shared" si="60"/>
        <v/>
      </c>
      <c r="L391" s="4" t="str">
        <f t="shared" si="61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5"/>
        <v>test.ImageData_8_</v>
      </c>
      <c r="D392">
        <v>6</v>
      </c>
      <c r="E392" s="4">
        <v>1</v>
      </c>
      <c r="F392" s="4">
        <v>0.48877063933015102</v>
      </c>
      <c r="G392" s="4" t="str">
        <f t="shared" si="56"/>
        <v/>
      </c>
      <c r="H392" s="4" t="str">
        <f t="shared" si="57"/>
        <v/>
      </c>
      <c r="I392" s="4">
        <f t="shared" si="58"/>
        <v>1</v>
      </c>
      <c r="J392" s="4" t="str">
        <f t="shared" si="59"/>
        <v/>
      </c>
      <c r="K392" s="4" t="str">
        <f t="shared" si="60"/>
        <v/>
      </c>
      <c r="L392" s="4" t="str">
        <f t="shared" si="61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5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6"/>
        <v>7.3643410852713184E-2</v>
      </c>
      <c r="H393" s="4" t="str">
        <f t="shared" si="57"/>
        <v/>
      </c>
      <c r="I393" s="4" t="str">
        <f t="shared" si="58"/>
        <v/>
      </c>
      <c r="J393" s="4" t="str">
        <f t="shared" si="59"/>
        <v/>
      </c>
      <c r="K393" s="4" t="str">
        <f t="shared" si="60"/>
        <v/>
      </c>
      <c r="L393" s="4" t="str">
        <f t="shared" si="61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5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6"/>
        <v>0.12015503875968993</v>
      </c>
      <c r="H394" s="4" t="str">
        <f t="shared" si="57"/>
        <v/>
      </c>
      <c r="I394" s="4" t="str">
        <f t="shared" si="58"/>
        <v/>
      </c>
      <c r="J394" s="4" t="str">
        <f t="shared" si="59"/>
        <v/>
      </c>
      <c r="K394" s="4" t="str">
        <f t="shared" si="60"/>
        <v/>
      </c>
      <c r="L394" s="4" t="str">
        <f t="shared" si="61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5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6"/>
        <v>0.2558139534883721</v>
      </c>
      <c r="H395" s="4" t="str">
        <f t="shared" si="57"/>
        <v/>
      </c>
      <c r="I395" s="4" t="str">
        <f t="shared" si="58"/>
        <v/>
      </c>
      <c r="J395" s="4" t="str">
        <f t="shared" si="59"/>
        <v/>
      </c>
      <c r="K395" s="4" t="str">
        <f t="shared" si="60"/>
        <v/>
      </c>
      <c r="L395" s="4" t="str">
        <f t="shared" si="61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5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6"/>
        <v>0.4263565891472868</v>
      </c>
      <c r="H396" s="4" t="str">
        <f t="shared" si="57"/>
        <v/>
      </c>
      <c r="I396" s="4" t="str">
        <f t="shared" si="58"/>
        <v/>
      </c>
      <c r="J396" s="4" t="str">
        <f t="shared" si="59"/>
        <v/>
      </c>
      <c r="K396" s="4" t="str">
        <f t="shared" si="60"/>
        <v/>
      </c>
      <c r="L396" s="4" t="str">
        <f t="shared" si="61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5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6"/>
        <v>0.55426356589147285</v>
      </c>
      <c r="H397" s="4" t="str">
        <f t="shared" si="57"/>
        <v/>
      </c>
      <c r="I397" s="4" t="str">
        <f t="shared" si="58"/>
        <v/>
      </c>
      <c r="J397" s="4" t="str">
        <f t="shared" si="59"/>
        <v/>
      </c>
      <c r="K397" s="4" t="str">
        <f t="shared" si="60"/>
        <v/>
      </c>
      <c r="L397" s="4" t="str">
        <f t="shared" si="61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5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6"/>
        <v>0.63953488372093026</v>
      </c>
      <c r="H398" s="4" t="str">
        <f t="shared" si="57"/>
        <v/>
      </c>
      <c r="I398" s="4" t="str">
        <f t="shared" si="58"/>
        <v/>
      </c>
      <c r="J398" s="4" t="str">
        <f t="shared" si="59"/>
        <v/>
      </c>
      <c r="K398" s="4" t="str">
        <f t="shared" si="60"/>
        <v/>
      </c>
      <c r="L398" s="4" t="str">
        <f t="shared" si="61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5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6"/>
        <v/>
      </c>
      <c r="H399" s="4">
        <f t="shared" si="57"/>
        <v>0.7441860465116279</v>
      </c>
      <c r="I399" s="4" t="str">
        <f t="shared" si="58"/>
        <v/>
      </c>
      <c r="J399" s="4" t="str">
        <f t="shared" si="59"/>
        <v/>
      </c>
      <c r="K399" s="4" t="str">
        <f t="shared" si="60"/>
        <v/>
      </c>
      <c r="L399" s="4" t="str">
        <f t="shared" si="61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5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6"/>
        <v/>
      </c>
      <c r="H400" s="4">
        <f t="shared" si="57"/>
        <v>0.86434108527131781</v>
      </c>
      <c r="I400" s="4" t="str">
        <f t="shared" si="58"/>
        <v/>
      </c>
      <c r="J400" s="4" t="str">
        <f t="shared" si="59"/>
        <v/>
      </c>
      <c r="K400" s="4" t="str">
        <f t="shared" si="60"/>
        <v/>
      </c>
      <c r="L400" s="4" t="str">
        <f t="shared" si="61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5"/>
        <v>test.ImageData_9_</v>
      </c>
      <c r="D401">
        <v>9</v>
      </c>
      <c r="E401" s="4">
        <v>1</v>
      </c>
      <c r="F401" s="4">
        <v>0.26544595039344165</v>
      </c>
      <c r="G401" s="4" t="str">
        <f t="shared" si="56"/>
        <v/>
      </c>
      <c r="H401" s="4">
        <f t="shared" si="57"/>
        <v>1</v>
      </c>
      <c r="I401" s="4" t="str">
        <f t="shared" si="58"/>
        <v/>
      </c>
      <c r="J401" s="4" t="str">
        <f t="shared" si="59"/>
        <v/>
      </c>
      <c r="K401" s="4" t="str">
        <f t="shared" si="60"/>
        <v/>
      </c>
      <c r="L401" s="4" t="str">
        <f t="shared" si="61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5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6"/>
        <v>0.33962264150943394</v>
      </c>
      <c r="H402" s="4" t="str">
        <f t="shared" si="57"/>
        <v/>
      </c>
      <c r="I402" s="4" t="str">
        <f t="shared" si="58"/>
        <v/>
      </c>
      <c r="J402" s="4" t="str">
        <f t="shared" si="59"/>
        <v/>
      </c>
      <c r="K402" s="4" t="str">
        <f t="shared" si="60"/>
        <v/>
      </c>
      <c r="L402" s="4" t="str">
        <f t="shared" si="61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5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6"/>
        <v/>
      </c>
      <c r="H403" s="4" t="str">
        <f t="shared" si="57"/>
        <v/>
      </c>
      <c r="I403" s="4" t="str">
        <f t="shared" si="58"/>
        <v/>
      </c>
      <c r="J403" s="4" t="str">
        <f t="shared" si="59"/>
        <v/>
      </c>
      <c r="K403" s="4">
        <f t="shared" si="60"/>
        <v>1</v>
      </c>
      <c r="L403" s="4" t="str">
        <f t="shared" si="61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5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6"/>
        <v>1.3568521031207597E-3</v>
      </c>
      <c r="H404" s="4" t="str">
        <f t="shared" si="57"/>
        <v/>
      </c>
      <c r="I404" s="4" t="str">
        <f t="shared" si="58"/>
        <v/>
      </c>
      <c r="J404" s="4" t="str">
        <f t="shared" si="59"/>
        <v/>
      </c>
      <c r="K404" s="4" t="str">
        <f t="shared" si="60"/>
        <v/>
      </c>
      <c r="L404" s="4" t="str">
        <f t="shared" si="61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5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6"/>
        <v>4.0705563093622792E-3</v>
      </c>
      <c r="H405" s="4" t="str">
        <f t="shared" si="57"/>
        <v/>
      </c>
      <c r="I405" s="4" t="str">
        <f t="shared" si="58"/>
        <v/>
      </c>
      <c r="J405" s="4" t="str">
        <f t="shared" si="59"/>
        <v/>
      </c>
      <c r="K405" s="4" t="str">
        <f t="shared" si="60"/>
        <v/>
      </c>
      <c r="L405" s="4" t="str">
        <f t="shared" si="61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5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6"/>
        <v>6.7842605156037995E-3</v>
      </c>
      <c r="H406" s="4" t="str">
        <f t="shared" si="57"/>
        <v/>
      </c>
      <c r="I406" s="4" t="str">
        <f t="shared" si="58"/>
        <v/>
      </c>
      <c r="J406" s="4" t="str">
        <f t="shared" si="59"/>
        <v/>
      </c>
      <c r="K406" s="4" t="str">
        <f t="shared" si="60"/>
        <v/>
      </c>
      <c r="L406" s="4" t="str">
        <f t="shared" si="61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5"/>
        <v>test.ImageData_13_</v>
      </c>
      <c r="D407">
        <v>4</v>
      </c>
      <c r="E407" s="4">
        <v>1</v>
      </c>
      <c r="F407" s="4">
        <v>1.0116540508131604</v>
      </c>
      <c r="G407" s="4" t="str">
        <f t="shared" si="56"/>
        <v/>
      </c>
      <c r="H407" s="4" t="str">
        <f t="shared" si="57"/>
        <v/>
      </c>
      <c r="I407" s="4" t="str">
        <f t="shared" si="58"/>
        <v/>
      </c>
      <c r="J407" s="4" t="str">
        <f t="shared" si="59"/>
        <v/>
      </c>
      <c r="K407" s="4">
        <f t="shared" si="60"/>
        <v>1</v>
      </c>
      <c r="L407" s="4" t="str">
        <f t="shared" si="61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5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6"/>
        <v>1.0438413361169101E-3</v>
      </c>
      <c r="H408" s="4" t="str">
        <f t="shared" si="57"/>
        <v/>
      </c>
      <c r="I408" s="4" t="str">
        <f t="shared" si="58"/>
        <v/>
      </c>
      <c r="J408" s="4" t="str">
        <f t="shared" si="59"/>
        <v/>
      </c>
      <c r="K408" s="4" t="str">
        <f t="shared" si="60"/>
        <v/>
      </c>
      <c r="L408" s="4" t="str">
        <f t="shared" si="61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5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6"/>
        <v>3.1315240083507308E-3</v>
      </c>
      <c r="H409" s="4" t="str">
        <f t="shared" si="57"/>
        <v/>
      </c>
      <c r="I409" s="4" t="str">
        <f t="shared" si="58"/>
        <v/>
      </c>
      <c r="J409" s="4" t="str">
        <f t="shared" si="59"/>
        <v/>
      </c>
      <c r="K409" s="4" t="str">
        <f t="shared" si="60"/>
        <v/>
      </c>
      <c r="L409" s="4" t="str">
        <f t="shared" si="61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5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6"/>
        <v>5.2192066805845511E-3</v>
      </c>
      <c r="H410" s="4" t="str">
        <f t="shared" si="57"/>
        <v/>
      </c>
      <c r="I410" s="4" t="str">
        <f t="shared" si="58"/>
        <v/>
      </c>
      <c r="J410" s="4" t="str">
        <f t="shared" si="59"/>
        <v/>
      </c>
      <c r="K410" s="4" t="str">
        <f t="shared" si="60"/>
        <v/>
      </c>
      <c r="L410" s="4" t="str">
        <f t="shared" si="61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5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6"/>
        <v/>
      </c>
      <c r="H411" s="4" t="str">
        <f t="shared" si="57"/>
        <v/>
      </c>
      <c r="I411" s="4">
        <f t="shared" si="58"/>
        <v>0.39770354906054278</v>
      </c>
      <c r="J411" s="4" t="str">
        <f t="shared" si="59"/>
        <v/>
      </c>
      <c r="K411" s="4" t="str">
        <f t="shared" si="60"/>
        <v/>
      </c>
      <c r="L411" s="4" t="str">
        <f t="shared" si="61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5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6"/>
        <v/>
      </c>
      <c r="H412" s="4" t="str">
        <f t="shared" si="57"/>
        <v/>
      </c>
      <c r="I412" s="4">
        <f t="shared" si="58"/>
        <v>0.58559498956158662</v>
      </c>
      <c r="J412" s="4" t="str">
        <f t="shared" si="59"/>
        <v/>
      </c>
      <c r="K412" s="4" t="str">
        <f t="shared" si="60"/>
        <v/>
      </c>
      <c r="L412" s="4" t="str">
        <f t="shared" si="61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5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6"/>
        <v/>
      </c>
      <c r="H413" s="4" t="str">
        <f t="shared" si="57"/>
        <v/>
      </c>
      <c r="I413" s="4">
        <f t="shared" si="58"/>
        <v>0.58663883089770352</v>
      </c>
      <c r="J413" s="4" t="str">
        <f t="shared" si="59"/>
        <v/>
      </c>
      <c r="K413" s="4" t="str">
        <f t="shared" si="60"/>
        <v/>
      </c>
      <c r="L413" s="4" t="str">
        <f t="shared" si="61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5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6"/>
        <v/>
      </c>
      <c r="H414" s="4" t="str">
        <f t="shared" si="57"/>
        <v/>
      </c>
      <c r="I414" s="4">
        <f t="shared" si="58"/>
        <v>0.58872651356993733</v>
      </c>
      <c r="J414" s="4" t="str">
        <f t="shared" si="59"/>
        <v/>
      </c>
      <c r="K414" s="4" t="str">
        <f t="shared" si="60"/>
        <v/>
      </c>
      <c r="L414" s="4" t="str">
        <f t="shared" si="61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5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6"/>
        <v/>
      </c>
      <c r="H415" s="4" t="str">
        <f t="shared" si="57"/>
        <v/>
      </c>
      <c r="I415" s="4">
        <f t="shared" si="58"/>
        <v>0.58872651356993733</v>
      </c>
      <c r="J415" s="4" t="str">
        <f t="shared" si="59"/>
        <v/>
      </c>
      <c r="K415" s="4" t="str">
        <f t="shared" si="60"/>
        <v/>
      </c>
      <c r="L415" s="4" t="str">
        <f t="shared" si="61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5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6"/>
        <v/>
      </c>
      <c r="H416" s="4" t="str">
        <f t="shared" si="57"/>
        <v/>
      </c>
      <c r="I416" s="4">
        <f t="shared" si="58"/>
        <v>0.58872651356993733</v>
      </c>
      <c r="J416" s="4" t="str">
        <f t="shared" si="59"/>
        <v/>
      </c>
      <c r="K416" s="4" t="str">
        <f t="shared" si="60"/>
        <v/>
      </c>
      <c r="L416" s="4" t="str">
        <f t="shared" si="61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5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6"/>
        <v/>
      </c>
      <c r="H417" s="4" t="str">
        <f t="shared" si="57"/>
        <v/>
      </c>
      <c r="I417" s="4" t="str">
        <f t="shared" si="58"/>
        <v/>
      </c>
      <c r="J417" s="4">
        <f t="shared" si="59"/>
        <v>0.9989561586638831</v>
      </c>
      <c r="K417" s="4" t="str">
        <f t="shared" si="60"/>
        <v/>
      </c>
      <c r="L417" s="4" t="str">
        <f t="shared" si="61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5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6"/>
        <v/>
      </c>
      <c r="H418" s="4" t="str">
        <f t="shared" si="57"/>
        <v/>
      </c>
      <c r="I418" s="4" t="str">
        <f t="shared" si="58"/>
        <v/>
      </c>
      <c r="J418" s="4" t="str">
        <f t="shared" si="59"/>
        <v/>
      </c>
      <c r="K418" s="4">
        <f t="shared" si="60"/>
        <v>1</v>
      </c>
      <c r="L418" s="4" t="str">
        <f t="shared" si="61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5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6"/>
        <v>2.1052631578947368E-3</v>
      </c>
      <c r="H419" s="4" t="str">
        <f t="shared" si="57"/>
        <v/>
      </c>
      <c r="I419" s="4" t="str">
        <f t="shared" si="58"/>
        <v/>
      </c>
      <c r="J419" s="4" t="str">
        <f t="shared" si="59"/>
        <v/>
      </c>
      <c r="K419" s="4" t="str">
        <f t="shared" si="60"/>
        <v/>
      </c>
      <c r="L419" s="4" t="str">
        <f t="shared" si="61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5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6"/>
        <v>2.1052631578947368E-3</v>
      </c>
      <c r="H420" s="4" t="str">
        <f t="shared" si="57"/>
        <v/>
      </c>
      <c r="I420" s="4" t="str">
        <f t="shared" si="58"/>
        <v/>
      </c>
      <c r="J420" s="4" t="str">
        <f t="shared" si="59"/>
        <v/>
      </c>
      <c r="K420" s="4" t="str">
        <f t="shared" si="60"/>
        <v/>
      </c>
      <c r="L420" s="4" t="str">
        <f t="shared" si="61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5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6"/>
        <v>8.4210526315789472E-3</v>
      </c>
      <c r="H421" s="4" t="str">
        <f t="shared" si="57"/>
        <v/>
      </c>
      <c r="I421" s="4" t="str">
        <f t="shared" si="58"/>
        <v/>
      </c>
      <c r="J421" s="4" t="str">
        <f t="shared" si="59"/>
        <v/>
      </c>
      <c r="K421" s="4" t="str">
        <f t="shared" si="60"/>
        <v/>
      </c>
      <c r="L421" s="4" t="str">
        <f t="shared" si="61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5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6"/>
        <v/>
      </c>
      <c r="H422" s="4" t="str">
        <f t="shared" si="57"/>
        <v/>
      </c>
      <c r="I422" s="4" t="str">
        <f t="shared" si="58"/>
        <v/>
      </c>
      <c r="J422" s="4" t="str">
        <f t="shared" si="59"/>
        <v/>
      </c>
      <c r="K422" s="4">
        <f t="shared" si="60"/>
        <v>1</v>
      </c>
      <c r="L422" s="4" t="str">
        <f t="shared" si="61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5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6"/>
        <v>1.6474464579901153E-3</v>
      </c>
      <c r="H423" s="4" t="str">
        <f t="shared" si="57"/>
        <v/>
      </c>
      <c r="I423" s="4" t="str">
        <f t="shared" si="58"/>
        <v/>
      </c>
      <c r="J423" s="4" t="str">
        <f t="shared" si="59"/>
        <v/>
      </c>
      <c r="K423" s="4" t="str">
        <f t="shared" si="60"/>
        <v/>
      </c>
      <c r="L423" s="4" t="str">
        <f t="shared" si="61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5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6"/>
        <v>4.9423393739703456E-3</v>
      </c>
      <c r="H424" s="4" t="str">
        <f t="shared" si="57"/>
        <v/>
      </c>
      <c r="I424" s="4" t="str">
        <f t="shared" si="58"/>
        <v/>
      </c>
      <c r="J424" s="4" t="str">
        <f t="shared" si="59"/>
        <v/>
      </c>
      <c r="K424" s="4" t="str">
        <f t="shared" si="60"/>
        <v/>
      </c>
      <c r="L424" s="4" t="str">
        <f t="shared" si="61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5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6"/>
        <v>8.2372322899505763E-3</v>
      </c>
      <c r="H425" s="4" t="str">
        <f t="shared" si="57"/>
        <v/>
      </c>
      <c r="I425" s="4" t="str">
        <f t="shared" si="58"/>
        <v/>
      </c>
      <c r="J425" s="4" t="str">
        <f t="shared" si="59"/>
        <v/>
      </c>
      <c r="K425" s="4" t="str">
        <f t="shared" si="60"/>
        <v/>
      </c>
      <c r="L425" s="4" t="str">
        <f t="shared" si="61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5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6"/>
        <v/>
      </c>
      <c r="H426" s="4" t="str">
        <f t="shared" si="57"/>
        <v/>
      </c>
      <c r="I426" s="4" t="str">
        <f t="shared" si="58"/>
        <v/>
      </c>
      <c r="J426" s="4" t="str">
        <f t="shared" si="59"/>
        <v/>
      </c>
      <c r="K426" s="4">
        <f t="shared" si="60"/>
        <v>1</v>
      </c>
      <c r="L426" s="4" t="str">
        <f t="shared" si="61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5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6"/>
        <v/>
      </c>
      <c r="H427" s="4" t="str">
        <f t="shared" si="57"/>
        <v/>
      </c>
      <c r="I427" s="4">
        <f t="shared" si="58"/>
        <v>0.59259259259259256</v>
      </c>
      <c r="J427" s="4" t="str">
        <f t="shared" si="59"/>
        <v/>
      </c>
      <c r="K427" s="4" t="str">
        <f t="shared" si="60"/>
        <v/>
      </c>
      <c r="L427" s="4" t="str">
        <f t="shared" si="61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5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6"/>
        <v/>
      </c>
      <c r="H428" s="4" t="str">
        <f t="shared" si="57"/>
        <v/>
      </c>
      <c r="I428" s="4">
        <f t="shared" si="58"/>
        <v>1</v>
      </c>
      <c r="J428" s="4" t="str">
        <f t="shared" si="59"/>
        <v/>
      </c>
      <c r="K428" s="4" t="str">
        <f t="shared" si="60"/>
        <v/>
      </c>
      <c r="L428" s="4" t="str">
        <f t="shared" si="61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5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6"/>
        <v/>
      </c>
      <c r="H429" s="4" t="str">
        <f t="shared" si="57"/>
        <v/>
      </c>
      <c r="I429" s="4">
        <f t="shared" si="58"/>
        <v>0.54385964912280704</v>
      </c>
      <c r="J429" s="4" t="str">
        <f t="shared" si="59"/>
        <v/>
      </c>
      <c r="K429" s="4" t="str">
        <f t="shared" si="60"/>
        <v/>
      </c>
      <c r="L429" s="4" t="str">
        <f t="shared" si="61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5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6"/>
        <v/>
      </c>
      <c r="H430" s="4" t="str">
        <f t="shared" si="57"/>
        <v/>
      </c>
      <c r="I430" s="4">
        <f t="shared" si="58"/>
        <v>1</v>
      </c>
      <c r="J430" s="4" t="str">
        <f t="shared" si="59"/>
        <v/>
      </c>
      <c r="K430" s="4" t="str">
        <f t="shared" si="60"/>
        <v/>
      </c>
      <c r="L430" s="4" t="str">
        <f t="shared" si="61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5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6"/>
        <v/>
      </c>
      <c r="H431" s="4" t="str">
        <f t="shared" si="57"/>
        <v/>
      </c>
      <c r="I431" s="4">
        <f t="shared" si="58"/>
        <v>0.1</v>
      </c>
      <c r="J431" s="4" t="str">
        <f t="shared" si="59"/>
        <v/>
      </c>
      <c r="K431" s="4" t="str">
        <f t="shared" si="60"/>
        <v/>
      </c>
      <c r="L431" s="4" t="str">
        <f t="shared" si="61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5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6"/>
        <v/>
      </c>
      <c r="H432" s="4" t="str">
        <f t="shared" si="57"/>
        <v/>
      </c>
      <c r="I432" s="4" t="str">
        <f t="shared" si="58"/>
        <v/>
      </c>
      <c r="J432" s="4">
        <f t="shared" si="59"/>
        <v>0.4</v>
      </c>
      <c r="K432" s="4" t="str">
        <f t="shared" si="60"/>
        <v/>
      </c>
      <c r="L432" s="4" t="str">
        <f t="shared" si="61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5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6"/>
        <v/>
      </c>
      <c r="H433" s="4" t="str">
        <f t="shared" si="57"/>
        <v/>
      </c>
      <c r="I433" s="4" t="str">
        <f t="shared" si="58"/>
        <v/>
      </c>
      <c r="J433" s="4">
        <f t="shared" si="59"/>
        <v>0.6</v>
      </c>
      <c r="K433" s="4" t="str">
        <f t="shared" si="60"/>
        <v/>
      </c>
      <c r="L433" s="4" t="str">
        <f t="shared" si="61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5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6"/>
        <v/>
      </c>
      <c r="H434" s="4" t="str">
        <f t="shared" si="57"/>
        <v/>
      </c>
      <c r="I434" s="4" t="str">
        <f t="shared" si="58"/>
        <v/>
      </c>
      <c r="J434" s="4" t="str">
        <f t="shared" si="59"/>
        <v/>
      </c>
      <c r="K434" s="4">
        <f t="shared" si="60"/>
        <v>1</v>
      </c>
      <c r="L434" s="4" t="str">
        <f t="shared" si="61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5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6"/>
        <v>9.7345132743362831E-2</v>
      </c>
      <c r="H435" s="4" t="str">
        <f t="shared" si="57"/>
        <v/>
      </c>
      <c r="I435" s="4" t="str">
        <f t="shared" si="58"/>
        <v/>
      </c>
      <c r="J435" s="4" t="str">
        <f t="shared" si="59"/>
        <v/>
      </c>
      <c r="K435" s="4" t="str">
        <f t="shared" si="60"/>
        <v/>
      </c>
      <c r="L435" s="4" t="str">
        <f t="shared" si="61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5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6"/>
        <v>0.26548672566371684</v>
      </c>
      <c r="H436" s="4" t="str">
        <f t="shared" si="57"/>
        <v/>
      </c>
      <c r="I436" s="4" t="str">
        <f t="shared" si="58"/>
        <v/>
      </c>
      <c r="J436" s="4" t="str">
        <f t="shared" si="59"/>
        <v/>
      </c>
      <c r="K436" s="4" t="str">
        <f t="shared" si="60"/>
        <v/>
      </c>
      <c r="L436" s="4" t="str">
        <f t="shared" si="61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5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6"/>
        <v/>
      </c>
      <c r="H437" s="4">
        <f t="shared" si="57"/>
        <v>0.51327433628318586</v>
      </c>
      <c r="I437" s="4" t="str">
        <f t="shared" si="58"/>
        <v/>
      </c>
      <c r="J437" s="4" t="str">
        <f t="shared" si="59"/>
        <v/>
      </c>
      <c r="K437" s="4" t="str">
        <f t="shared" si="60"/>
        <v/>
      </c>
      <c r="L437" s="4" t="str">
        <f t="shared" si="61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5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6"/>
        <v/>
      </c>
      <c r="H438" s="4" t="str">
        <f t="shared" si="57"/>
        <v/>
      </c>
      <c r="I438" s="4">
        <f t="shared" si="58"/>
        <v>1</v>
      </c>
      <c r="J438" s="4" t="str">
        <f t="shared" si="59"/>
        <v/>
      </c>
      <c r="K438" s="4" t="str">
        <f t="shared" si="60"/>
        <v/>
      </c>
      <c r="L438" s="4" t="str">
        <f t="shared" si="61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5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6"/>
        <v>0.10638297872340426</v>
      </c>
      <c r="H439" s="4" t="str">
        <f t="shared" si="57"/>
        <v/>
      </c>
      <c r="I439" s="4" t="str">
        <f t="shared" si="58"/>
        <v/>
      </c>
      <c r="J439" s="4" t="str">
        <f t="shared" si="59"/>
        <v/>
      </c>
      <c r="K439" s="4" t="str">
        <f t="shared" si="60"/>
        <v/>
      </c>
      <c r="L439" s="4" t="str">
        <f t="shared" si="61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5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6"/>
        <v>0.18085106382978725</v>
      </c>
      <c r="H440" s="4" t="str">
        <f t="shared" si="57"/>
        <v/>
      </c>
      <c r="I440" s="4" t="str">
        <f t="shared" si="58"/>
        <v/>
      </c>
      <c r="J440" s="4" t="str">
        <f t="shared" si="59"/>
        <v/>
      </c>
      <c r="K440" s="4" t="str">
        <f t="shared" si="60"/>
        <v/>
      </c>
      <c r="L440" s="4" t="str">
        <f t="shared" si="61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5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6"/>
        <v/>
      </c>
      <c r="H441" s="4">
        <f t="shared" si="57"/>
        <v>0.2978723404255319</v>
      </c>
      <c r="I441" s="4" t="str">
        <f t="shared" si="58"/>
        <v/>
      </c>
      <c r="J441" s="4" t="str">
        <f t="shared" si="59"/>
        <v/>
      </c>
      <c r="K441" s="4" t="str">
        <f t="shared" si="60"/>
        <v/>
      </c>
      <c r="L441" s="4" t="str">
        <f t="shared" si="61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5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6"/>
        <v/>
      </c>
      <c r="H442" s="4">
        <f t="shared" si="57"/>
        <v>0.43617021276595747</v>
      </c>
      <c r="I442" s="4" t="str">
        <f t="shared" si="58"/>
        <v/>
      </c>
      <c r="J442" s="4" t="str">
        <f t="shared" si="59"/>
        <v/>
      </c>
      <c r="K442" s="4" t="str">
        <f t="shared" si="60"/>
        <v/>
      </c>
      <c r="L442" s="4" t="str">
        <f t="shared" si="61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5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6"/>
        <v/>
      </c>
      <c r="H443" s="4">
        <f t="shared" si="57"/>
        <v>0.56382978723404253</v>
      </c>
      <c r="I443" s="4" t="str">
        <f t="shared" si="58"/>
        <v/>
      </c>
      <c r="J443" s="4" t="str">
        <f t="shared" si="59"/>
        <v/>
      </c>
      <c r="K443" s="4" t="str">
        <f t="shared" si="60"/>
        <v/>
      </c>
      <c r="L443" s="4" t="str">
        <f t="shared" si="61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5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6"/>
        <v/>
      </c>
      <c r="H444" s="4">
        <f t="shared" si="57"/>
        <v>0.69148936170212771</v>
      </c>
      <c r="I444" s="4" t="str">
        <f t="shared" si="58"/>
        <v/>
      </c>
      <c r="J444" s="4" t="str">
        <f t="shared" si="59"/>
        <v/>
      </c>
      <c r="K444" s="4" t="str">
        <f t="shared" si="60"/>
        <v/>
      </c>
      <c r="L444" s="4" t="str">
        <f t="shared" si="61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5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6"/>
        <v/>
      </c>
      <c r="H445" s="4">
        <f t="shared" si="57"/>
        <v>0.85106382978723405</v>
      </c>
      <c r="I445" s="4" t="str">
        <f t="shared" si="58"/>
        <v/>
      </c>
      <c r="J445" s="4" t="str">
        <f t="shared" si="59"/>
        <v/>
      </c>
      <c r="K445" s="4" t="str">
        <f t="shared" si="60"/>
        <v/>
      </c>
      <c r="L445" s="4" t="str">
        <f t="shared" si="61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5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6"/>
        <v/>
      </c>
      <c r="H446" s="4">
        <f t="shared" si="57"/>
        <v>1</v>
      </c>
      <c r="I446" s="4" t="str">
        <f t="shared" si="58"/>
        <v/>
      </c>
      <c r="J446" s="4" t="str">
        <f t="shared" si="59"/>
        <v/>
      </c>
      <c r="K446" s="4" t="str">
        <f t="shared" si="60"/>
        <v/>
      </c>
      <c r="L446" s="4" t="str">
        <f t="shared" si="61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5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6"/>
        <v/>
      </c>
      <c r="H447" s="4">
        <f t="shared" si="57"/>
        <v>0.21301775147928995</v>
      </c>
      <c r="I447" s="4" t="str">
        <f t="shared" si="58"/>
        <v/>
      </c>
      <c r="J447" s="4" t="str">
        <f t="shared" si="59"/>
        <v/>
      </c>
      <c r="K447" s="4" t="str">
        <f t="shared" si="60"/>
        <v/>
      </c>
      <c r="L447" s="4" t="str">
        <f t="shared" si="61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5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6"/>
        <v/>
      </c>
      <c r="H448" s="4">
        <f t="shared" si="57"/>
        <v>0.40828402366863903</v>
      </c>
      <c r="I448" s="4" t="str">
        <f t="shared" si="58"/>
        <v/>
      </c>
      <c r="J448" s="4" t="str">
        <f t="shared" si="59"/>
        <v/>
      </c>
      <c r="K448" s="4" t="str">
        <f t="shared" si="60"/>
        <v/>
      </c>
      <c r="L448" s="4" t="str">
        <f t="shared" si="61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5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6"/>
        <v/>
      </c>
      <c r="H449" s="4">
        <f t="shared" si="57"/>
        <v>0.60355029585798814</v>
      </c>
      <c r="I449" s="4" t="str">
        <f t="shared" si="58"/>
        <v/>
      </c>
      <c r="J449" s="4" t="str">
        <f t="shared" si="59"/>
        <v/>
      </c>
      <c r="K449" s="4" t="str">
        <f t="shared" si="60"/>
        <v/>
      </c>
      <c r="L449" s="4" t="str">
        <f t="shared" si="61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5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6"/>
        <v/>
      </c>
      <c r="H450" s="4">
        <f t="shared" si="57"/>
        <v>0.79881656804733725</v>
      </c>
      <c r="I450" s="4" t="str">
        <f t="shared" si="58"/>
        <v/>
      </c>
      <c r="J450" s="4" t="str">
        <f t="shared" si="59"/>
        <v/>
      </c>
      <c r="K450" s="4" t="str">
        <f t="shared" si="60"/>
        <v/>
      </c>
      <c r="L450" s="4" t="str">
        <f t="shared" si="61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2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63">IF($F451 &lt;= 0.2,$E451,"")</f>
        <v/>
      </c>
      <c r="H451" s="4">
        <f t="shared" ref="H451:H514" si="64">IF(AND($F451 &gt; 0.2,$F451 &lt;= 0.4),$E451,"")</f>
        <v>1</v>
      </c>
      <c r="I451" s="4" t="str">
        <f t="shared" ref="I451:I514" si="65">IF(AND($F451 &gt; 0.4,$F451 &lt;= 0.6),$E451,"")</f>
        <v/>
      </c>
      <c r="J451" s="4" t="str">
        <f t="shared" ref="J451:J514" si="66">IF(AND($F451 &gt; 0.6,$F451 &lt;= 0.8),$E451,"")</f>
        <v/>
      </c>
      <c r="K451" s="4" t="str">
        <f t="shared" ref="K451:K514" si="67">IF(AND($F451 &gt; 0.8, $F451 &lt;=1.1),$E451,"")</f>
        <v/>
      </c>
      <c r="L451" s="4" t="str">
        <f t="shared" ref="L451:L514" si="68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2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63"/>
        <v/>
      </c>
      <c r="H452" s="4">
        <f t="shared" si="64"/>
        <v>0.31707317073170732</v>
      </c>
      <c r="I452" s="4" t="str">
        <f t="shared" si="65"/>
        <v/>
      </c>
      <c r="J452" s="4" t="str">
        <f t="shared" si="66"/>
        <v/>
      </c>
      <c r="K452" s="4" t="str">
        <f t="shared" si="67"/>
        <v/>
      </c>
      <c r="L452" s="4" t="str">
        <f t="shared" si="68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2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63"/>
        <v/>
      </c>
      <c r="H453" s="4">
        <f t="shared" si="64"/>
        <v>0.35772357723577236</v>
      </c>
      <c r="I453" s="4" t="str">
        <f t="shared" si="65"/>
        <v/>
      </c>
      <c r="J453" s="4" t="str">
        <f t="shared" si="66"/>
        <v/>
      </c>
      <c r="K453" s="4" t="str">
        <f t="shared" si="67"/>
        <v/>
      </c>
      <c r="L453" s="4" t="str">
        <f t="shared" si="68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2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63"/>
        <v/>
      </c>
      <c r="H454" s="4">
        <f t="shared" si="64"/>
        <v>0.44715447154471544</v>
      </c>
      <c r="I454" s="4" t="str">
        <f t="shared" si="65"/>
        <v/>
      </c>
      <c r="J454" s="4" t="str">
        <f t="shared" si="66"/>
        <v/>
      </c>
      <c r="K454" s="4" t="str">
        <f t="shared" si="67"/>
        <v/>
      </c>
      <c r="L454" s="4" t="str">
        <f t="shared" si="68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2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63"/>
        <v/>
      </c>
      <c r="H455" s="4" t="str">
        <f t="shared" si="64"/>
        <v/>
      </c>
      <c r="I455" s="4">
        <f t="shared" si="65"/>
        <v>0.57723577235772361</v>
      </c>
      <c r="J455" s="4" t="str">
        <f t="shared" si="66"/>
        <v/>
      </c>
      <c r="K455" s="4" t="str">
        <f t="shared" si="67"/>
        <v/>
      </c>
      <c r="L455" s="4" t="str">
        <f t="shared" si="68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2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63"/>
        <v/>
      </c>
      <c r="H456" s="4" t="str">
        <f t="shared" si="64"/>
        <v/>
      </c>
      <c r="I456" s="4" t="str">
        <f t="shared" si="65"/>
        <v/>
      </c>
      <c r="J456" s="4">
        <f t="shared" si="66"/>
        <v>1</v>
      </c>
      <c r="K456" s="4" t="str">
        <f t="shared" si="67"/>
        <v/>
      </c>
      <c r="L456" s="4" t="str">
        <f t="shared" si="68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2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63"/>
        <v/>
      </c>
      <c r="H457" s="4">
        <f t="shared" si="64"/>
        <v>0.30303030303030304</v>
      </c>
      <c r="I457" s="4" t="str">
        <f t="shared" si="65"/>
        <v/>
      </c>
      <c r="J457" s="4" t="str">
        <f t="shared" si="66"/>
        <v/>
      </c>
      <c r="K457" s="4" t="str">
        <f t="shared" si="67"/>
        <v/>
      </c>
      <c r="L457" s="4" t="str">
        <f t="shared" si="68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2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63"/>
        <v/>
      </c>
      <c r="H458" s="4" t="str">
        <f t="shared" si="64"/>
        <v/>
      </c>
      <c r="I458" s="4">
        <f t="shared" si="65"/>
        <v>0.66666666666666663</v>
      </c>
      <c r="J458" s="4" t="str">
        <f t="shared" si="66"/>
        <v/>
      </c>
      <c r="K458" s="4" t="str">
        <f t="shared" si="67"/>
        <v/>
      </c>
      <c r="L458" s="4" t="str">
        <f t="shared" si="68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2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63"/>
        <v/>
      </c>
      <c r="H459" s="4" t="str">
        <f t="shared" si="64"/>
        <v/>
      </c>
      <c r="I459" s="4" t="str">
        <f t="shared" si="65"/>
        <v/>
      </c>
      <c r="J459" s="4" t="str">
        <f t="shared" si="66"/>
        <v/>
      </c>
      <c r="K459" s="4">
        <f t="shared" si="67"/>
        <v>1</v>
      </c>
      <c r="L459" s="4" t="str">
        <f t="shared" si="68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2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63"/>
        <v/>
      </c>
      <c r="H460" s="4">
        <f t="shared" si="64"/>
        <v>0.19444444444444445</v>
      </c>
      <c r="I460" s="4" t="str">
        <f t="shared" si="65"/>
        <v/>
      </c>
      <c r="J460" s="4" t="str">
        <f t="shared" si="66"/>
        <v/>
      </c>
      <c r="K460" s="4" t="str">
        <f t="shared" si="67"/>
        <v/>
      </c>
      <c r="L460" s="4" t="str">
        <f t="shared" si="68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2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63"/>
        <v/>
      </c>
      <c r="H461" s="4">
        <f t="shared" si="64"/>
        <v>0.22222222222222221</v>
      </c>
      <c r="I461" s="4" t="str">
        <f t="shared" si="65"/>
        <v/>
      </c>
      <c r="J461" s="4" t="str">
        <f t="shared" si="66"/>
        <v/>
      </c>
      <c r="K461" s="4" t="str">
        <f t="shared" si="67"/>
        <v/>
      </c>
      <c r="L461" s="4" t="str">
        <f t="shared" si="68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2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63"/>
        <v/>
      </c>
      <c r="H462" s="4">
        <f t="shared" si="64"/>
        <v>0.33333333333333331</v>
      </c>
      <c r="I462" s="4" t="str">
        <f t="shared" si="65"/>
        <v/>
      </c>
      <c r="J462" s="4" t="str">
        <f t="shared" si="66"/>
        <v/>
      </c>
      <c r="K462" s="4" t="str">
        <f t="shared" si="67"/>
        <v/>
      </c>
      <c r="L462" s="4" t="str">
        <f t="shared" si="68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2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63"/>
        <v/>
      </c>
      <c r="H463" s="4">
        <f t="shared" si="64"/>
        <v>0.47222222222222221</v>
      </c>
      <c r="I463" s="4" t="str">
        <f t="shared" si="65"/>
        <v/>
      </c>
      <c r="J463" s="4" t="str">
        <f t="shared" si="66"/>
        <v/>
      </c>
      <c r="K463" s="4" t="str">
        <f t="shared" si="67"/>
        <v/>
      </c>
      <c r="L463" s="4" t="str">
        <f t="shared" si="68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2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63"/>
        <v/>
      </c>
      <c r="H464" s="4">
        <f t="shared" si="64"/>
        <v>0.52777777777777779</v>
      </c>
      <c r="I464" s="4" t="str">
        <f t="shared" si="65"/>
        <v/>
      </c>
      <c r="J464" s="4" t="str">
        <f t="shared" si="66"/>
        <v/>
      </c>
      <c r="K464" s="4" t="str">
        <f t="shared" si="67"/>
        <v/>
      </c>
      <c r="L464" s="4" t="str">
        <f t="shared" si="68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2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63"/>
        <v/>
      </c>
      <c r="H465" s="4">
        <f t="shared" si="64"/>
        <v>0.55555555555555558</v>
      </c>
      <c r="I465" s="4" t="str">
        <f t="shared" si="65"/>
        <v/>
      </c>
      <c r="J465" s="4" t="str">
        <f t="shared" si="66"/>
        <v/>
      </c>
      <c r="K465" s="4" t="str">
        <f t="shared" si="67"/>
        <v/>
      </c>
      <c r="L465" s="4" t="str">
        <f t="shared" si="68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2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63"/>
        <v/>
      </c>
      <c r="H466" s="4">
        <f t="shared" si="64"/>
        <v>0.63888888888888884</v>
      </c>
      <c r="I466" s="4" t="str">
        <f t="shared" si="65"/>
        <v/>
      </c>
      <c r="J466" s="4" t="str">
        <f t="shared" si="66"/>
        <v/>
      </c>
      <c r="K466" s="4" t="str">
        <f t="shared" si="67"/>
        <v/>
      </c>
      <c r="L466" s="4" t="str">
        <f t="shared" si="68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2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63"/>
        <v/>
      </c>
      <c r="H467" s="4">
        <f t="shared" si="64"/>
        <v>0.66666666666666663</v>
      </c>
      <c r="I467" s="4" t="str">
        <f t="shared" si="65"/>
        <v/>
      </c>
      <c r="J467" s="4" t="str">
        <f t="shared" si="66"/>
        <v/>
      </c>
      <c r="K467" s="4" t="str">
        <f t="shared" si="67"/>
        <v/>
      </c>
      <c r="L467" s="4" t="str">
        <f t="shared" si="68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2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63"/>
        <v/>
      </c>
      <c r="H468" s="4">
        <f t="shared" si="64"/>
        <v>0.66666666666666663</v>
      </c>
      <c r="I468" s="4" t="str">
        <f t="shared" si="65"/>
        <v/>
      </c>
      <c r="J468" s="4" t="str">
        <f t="shared" si="66"/>
        <v/>
      </c>
      <c r="K468" s="4" t="str">
        <f t="shared" si="67"/>
        <v/>
      </c>
      <c r="L468" s="4" t="str">
        <f t="shared" si="68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2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63"/>
        <v/>
      </c>
      <c r="H469" s="4">
        <f t="shared" si="64"/>
        <v>0.66666666666666663</v>
      </c>
      <c r="I469" s="4" t="str">
        <f t="shared" si="65"/>
        <v/>
      </c>
      <c r="J469" s="4" t="str">
        <f t="shared" si="66"/>
        <v/>
      </c>
      <c r="K469" s="4" t="str">
        <f t="shared" si="67"/>
        <v/>
      </c>
      <c r="L469" s="4" t="str">
        <f t="shared" si="68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2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63"/>
        <v/>
      </c>
      <c r="H470" s="4">
        <f t="shared" si="64"/>
        <v>0.66666666666666663</v>
      </c>
      <c r="I470" s="4" t="str">
        <f t="shared" si="65"/>
        <v/>
      </c>
      <c r="J470" s="4" t="str">
        <f t="shared" si="66"/>
        <v/>
      </c>
      <c r="K470" s="4" t="str">
        <f t="shared" si="67"/>
        <v/>
      </c>
      <c r="L470" s="4" t="str">
        <f t="shared" si="68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2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63"/>
        <v/>
      </c>
      <c r="H471" s="4">
        <f t="shared" si="64"/>
        <v>0.66666666666666663</v>
      </c>
      <c r="I471" s="4" t="str">
        <f t="shared" si="65"/>
        <v/>
      </c>
      <c r="J471" s="4" t="str">
        <f t="shared" si="66"/>
        <v/>
      </c>
      <c r="K471" s="4" t="str">
        <f t="shared" si="67"/>
        <v/>
      </c>
      <c r="L471" s="4" t="str">
        <f t="shared" si="68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2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63"/>
        <v/>
      </c>
      <c r="H472" s="4">
        <f t="shared" si="64"/>
        <v>0.66666666666666663</v>
      </c>
      <c r="I472" s="4" t="str">
        <f t="shared" si="65"/>
        <v/>
      </c>
      <c r="J472" s="4" t="str">
        <f t="shared" si="66"/>
        <v/>
      </c>
      <c r="K472" s="4" t="str">
        <f t="shared" si="67"/>
        <v/>
      </c>
      <c r="L472" s="4" t="str">
        <f t="shared" si="68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2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63"/>
        <v/>
      </c>
      <c r="H473" s="4" t="str">
        <f t="shared" si="64"/>
        <v/>
      </c>
      <c r="I473" s="4">
        <f t="shared" si="65"/>
        <v>0.77777777777777779</v>
      </c>
      <c r="J473" s="4" t="str">
        <f t="shared" si="66"/>
        <v/>
      </c>
      <c r="K473" s="4" t="str">
        <f t="shared" si="67"/>
        <v/>
      </c>
      <c r="L473" s="4" t="str">
        <f t="shared" si="68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2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63"/>
        <v/>
      </c>
      <c r="H474" s="4" t="str">
        <f t="shared" si="64"/>
        <v/>
      </c>
      <c r="I474" s="4" t="str">
        <f t="shared" si="65"/>
        <v/>
      </c>
      <c r="J474" s="4">
        <f t="shared" si="66"/>
        <v>0.97222222222222221</v>
      </c>
      <c r="K474" s="4" t="str">
        <f t="shared" si="67"/>
        <v/>
      </c>
      <c r="L474" s="4" t="str">
        <f t="shared" si="68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2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63"/>
        <v/>
      </c>
      <c r="H475" s="4" t="str">
        <f t="shared" si="64"/>
        <v/>
      </c>
      <c r="I475" s="4" t="str">
        <f t="shared" si="65"/>
        <v/>
      </c>
      <c r="J475" s="4">
        <f t="shared" si="66"/>
        <v>0.97222222222222221</v>
      </c>
      <c r="K475" s="4" t="str">
        <f t="shared" si="67"/>
        <v/>
      </c>
      <c r="L475" s="4" t="str">
        <f t="shared" si="68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2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63"/>
        <v/>
      </c>
      <c r="H476" s="4" t="str">
        <f t="shared" si="64"/>
        <v/>
      </c>
      <c r="I476" s="4" t="str">
        <f t="shared" si="65"/>
        <v/>
      </c>
      <c r="J476" s="4">
        <f t="shared" si="66"/>
        <v>1</v>
      </c>
      <c r="K476" s="4" t="str">
        <f t="shared" si="67"/>
        <v/>
      </c>
      <c r="L476" s="4" t="str">
        <f t="shared" si="68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2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63"/>
        <v/>
      </c>
      <c r="H477" s="4" t="str">
        <f t="shared" si="64"/>
        <v/>
      </c>
      <c r="I477" s="4" t="str">
        <f t="shared" si="65"/>
        <v/>
      </c>
      <c r="J477" s="4">
        <f t="shared" si="66"/>
        <v>1</v>
      </c>
      <c r="K477" s="4" t="str">
        <f t="shared" si="67"/>
        <v/>
      </c>
      <c r="L477" s="4" t="str">
        <f t="shared" si="68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2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63"/>
        <v/>
      </c>
      <c r="H478" s="4" t="str">
        <f t="shared" si="64"/>
        <v/>
      </c>
      <c r="I478" s="4" t="str">
        <f t="shared" si="65"/>
        <v/>
      </c>
      <c r="J478" s="4" t="str">
        <f t="shared" si="66"/>
        <v/>
      </c>
      <c r="K478" s="4">
        <f t="shared" si="67"/>
        <v>0.9</v>
      </c>
      <c r="L478" s="4" t="str">
        <f t="shared" si="68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2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63"/>
        <v/>
      </c>
      <c r="H479" s="4" t="str">
        <f t="shared" si="64"/>
        <v/>
      </c>
      <c r="I479" s="4" t="str">
        <f t="shared" si="65"/>
        <v/>
      </c>
      <c r="J479" s="4" t="str">
        <f t="shared" si="66"/>
        <v/>
      </c>
      <c r="K479" s="4">
        <f t="shared" si="67"/>
        <v>1</v>
      </c>
      <c r="L479" s="4" t="str">
        <f t="shared" si="68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2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63"/>
        <v/>
      </c>
      <c r="H480" s="4" t="str">
        <f t="shared" si="64"/>
        <v/>
      </c>
      <c r="I480" s="4" t="str">
        <f t="shared" si="65"/>
        <v/>
      </c>
      <c r="J480" s="4" t="str">
        <f t="shared" si="66"/>
        <v/>
      </c>
      <c r="K480" s="4">
        <f t="shared" si="67"/>
        <v>1</v>
      </c>
      <c r="L480" s="4" t="str">
        <f t="shared" si="68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2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63"/>
        <v/>
      </c>
      <c r="H481" s="4" t="str">
        <f t="shared" si="64"/>
        <v/>
      </c>
      <c r="I481" s="4" t="str">
        <f t="shared" si="65"/>
        <v/>
      </c>
      <c r="J481" s="4" t="str">
        <f t="shared" si="66"/>
        <v/>
      </c>
      <c r="K481" s="4">
        <f t="shared" si="67"/>
        <v>1</v>
      </c>
      <c r="L481" s="4" t="str">
        <f t="shared" si="68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2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63"/>
        <v>7.9545454545454544E-2</v>
      </c>
      <c r="H482" s="4" t="str">
        <f t="shared" si="64"/>
        <v/>
      </c>
      <c r="I482" s="4" t="str">
        <f t="shared" si="65"/>
        <v/>
      </c>
      <c r="J482" s="4" t="str">
        <f t="shared" si="66"/>
        <v/>
      </c>
      <c r="K482" s="4" t="str">
        <f t="shared" si="67"/>
        <v/>
      </c>
      <c r="L482" s="4" t="str">
        <f t="shared" si="68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2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63"/>
        <v/>
      </c>
      <c r="H483" s="4" t="str">
        <f t="shared" si="64"/>
        <v/>
      </c>
      <c r="I483" s="4">
        <f t="shared" si="65"/>
        <v>0.38636363636363635</v>
      </c>
      <c r="J483" s="4" t="str">
        <f t="shared" si="66"/>
        <v/>
      </c>
      <c r="K483" s="4" t="str">
        <f t="shared" si="67"/>
        <v/>
      </c>
      <c r="L483" s="4" t="str">
        <f t="shared" si="68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2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63"/>
        <v/>
      </c>
      <c r="H484" s="4" t="str">
        <f t="shared" si="64"/>
        <v/>
      </c>
      <c r="I484" s="4">
        <f t="shared" si="65"/>
        <v>0.48863636363636365</v>
      </c>
      <c r="J484" s="4" t="str">
        <f t="shared" si="66"/>
        <v/>
      </c>
      <c r="K484" s="4" t="str">
        <f t="shared" si="67"/>
        <v/>
      </c>
      <c r="L484" s="4" t="str">
        <f t="shared" si="68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2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63"/>
        <v/>
      </c>
      <c r="H485" s="4" t="str">
        <f t="shared" si="64"/>
        <v/>
      </c>
      <c r="I485" s="4">
        <f t="shared" si="65"/>
        <v>0.52272727272727271</v>
      </c>
      <c r="J485" s="4" t="str">
        <f t="shared" si="66"/>
        <v/>
      </c>
      <c r="K485" s="4" t="str">
        <f t="shared" si="67"/>
        <v/>
      </c>
      <c r="L485" s="4" t="str">
        <f t="shared" si="68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2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63"/>
        <v/>
      </c>
      <c r="H486" s="4" t="str">
        <f t="shared" si="64"/>
        <v/>
      </c>
      <c r="I486" s="4">
        <f t="shared" si="65"/>
        <v>0.61363636363636365</v>
      </c>
      <c r="J486" s="4" t="str">
        <f t="shared" si="66"/>
        <v/>
      </c>
      <c r="K486" s="4" t="str">
        <f t="shared" si="67"/>
        <v/>
      </c>
      <c r="L486" s="4" t="str">
        <f t="shared" si="68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2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63"/>
        <v/>
      </c>
      <c r="H487" s="4" t="str">
        <f t="shared" si="64"/>
        <v/>
      </c>
      <c r="I487" s="4">
        <f t="shared" si="65"/>
        <v>0.61363636363636365</v>
      </c>
      <c r="J487" s="4" t="str">
        <f t="shared" si="66"/>
        <v/>
      </c>
      <c r="K487" s="4" t="str">
        <f t="shared" si="67"/>
        <v/>
      </c>
      <c r="L487" s="4" t="str">
        <f t="shared" si="68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2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63"/>
        <v/>
      </c>
      <c r="H488" s="4" t="str">
        <f t="shared" si="64"/>
        <v/>
      </c>
      <c r="I488" s="4">
        <f t="shared" si="65"/>
        <v>0.61363636363636365</v>
      </c>
      <c r="J488" s="4" t="str">
        <f t="shared" si="66"/>
        <v/>
      </c>
      <c r="K488" s="4" t="str">
        <f t="shared" si="67"/>
        <v/>
      </c>
      <c r="L488" s="4" t="str">
        <f t="shared" si="68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2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63"/>
        <v/>
      </c>
      <c r="H489" s="4" t="str">
        <f t="shared" si="64"/>
        <v/>
      </c>
      <c r="I489" s="4">
        <f t="shared" si="65"/>
        <v>0.70454545454545459</v>
      </c>
      <c r="J489" s="4" t="str">
        <f t="shared" si="66"/>
        <v/>
      </c>
      <c r="K489" s="4" t="str">
        <f t="shared" si="67"/>
        <v/>
      </c>
      <c r="L489" s="4" t="str">
        <f t="shared" si="68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2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63"/>
        <v/>
      </c>
      <c r="H490" s="4" t="str">
        <f t="shared" si="64"/>
        <v/>
      </c>
      <c r="I490" s="4">
        <f t="shared" si="65"/>
        <v>0.77272727272727271</v>
      </c>
      <c r="J490" s="4" t="str">
        <f t="shared" si="66"/>
        <v/>
      </c>
      <c r="K490" s="4" t="str">
        <f t="shared" si="67"/>
        <v/>
      </c>
      <c r="L490" s="4" t="str">
        <f t="shared" si="68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2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63"/>
        <v/>
      </c>
      <c r="H491" s="4" t="str">
        <f t="shared" si="64"/>
        <v/>
      </c>
      <c r="I491" s="4">
        <f t="shared" si="65"/>
        <v>0.77272727272727271</v>
      </c>
      <c r="J491" s="4" t="str">
        <f t="shared" si="66"/>
        <v/>
      </c>
      <c r="K491" s="4" t="str">
        <f t="shared" si="67"/>
        <v/>
      </c>
      <c r="L491" s="4" t="str">
        <f t="shared" si="68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2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63"/>
        <v/>
      </c>
      <c r="H492" s="4" t="str">
        <f t="shared" si="64"/>
        <v/>
      </c>
      <c r="I492" s="4">
        <f t="shared" si="65"/>
        <v>0.77272727272727271</v>
      </c>
      <c r="J492" s="4" t="str">
        <f t="shared" si="66"/>
        <v/>
      </c>
      <c r="K492" s="4" t="str">
        <f t="shared" si="67"/>
        <v/>
      </c>
      <c r="L492" s="4" t="str">
        <f t="shared" si="68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2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63"/>
        <v/>
      </c>
      <c r="H493" s="4" t="str">
        <f t="shared" si="64"/>
        <v/>
      </c>
      <c r="I493" s="4">
        <f t="shared" si="65"/>
        <v>0.77272727272727271</v>
      </c>
      <c r="J493" s="4" t="str">
        <f t="shared" si="66"/>
        <v/>
      </c>
      <c r="K493" s="4" t="str">
        <f t="shared" si="67"/>
        <v/>
      </c>
      <c r="L493" s="4" t="str">
        <f t="shared" si="68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2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63"/>
        <v/>
      </c>
      <c r="H494" s="4" t="str">
        <f t="shared" si="64"/>
        <v/>
      </c>
      <c r="I494" s="4">
        <f t="shared" si="65"/>
        <v>0.88636363636363635</v>
      </c>
      <c r="J494" s="4" t="str">
        <f t="shared" si="66"/>
        <v/>
      </c>
      <c r="K494" s="4" t="str">
        <f t="shared" si="67"/>
        <v/>
      </c>
      <c r="L494" s="4" t="str">
        <f t="shared" si="68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2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63"/>
        <v/>
      </c>
      <c r="H495" s="4" t="str">
        <f t="shared" si="64"/>
        <v/>
      </c>
      <c r="I495" s="4">
        <f t="shared" si="65"/>
        <v>0.88636363636363635</v>
      </c>
      <c r="J495" s="4" t="str">
        <f t="shared" si="66"/>
        <v/>
      </c>
      <c r="K495" s="4" t="str">
        <f t="shared" si="67"/>
        <v/>
      </c>
      <c r="L495" s="4" t="str">
        <f t="shared" si="68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2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63"/>
        <v/>
      </c>
      <c r="H496" s="4" t="str">
        <f t="shared" si="64"/>
        <v/>
      </c>
      <c r="I496" s="4">
        <f t="shared" si="65"/>
        <v>1</v>
      </c>
      <c r="J496" s="4" t="str">
        <f t="shared" si="66"/>
        <v/>
      </c>
      <c r="K496" s="4" t="str">
        <f t="shared" si="67"/>
        <v/>
      </c>
      <c r="L496" s="4" t="str">
        <f t="shared" si="68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2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63"/>
        <v/>
      </c>
      <c r="H497" s="4" t="str">
        <f t="shared" si="64"/>
        <v/>
      </c>
      <c r="I497" s="4">
        <f t="shared" si="65"/>
        <v>1</v>
      </c>
      <c r="J497" s="4" t="str">
        <f t="shared" si="66"/>
        <v/>
      </c>
      <c r="K497" s="4" t="str">
        <f t="shared" si="67"/>
        <v/>
      </c>
      <c r="L497" s="4" t="str">
        <f t="shared" si="68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2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63"/>
        <v/>
      </c>
      <c r="H498" s="4" t="str">
        <f t="shared" si="64"/>
        <v/>
      </c>
      <c r="I498" s="4">
        <f t="shared" si="65"/>
        <v>1</v>
      </c>
      <c r="J498" s="4" t="str">
        <f t="shared" si="66"/>
        <v/>
      </c>
      <c r="K498" s="4" t="str">
        <f t="shared" si="67"/>
        <v/>
      </c>
      <c r="L498" s="4" t="str">
        <f t="shared" si="68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2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63"/>
        <v/>
      </c>
      <c r="H499" s="4" t="str">
        <f t="shared" si="64"/>
        <v/>
      </c>
      <c r="I499" s="4" t="str">
        <f t="shared" si="65"/>
        <v/>
      </c>
      <c r="J499" s="4">
        <f t="shared" si="66"/>
        <v>1</v>
      </c>
      <c r="K499" s="4" t="str">
        <f t="shared" si="67"/>
        <v/>
      </c>
      <c r="L499" s="4" t="str">
        <f t="shared" si="68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2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63"/>
        <v/>
      </c>
      <c r="H500" s="4" t="str">
        <f t="shared" si="64"/>
        <v/>
      </c>
      <c r="I500" s="4" t="str">
        <f t="shared" si="65"/>
        <v/>
      </c>
      <c r="J500" s="4">
        <f t="shared" si="66"/>
        <v>1</v>
      </c>
      <c r="K500" s="4" t="str">
        <f t="shared" si="67"/>
        <v/>
      </c>
      <c r="L500" s="4" t="str">
        <f t="shared" si="68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2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63"/>
        <v>0.125</v>
      </c>
      <c r="H501" s="4" t="str">
        <f t="shared" si="64"/>
        <v/>
      </c>
      <c r="I501" s="4" t="str">
        <f t="shared" si="65"/>
        <v/>
      </c>
      <c r="J501" s="4" t="str">
        <f t="shared" si="66"/>
        <v/>
      </c>
      <c r="K501" s="4" t="str">
        <f t="shared" si="67"/>
        <v/>
      </c>
      <c r="L501" s="4" t="str">
        <f t="shared" si="68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2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63"/>
        <v/>
      </c>
      <c r="H502" s="4" t="str">
        <f t="shared" si="64"/>
        <v/>
      </c>
      <c r="I502" s="4">
        <f t="shared" si="65"/>
        <v>0.5178571428571429</v>
      </c>
      <c r="J502" s="4" t="str">
        <f t="shared" si="66"/>
        <v/>
      </c>
      <c r="K502" s="4" t="str">
        <f t="shared" si="67"/>
        <v/>
      </c>
      <c r="L502" s="4" t="str">
        <f t="shared" si="68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2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63"/>
        <v/>
      </c>
      <c r="H503" s="4" t="str">
        <f t="shared" si="64"/>
        <v/>
      </c>
      <c r="I503" s="4">
        <f t="shared" si="65"/>
        <v>0.5714285714285714</v>
      </c>
      <c r="J503" s="4" t="str">
        <f t="shared" si="66"/>
        <v/>
      </c>
      <c r="K503" s="4" t="str">
        <f t="shared" si="67"/>
        <v/>
      </c>
      <c r="L503" s="4" t="str">
        <f t="shared" si="68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2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63"/>
        <v/>
      </c>
      <c r="H504" s="4" t="str">
        <f t="shared" si="64"/>
        <v/>
      </c>
      <c r="I504" s="4" t="str">
        <f t="shared" si="65"/>
        <v/>
      </c>
      <c r="J504" s="4">
        <f t="shared" si="66"/>
        <v>0.7678571428571429</v>
      </c>
      <c r="K504" s="4" t="str">
        <f t="shared" si="67"/>
        <v/>
      </c>
      <c r="L504" s="4" t="str">
        <f t="shared" si="68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2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63"/>
        <v/>
      </c>
      <c r="H505" s="4" t="str">
        <f t="shared" si="64"/>
        <v/>
      </c>
      <c r="I505" s="4" t="str">
        <f t="shared" si="65"/>
        <v/>
      </c>
      <c r="J505" s="4">
        <f t="shared" si="66"/>
        <v>0.7678571428571429</v>
      </c>
      <c r="K505" s="4" t="str">
        <f t="shared" si="67"/>
        <v/>
      </c>
      <c r="L505" s="4" t="str">
        <f t="shared" si="68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2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63"/>
        <v/>
      </c>
      <c r="H506" s="4" t="str">
        <f t="shared" si="64"/>
        <v/>
      </c>
      <c r="I506" s="4" t="str">
        <f t="shared" si="65"/>
        <v/>
      </c>
      <c r="J506" s="4">
        <f t="shared" si="66"/>
        <v>0.9464285714285714</v>
      </c>
      <c r="K506" s="4" t="str">
        <f t="shared" si="67"/>
        <v/>
      </c>
      <c r="L506" s="4" t="str">
        <f t="shared" si="68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2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63"/>
        <v/>
      </c>
      <c r="H507" s="4" t="str">
        <f t="shared" si="64"/>
        <v/>
      </c>
      <c r="I507" s="4" t="str">
        <f t="shared" si="65"/>
        <v/>
      </c>
      <c r="J507" s="4">
        <f t="shared" si="66"/>
        <v>1</v>
      </c>
      <c r="K507" s="4" t="str">
        <f t="shared" si="67"/>
        <v/>
      </c>
      <c r="L507" s="4" t="str">
        <f t="shared" si="68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2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63"/>
        <v/>
      </c>
      <c r="H508" s="4" t="str">
        <f t="shared" si="64"/>
        <v/>
      </c>
      <c r="I508" s="4" t="str">
        <f t="shared" si="65"/>
        <v/>
      </c>
      <c r="J508" s="4">
        <f t="shared" si="66"/>
        <v>1</v>
      </c>
      <c r="K508" s="4" t="str">
        <f t="shared" si="67"/>
        <v/>
      </c>
      <c r="L508" s="4" t="str">
        <f t="shared" si="68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2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63"/>
        <v/>
      </c>
      <c r="H509" s="4" t="str">
        <f t="shared" si="64"/>
        <v/>
      </c>
      <c r="I509" s="4" t="str">
        <f t="shared" si="65"/>
        <v/>
      </c>
      <c r="J509" s="4">
        <f t="shared" si="66"/>
        <v>1</v>
      </c>
      <c r="K509" s="4" t="str">
        <f t="shared" si="67"/>
        <v/>
      </c>
      <c r="L509" s="4" t="str">
        <f t="shared" si="68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2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63"/>
        <v/>
      </c>
      <c r="H510" s="4" t="str">
        <f t="shared" si="64"/>
        <v/>
      </c>
      <c r="I510" s="4" t="str">
        <f t="shared" si="65"/>
        <v/>
      </c>
      <c r="J510" s="4">
        <f t="shared" si="66"/>
        <v>0.42857142857142855</v>
      </c>
      <c r="K510" s="4" t="str">
        <f t="shared" si="67"/>
        <v/>
      </c>
      <c r="L510" s="4" t="str">
        <f t="shared" si="68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2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63"/>
        <v/>
      </c>
      <c r="H511" s="4" t="str">
        <f t="shared" si="64"/>
        <v/>
      </c>
      <c r="I511" s="4" t="str">
        <f t="shared" si="65"/>
        <v/>
      </c>
      <c r="J511" s="4" t="str">
        <f t="shared" si="66"/>
        <v/>
      </c>
      <c r="K511" s="4">
        <f t="shared" si="67"/>
        <v>1</v>
      </c>
      <c r="L511" s="4" t="str">
        <f t="shared" si="68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2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63"/>
        <v/>
      </c>
      <c r="H512" s="4">
        <f t="shared" si="64"/>
        <v>0.352112676056338</v>
      </c>
      <c r="I512" s="4" t="str">
        <f t="shared" si="65"/>
        <v/>
      </c>
      <c r="J512" s="4" t="str">
        <f t="shared" si="66"/>
        <v/>
      </c>
      <c r="K512" s="4" t="str">
        <f t="shared" si="67"/>
        <v/>
      </c>
      <c r="L512" s="4" t="str">
        <f t="shared" si="68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2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63"/>
        <v/>
      </c>
      <c r="H513" s="4" t="str">
        <f t="shared" si="64"/>
        <v/>
      </c>
      <c r="I513" s="4">
        <f t="shared" si="65"/>
        <v>0.70422535211267601</v>
      </c>
      <c r="J513" s="4" t="str">
        <f t="shared" si="66"/>
        <v/>
      </c>
      <c r="K513" s="4" t="str">
        <f t="shared" si="67"/>
        <v/>
      </c>
      <c r="L513" s="4" t="str">
        <f t="shared" si="68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2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63"/>
        <v/>
      </c>
      <c r="H514" s="4" t="str">
        <f t="shared" si="64"/>
        <v/>
      </c>
      <c r="I514" s="4" t="str">
        <f t="shared" si="65"/>
        <v/>
      </c>
      <c r="J514" s="4">
        <f t="shared" si="66"/>
        <v>1</v>
      </c>
      <c r="K514" s="4" t="str">
        <f t="shared" si="67"/>
        <v/>
      </c>
      <c r="L514" s="4" t="str">
        <f t="shared" si="68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9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70">IF($F515 &lt;= 0.2,$E515,"")</f>
        <v/>
      </c>
      <c r="H515" s="4" t="str">
        <f t="shared" ref="H515:H522" si="71">IF(AND($F515 &gt; 0.2,$F515 &lt;= 0.4),$E515,"")</f>
        <v/>
      </c>
      <c r="I515" s="4" t="str">
        <f t="shared" ref="I515:I522" si="72">IF(AND($F515 &gt; 0.4,$F515 &lt;= 0.6),$E515,"")</f>
        <v/>
      </c>
      <c r="J515" s="4">
        <f t="shared" ref="J515:J522" si="73">IF(AND($F515 &gt; 0.6,$F515 &lt;= 0.8),$E515,"")</f>
        <v>0.29577464788732394</v>
      </c>
      <c r="K515" s="4" t="str">
        <f t="shared" ref="K515:K522" si="74">IF(AND($F515 &gt; 0.8, $F515 &lt;=1.1),$E515,"")</f>
        <v/>
      </c>
      <c r="L515" s="4" t="str">
        <f t="shared" ref="L515:L522" si="75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9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70"/>
        <v/>
      </c>
      <c r="H516" s="4" t="str">
        <f t="shared" si="71"/>
        <v/>
      </c>
      <c r="I516" s="4" t="str">
        <f t="shared" si="72"/>
        <v/>
      </c>
      <c r="J516" s="4">
        <f t="shared" si="73"/>
        <v>0.323943661971831</v>
      </c>
      <c r="K516" s="4" t="str">
        <f t="shared" si="74"/>
        <v/>
      </c>
      <c r="L516" s="4" t="str">
        <f t="shared" si="75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9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70"/>
        <v/>
      </c>
      <c r="H517" s="4" t="str">
        <f t="shared" si="71"/>
        <v/>
      </c>
      <c r="I517" s="4" t="str">
        <f t="shared" si="72"/>
        <v/>
      </c>
      <c r="J517" s="4" t="str">
        <f t="shared" si="73"/>
        <v/>
      </c>
      <c r="K517" s="4">
        <f t="shared" si="74"/>
        <v>0.42253521126760563</v>
      </c>
      <c r="L517" s="4" t="str">
        <f t="shared" si="75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9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70"/>
        <v/>
      </c>
      <c r="H518" s="4" t="str">
        <f t="shared" si="71"/>
        <v/>
      </c>
      <c r="I518" s="4" t="str">
        <f t="shared" si="72"/>
        <v/>
      </c>
      <c r="J518" s="4" t="str">
        <f t="shared" si="73"/>
        <v/>
      </c>
      <c r="K518" s="4">
        <f t="shared" si="74"/>
        <v>1</v>
      </c>
      <c r="L518" s="4" t="str">
        <f t="shared" si="75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9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70"/>
        <v/>
      </c>
      <c r="H519" s="4" t="str">
        <f t="shared" si="71"/>
        <v/>
      </c>
      <c r="I519" s="4" t="str">
        <f t="shared" si="72"/>
        <v/>
      </c>
      <c r="J519" s="4" t="str">
        <f t="shared" si="73"/>
        <v/>
      </c>
      <c r="K519" s="4">
        <f t="shared" si="74"/>
        <v>1</v>
      </c>
      <c r="L519" s="4" t="str">
        <f t="shared" si="75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9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70"/>
        <v/>
      </c>
      <c r="H520" s="4" t="str">
        <f t="shared" si="71"/>
        <v/>
      </c>
      <c r="I520" s="4" t="str">
        <f t="shared" si="72"/>
        <v/>
      </c>
      <c r="J520" s="4" t="str">
        <f t="shared" si="73"/>
        <v/>
      </c>
      <c r="K520" s="4">
        <f t="shared" si="74"/>
        <v>1</v>
      </c>
      <c r="L520" s="4" t="str">
        <f t="shared" si="75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9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70"/>
        <v/>
      </c>
      <c r="H521" s="4" t="str">
        <f t="shared" si="71"/>
        <v/>
      </c>
      <c r="I521" s="4" t="str">
        <f t="shared" si="72"/>
        <v/>
      </c>
      <c r="J521" s="4" t="str">
        <f t="shared" si="73"/>
        <v/>
      </c>
      <c r="K521" s="4">
        <f t="shared" si="74"/>
        <v>0.89655172413793105</v>
      </c>
      <c r="L521" s="4" t="str">
        <f t="shared" si="75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9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70"/>
        <v/>
      </c>
      <c r="H522" s="4" t="str">
        <f t="shared" si="71"/>
        <v/>
      </c>
      <c r="I522" s="4" t="str">
        <f t="shared" si="72"/>
        <v/>
      </c>
      <c r="J522" s="4" t="str">
        <f t="shared" si="73"/>
        <v/>
      </c>
      <c r="K522" s="4">
        <f t="shared" si="74"/>
        <v>1</v>
      </c>
      <c r="L522" s="4" t="str">
        <f t="shared" si="75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380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179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188</v>
      </c>
      <c r="B3">
        <v>1</v>
      </c>
      <c r="C3" t="s">
        <v>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188</v>
      </c>
      <c r="B4">
        <v>1</v>
      </c>
      <c r="C4" t="s">
        <v>180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188</v>
      </c>
      <c r="B5">
        <v>1</v>
      </c>
      <c r="C5" t="s">
        <v>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188</v>
      </c>
      <c r="B6">
        <v>2</v>
      </c>
      <c r="C6" t="s">
        <v>180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188</v>
      </c>
      <c r="B7">
        <v>2</v>
      </c>
      <c r="C7" t="s">
        <v>189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188</v>
      </c>
      <c r="B8">
        <v>2</v>
      </c>
      <c r="C8" t="s">
        <v>190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188</v>
      </c>
      <c r="B9">
        <v>2</v>
      </c>
      <c r="C9" t="s">
        <v>191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188</v>
      </c>
      <c r="B11">
        <v>2</v>
      </c>
      <c r="C11" t="s">
        <v>194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188</v>
      </c>
      <c r="B12">
        <v>2</v>
      </c>
      <c r="C12" t="s">
        <v>192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188</v>
      </c>
      <c r="B15">
        <v>2</v>
      </c>
      <c r="C15" t="s">
        <v>198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188</v>
      </c>
      <c r="B17">
        <v>2</v>
      </c>
      <c r="C17" t="s">
        <v>199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188</v>
      </c>
      <c r="B18">
        <v>2</v>
      </c>
      <c r="C18" t="s">
        <v>200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188</v>
      </c>
      <c r="B21">
        <v>6</v>
      </c>
      <c r="C21" t="s">
        <v>179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188</v>
      </c>
      <c r="B22">
        <v>6</v>
      </c>
      <c r="C22" t="s">
        <v>204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188</v>
      </c>
      <c r="B23">
        <v>6</v>
      </c>
      <c r="C23" t="s">
        <v>203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188</v>
      </c>
      <c r="B24">
        <v>6</v>
      </c>
      <c r="C24" t="s">
        <v>205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188</v>
      </c>
      <c r="B25">
        <v>6</v>
      </c>
      <c r="C25" t="s">
        <v>215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188</v>
      </c>
      <c r="B26">
        <v>9</v>
      </c>
      <c r="C26" t="s">
        <v>206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188</v>
      </c>
      <c r="B28">
        <v>9</v>
      </c>
      <c r="C28" t="s">
        <v>207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188</v>
      </c>
      <c r="B29">
        <v>9</v>
      </c>
      <c r="C29" t="s">
        <v>209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188</v>
      </c>
      <c r="B30">
        <v>9</v>
      </c>
      <c r="C30" t="s">
        <v>180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219</v>
      </c>
      <c r="B47">
        <v>13</v>
      </c>
      <c r="C47" t="s">
        <v>205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219</v>
      </c>
      <c r="B48">
        <v>13</v>
      </c>
      <c r="C48" t="s">
        <v>215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219</v>
      </c>
      <c r="B51">
        <v>16</v>
      </c>
      <c r="C51" t="s">
        <v>237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219</v>
      </c>
      <c r="B52">
        <v>16</v>
      </c>
      <c r="C52" t="s">
        <v>238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219</v>
      </c>
      <c r="B59">
        <v>18</v>
      </c>
      <c r="C59" t="s">
        <v>243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219</v>
      </c>
      <c r="B61">
        <v>18</v>
      </c>
      <c r="C61" t="s">
        <v>245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219</v>
      </c>
      <c r="B63">
        <v>18</v>
      </c>
      <c r="C63" t="s">
        <v>247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219</v>
      </c>
      <c r="B64">
        <v>18</v>
      </c>
      <c r="C64" t="s">
        <v>248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219</v>
      </c>
      <c r="B65">
        <v>18</v>
      </c>
      <c r="C65" t="s">
        <v>249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219</v>
      </c>
      <c r="B67">
        <v>18</v>
      </c>
      <c r="C67" t="s">
        <v>251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219</v>
      </c>
      <c r="B69">
        <v>18</v>
      </c>
      <c r="C69" t="s">
        <v>252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219</v>
      </c>
      <c r="B78">
        <v>18</v>
      </c>
      <c r="C78" t="s">
        <v>262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219</v>
      </c>
      <c r="B79">
        <v>18</v>
      </c>
      <c r="C79" t="s">
        <v>263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219</v>
      </c>
      <c r="B80">
        <v>18</v>
      </c>
      <c r="C80" t="s">
        <v>264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219</v>
      </c>
      <c r="B81">
        <v>18</v>
      </c>
      <c r="C81" t="s">
        <v>265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219</v>
      </c>
      <c r="B82">
        <v>18</v>
      </c>
      <c r="C82" t="s">
        <v>266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219</v>
      </c>
      <c r="B83">
        <v>18</v>
      </c>
      <c r="C83" t="s">
        <v>267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219</v>
      </c>
      <c r="B84">
        <v>18</v>
      </c>
      <c r="C84" t="s">
        <v>268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219</v>
      </c>
      <c r="B85">
        <v>18</v>
      </c>
      <c r="C85" t="s">
        <v>269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219</v>
      </c>
      <c r="B89">
        <v>18</v>
      </c>
      <c r="C89" t="s">
        <v>273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219</v>
      </c>
      <c r="B90">
        <v>18</v>
      </c>
      <c r="C90" t="s">
        <v>274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219</v>
      </c>
      <c r="B93">
        <v>18</v>
      </c>
      <c r="C93" t="s">
        <v>277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219</v>
      </c>
      <c r="B94">
        <v>18</v>
      </c>
      <c r="C94" t="s">
        <v>278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219</v>
      </c>
      <c r="B95">
        <v>18</v>
      </c>
      <c r="C95" t="s">
        <v>279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219</v>
      </c>
      <c r="B104">
        <v>19</v>
      </c>
      <c r="C104" t="s">
        <v>285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219</v>
      </c>
      <c r="B105">
        <v>19</v>
      </c>
      <c r="C105" t="s">
        <v>287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219</v>
      </c>
      <c r="B106">
        <v>19</v>
      </c>
      <c r="C106" t="s">
        <v>288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219</v>
      </c>
      <c r="B107">
        <v>19</v>
      </c>
      <c r="C107" t="s">
        <v>286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219</v>
      </c>
      <c r="B108">
        <v>19</v>
      </c>
      <c r="C108" t="s">
        <v>290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219</v>
      </c>
      <c r="B109">
        <v>19</v>
      </c>
      <c r="C109" t="s">
        <v>289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219</v>
      </c>
      <c r="B110">
        <v>19</v>
      </c>
      <c r="C110" t="s">
        <v>291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219</v>
      </c>
      <c r="B111">
        <v>19</v>
      </c>
      <c r="C111" t="s">
        <v>294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219</v>
      </c>
      <c r="B112">
        <v>19</v>
      </c>
      <c r="C112" t="s">
        <v>293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219</v>
      </c>
      <c r="B113">
        <v>19</v>
      </c>
      <c r="C113" t="s">
        <v>292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219</v>
      </c>
      <c r="B114">
        <v>19</v>
      </c>
      <c r="C114" t="s">
        <v>296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219</v>
      </c>
      <c r="B115">
        <v>19</v>
      </c>
      <c r="C115" t="s">
        <v>298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219</v>
      </c>
      <c r="B116">
        <v>19</v>
      </c>
      <c r="C116" t="s">
        <v>301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219</v>
      </c>
      <c r="B118">
        <v>19</v>
      </c>
      <c r="C118" t="s">
        <v>303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219</v>
      </c>
      <c r="B119">
        <v>19</v>
      </c>
      <c r="C119" t="s">
        <v>304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219</v>
      </c>
      <c r="B120">
        <v>19</v>
      </c>
      <c r="C120" t="s">
        <v>297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219</v>
      </c>
      <c r="B121">
        <v>19</v>
      </c>
      <c r="C121" t="s">
        <v>305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219</v>
      </c>
      <c r="B122">
        <v>19</v>
      </c>
      <c r="C122" t="s">
        <v>306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219</v>
      </c>
      <c r="B123">
        <v>19</v>
      </c>
      <c r="C123" t="s">
        <v>307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219</v>
      </c>
      <c r="B124">
        <v>19</v>
      </c>
      <c r="C124" t="s">
        <v>300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219</v>
      </c>
      <c r="B125">
        <v>19</v>
      </c>
      <c r="C125" t="s">
        <v>299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219</v>
      </c>
      <c r="B126">
        <v>19</v>
      </c>
      <c r="C126" t="s">
        <v>302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219</v>
      </c>
      <c r="B134">
        <v>20</v>
      </c>
      <c r="C134" t="s">
        <v>315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219</v>
      </c>
      <c r="B135">
        <v>20</v>
      </c>
      <c r="C135" t="s">
        <v>316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219</v>
      </c>
      <c r="B142">
        <v>20</v>
      </c>
      <c r="C142" t="s">
        <v>323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219</v>
      </c>
      <c r="B143">
        <v>20</v>
      </c>
      <c r="C143" t="s">
        <v>324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219</v>
      </c>
      <c r="B149">
        <v>20</v>
      </c>
      <c r="C149" t="s">
        <v>330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219</v>
      </c>
      <c r="B150">
        <v>20</v>
      </c>
      <c r="C150" t="s">
        <v>331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219</v>
      </c>
      <c r="B151">
        <v>20</v>
      </c>
      <c r="C151" t="s">
        <v>333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219</v>
      </c>
      <c r="B152">
        <v>20</v>
      </c>
      <c r="C152" t="s">
        <v>334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219</v>
      </c>
      <c r="B153">
        <v>20</v>
      </c>
      <c r="C153" t="s">
        <v>335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219</v>
      </c>
      <c r="B154">
        <v>20</v>
      </c>
      <c r="C154" t="s">
        <v>336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219</v>
      </c>
      <c r="B155">
        <v>20</v>
      </c>
      <c r="C155" t="s">
        <v>337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219</v>
      </c>
      <c r="B156">
        <v>20</v>
      </c>
      <c r="C156" t="s">
        <v>338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219</v>
      </c>
      <c r="B159">
        <v>20</v>
      </c>
      <c r="C159" t="s">
        <v>332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220</v>
      </c>
      <c r="B168">
        <v>10</v>
      </c>
      <c r="C168" t="s">
        <v>346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220</v>
      </c>
      <c r="B169">
        <v>10</v>
      </c>
      <c r="C169" t="s">
        <v>347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220</v>
      </c>
      <c r="B170">
        <v>10</v>
      </c>
      <c r="C170" t="s">
        <v>345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220</v>
      </c>
      <c r="B172">
        <v>10</v>
      </c>
      <c r="C172" t="s">
        <v>348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220</v>
      </c>
      <c r="B174">
        <v>10</v>
      </c>
      <c r="C174" t="s">
        <v>351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220</v>
      </c>
      <c r="B175">
        <v>10</v>
      </c>
      <c r="C175" t="s">
        <v>352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220</v>
      </c>
      <c r="B177">
        <v>10</v>
      </c>
      <c r="C177" t="s">
        <v>354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220</v>
      </c>
      <c r="B179">
        <v>10</v>
      </c>
      <c r="C179" t="s">
        <v>356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220</v>
      </c>
      <c r="B180">
        <v>10</v>
      </c>
      <c r="C180" t="s">
        <v>357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220</v>
      </c>
      <c r="B182">
        <v>10</v>
      </c>
      <c r="C182" t="s">
        <v>359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220</v>
      </c>
      <c r="B189">
        <v>10</v>
      </c>
      <c r="C189" t="s">
        <v>366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220</v>
      </c>
      <c r="B190">
        <v>10</v>
      </c>
      <c r="C190" t="s">
        <v>367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220</v>
      </c>
      <c r="B191">
        <v>10</v>
      </c>
      <c r="C191" t="s">
        <v>368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220</v>
      </c>
      <c r="B192">
        <v>10</v>
      </c>
      <c r="C192" t="s">
        <v>369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220</v>
      </c>
      <c r="B193">
        <v>10</v>
      </c>
      <c r="C193" t="s">
        <v>370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220</v>
      </c>
      <c r="B194">
        <v>10</v>
      </c>
      <c r="C194" t="s">
        <v>372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220</v>
      </c>
      <c r="B196">
        <v>10</v>
      </c>
      <c r="C196" t="s">
        <v>373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220</v>
      </c>
      <c r="B205">
        <v>11</v>
      </c>
      <c r="C205" t="s">
        <v>382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220</v>
      </c>
      <c r="B206">
        <v>11</v>
      </c>
      <c r="C206" t="s">
        <v>381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220</v>
      </c>
      <c r="B220">
        <v>12</v>
      </c>
      <c r="C220" t="s">
        <v>395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220</v>
      </c>
      <c r="B221">
        <v>12</v>
      </c>
      <c r="C221" t="s">
        <v>396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220</v>
      </c>
      <c r="B222">
        <v>12</v>
      </c>
      <c r="C222" t="s">
        <v>398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220</v>
      </c>
      <c r="B225">
        <v>12</v>
      </c>
      <c r="C225" t="s">
        <v>401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222</v>
      </c>
      <c r="B247">
        <v>1</v>
      </c>
      <c r="C247" t="s">
        <v>422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222</v>
      </c>
      <c r="B250">
        <v>1</v>
      </c>
      <c r="C250" t="s">
        <v>425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222</v>
      </c>
      <c r="B258">
        <v>4</v>
      </c>
      <c r="C258" t="s">
        <v>433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222</v>
      </c>
      <c r="B259">
        <v>4</v>
      </c>
      <c r="C259" t="s">
        <v>435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222</v>
      </c>
      <c r="B260">
        <v>4</v>
      </c>
      <c r="C260" t="s">
        <v>434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222</v>
      </c>
      <c r="B261">
        <v>4</v>
      </c>
      <c r="C261" t="s">
        <v>436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222</v>
      </c>
      <c r="B262">
        <v>4</v>
      </c>
      <c r="C262" t="s">
        <v>437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222</v>
      </c>
      <c r="B263">
        <v>4</v>
      </c>
      <c r="C263" t="s">
        <v>438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222</v>
      </c>
      <c r="B264">
        <v>6</v>
      </c>
      <c r="C264" t="s">
        <v>440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222</v>
      </c>
      <c r="B265">
        <v>6</v>
      </c>
      <c r="C265" t="s">
        <v>439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222</v>
      </c>
      <c r="B268">
        <v>7</v>
      </c>
      <c r="C268" t="s">
        <v>215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222</v>
      </c>
      <c r="B269">
        <v>7</v>
      </c>
      <c r="C269" t="s">
        <v>204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223</v>
      </c>
      <c r="B288">
        <v>8</v>
      </c>
      <c r="C288" t="s">
        <v>453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223</v>
      </c>
      <c r="B289">
        <v>8</v>
      </c>
      <c r="C289" t="s">
        <v>454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223</v>
      </c>
      <c r="B312">
        <v>10</v>
      </c>
      <c r="C312" t="s">
        <v>472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223</v>
      </c>
      <c r="B313">
        <v>10</v>
      </c>
      <c r="C313" t="s">
        <v>473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223</v>
      </c>
      <c r="B314">
        <v>10</v>
      </c>
      <c r="C314" t="s">
        <v>475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223</v>
      </c>
      <c r="B315">
        <v>10</v>
      </c>
      <c r="C315" t="s">
        <v>477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223</v>
      </c>
      <c r="B316">
        <v>10</v>
      </c>
      <c r="C316" t="s">
        <v>474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223</v>
      </c>
      <c r="B317">
        <v>10</v>
      </c>
      <c r="C317" t="s">
        <v>476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223</v>
      </c>
      <c r="B318">
        <v>10</v>
      </c>
      <c r="C318" t="s">
        <v>479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223</v>
      </c>
      <c r="B319">
        <v>10</v>
      </c>
      <c r="C319" t="s">
        <v>478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223</v>
      </c>
      <c r="B320">
        <v>10</v>
      </c>
      <c r="C320" t="s">
        <v>480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223</v>
      </c>
      <c r="B321">
        <v>10</v>
      </c>
      <c r="C321" t="s">
        <v>481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223</v>
      </c>
      <c r="B322">
        <v>10</v>
      </c>
      <c r="C322" t="s">
        <v>482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223</v>
      </c>
      <c r="B323">
        <v>10</v>
      </c>
      <c r="C323" t="s">
        <v>483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223</v>
      </c>
      <c r="B324">
        <v>10</v>
      </c>
      <c r="C324" t="s">
        <v>485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223</v>
      </c>
      <c r="B326">
        <v>10</v>
      </c>
      <c r="C326" t="s">
        <v>486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223</v>
      </c>
      <c r="B327">
        <v>10</v>
      </c>
      <c r="C327" t="s">
        <v>487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225</v>
      </c>
      <c r="B332">
        <v>2</v>
      </c>
      <c r="C332" t="s">
        <v>490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225</v>
      </c>
      <c r="B333">
        <v>2</v>
      </c>
      <c r="C333" t="s">
        <v>211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225</v>
      </c>
      <c r="B337">
        <v>2</v>
      </c>
      <c r="C337" t="s">
        <v>494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225</v>
      </c>
      <c r="B338">
        <v>2</v>
      </c>
      <c r="C338" t="s">
        <v>495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225</v>
      </c>
      <c r="B348">
        <v>3</v>
      </c>
      <c r="C348" t="s">
        <v>504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225</v>
      </c>
      <c r="B349">
        <v>3</v>
      </c>
      <c r="C349" t="s">
        <v>505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225</v>
      </c>
      <c r="B363">
        <v>5</v>
      </c>
      <c r="C363" t="s">
        <v>215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225</v>
      </c>
      <c r="B364">
        <v>5</v>
      </c>
      <c r="C364" t="s">
        <v>204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225</v>
      </c>
      <c r="B367">
        <v>6</v>
      </c>
      <c r="C367" t="s">
        <v>513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225</v>
      </c>
      <c r="B368">
        <v>6</v>
      </c>
      <c r="C368" t="s">
        <v>514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225</v>
      </c>
      <c r="B369">
        <v>6</v>
      </c>
      <c r="C369" t="s">
        <v>515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225</v>
      </c>
      <c r="B370">
        <v>6</v>
      </c>
      <c r="C370" t="s">
        <v>520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225</v>
      </c>
      <c r="B371">
        <v>6</v>
      </c>
      <c r="C371" t="s">
        <v>516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225</v>
      </c>
      <c r="B376">
        <v>6</v>
      </c>
      <c r="C376" t="s">
        <v>521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225</v>
      </c>
      <c r="B377">
        <v>7</v>
      </c>
      <c r="C377" t="s">
        <v>523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225</v>
      </c>
      <c r="B378">
        <v>7</v>
      </c>
      <c r="C378" t="s">
        <v>524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225</v>
      </c>
      <c r="B379">
        <v>7</v>
      </c>
      <c r="C379" t="s">
        <v>526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225</v>
      </c>
      <c r="B380">
        <v>7</v>
      </c>
      <c r="C380" t="s">
        <v>525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225</v>
      </c>
      <c r="B381">
        <v>7</v>
      </c>
      <c r="C381" t="s">
        <v>527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225</v>
      </c>
      <c r="B382">
        <v>7</v>
      </c>
      <c r="C382" t="s">
        <v>528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225</v>
      </c>
      <c r="B412">
        <v>14</v>
      </c>
      <c r="C412" t="s">
        <v>687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225</v>
      </c>
      <c r="B413">
        <v>14</v>
      </c>
      <c r="C413" t="s">
        <v>688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225</v>
      </c>
      <c r="B414">
        <v>14</v>
      </c>
      <c r="C414" t="s">
        <v>689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225</v>
      </c>
      <c r="B416">
        <v>14</v>
      </c>
      <c r="C416" t="s">
        <v>691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228</v>
      </c>
      <c r="B439">
        <v>1</v>
      </c>
      <c r="C439" t="s">
        <v>547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228</v>
      </c>
      <c r="B440">
        <v>1</v>
      </c>
      <c r="C440" t="s">
        <v>206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230</v>
      </c>
      <c r="B449">
        <v>1</v>
      </c>
      <c r="C449" t="s">
        <v>551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230</v>
      </c>
      <c r="B450">
        <v>1</v>
      </c>
      <c r="C450" t="s">
        <v>552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231</v>
      </c>
      <c r="B466">
        <v>9</v>
      </c>
      <c r="C466" t="s">
        <v>564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231</v>
      </c>
      <c r="B467">
        <v>9</v>
      </c>
      <c r="C467" t="s">
        <v>205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231</v>
      </c>
      <c r="B469">
        <v>9</v>
      </c>
      <c r="C469" t="s">
        <v>566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231</v>
      </c>
      <c r="B470">
        <v>9</v>
      </c>
      <c r="C470" t="s">
        <v>565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231</v>
      </c>
      <c r="B474">
        <v>9</v>
      </c>
      <c r="C474" t="s">
        <v>570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231</v>
      </c>
      <c r="B475">
        <v>9</v>
      </c>
      <c r="C475" t="s">
        <v>571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231</v>
      </c>
      <c r="B494">
        <v>11</v>
      </c>
      <c r="C494" t="s">
        <v>584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231</v>
      </c>
      <c r="B495">
        <v>11</v>
      </c>
      <c r="C495" t="s">
        <v>582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231</v>
      </c>
      <c r="B496">
        <v>11</v>
      </c>
      <c r="C496" t="s">
        <v>587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231</v>
      </c>
      <c r="B497">
        <v>11</v>
      </c>
      <c r="C497" t="s">
        <v>586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231</v>
      </c>
      <c r="B498">
        <v>11</v>
      </c>
      <c r="C498" t="s">
        <v>588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231</v>
      </c>
      <c r="B499">
        <v>11</v>
      </c>
      <c r="C499" t="s">
        <v>589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231</v>
      </c>
      <c r="B500">
        <v>11</v>
      </c>
      <c r="C500" t="s">
        <v>590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231</v>
      </c>
      <c r="B508">
        <v>12</v>
      </c>
      <c r="C508" t="s">
        <v>596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231</v>
      </c>
      <c r="B509">
        <v>12</v>
      </c>
      <c r="C509" t="s">
        <v>597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598</v>
      </c>
      <c r="B517">
        <v>6</v>
      </c>
      <c r="C517" t="s">
        <v>600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598</v>
      </c>
      <c r="B519">
        <v>6</v>
      </c>
      <c r="C519" t="s">
        <v>446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238" workbookViewId="0">
      <selection activeCell="A127" sqref="A127:XFD159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J1" t="s">
        <v>3</v>
      </c>
      <c r="K1" t="s">
        <v>5</v>
      </c>
      <c r="L1" t="s">
        <v>7</v>
      </c>
      <c r="M1" t="s">
        <v>186</v>
      </c>
    </row>
    <row r="2" spans="1:13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188</v>
      </c>
      <c r="K2">
        <v>1</v>
      </c>
      <c r="L2" t="s">
        <v>179</v>
      </c>
      <c r="M2">
        <v>1</v>
      </c>
    </row>
    <row r="3" spans="1:13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188</v>
      </c>
      <c r="K3">
        <v>1</v>
      </c>
      <c r="L3" t="s">
        <v>0</v>
      </c>
      <c r="M3">
        <v>2</v>
      </c>
    </row>
    <row r="4" spans="1:13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188</v>
      </c>
      <c r="K4">
        <v>1</v>
      </c>
      <c r="L4" t="s">
        <v>180</v>
      </c>
      <c r="M4">
        <v>3</v>
      </c>
    </row>
    <row r="5" spans="1:13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188</v>
      </c>
      <c r="K5">
        <v>1</v>
      </c>
      <c r="L5" t="s">
        <v>1</v>
      </c>
      <c r="M5">
        <v>4</v>
      </c>
    </row>
    <row r="6" spans="1:13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188</v>
      </c>
      <c r="K6">
        <v>2</v>
      </c>
      <c r="L6" t="s">
        <v>180</v>
      </c>
      <c r="M6">
        <v>1</v>
      </c>
    </row>
    <row r="7" spans="1:13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188</v>
      </c>
      <c r="K7">
        <v>2</v>
      </c>
      <c r="L7" t="s">
        <v>189</v>
      </c>
      <c r="M7">
        <v>2</v>
      </c>
    </row>
    <row r="8" spans="1:13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188</v>
      </c>
      <c r="K8">
        <v>2</v>
      </c>
      <c r="L8" t="s">
        <v>190</v>
      </c>
      <c r="M8">
        <v>3</v>
      </c>
    </row>
    <row r="9" spans="1:13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188</v>
      </c>
      <c r="K9">
        <v>2</v>
      </c>
      <c r="L9" t="s">
        <v>191</v>
      </c>
      <c r="M9">
        <v>4</v>
      </c>
    </row>
    <row r="10" spans="1:13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188</v>
      </c>
      <c r="K10">
        <v>2</v>
      </c>
      <c r="L10" t="s">
        <v>193</v>
      </c>
      <c r="M10">
        <v>5</v>
      </c>
    </row>
    <row r="11" spans="1:13">
      <c r="A11" t="s">
        <v>188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188</v>
      </c>
      <c r="K11">
        <v>2</v>
      </c>
      <c r="L11" t="s">
        <v>194</v>
      </c>
      <c r="M11">
        <v>6</v>
      </c>
    </row>
    <row r="12" spans="1:13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188</v>
      </c>
      <c r="K12">
        <v>2</v>
      </c>
      <c r="L12" t="s">
        <v>192</v>
      </c>
      <c r="M12">
        <v>7</v>
      </c>
    </row>
    <row r="13" spans="1:13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188</v>
      </c>
      <c r="K13">
        <v>2</v>
      </c>
      <c r="L13" t="s">
        <v>195</v>
      </c>
      <c r="M13">
        <v>8</v>
      </c>
    </row>
    <row r="14" spans="1:13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188</v>
      </c>
      <c r="K14">
        <v>2</v>
      </c>
      <c r="L14" t="s">
        <v>196</v>
      </c>
      <c r="M14">
        <v>9</v>
      </c>
    </row>
    <row r="15" spans="1:13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188</v>
      </c>
      <c r="K15">
        <v>2</v>
      </c>
      <c r="L15" t="s">
        <v>198</v>
      </c>
      <c r="M15">
        <v>10</v>
      </c>
    </row>
    <row r="16" spans="1:13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188</v>
      </c>
      <c r="K16">
        <v>2</v>
      </c>
      <c r="L16" t="s">
        <v>197</v>
      </c>
      <c r="M16">
        <v>11</v>
      </c>
    </row>
    <row r="17" spans="1:13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188</v>
      </c>
      <c r="K17">
        <v>2</v>
      </c>
      <c r="L17" t="s">
        <v>199</v>
      </c>
      <c r="M17">
        <v>12</v>
      </c>
    </row>
    <row r="18" spans="1:13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188</v>
      </c>
      <c r="K18">
        <v>2</v>
      </c>
      <c r="L18" t="s">
        <v>200</v>
      </c>
      <c r="M18">
        <v>13</v>
      </c>
    </row>
    <row r="19" spans="1:13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188</v>
      </c>
      <c r="K19">
        <v>2</v>
      </c>
      <c r="L19" t="s">
        <v>201</v>
      </c>
      <c r="M19">
        <v>14</v>
      </c>
    </row>
    <row r="20" spans="1:13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188</v>
      </c>
      <c r="K20">
        <v>2</v>
      </c>
      <c r="L20" t="s">
        <v>202</v>
      </c>
      <c r="M20">
        <v>15</v>
      </c>
    </row>
    <row r="21" spans="1:13">
      <c r="A21" t="s">
        <v>188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188</v>
      </c>
      <c r="K21">
        <v>6</v>
      </c>
      <c r="L21" t="s">
        <v>179</v>
      </c>
      <c r="M21">
        <v>1</v>
      </c>
    </row>
    <row r="22" spans="1:13">
      <c r="A22" t="s">
        <v>188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188</v>
      </c>
      <c r="K22">
        <v>6</v>
      </c>
      <c r="L22" t="s">
        <v>204</v>
      </c>
      <c r="M22">
        <v>2</v>
      </c>
    </row>
    <row r="23" spans="1:13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188</v>
      </c>
      <c r="K23">
        <v>6</v>
      </c>
      <c r="L23" t="s">
        <v>203</v>
      </c>
      <c r="M23">
        <v>3</v>
      </c>
    </row>
    <row r="24" spans="1:13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188</v>
      </c>
      <c r="K24">
        <v>6</v>
      </c>
      <c r="L24" t="s">
        <v>205</v>
      </c>
      <c r="M24">
        <v>4</v>
      </c>
    </row>
    <row r="25" spans="1:13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188</v>
      </c>
      <c r="K25">
        <v>6</v>
      </c>
      <c r="L25" t="s">
        <v>215</v>
      </c>
      <c r="M25">
        <v>5</v>
      </c>
    </row>
    <row r="26" spans="1:13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188</v>
      </c>
      <c r="K26">
        <v>9</v>
      </c>
      <c r="L26" t="s">
        <v>206</v>
      </c>
      <c r="M26">
        <v>1</v>
      </c>
    </row>
    <row r="27" spans="1:13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188</v>
      </c>
      <c r="K27">
        <v>9</v>
      </c>
      <c r="L27" t="s">
        <v>208</v>
      </c>
      <c r="M27">
        <v>2</v>
      </c>
    </row>
    <row r="28" spans="1:13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188</v>
      </c>
      <c r="K28">
        <v>9</v>
      </c>
      <c r="L28" t="s">
        <v>207</v>
      </c>
      <c r="M28">
        <v>3</v>
      </c>
    </row>
    <row r="29" spans="1:13">
      <c r="A29" t="s">
        <v>188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188</v>
      </c>
      <c r="K29">
        <v>9</v>
      </c>
      <c r="L29" t="s">
        <v>209</v>
      </c>
      <c r="M29">
        <v>4</v>
      </c>
    </row>
    <row r="30" spans="1:13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188</v>
      </c>
      <c r="K30">
        <v>9</v>
      </c>
      <c r="L30" t="s">
        <v>180</v>
      </c>
      <c r="M30">
        <v>5</v>
      </c>
    </row>
    <row r="31" spans="1:13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188</v>
      </c>
      <c r="K31">
        <v>9</v>
      </c>
      <c r="L31" t="s">
        <v>210</v>
      </c>
      <c r="M31">
        <v>6</v>
      </c>
    </row>
    <row r="32" spans="1:13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188</v>
      </c>
      <c r="K32">
        <v>9</v>
      </c>
      <c r="L32" t="s">
        <v>212</v>
      </c>
      <c r="M32">
        <v>7</v>
      </c>
    </row>
    <row r="33" spans="1:13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188</v>
      </c>
      <c r="K33">
        <v>9</v>
      </c>
      <c r="L33" t="s">
        <v>211</v>
      </c>
      <c r="M33">
        <v>8</v>
      </c>
    </row>
    <row r="34" spans="1:13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188</v>
      </c>
      <c r="K34">
        <v>9</v>
      </c>
      <c r="L34" t="s">
        <v>213</v>
      </c>
      <c r="M34">
        <v>9</v>
      </c>
    </row>
    <row r="35" spans="1:13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188</v>
      </c>
      <c r="K35">
        <v>9</v>
      </c>
      <c r="L35" t="s">
        <v>214</v>
      </c>
      <c r="M35">
        <v>10</v>
      </c>
    </row>
    <row r="36" spans="1:13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219</v>
      </c>
      <c r="K36">
        <v>2</v>
      </c>
      <c r="L36" t="s">
        <v>2</v>
      </c>
      <c r="M36">
        <v>1</v>
      </c>
    </row>
    <row r="37" spans="1:13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219</v>
      </c>
      <c r="K37">
        <v>2</v>
      </c>
      <c r="L37" t="s">
        <v>0</v>
      </c>
      <c r="M37">
        <v>2</v>
      </c>
    </row>
    <row r="38" spans="1:13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219</v>
      </c>
      <c r="K38">
        <v>2</v>
      </c>
      <c r="L38" t="s">
        <v>233</v>
      </c>
      <c r="M38">
        <v>3</v>
      </c>
    </row>
    <row r="39" spans="1:13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219</v>
      </c>
      <c r="K39">
        <v>2</v>
      </c>
      <c r="L39" t="s">
        <v>234</v>
      </c>
      <c r="M39">
        <v>4</v>
      </c>
    </row>
    <row r="40" spans="1:13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219</v>
      </c>
      <c r="K40">
        <v>4</v>
      </c>
      <c r="L40" t="s">
        <v>2</v>
      </c>
      <c r="M40">
        <v>1</v>
      </c>
    </row>
    <row r="41" spans="1:13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219</v>
      </c>
      <c r="K41">
        <v>4</v>
      </c>
      <c r="L41" t="s">
        <v>233</v>
      </c>
      <c r="M41">
        <v>2</v>
      </c>
    </row>
    <row r="42" spans="1:13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219</v>
      </c>
      <c r="K42">
        <v>4</v>
      </c>
      <c r="L42" t="s">
        <v>0</v>
      </c>
      <c r="M42">
        <v>3</v>
      </c>
    </row>
    <row r="43" spans="1:13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219</v>
      </c>
      <c r="K43">
        <v>4</v>
      </c>
      <c r="L43" t="s">
        <v>234</v>
      </c>
      <c r="M43">
        <v>4</v>
      </c>
    </row>
    <row r="44" spans="1:13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219</v>
      </c>
      <c r="K44">
        <v>13</v>
      </c>
      <c r="L44" t="s">
        <v>203</v>
      </c>
      <c r="M44">
        <v>1</v>
      </c>
    </row>
    <row r="45" spans="1:13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219</v>
      </c>
      <c r="K45">
        <v>13</v>
      </c>
      <c r="L45" t="s">
        <v>179</v>
      </c>
      <c r="M45">
        <v>2</v>
      </c>
    </row>
    <row r="46" spans="1:13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219</v>
      </c>
      <c r="K46">
        <v>13</v>
      </c>
      <c r="L46" t="s">
        <v>204</v>
      </c>
      <c r="M46">
        <v>3</v>
      </c>
    </row>
    <row r="47" spans="1:13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219</v>
      </c>
      <c r="K47">
        <v>13</v>
      </c>
      <c r="L47" t="s">
        <v>205</v>
      </c>
      <c r="M47">
        <v>4</v>
      </c>
    </row>
    <row r="48" spans="1:13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219</v>
      </c>
      <c r="K48">
        <v>13</v>
      </c>
      <c r="L48" t="s">
        <v>215</v>
      </c>
      <c r="M48">
        <v>5</v>
      </c>
    </row>
    <row r="49" spans="1:13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219</v>
      </c>
      <c r="K49">
        <v>16</v>
      </c>
      <c r="L49" t="s">
        <v>235</v>
      </c>
      <c r="M49">
        <v>1</v>
      </c>
    </row>
    <row r="50" spans="1:13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219</v>
      </c>
      <c r="K50">
        <v>16</v>
      </c>
      <c r="L50" t="s">
        <v>236</v>
      </c>
      <c r="M50">
        <v>2</v>
      </c>
    </row>
    <row r="51" spans="1:13">
      <c r="A51" t="s">
        <v>219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219</v>
      </c>
      <c r="K51">
        <v>16</v>
      </c>
      <c r="L51" t="s">
        <v>237</v>
      </c>
      <c r="M51">
        <v>3</v>
      </c>
    </row>
    <row r="52" spans="1:13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219</v>
      </c>
      <c r="K52">
        <v>16</v>
      </c>
      <c r="L52" t="s">
        <v>238</v>
      </c>
      <c r="M52">
        <v>4</v>
      </c>
    </row>
    <row r="53" spans="1:13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219</v>
      </c>
      <c r="K53">
        <v>18</v>
      </c>
      <c r="L53" t="s">
        <v>2</v>
      </c>
      <c r="M53">
        <v>1</v>
      </c>
    </row>
    <row r="54" spans="1:13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219</v>
      </c>
      <c r="K54">
        <v>18</v>
      </c>
      <c r="L54" t="s">
        <v>1</v>
      </c>
      <c r="M54">
        <v>2</v>
      </c>
    </row>
    <row r="55" spans="1:13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219</v>
      </c>
      <c r="K55">
        <v>18</v>
      </c>
      <c r="L55" t="s">
        <v>239</v>
      </c>
      <c r="M55">
        <v>3</v>
      </c>
    </row>
    <row r="56" spans="1:13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219</v>
      </c>
      <c r="K56">
        <v>18</v>
      </c>
      <c r="L56" t="s">
        <v>240</v>
      </c>
      <c r="M56">
        <v>4</v>
      </c>
    </row>
    <row r="57" spans="1:13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219</v>
      </c>
      <c r="K57">
        <v>18</v>
      </c>
      <c r="L57" t="s">
        <v>241</v>
      </c>
      <c r="M57">
        <v>5</v>
      </c>
    </row>
    <row r="58" spans="1:13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219</v>
      </c>
      <c r="K58">
        <v>18</v>
      </c>
      <c r="L58" t="s">
        <v>242</v>
      </c>
      <c r="M58">
        <v>6</v>
      </c>
    </row>
    <row r="59" spans="1:13">
      <c r="A59" t="s">
        <v>219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219</v>
      </c>
      <c r="K59">
        <v>18</v>
      </c>
      <c r="L59" t="s">
        <v>243</v>
      </c>
      <c r="M59">
        <v>7</v>
      </c>
    </row>
    <row r="60" spans="1:13">
      <c r="A60" t="s">
        <v>219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219</v>
      </c>
      <c r="K60">
        <v>18</v>
      </c>
      <c r="L60" t="s">
        <v>244</v>
      </c>
      <c r="M60">
        <v>8</v>
      </c>
    </row>
    <row r="61" spans="1:13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219</v>
      </c>
      <c r="K61">
        <v>18</v>
      </c>
      <c r="L61" t="s">
        <v>245</v>
      </c>
      <c r="M61">
        <v>9</v>
      </c>
    </row>
    <row r="62" spans="1:13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219</v>
      </c>
      <c r="K62">
        <v>18</v>
      </c>
      <c r="L62" t="s">
        <v>246</v>
      </c>
      <c r="M62">
        <v>10</v>
      </c>
    </row>
    <row r="63" spans="1:13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219</v>
      </c>
      <c r="K63">
        <v>18</v>
      </c>
      <c r="L63" t="s">
        <v>247</v>
      </c>
      <c r="M63">
        <v>11</v>
      </c>
    </row>
    <row r="64" spans="1:13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219</v>
      </c>
      <c r="K64">
        <v>18</v>
      </c>
      <c r="L64" t="s">
        <v>248</v>
      </c>
      <c r="M64">
        <v>12</v>
      </c>
    </row>
    <row r="65" spans="1:13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219</v>
      </c>
      <c r="K65">
        <v>18</v>
      </c>
      <c r="L65" t="s">
        <v>249</v>
      </c>
      <c r="M65">
        <v>13</v>
      </c>
    </row>
    <row r="66" spans="1:13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219</v>
      </c>
      <c r="K66">
        <v>18</v>
      </c>
      <c r="L66" t="s">
        <v>250</v>
      </c>
      <c r="M66">
        <v>14</v>
      </c>
    </row>
    <row r="67" spans="1:13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219</v>
      </c>
      <c r="K67">
        <v>18</v>
      </c>
      <c r="L67" t="s">
        <v>251</v>
      </c>
      <c r="M67">
        <v>15</v>
      </c>
    </row>
    <row r="68" spans="1:13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219</v>
      </c>
      <c r="K68">
        <v>18</v>
      </c>
      <c r="L68" t="s">
        <v>253</v>
      </c>
      <c r="M68">
        <v>16</v>
      </c>
    </row>
    <row r="69" spans="1:13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219</v>
      </c>
      <c r="K69">
        <v>18</v>
      </c>
      <c r="L69" t="s">
        <v>252</v>
      </c>
      <c r="M69">
        <v>17</v>
      </c>
    </row>
    <row r="70" spans="1:13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219</v>
      </c>
      <c r="K70">
        <v>18</v>
      </c>
      <c r="L70" t="s">
        <v>254</v>
      </c>
      <c r="M70">
        <v>18</v>
      </c>
    </row>
    <row r="71" spans="1:13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219</v>
      </c>
      <c r="K71">
        <v>18</v>
      </c>
      <c r="L71" t="s">
        <v>255</v>
      </c>
      <c r="M71">
        <v>19</v>
      </c>
    </row>
    <row r="72" spans="1:13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219</v>
      </c>
      <c r="K72">
        <v>18</v>
      </c>
      <c r="L72" t="s">
        <v>256</v>
      </c>
      <c r="M72">
        <v>20</v>
      </c>
    </row>
    <row r="73" spans="1:13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219</v>
      </c>
      <c r="K73">
        <v>18</v>
      </c>
      <c r="L73" t="s">
        <v>257</v>
      </c>
      <c r="M73">
        <v>21</v>
      </c>
    </row>
    <row r="74" spans="1:13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219</v>
      </c>
      <c r="K74">
        <v>18</v>
      </c>
      <c r="L74" t="s">
        <v>258</v>
      </c>
      <c r="M74">
        <v>22</v>
      </c>
    </row>
    <row r="75" spans="1:13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219</v>
      </c>
      <c r="K75">
        <v>18</v>
      </c>
      <c r="L75" t="s">
        <v>259</v>
      </c>
      <c r="M75">
        <v>23</v>
      </c>
    </row>
    <row r="76" spans="1:13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219</v>
      </c>
      <c r="K76">
        <v>18</v>
      </c>
      <c r="L76" t="s">
        <v>260</v>
      </c>
      <c r="M76">
        <v>24</v>
      </c>
    </row>
    <row r="77" spans="1:13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219</v>
      </c>
      <c r="K77">
        <v>18</v>
      </c>
      <c r="L77" t="s">
        <v>261</v>
      </c>
      <c r="M77">
        <v>25</v>
      </c>
    </row>
    <row r="78" spans="1:13">
      <c r="A78" t="s">
        <v>219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219</v>
      </c>
      <c r="K78">
        <v>18</v>
      </c>
      <c r="L78" t="s">
        <v>262</v>
      </c>
      <c r="M78">
        <v>26</v>
      </c>
    </row>
    <row r="79" spans="1:13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219</v>
      </c>
      <c r="K79">
        <v>18</v>
      </c>
      <c r="L79" t="s">
        <v>263</v>
      </c>
      <c r="M79">
        <v>27</v>
      </c>
    </row>
    <row r="80" spans="1:13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219</v>
      </c>
      <c r="K80">
        <v>18</v>
      </c>
      <c r="L80" t="s">
        <v>264</v>
      </c>
      <c r="M80">
        <v>28</v>
      </c>
    </row>
    <row r="81" spans="1:13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219</v>
      </c>
      <c r="K81">
        <v>18</v>
      </c>
      <c r="L81" t="s">
        <v>265</v>
      </c>
      <c r="M81">
        <v>29</v>
      </c>
    </row>
    <row r="82" spans="1:13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219</v>
      </c>
      <c r="K82">
        <v>18</v>
      </c>
      <c r="L82" t="s">
        <v>266</v>
      </c>
      <c r="M82">
        <v>30</v>
      </c>
    </row>
    <row r="83" spans="1:13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219</v>
      </c>
      <c r="K83">
        <v>18</v>
      </c>
      <c r="L83" t="s">
        <v>267</v>
      </c>
      <c r="M83">
        <v>31</v>
      </c>
    </row>
    <row r="84" spans="1:13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219</v>
      </c>
      <c r="K84">
        <v>18</v>
      </c>
      <c r="L84" t="s">
        <v>268</v>
      </c>
      <c r="M84">
        <v>32</v>
      </c>
    </row>
    <row r="85" spans="1:13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219</v>
      </c>
      <c r="K85">
        <v>18</v>
      </c>
      <c r="L85" t="s">
        <v>269</v>
      </c>
      <c r="M85">
        <v>33</v>
      </c>
    </row>
    <row r="86" spans="1:13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219</v>
      </c>
      <c r="K86">
        <v>18</v>
      </c>
      <c r="L86" t="s">
        <v>270</v>
      </c>
      <c r="M86">
        <v>34</v>
      </c>
    </row>
    <row r="87" spans="1:13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219</v>
      </c>
      <c r="K87">
        <v>18</v>
      </c>
      <c r="L87" t="s">
        <v>271</v>
      </c>
      <c r="M87">
        <v>35</v>
      </c>
    </row>
    <row r="88" spans="1:13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219</v>
      </c>
      <c r="K88">
        <v>18</v>
      </c>
      <c r="L88" t="s">
        <v>272</v>
      </c>
      <c r="M88">
        <v>36</v>
      </c>
    </row>
    <row r="89" spans="1:13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219</v>
      </c>
      <c r="K89">
        <v>18</v>
      </c>
      <c r="L89" t="s">
        <v>273</v>
      </c>
      <c r="M89">
        <v>37</v>
      </c>
    </row>
    <row r="90" spans="1:13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219</v>
      </c>
      <c r="K90">
        <v>18</v>
      </c>
      <c r="L90" t="s">
        <v>274</v>
      </c>
      <c r="M90">
        <v>38</v>
      </c>
    </row>
    <row r="91" spans="1:13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219</v>
      </c>
      <c r="K91">
        <v>18</v>
      </c>
      <c r="L91" t="s">
        <v>275</v>
      </c>
      <c r="M91">
        <v>39</v>
      </c>
    </row>
    <row r="92" spans="1:13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219</v>
      </c>
      <c r="K92">
        <v>18</v>
      </c>
      <c r="L92" t="s">
        <v>276</v>
      </c>
      <c r="M92">
        <v>40</v>
      </c>
    </row>
    <row r="93" spans="1:13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219</v>
      </c>
      <c r="K93">
        <v>18</v>
      </c>
      <c r="L93" t="s">
        <v>277</v>
      </c>
      <c r="M93">
        <v>41</v>
      </c>
    </row>
    <row r="94" spans="1:13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219</v>
      </c>
      <c r="K94">
        <v>18</v>
      </c>
      <c r="L94" t="s">
        <v>278</v>
      </c>
      <c r="M94">
        <v>42</v>
      </c>
    </row>
    <row r="95" spans="1:13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219</v>
      </c>
      <c r="K95">
        <v>18</v>
      </c>
      <c r="L95" t="s">
        <v>279</v>
      </c>
      <c r="M95">
        <v>43</v>
      </c>
    </row>
    <row r="96" spans="1:13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219</v>
      </c>
      <c r="K96">
        <v>18</v>
      </c>
      <c r="L96" t="s">
        <v>281</v>
      </c>
      <c r="M96">
        <v>44</v>
      </c>
    </row>
    <row r="97" spans="1:13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219</v>
      </c>
      <c r="K97">
        <v>18</v>
      </c>
      <c r="L97" t="s">
        <v>282</v>
      </c>
      <c r="M97">
        <v>45</v>
      </c>
    </row>
    <row r="98" spans="1:13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219</v>
      </c>
      <c r="K98">
        <v>18</v>
      </c>
      <c r="L98" t="s">
        <v>280</v>
      </c>
      <c r="M98">
        <v>46</v>
      </c>
    </row>
    <row r="99" spans="1:13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219</v>
      </c>
      <c r="K99">
        <v>19</v>
      </c>
      <c r="L99" t="s">
        <v>2</v>
      </c>
      <c r="M99">
        <v>1</v>
      </c>
    </row>
    <row r="100" spans="1:13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219</v>
      </c>
      <c r="K100">
        <v>19</v>
      </c>
      <c r="L100" t="s">
        <v>1</v>
      </c>
      <c r="M100">
        <v>2</v>
      </c>
    </row>
    <row r="101" spans="1:13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219</v>
      </c>
      <c r="K101">
        <v>19</v>
      </c>
      <c r="L101" t="s">
        <v>239</v>
      </c>
      <c r="M101">
        <v>3</v>
      </c>
    </row>
    <row r="102" spans="1:13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219</v>
      </c>
      <c r="K102">
        <v>19</v>
      </c>
      <c r="L102" t="s">
        <v>283</v>
      </c>
      <c r="M102">
        <v>4</v>
      </c>
    </row>
    <row r="103" spans="1:13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219</v>
      </c>
      <c r="K103">
        <v>19</v>
      </c>
      <c r="L103" t="s">
        <v>284</v>
      </c>
      <c r="M103">
        <v>5</v>
      </c>
    </row>
    <row r="104" spans="1:13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219</v>
      </c>
      <c r="K104">
        <v>19</v>
      </c>
      <c r="L104" t="s">
        <v>285</v>
      </c>
      <c r="M104">
        <v>6</v>
      </c>
    </row>
    <row r="105" spans="1:13">
      <c r="A105" t="s">
        <v>219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219</v>
      </c>
      <c r="K105">
        <v>19</v>
      </c>
      <c r="L105" t="s">
        <v>287</v>
      </c>
      <c r="M105">
        <v>7</v>
      </c>
    </row>
    <row r="106" spans="1:13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219</v>
      </c>
      <c r="K106">
        <v>19</v>
      </c>
      <c r="L106" t="s">
        <v>288</v>
      </c>
      <c r="M106">
        <v>8</v>
      </c>
    </row>
    <row r="107" spans="1:13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219</v>
      </c>
      <c r="K107">
        <v>19</v>
      </c>
      <c r="L107" t="s">
        <v>286</v>
      </c>
      <c r="M107">
        <v>9</v>
      </c>
    </row>
    <row r="108" spans="1:13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219</v>
      </c>
      <c r="K108">
        <v>19</v>
      </c>
      <c r="L108" t="s">
        <v>290</v>
      </c>
      <c r="M108">
        <v>10</v>
      </c>
    </row>
    <row r="109" spans="1:13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219</v>
      </c>
      <c r="K109">
        <v>19</v>
      </c>
      <c r="L109" t="s">
        <v>289</v>
      </c>
      <c r="M109">
        <v>11</v>
      </c>
    </row>
    <row r="110" spans="1:13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219</v>
      </c>
      <c r="K110">
        <v>19</v>
      </c>
      <c r="L110" t="s">
        <v>291</v>
      </c>
      <c r="M110">
        <v>12</v>
      </c>
    </row>
    <row r="111" spans="1:13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219</v>
      </c>
      <c r="K111">
        <v>19</v>
      </c>
      <c r="L111" t="s">
        <v>294</v>
      </c>
      <c r="M111">
        <v>13</v>
      </c>
    </row>
    <row r="112" spans="1:13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219</v>
      </c>
      <c r="K112">
        <v>19</v>
      </c>
      <c r="L112" t="s">
        <v>293</v>
      </c>
      <c r="M112">
        <v>14</v>
      </c>
    </row>
    <row r="113" spans="1:13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219</v>
      </c>
      <c r="K113">
        <v>19</v>
      </c>
      <c r="L113" t="s">
        <v>292</v>
      </c>
      <c r="M113">
        <v>15</v>
      </c>
    </row>
    <row r="114" spans="1:13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219</v>
      </c>
      <c r="K114">
        <v>19</v>
      </c>
      <c r="L114" t="s">
        <v>296</v>
      </c>
      <c r="M114">
        <v>16</v>
      </c>
    </row>
    <row r="115" spans="1:13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219</v>
      </c>
      <c r="K115">
        <v>19</v>
      </c>
      <c r="L115" t="s">
        <v>298</v>
      </c>
      <c r="M115">
        <v>17</v>
      </c>
    </row>
    <row r="116" spans="1:13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219</v>
      </c>
      <c r="K116">
        <v>19</v>
      </c>
      <c r="L116" t="s">
        <v>301</v>
      </c>
      <c r="M116">
        <v>18</v>
      </c>
    </row>
    <row r="117" spans="1:13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219</v>
      </c>
      <c r="K117">
        <v>19</v>
      </c>
      <c r="L117" t="s">
        <v>295</v>
      </c>
      <c r="M117">
        <v>19</v>
      </c>
    </row>
    <row r="118" spans="1:13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219</v>
      </c>
      <c r="K118">
        <v>19</v>
      </c>
      <c r="L118" t="s">
        <v>303</v>
      </c>
      <c r="M118">
        <v>20</v>
      </c>
    </row>
    <row r="119" spans="1:13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219</v>
      </c>
      <c r="K119">
        <v>19</v>
      </c>
      <c r="L119" t="s">
        <v>304</v>
      </c>
      <c r="M119">
        <v>21</v>
      </c>
    </row>
    <row r="120" spans="1:13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219</v>
      </c>
      <c r="K120">
        <v>19</v>
      </c>
      <c r="L120" t="s">
        <v>297</v>
      </c>
      <c r="M120">
        <v>22</v>
      </c>
    </row>
    <row r="121" spans="1:13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219</v>
      </c>
      <c r="K121">
        <v>19</v>
      </c>
      <c r="L121" t="s">
        <v>305</v>
      </c>
      <c r="M121">
        <v>23</v>
      </c>
    </row>
    <row r="122" spans="1:13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219</v>
      </c>
      <c r="K122">
        <v>19</v>
      </c>
      <c r="L122" t="s">
        <v>306</v>
      </c>
      <c r="M122">
        <v>24</v>
      </c>
    </row>
    <row r="123" spans="1:13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219</v>
      </c>
      <c r="K123">
        <v>19</v>
      </c>
      <c r="L123" t="s">
        <v>307</v>
      </c>
      <c r="M123">
        <v>25</v>
      </c>
    </row>
    <row r="124" spans="1:13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219</v>
      </c>
      <c r="K124">
        <v>19</v>
      </c>
      <c r="L124" t="s">
        <v>300</v>
      </c>
      <c r="M124">
        <v>26</v>
      </c>
    </row>
    <row r="125" spans="1:13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219</v>
      </c>
      <c r="K125">
        <v>19</v>
      </c>
      <c r="L125" t="s">
        <v>299</v>
      </c>
      <c r="M125">
        <v>27</v>
      </c>
    </row>
    <row r="126" spans="1:13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219</v>
      </c>
      <c r="K126">
        <v>19</v>
      </c>
      <c r="L126" t="s">
        <v>302</v>
      </c>
      <c r="M126">
        <v>28</v>
      </c>
    </row>
    <row r="127" spans="1:13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219</v>
      </c>
      <c r="K127">
        <v>20</v>
      </c>
      <c r="L127" t="s">
        <v>308</v>
      </c>
      <c r="M127">
        <v>1</v>
      </c>
    </row>
    <row r="128" spans="1:13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219</v>
      </c>
      <c r="K128">
        <v>20</v>
      </c>
      <c r="L128" t="s">
        <v>309</v>
      </c>
      <c r="M128">
        <v>2</v>
      </c>
    </row>
    <row r="129" spans="1:13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219</v>
      </c>
      <c r="K129">
        <v>20</v>
      </c>
      <c r="L129" t="s">
        <v>310</v>
      </c>
      <c r="M129">
        <v>3</v>
      </c>
    </row>
    <row r="130" spans="1:13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219</v>
      </c>
      <c r="K130">
        <v>20</v>
      </c>
      <c r="L130" t="s">
        <v>311</v>
      </c>
      <c r="M130">
        <v>4</v>
      </c>
    </row>
    <row r="131" spans="1:13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219</v>
      </c>
      <c r="K131">
        <v>20</v>
      </c>
      <c r="L131" t="s">
        <v>312</v>
      </c>
      <c r="M131">
        <v>5</v>
      </c>
    </row>
    <row r="132" spans="1:13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219</v>
      </c>
      <c r="K132">
        <v>20</v>
      </c>
      <c r="L132" t="s">
        <v>313</v>
      </c>
      <c r="M132">
        <v>6</v>
      </c>
    </row>
    <row r="133" spans="1:13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219</v>
      </c>
      <c r="K133">
        <v>20</v>
      </c>
      <c r="L133" t="s">
        <v>314</v>
      </c>
      <c r="M133">
        <v>7</v>
      </c>
    </row>
    <row r="134" spans="1:13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219</v>
      </c>
      <c r="K134">
        <v>20</v>
      </c>
      <c r="L134" t="s">
        <v>315</v>
      </c>
      <c r="M134">
        <v>8</v>
      </c>
    </row>
    <row r="135" spans="1:13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219</v>
      </c>
      <c r="K135">
        <v>20</v>
      </c>
      <c r="L135" t="s">
        <v>316</v>
      </c>
      <c r="M135">
        <v>9</v>
      </c>
    </row>
    <row r="136" spans="1:13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219</v>
      </c>
      <c r="K136">
        <v>20</v>
      </c>
      <c r="L136" t="s">
        <v>317</v>
      </c>
      <c r="M136">
        <v>10</v>
      </c>
    </row>
    <row r="137" spans="1:13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219</v>
      </c>
      <c r="K137">
        <v>20</v>
      </c>
      <c r="L137" t="s">
        <v>318</v>
      </c>
      <c r="M137">
        <v>11</v>
      </c>
    </row>
    <row r="138" spans="1:13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219</v>
      </c>
      <c r="K138">
        <v>20</v>
      </c>
      <c r="L138" t="s">
        <v>319</v>
      </c>
      <c r="M138">
        <v>12</v>
      </c>
    </row>
    <row r="139" spans="1:13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219</v>
      </c>
      <c r="K139">
        <v>20</v>
      </c>
      <c r="L139" t="s">
        <v>320</v>
      </c>
      <c r="M139">
        <v>13</v>
      </c>
    </row>
    <row r="140" spans="1:13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219</v>
      </c>
      <c r="K140">
        <v>20</v>
      </c>
      <c r="L140" t="s">
        <v>321</v>
      </c>
      <c r="M140">
        <v>14</v>
      </c>
    </row>
    <row r="141" spans="1:13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219</v>
      </c>
      <c r="K141">
        <v>20</v>
      </c>
      <c r="L141" t="s">
        <v>322</v>
      </c>
      <c r="M141">
        <v>15</v>
      </c>
    </row>
    <row r="142" spans="1:13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219</v>
      </c>
      <c r="K142">
        <v>20</v>
      </c>
      <c r="L142" t="s">
        <v>323</v>
      </c>
      <c r="M142">
        <v>16</v>
      </c>
    </row>
    <row r="143" spans="1:13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219</v>
      </c>
      <c r="K143">
        <v>20</v>
      </c>
      <c r="L143" t="s">
        <v>324</v>
      </c>
      <c r="M143">
        <v>17</v>
      </c>
    </row>
    <row r="144" spans="1:13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219</v>
      </c>
      <c r="K144">
        <v>20</v>
      </c>
      <c r="L144" t="s">
        <v>325</v>
      </c>
      <c r="M144">
        <v>18</v>
      </c>
    </row>
    <row r="145" spans="1:13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219</v>
      </c>
      <c r="K145">
        <v>20</v>
      </c>
      <c r="L145" t="s">
        <v>326</v>
      </c>
      <c r="M145">
        <v>19</v>
      </c>
    </row>
    <row r="146" spans="1:13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219</v>
      </c>
      <c r="K146">
        <v>20</v>
      </c>
      <c r="L146" t="s">
        <v>328</v>
      </c>
      <c r="M146">
        <v>20</v>
      </c>
    </row>
    <row r="147" spans="1:13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219</v>
      </c>
      <c r="K147">
        <v>20</v>
      </c>
      <c r="L147" t="s">
        <v>327</v>
      </c>
      <c r="M147">
        <v>21</v>
      </c>
    </row>
    <row r="148" spans="1:13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219</v>
      </c>
      <c r="K148">
        <v>20</v>
      </c>
      <c r="L148" t="s">
        <v>329</v>
      </c>
      <c r="M148">
        <v>22</v>
      </c>
    </row>
    <row r="149" spans="1:13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219</v>
      </c>
      <c r="K149">
        <v>20</v>
      </c>
      <c r="L149" t="s">
        <v>330</v>
      </c>
      <c r="M149">
        <v>23</v>
      </c>
    </row>
    <row r="150" spans="1:13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219</v>
      </c>
      <c r="K150">
        <v>20</v>
      </c>
      <c r="L150" t="s">
        <v>331</v>
      </c>
      <c r="M150">
        <v>24</v>
      </c>
    </row>
    <row r="151" spans="1:13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219</v>
      </c>
      <c r="K151">
        <v>20</v>
      </c>
      <c r="L151" t="s">
        <v>333</v>
      </c>
      <c r="M151">
        <v>25</v>
      </c>
    </row>
    <row r="152" spans="1:13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219</v>
      </c>
      <c r="K152">
        <v>20</v>
      </c>
      <c r="L152" t="s">
        <v>334</v>
      </c>
      <c r="M152">
        <v>26</v>
      </c>
    </row>
    <row r="153" spans="1:13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219</v>
      </c>
      <c r="K153">
        <v>20</v>
      </c>
      <c r="L153" t="s">
        <v>335</v>
      </c>
      <c r="M153">
        <v>27</v>
      </c>
    </row>
    <row r="154" spans="1:13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219</v>
      </c>
      <c r="K154">
        <v>20</v>
      </c>
      <c r="L154" t="s">
        <v>336</v>
      </c>
      <c r="M154">
        <v>28</v>
      </c>
    </row>
    <row r="155" spans="1:13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219</v>
      </c>
      <c r="K155">
        <v>20</v>
      </c>
      <c r="L155" t="s">
        <v>337</v>
      </c>
      <c r="M155">
        <v>29</v>
      </c>
    </row>
    <row r="156" spans="1:13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219</v>
      </c>
      <c r="K156">
        <v>20</v>
      </c>
      <c r="L156" t="s">
        <v>338</v>
      </c>
      <c r="M156">
        <v>30</v>
      </c>
    </row>
    <row r="157" spans="1:13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219</v>
      </c>
      <c r="K157">
        <v>20</v>
      </c>
      <c r="L157" t="s">
        <v>339</v>
      </c>
      <c r="M157">
        <v>31</v>
      </c>
    </row>
    <row r="158" spans="1:13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219</v>
      </c>
      <c r="K158">
        <v>20</v>
      </c>
      <c r="L158" t="s">
        <v>340</v>
      </c>
      <c r="M158">
        <v>32</v>
      </c>
    </row>
    <row r="159" spans="1:13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219</v>
      </c>
      <c r="K159">
        <v>20</v>
      </c>
      <c r="L159" t="s">
        <v>332</v>
      </c>
      <c r="M159">
        <v>33</v>
      </c>
    </row>
    <row r="160" spans="1:13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220</v>
      </c>
      <c r="K160">
        <v>2</v>
      </c>
      <c r="L160" t="s">
        <v>203</v>
      </c>
      <c r="M160">
        <v>1</v>
      </c>
    </row>
    <row r="161" spans="1:13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220</v>
      </c>
      <c r="K161">
        <v>2</v>
      </c>
      <c r="L161" t="s">
        <v>341</v>
      </c>
      <c r="M161">
        <v>2</v>
      </c>
    </row>
    <row r="162" spans="1:13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220</v>
      </c>
      <c r="K162">
        <v>2</v>
      </c>
      <c r="L162" t="s">
        <v>342</v>
      </c>
      <c r="M162">
        <v>3</v>
      </c>
    </row>
    <row r="163" spans="1:13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220</v>
      </c>
      <c r="K163">
        <v>3</v>
      </c>
      <c r="L163" t="s">
        <v>343</v>
      </c>
      <c r="M163">
        <v>1</v>
      </c>
    </row>
    <row r="164" spans="1:13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220</v>
      </c>
      <c r="K164">
        <v>3</v>
      </c>
      <c r="L164" t="s">
        <v>235</v>
      </c>
      <c r="M164">
        <v>2</v>
      </c>
    </row>
    <row r="165" spans="1:13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220</v>
      </c>
      <c r="K165">
        <v>7</v>
      </c>
      <c r="L165" t="s">
        <v>343</v>
      </c>
      <c r="M165">
        <v>1</v>
      </c>
    </row>
    <row r="166" spans="1:13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220</v>
      </c>
      <c r="K166">
        <v>7</v>
      </c>
      <c r="L166" t="s">
        <v>235</v>
      </c>
      <c r="M166">
        <v>2</v>
      </c>
    </row>
    <row r="167" spans="1:13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220</v>
      </c>
      <c r="K167">
        <v>10</v>
      </c>
      <c r="L167" t="s">
        <v>344</v>
      </c>
      <c r="M167">
        <v>1</v>
      </c>
    </row>
    <row r="168" spans="1:13">
      <c r="A168" t="s">
        <v>220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220</v>
      </c>
      <c r="K168">
        <v>10</v>
      </c>
      <c r="L168" t="s">
        <v>346</v>
      </c>
      <c r="M168">
        <v>2</v>
      </c>
    </row>
    <row r="169" spans="1:13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220</v>
      </c>
      <c r="K169">
        <v>10</v>
      </c>
      <c r="L169" t="s">
        <v>347</v>
      </c>
      <c r="M169">
        <v>3</v>
      </c>
    </row>
    <row r="170" spans="1:13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220</v>
      </c>
      <c r="K170">
        <v>10</v>
      </c>
      <c r="L170" t="s">
        <v>345</v>
      </c>
      <c r="M170">
        <v>4</v>
      </c>
    </row>
    <row r="171" spans="1:13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220</v>
      </c>
      <c r="K171">
        <v>10</v>
      </c>
      <c r="L171" t="s">
        <v>349</v>
      </c>
      <c r="M171">
        <v>5</v>
      </c>
    </row>
    <row r="172" spans="1:13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220</v>
      </c>
      <c r="K172">
        <v>10</v>
      </c>
      <c r="L172" t="s">
        <v>348</v>
      </c>
      <c r="M172">
        <v>6</v>
      </c>
    </row>
    <row r="173" spans="1:13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220</v>
      </c>
      <c r="K173">
        <v>10</v>
      </c>
      <c r="L173" t="s">
        <v>350</v>
      </c>
      <c r="M173">
        <v>7</v>
      </c>
    </row>
    <row r="174" spans="1:13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220</v>
      </c>
      <c r="K174">
        <v>10</v>
      </c>
      <c r="L174" t="s">
        <v>351</v>
      </c>
      <c r="M174">
        <v>8</v>
      </c>
    </row>
    <row r="175" spans="1:13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220</v>
      </c>
      <c r="K175">
        <v>10</v>
      </c>
      <c r="L175" t="s">
        <v>352</v>
      </c>
      <c r="M175">
        <v>9</v>
      </c>
    </row>
    <row r="176" spans="1:13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220</v>
      </c>
      <c r="K176">
        <v>10</v>
      </c>
      <c r="L176" t="s">
        <v>353</v>
      </c>
      <c r="M176">
        <v>10</v>
      </c>
    </row>
    <row r="177" spans="1:13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220</v>
      </c>
      <c r="K177">
        <v>10</v>
      </c>
      <c r="L177" t="s">
        <v>354</v>
      </c>
      <c r="M177">
        <v>11</v>
      </c>
    </row>
    <row r="178" spans="1:13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220</v>
      </c>
      <c r="K178">
        <v>10</v>
      </c>
      <c r="L178" t="s">
        <v>355</v>
      </c>
      <c r="M178">
        <v>12</v>
      </c>
    </row>
    <row r="179" spans="1:13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220</v>
      </c>
      <c r="K179">
        <v>10</v>
      </c>
      <c r="L179" t="s">
        <v>356</v>
      </c>
      <c r="M179">
        <v>13</v>
      </c>
    </row>
    <row r="180" spans="1:13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220</v>
      </c>
      <c r="K180">
        <v>10</v>
      </c>
      <c r="L180" t="s">
        <v>357</v>
      </c>
      <c r="M180">
        <v>14</v>
      </c>
    </row>
    <row r="181" spans="1:13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220</v>
      </c>
      <c r="K181">
        <v>10</v>
      </c>
      <c r="L181" t="s">
        <v>358</v>
      </c>
      <c r="M181">
        <v>15</v>
      </c>
    </row>
    <row r="182" spans="1:13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220</v>
      </c>
      <c r="K182">
        <v>10</v>
      </c>
      <c r="L182" t="s">
        <v>359</v>
      </c>
      <c r="M182">
        <v>16</v>
      </c>
    </row>
    <row r="183" spans="1:13">
      <c r="A183" t="s">
        <v>220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220</v>
      </c>
      <c r="K183">
        <v>10</v>
      </c>
      <c r="L183" t="s">
        <v>360</v>
      </c>
      <c r="M183">
        <v>17</v>
      </c>
    </row>
    <row r="184" spans="1:13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220</v>
      </c>
      <c r="K184">
        <v>10</v>
      </c>
      <c r="L184" t="s">
        <v>361</v>
      </c>
      <c r="M184">
        <v>18</v>
      </c>
    </row>
    <row r="185" spans="1:13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220</v>
      </c>
      <c r="K185">
        <v>10</v>
      </c>
      <c r="L185" t="s">
        <v>362</v>
      </c>
      <c r="M185">
        <v>19</v>
      </c>
    </row>
    <row r="186" spans="1:13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220</v>
      </c>
      <c r="K186">
        <v>10</v>
      </c>
      <c r="L186" t="s">
        <v>363</v>
      </c>
      <c r="M186">
        <v>20</v>
      </c>
    </row>
    <row r="187" spans="1:13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220</v>
      </c>
      <c r="K187">
        <v>10</v>
      </c>
      <c r="L187" t="s">
        <v>364</v>
      </c>
      <c r="M187">
        <v>21</v>
      </c>
    </row>
    <row r="188" spans="1:13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220</v>
      </c>
      <c r="K188">
        <v>10</v>
      </c>
      <c r="L188" t="s">
        <v>365</v>
      </c>
      <c r="M188">
        <v>22</v>
      </c>
    </row>
    <row r="189" spans="1:13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220</v>
      </c>
      <c r="K189">
        <v>10</v>
      </c>
      <c r="L189" t="s">
        <v>366</v>
      </c>
      <c r="M189">
        <v>23</v>
      </c>
    </row>
    <row r="190" spans="1:13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220</v>
      </c>
      <c r="K190">
        <v>10</v>
      </c>
      <c r="L190" t="s">
        <v>367</v>
      </c>
      <c r="M190">
        <v>24</v>
      </c>
    </row>
    <row r="191" spans="1:13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220</v>
      </c>
      <c r="K191">
        <v>10</v>
      </c>
      <c r="L191" t="s">
        <v>368</v>
      </c>
      <c r="M191">
        <v>25</v>
      </c>
    </row>
    <row r="192" spans="1:13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220</v>
      </c>
      <c r="K192">
        <v>10</v>
      </c>
      <c r="L192" t="s">
        <v>369</v>
      </c>
      <c r="M192">
        <v>26</v>
      </c>
    </row>
    <row r="193" spans="1:13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220</v>
      </c>
      <c r="K193">
        <v>10</v>
      </c>
      <c r="L193" t="s">
        <v>370</v>
      </c>
      <c r="M193">
        <v>27</v>
      </c>
    </row>
    <row r="194" spans="1:13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220</v>
      </c>
      <c r="K194">
        <v>10</v>
      </c>
      <c r="L194" t="s">
        <v>372</v>
      </c>
      <c r="M194">
        <v>28</v>
      </c>
    </row>
    <row r="195" spans="1:13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220</v>
      </c>
      <c r="K195">
        <v>10</v>
      </c>
      <c r="L195" t="s">
        <v>371</v>
      </c>
      <c r="M195">
        <v>29</v>
      </c>
    </row>
    <row r="196" spans="1:13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220</v>
      </c>
      <c r="K196">
        <v>10</v>
      </c>
      <c r="L196" t="s">
        <v>373</v>
      </c>
      <c r="M196">
        <v>30</v>
      </c>
    </row>
    <row r="197" spans="1:13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220</v>
      </c>
      <c r="K197">
        <v>10</v>
      </c>
      <c r="L197" t="s">
        <v>374</v>
      </c>
      <c r="M197">
        <v>31</v>
      </c>
    </row>
    <row r="198" spans="1:13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220</v>
      </c>
      <c r="K198">
        <v>10</v>
      </c>
      <c r="L198" t="s">
        <v>375</v>
      </c>
      <c r="M198">
        <v>32</v>
      </c>
    </row>
    <row r="199" spans="1:13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220</v>
      </c>
      <c r="K199">
        <v>11</v>
      </c>
      <c r="L199" t="s">
        <v>2</v>
      </c>
      <c r="M199">
        <v>1</v>
      </c>
    </row>
    <row r="200" spans="1:13">
      <c r="A200" t="s">
        <v>220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220</v>
      </c>
      <c r="K200">
        <v>11</v>
      </c>
      <c r="L200" t="s">
        <v>376</v>
      </c>
      <c r="M200">
        <v>2</v>
      </c>
    </row>
    <row r="201" spans="1:13">
      <c r="A201" t="s">
        <v>220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220</v>
      </c>
      <c r="K201">
        <v>11</v>
      </c>
      <c r="L201" t="s">
        <v>377</v>
      </c>
      <c r="M201">
        <v>3</v>
      </c>
    </row>
    <row r="202" spans="1:13">
      <c r="A202" t="s">
        <v>220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220</v>
      </c>
      <c r="K202">
        <v>11</v>
      </c>
      <c r="L202" t="s">
        <v>378</v>
      </c>
      <c r="M202">
        <v>4</v>
      </c>
    </row>
    <row r="203" spans="1:13">
      <c r="A203" t="s">
        <v>220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220</v>
      </c>
      <c r="K203">
        <v>11</v>
      </c>
      <c r="L203" t="s">
        <v>379</v>
      </c>
      <c r="M203">
        <v>5</v>
      </c>
    </row>
    <row r="204" spans="1:13">
      <c r="A204" t="s">
        <v>220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220</v>
      </c>
      <c r="K204">
        <v>11</v>
      </c>
      <c r="L204" t="s">
        <v>380</v>
      </c>
      <c r="M204">
        <v>6</v>
      </c>
    </row>
    <row r="205" spans="1:13">
      <c r="A205" t="s">
        <v>220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220</v>
      </c>
      <c r="K205">
        <v>11</v>
      </c>
      <c r="L205" t="s">
        <v>382</v>
      </c>
      <c r="M205">
        <v>7</v>
      </c>
    </row>
    <row r="206" spans="1:13">
      <c r="A206" t="s">
        <v>220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220</v>
      </c>
      <c r="K206">
        <v>11</v>
      </c>
      <c r="L206" t="s">
        <v>381</v>
      </c>
      <c r="M206">
        <v>8</v>
      </c>
    </row>
    <row r="207" spans="1:13">
      <c r="A207" t="s">
        <v>220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220</v>
      </c>
      <c r="K207">
        <v>11</v>
      </c>
      <c r="L207" t="s">
        <v>383</v>
      </c>
      <c r="M207">
        <v>9</v>
      </c>
    </row>
    <row r="208" spans="1:13">
      <c r="A208" t="s">
        <v>220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220</v>
      </c>
      <c r="K208">
        <v>11</v>
      </c>
      <c r="L208" t="s">
        <v>384</v>
      </c>
      <c r="M208">
        <v>10</v>
      </c>
    </row>
    <row r="209" spans="1:13">
      <c r="A209" t="s">
        <v>220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220</v>
      </c>
      <c r="K209">
        <v>11</v>
      </c>
      <c r="L209" t="s">
        <v>385</v>
      </c>
      <c r="M209">
        <v>11</v>
      </c>
    </row>
    <row r="210" spans="1:13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220</v>
      </c>
      <c r="K210">
        <v>11</v>
      </c>
      <c r="L210" t="s">
        <v>386</v>
      </c>
      <c r="M210">
        <v>12</v>
      </c>
    </row>
    <row r="211" spans="1:13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220</v>
      </c>
      <c r="K211">
        <v>11</v>
      </c>
      <c r="L211" t="s">
        <v>387</v>
      </c>
      <c r="M211">
        <v>13</v>
      </c>
    </row>
    <row r="212" spans="1:13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220</v>
      </c>
      <c r="K212">
        <v>12</v>
      </c>
      <c r="L212" t="s">
        <v>2</v>
      </c>
      <c r="M212">
        <v>1</v>
      </c>
    </row>
    <row r="213" spans="1:13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220</v>
      </c>
      <c r="K213">
        <v>12</v>
      </c>
      <c r="L213" t="s">
        <v>388</v>
      </c>
      <c r="M213">
        <v>2</v>
      </c>
    </row>
    <row r="214" spans="1:13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220</v>
      </c>
      <c r="K214">
        <v>12</v>
      </c>
      <c r="L214" t="s">
        <v>389</v>
      </c>
      <c r="M214">
        <v>3</v>
      </c>
    </row>
    <row r="215" spans="1:13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220</v>
      </c>
      <c r="K215">
        <v>12</v>
      </c>
      <c r="L215" t="s">
        <v>390</v>
      </c>
      <c r="M215">
        <v>4</v>
      </c>
    </row>
    <row r="216" spans="1:13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220</v>
      </c>
      <c r="K216">
        <v>12</v>
      </c>
      <c r="L216" t="s">
        <v>391</v>
      </c>
      <c r="M216">
        <v>5</v>
      </c>
    </row>
    <row r="217" spans="1:13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220</v>
      </c>
      <c r="K217">
        <v>12</v>
      </c>
      <c r="L217" t="s">
        <v>392</v>
      </c>
      <c r="M217">
        <v>6</v>
      </c>
    </row>
    <row r="218" spans="1:13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220</v>
      </c>
      <c r="K218">
        <v>12</v>
      </c>
      <c r="L218" t="s">
        <v>393</v>
      </c>
      <c r="M218">
        <v>7</v>
      </c>
    </row>
    <row r="219" spans="1:13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220</v>
      </c>
      <c r="K219">
        <v>12</v>
      </c>
      <c r="L219" t="s">
        <v>394</v>
      </c>
      <c r="M219">
        <v>8</v>
      </c>
    </row>
    <row r="220" spans="1:13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220</v>
      </c>
      <c r="K220">
        <v>12</v>
      </c>
      <c r="L220" t="s">
        <v>395</v>
      </c>
      <c r="M220">
        <v>9</v>
      </c>
    </row>
    <row r="221" spans="1:13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220</v>
      </c>
      <c r="K221">
        <v>12</v>
      </c>
      <c r="L221" t="s">
        <v>396</v>
      </c>
      <c r="M221">
        <v>10</v>
      </c>
    </row>
    <row r="222" spans="1:13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220</v>
      </c>
      <c r="K222">
        <v>12</v>
      </c>
      <c r="L222" t="s">
        <v>398</v>
      </c>
      <c r="M222">
        <v>11</v>
      </c>
    </row>
    <row r="223" spans="1:13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220</v>
      </c>
      <c r="K223">
        <v>12</v>
      </c>
      <c r="L223" t="s">
        <v>397</v>
      </c>
      <c r="M223">
        <v>12</v>
      </c>
    </row>
    <row r="224" spans="1:13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220</v>
      </c>
      <c r="K224">
        <v>12</v>
      </c>
      <c r="L224" t="s">
        <v>399</v>
      </c>
      <c r="M224">
        <v>13</v>
      </c>
    </row>
    <row r="225" spans="1:13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220</v>
      </c>
      <c r="K225">
        <v>12</v>
      </c>
      <c r="L225" t="s">
        <v>401</v>
      </c>
      <c r="M225">
        <v>14</v>
      </c>
    </row>
    <row r="226" spans="1:13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220</v>
      </c>
      <c r="K226">
        <v>12</v>
      </c>
      <c r="L226" t="s">
        <v>400</v>
      </c>
      <c r="M226">
        <v>15</v>
      </c>
    </row>
    <row r="227" spans="1:13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220</v>
      </c>
      <c r="K227">
        <v>12</v>
      </c>
      <c r="L227" t="s">
        <v>402</v>
      </c>
      <c r="M227">
        <v>16</v>
      </c>
    </row>
    <row r="228" spans="1:13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220</v>
      </c>
      <c r="K228">
        <v>12</v>
      </c>
      <c r="L228" t="s">
        <v>403</v>
      </c>
      <c r="M228">
        <v>17</v>
      </c>
    </row>
    <row r="229" spans="1:13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221</v>
      </c>
      <c r="K229">
        <v>1</v>
      </c>
      <c r="L229" t="s">
        <v>404</v>
      </c>
      <c r="M229">
        <v>1</v>
      </c>
    </row>
    <row r="230" spans="1:13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221</v>
      </c>
      <c r="K230">
        <v>1</v>
      </c>
      <c r="L230" t="s">
        <v>405</v>
      </c>
      <c r="M230">
        <v>2</v>
      </c>
    </row>
    <row r="231" spans="1:13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221</v>
      </c>
      <c r="K231">
        <v>1</v>
      </c>
      <c r="L231" t="s">
        <v>406</v>
      </c>
      <c r="M231">
        <v>3</v>
      </c>
    </row>
    <row r="232" spans="1:13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221</v>
      </c>
      <c r="K232">
        <v>1</v>
      </c>
      <c r="L232" t="s">
        <v>407</v>
      </c>
      <c r="M232">
        <v>4</v>
      </c>
    </row>
    <row r="233" spans="1:13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221</v>
      </c>
      <c r="K233">
        <v>1</v>
      </c>
      <c r="L233" t="s">
        <v>408</v>
      </c>
      <c r="M233">
        <v>5</v>
      </c>
    </row>
    <row r="234" spans="1:13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221</v>
      </c>
      <c r="K234">
        <v>1</v>
      </c>
      <c r="L234" t="s">
        <v>409</v>
      </c>
      <c r="M234">
        <v>6</v>
      </c>
    </row>
    <row r="235" spans="1:13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221</v>
      </c>
      <c r="K235">
        <v>1</v>
      </c>
      <c r="L235" t="s">
        <v>410</v>
      </c>
      <c r="M235">
        <v>7</v>
      </c>
    </row>
    <row r="236" spans="1:13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222</v>
      </c>
      <c r="K236">
        <v>1</v>
      </c>
      <c r="L236" t="s">
        <v>411</v>
      </c>
      <c r="M236">
        <v>1</v>
      </c>
    </row>
    <row r="237" spans="1:13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222</v>
      </c>
      <c r="K237">
        <v>1</v>
      </c>
      <c r="L237" t="s">
        <v>412</v>
      </c>
      <c r="M237">
        <v>2</v>
      </c>
    </row>
    <row r="238" spans="1:13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222</v>
      </c>
      <c r="K238">
        <v>1</v>
      </c>
      <c r="L238" t="s">
        <v>413</v>
      </c>
      <c r="M238">
        <v>3</v>
      </c>
    </row>
    <row r="239" spans="1:13">
      <c r="A239" t="s">
        <v>222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222</v>
      </c>
      <c r="K239">
        <v>1</v>
      </c>
      <c r="L239" t="s">
        <v>414</v>
      </c>
      <c r="M239">
        <v>4</v>
      </c>
    </row>
    <row r="240" spans="1:13">
      <c r="A240" t="s">
        <v>222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222</v>
      </c>
      <c r="K240">
        <v>1</v>
      </c>
      <c r="L240" t="s">
        <v>415</v>
      </c>
      <c r="M240">
        <v>5</v>
      </c>
    </row>
    <row r="241" spans="1:13">
      <c r="A241" t="s">
        <v>222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222</v>
      </c>
      <c r="K241">
        <v>1</v>
      </c>
      <c r="L241" t="s">
        <v>416</v>
      </c>
      <c r="M241">
        <v>6</v>
      </c>
    </row>
    <row r="242" spans="1:13">
      <c r="A242" t="s">
        <v>222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222</v>
      </c>
      <c r="K242">
        <v>1</v>
      </c>
      <c r="L242" t="s">
        <v>417</v>
      </c>
      <c r="M242">
        <v>7</v>
      </c>
    </row>
    <row r="243" spans="1:13">
      <c r="A243" t="s">
        <v>222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222</v>
      </c>
      <c r="K243">
        <v>1</v>
      </c>
      <c r="L243" t="s">
        <v>418</v>
      </c>
      <c r="M243">
        <v>8</v>
      </c>
    </row>
    <row r="244" spans="1:13">
      <c r="A244" t="s">
        <v>222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222</v>
      </c>
      <c r="K244">
        <v>1</v>
      </c>
      <c r="L244" t="s">
        <v>419</v>
      </c>
      <c r="M244">
        <v>9</v>
      </c>
    </row>
    <row r="245" spans="1:13">
      <c r="A245" t="s">
        <v>222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222</v>
      </c>
      <c r="K245">
        <v>1</v>
      </c>
      <c r="L245" t="s">
        <v>420</v>
      </c>
      <c r="M245">
        <v>10</v>
      </c>
    </row>
    <row r="246" spans="1:13">
      <c r="A246" t="s">
        <v>222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222</v>
      </c>
      <c r="K246">
        <v>1</v>
      </c>
      <c r="L246" t="s">
        <v>421</v>
      </c>
      <c r="M246">
        <v>11</v>
      </c>
    </row>
    <row r="247" spans="1:13">
      <c r="A247" t="s">
        <v>222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222</v>
      </c>
      <c r="K247">
        <v>1</v>
      </c>
      <c r="L247" t="s">
        <v>422</v>
      </c>
      <c r="M247">
        <v>12</v>
      </c>
    </row>
    <row r="248" spans="1:13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222</v>
      </c>
      <c r="K248">
        <v>1</v>
      </c>
      <c r="L248" t="s">
        <v>424</v>
      </c>
      <c r="M248">
        <v>13</v>
      </c>
    </row>
    <row r="249" spans="1:13">
      <c r="A249" t="s">
        <v>222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222</v>
      </c>
      <c r="K249">
        <v>1</v>
      </c>
      <c r="L249" t="s">
        <v>423</v>
      </c>
      <c r="M249">
        <v>14</v>
      </c>
    </row>
    <row r="250" spans="1:13">
      <c r="A250" t="s">
        <v>222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222</v>
      </c>
      <c r="K250">
        <v>1</v>
      </c>
      <c r="L250" t="s">
        <v>425</v>
      </c>
      <c r="M250">
        <v>15</v>
      </c>
    </row>
    <row r="251" spans="1:13">
      <c r="A251" t="s">
        <v>222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222</v>
      </c>
      <c r="K251">
        <v>1</v>
      </c>
      <c r="L251" t="s">
        <v>426</v>
      </c>
      <c r="M251">
        <v>16</v>
      </c>
    </row>
    <row r="252" spans="1:13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222</v>
      </c>
      <c r="K252">
        <v>3</v>
      </c>
      <c r="L252" t="s">
        <v>427</v>
      </c>
      <c r="M252">
        <v>1</v>
      </c>
    </row>
    <row r="253" spans="1:13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222</v>
      </c>
      <c r="K253">
        <v>3</v>
      </c>
      <c r="L253" t="s">
        <v>428</v>
      </c>
      <c r="M253">
        <v>2</v>
      </c>
    </row>
    <row r="254" spans="1:13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222</v>
      </c>
      <c r="K254">
        <v>3</v>
      </c>
      <c r="L254" t="s">
        <v>429</v>
      </c>
      <c r="M254">
        <v>3</v>
      </c>
    </row>
    <row r="255" spans="1:13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222</v>
      </c>
      <c r="K255">
        <v>4</v>
      </c>
      <c r="L255" t="s">
        <v>430</v>
      </c>
      <c r="M255">
        <v>1</v>
      </c>
    </row>
    <row r="256" spans="1:13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222</v>
      </c>
      <c r="K256">
        <v>4</v>
      </c>
      <c r="L256" t="s">
        <v>431</v>
      </c>
      <c r="M256">
        <v>2</v>
      </c>
    </row>
    <row r="257" spans="1:13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222</v>
      </c>
      <c r="K257">
        <v>4</v>
      </c>
      <c r="L257" t="s">
        <v>432</v>
      </c>
      <c r="M257">
        <v>3</v>
      </c>
    </row>
    <row r="258" spans="1:13">
      <c r="A258" t="s">
        <v>222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222</v>
      </c>
      <c r="K258">
        <v>4</v>
      </c>
      <c r="L258" t="s">
        <v>433</v>
      </c>
      <c r="M258">
        <v>4</v>
      </c>
    </row>
    <row r="259" spans="1:13">
      <c r="A259" t="s">
        <v>222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222</v>
      </c>
      <c r="K259">
        <v>4</v>
      </c>
      <c r="L259" t="s">
        <v>435</v>
      </c>
      <c r="M259">
        <v>5</v>
      </c>
    </row>
    <row r="260" spans="1:13">
      <c r="A260" t="s">
        <v>222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222</v>
      </c>
      <c r="K260">
        <v>4</v>
      </c>
      <c r="L260" t="s">
        <v>434</v>
      </c>
      <c r="M260">
        <v>6</v>
      </c>
    </row>
    <row r="261" spans="1:13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222</v>
      </c>
      <c r="K261">
        <v>4</v>
      </c>
      <c r="L261" t="s">
        <v>436</v>
      </c>
      <c r="M261">
        <v>7</v>
      </c>
    </row>
    <row r="262" spans="1:13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222</v>
      </c>
      <c r="K262">
        <v>4</v>
      </c>
      <c r="L262" t="s">
        <v>437</v>
      </c>
      <c r="M262">
        <v>8</v>
      </c>
    </row>
    <row r="263" spans="1:13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222</v>
      </c>
      <c r="K263">
        <v>4</v>
      </c>
      <c r="L263" t="s">
        <v>438</v>
      </c>
      <c r="M263">
        <v>9</v>
      </c>
    </row>
    <row r="264" spans="1:13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222</v>
      </c>
      <c r="K264">
        <v>6</v>
      </c>
      <c r="L264" t="s">
        <v>440</v>
      </c>
      <c r="M264">
        <v>1</v>
      </c>
    </row>
    <row r="265" spans="1:13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222</v>
      </c>
      <c r="K265">
        <v>6</v>
      </c>
      <c r="L265" t="s">
        <v>439</v>
      </c>
      <c r="M265">
        <v>2</v>
      </c>
    </row>
    <row r="266" spans="1:13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222</v>
      </c>
      <c r="K266">
        <v>7</v>
      </c>
      <c r="L266" t="s">
        <v>203</v>
      </c>
      <c r="M266">
        <v>1</v>
      </c>
    </row>
    <row r="267" spans="1:13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222</v>
      </c>
      <c r="K267">
        <v>7</v>
      </c>
      <c r="L267" t="s">
        <v>179</v>
      </c>
      <c r="M267">
        <v>2</v>
      </c>
    </row>
    <row r="268" spans="1:13">
      <c r="A268" t="s">
        <v>222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222</v>
      </c>
      <c r="K268">
        <v>7</v>
      </c>
      <c r="L268" t="s">
        <v>215</v>
      </c>
      <c r="M268">
        <v>3</v>
      </c>
    </row>
    <row r="269" spans="1:13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222</v>
      </c>
      <c r="K269">
        <v>7</v>
      </c>
      <c r="L269" t="s">
        <v>204</v>
      </c>
      <c r="M269">
        <v>4</v>
      </c>
    </row>
    <row r="270" spans="1:13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222</v>
      </c>
      <c r="K270">
        <v>7</v>
      </c>
      <c r="L270" t="s">
        <v>441</v>
      </c>
      <c r="M270">
        <v>5</v>
      </c>
    </row>
    <row r="271" spans="1:13">
      <c r="A271" t="s">
        <v>222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222</v>
      </c>
      <c r="K271">
        <v>7</v>
      </c>
      <c r="L271" t="s">
        <v>442</v>
      </c>
      <c r="M271">
        <v>6</v>
      </c>
    </row>
    <row r="272" spans="1:13">
      <c r="A272" t="s">
        <v>222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222</v>
      </c>
      <c r="K272">
        <v>7</v>
      </c>
      <c r="L272" t="s">
        <v>443</v>
      </c>
      <c r="M272">
        <v>7</v>
      </c>
    </row>
    <row r="273" spans="1:13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223</v>
      </c>
      <c r="K273">
        <v>3</v>
      </c>
      <c r="L273" t="s">
        <v>2</v>
      </c>
      <c r="M273">
        <v>1</v>
      </c>
    </row>
    <row r="274" spans="1:13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223</v>
      </c>
      <c r="K274">
        <v>3</v>
      </c>
      <c r="L274" t="s">
        <v>444</v>
      </c>
      <c r="M274">
        <v>2</v>
      </c>
    </row>
    <row r="275" spans="1:13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223</v>
      </c>
      <c r="K275">
        <v>3</v>
      </c>
      <c r="L275" t="s">
        <v>445</v>
      </c>
      <c r="M275">
        <v>3</v>
      </c>
    </row>
    <row r="276" spans="1:13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223</v>
      </c>
      <c r="K276">
        <v>7</v>
      </c>
      <c r="L276" t="s">
        <v>235</v>
      </c>
      <c r="M276">
        <v>1</v>
      </c>
    </row>
    <row r="277" spans="1:13">
      <c r="A277" s="9" t="s">
        <v>223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223</v>
      </c>
      <c r="K277">
        <v>7</v>
      </c>
      <c r="L277" t="s">
        <v>236</v>
      </c>
      <c r="M277">
        <v>2</v>
      </c>
    </row>
    <row r="278" spans="1:13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223</v>
      </c>
      <c r="K278">
        <v>7</v>
      </c>
      <c r="L278" t="s">
        <v>446</v>
      </c>
      <c r="M278">
        <v>3</v>
      </c>
    </row>
    <row r="279" spans="1:13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223</v>
      </c>
      <c r="K279">
        <v>7</v>
      </c>
      <c r="L279" t="s">
        <v>447</v>
      </c>
      <c r="M279">
        <v>4</v>
      </c>
    </row>
    <row r="280" spans="1:13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223</v>
      </c>
      <c r="K280">
        <v>7</v>
      </c>
      <c r="L280" t="s">
        <v>448</v>
      </c>
      <c r="M280">
        <v>5</v>
      </c>
    </row>
    <row r="281" spans="1:13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223</v>
      </c>
      <c r="K281">
        <v>7</v>
      </c>
      <c r="L281" t="s">
        <v>449</v>
      </c>
      <c r="M281">
        <v>6</v>
      </c>
    </row>
    <row r="282" spans="1:13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223</v>
      </c>
      <c r="K282">
        <v>8</v>
      </c>
      <c r="L282" t="s">
        <v>2</v>
      </c>
      <c r="M282">
        <v>1</v>
      </c>
    </row>
    <row r="283" spans="1:13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223</v>
      </c>
      <c r="K283">
        <v>8</v>
      </c>
      <c r="L283" t="s">
        <v>233</v>
      </c>
      <c r="M283">
        <v>2</v>
      </c>
    </row>
    <row r="284" spans="1:13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223</v>
      </c>
      <c r="K284">
        <v>8</v>
      </c>
      <c r="L284" t="s">
        <v>234</v>
      </c>
      <c r="M284">
        <v>3</v>
      </c>
    </row>
    <row r="285" spans="1:13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223</v>
      </c>
      <c r="K285">
        <v>8</v>
      </c>
      <c r="L285" t="s">
        <v>450</v>
      </c>
      <c r="M285">
        <v>4</v>
      </c>
    </row>
    <row r="286" spans="1:13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223</v>
      </c>
      <c r="K286">
        <v>8</v>
      </c>
      <c r="L286" t="s">
        <v>451</v>
      </c>
      <c r="M286">
        <v>5</v>
      </c>
    </row>
    <row r="287" spans="1:13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223</v>
      </c>
      <c r="K287">
        <v>8</v>
      </c>
      <c r="L287" t="s">
        <v>452</v>
      </c>
      <c r="M287">
        <v>6</v>
      </c>
    </row>
    <row r="288" spans="1:13">
      <c r="A288" t="s">
        <v>223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223</v>
      </c>
      <c r="K288">
        <v>8</v>
      </c>
      <c r="L288" t="s">
        <v>453</v>
      </c>
      <c r="M288">
        <v>7</v>
      </c>
    </row>
    <row r="289" spans="1:13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223</v>
      </c>
      <c r="K289">
        <v>8</v>
      </c>
      <c r="L289" t="s">
        <v>454</v>
      </c>
      <c r="M289">
        <v>8</v>
      </c>
    </row>
    <row r="290" spans="1:13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223</v>
      </c>
      <c r="K290">
        <v>8</v>
      </c>
      <c r="L290" t="s">
        <v>455</v>
      </c>
      <c r="M290">
        <v>9</v>
      </c>
    </row>
    <row r="291" spans="1:13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223</v>
      </c>
      <c r="K291">
        <v>8</v>
      </c>
      <c r="L291" t="s">
        <v>456</v>
      </c>
      <c r="M291">
        <v>10</v>
      </c>
    </row>
    <row r="292" spans="1:13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223</v>
      </c>
      <c r="K292">
        <v>8</v>
      </c>
      <c r="L292" t="s">
        <v>457</v>
      </c>
      <c r="M292">
        <v>11</v>
      </c>
    </row>
    <row r="293" spans="1:13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223</v>
      </c>
      <c r="K293">
        <v>9</v>
      </c>
      <c r="L293" t="s">
        <v>2</v>
      </c>
      <c r="M293">
        <v>1</v>
      </c>
    </row>
    <row r="294" spans="1:13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223</v>
      </c>
      <c r="K294">
        <v>9</v>
      </c>
      <c r="L294" t="s">
        <v>1</v>
      </c>
      <c r="M294">
        <v>2</v>
      </c>
    </row>
    <row r="295" spans="1:13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223</v>
      </c>
      <c r="K295">
        <v>9</v>
      </c>
      <c r="L295" t="s">
        <v>458</v>
      </c>
      <c r="M295">
        <v>3</v>
      </c>
    </row>
    <row r="296" spans="1:13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223</v>
      </c>
      <c r="K296">
        <v>9</v>
      </c>
      <c r="L296" t="s">
        <v>459</v>
      </c>
      <c r="M296">
        <v>4</v>
      </c>
    </row>
    <row r="297" spans="1:13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223</v>
      </c>
      <c r="K297">
        <v>9</v>
      </c>
      <c r="L297" t="s">
        <v>460</v>
      </c>
      <c r="M297">
        <v>5</v>
      </c>
    </row>
    <row r="298" spans="1:13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223</v>
      </c>
      <c r="K298">
        <v>10</v>
      </c>
      <c r="L298" t="s">
        <v>2</v>
      </c>
      <c r="M298">
        <v>1</v>
      </c>
    </row>
    <row r="299" spans="1:13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223</v>
      </c>
      <c r="K299">
        <v>10</v>
      </c>
      <c r="L299" t="s">
        <v>233</v>
      </c>
      <c r="M299">
        <v>2</v>
      </c>
    </row>
    <row r="300" spans="1:13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223</v>
      </c>
      <c r="K300">
        <v>10</v>
      </c>
      <c r="L300" t="s">
        <v>459</v>
      </c>
      <c r="M300">
        <v>3</v>
      </c>
    </row>
    <row r="301" spans="1:13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223</v>
      </c>
      <c r="K301">
        <v>10</v>
      </c>
      <c r="L301" t="s">
        <v>461</v>
      </c>
      <c r="M301">
        <v>4</v>
      </c>
    </row>
    <row r="302" spans="1:13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223</v>
      </c>
      <c r="K302">
        <v>10</v>
      </c>
      <c r="L302" t="s">
        <v>462</v>
      </c>
      <c r="M302">
        <v>5</v>
      </c>
    </row>
    <row r="303" spans="1:13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223</v>
      </c>
      <c r="K303">
        <v>10</v>
      </c>
      <c r="L303" t="s">
        <v>464</v>
      </c>
      <c r="M303">
        <v>6</v>
      </c>
    </row>
    <row r="304" spans="1:13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223</v>
      </c>
      <c r="K304">
        <v>10</v>
      </c>
      <c r="L304" t="s">
        <v>463</v>
      </c>
      <c r="M304">
        <v>7</v>
      </c>
    </row>
    <row r="305" spans="1:13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223</v>
      </c>
      <c r="K305">
        <v>10</v>
      </c>
      <c r="L305" t="s">
        <v>465</v>
      </c>
      <c r="M305">
        <v>8</v>
      </c>
    </row>
    <row r="306" spans="1:13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223</v>
      </c>
      <c r="K306">
        <v>10</v>
      </c>
      <c r="L306" t="s">
        <v>466</v>
      </c>
      <c r="M306">
        <v>9</v>
      </c>
    </row>
    <row r="307" spans="1:13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223</v>
      </c>
      <c r="K307">
        <v>10</v>
      </c>
      <c r="L307" t="s">
        <v>467</v>
      </c>
      <c r="M307">
        <v>10</v>
      </c>
    </row>
    <row r="308" spans="1:13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223</v>
      </c>
      <c r="K308">
        <v>10</v>
      </c>
      <c r="L308" t="s">
        <v>468</v>
      </c>
      <c r="M308">
        <v>11</v>
      </c>
    </row>
    <row r="309" spans="1:13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223</v>
      </c>
      <c r="K309">
        <v>10</v>
      </c>
      <c r="L309" t="s">
        <v>469</v>
      </c>
      <c r="M309">
        <v>12</v>
      </c>
    </row>
    <row r="310" spans="1:13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223</v>
      </c>
      <c r="K310">
        <v>10</v>
      </c>
      <c r="L310" t="s">
        <v>470</v>
      </c>
      <c r="M310">
        <v>13</v>
      </c>
    </row>
    <row r="311" spans="1:13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223</v>
      </c>
      <c r="K311">
        <v>10</v>
      </c>
      <c r="L311" t="s">
        <v>471</v>
      </c>
      <c r="M311">
        <v>14</v>
      </c>
    </row>
    <row r="312" spans="1:13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223</v>
      </c>
      <c r="K312">
        <v>10</v>
      </c>
      <c r="L312" t="s">
        <v>472</v>
      </c>
      <c r="M312">
        <v>15</v>
      </c>
    </row>
    <row r="313" spans="1:13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223</v>
      </c>
      <c r="K313">
        <v>10</v>
      </c>
      <c r="L313" t="s">
        <v>473</v>
      </c>
      <c r="M313">
        <v>16</v>
      </c>
    </row>
    <row r="314" spans="1:13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223</v>
      </c>
      <c r="K314">
        <v>10</v>
      </c>
      <c r="L314" t="s">
        <v>475</v>
      </c>
      <c r="M314">
        <v>17</v>
      </c>
    </row>
    <row r="315" spans="1:13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223</v>
      </c>
      <c r="K315">
        <v>10</v>
      </c>
      <c r="L315" t="s">
        <v>477</v>
      </c>
      <c r="M315">
        <v>18</v>
      </c>
    </row>
    <row r="316" spans="1:13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223</v>
      </c>
      <c r="K316">
        <v>10</v>
      </c>
      <c r="L316" t="s">
        <v>474</v>
      </c>
      <c r="M316">
        <v>19</v>
      </c>
    </row>
    <row r="317" spans="1:13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223</v>
      </c>
      <c r="K317">
        <v>10</v>
      </c>
      <c r="L317" t="s">
        <v>476</v>
      </c>
      <c r="M317">
        <v>20</v>
      </c>
    </row>
    <row r="318" spans="1:13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223</v>
      </c>
      <c r="K318">
        <v>10</v>
      </c>
      <c r="L318" t="s">
        <v>479</v>
      </c>
      <c r="M318">
        <v>21</v>
      </c>
    </row>
    <row r="319" spans="1:13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223</v>
      </c>
      <c r="K319">
        <v>10</v>
      </c>
      <c r="L319" t="s">
        <v>478</v>
      </c>
      <c r="M319">
        <v>22</v>
      </c>
    </row>
    <row r="320" spans="1:13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223</v>
      </c>
      <c r="K320">
        <v>10</v>
      </c>
      <c r="L320" t="s">
        <v>480</v>
      </c>
      <c r="M320">
        <v>23</v>
      </c>
    </row>
    <row r="321" spans="1:13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223</v>
      </c>
      <c r="K321">
        <v>10</v>
      </c>
      <c r="L321" t="s">
        <v>481</v>
      </c>
      <c r="M321">
        <v>24</v>
      </c>
    </row>
    <row r="322" spans="1:13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223</v>
      </c>
      <c r="K322">
        <v>10</v>
      </c>
      <c r="L322" t="s">
        <v>482</v>
      </c>
      <c r="M322">
        <v>25</v>
      </c>
    </row>
    <row r="323" spans="1:13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223</v>
      </c>
      <c r="K323">
        <v>10</v>
      </c>
      <c r="L323" t="s">
        <v>483</v>
      </c>
      <c r="M323">
        <v>26</v>
      </c>
    </row>
    <row r="324" spans="1:13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223</v>
      </c>
      <c r="K324">
        <v>10</v>
      </c>
      <c r="L324" t="s">
        <v>485</v>
      </c>
      <c r="M324">
        <v>27</v>
      </c>
    </row>
    <row r="325" spans="1:13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223</v>
      </c>
      <c r="K325">
        <v>10</v>
      </c>
      <c r="L325" t="s">
        <v>484</v>
      </c>
      <c r="M325">
        <v>28</v>
      </c>
    </row>
    <row r="326" spans="1:13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223</v>
      </c>
      <c r="K326">
        <v>10</v>
      </c>
      <c r="L326" t="s">
        <v>486</v>
      </c>
      <c r="M326">
        <v>29</v>
      </c>
    </row>
    <row r="327" spans="1:13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223</v>
      </c>
      <c r="K327">
        <v>10</v>
      </c>
      <c r="L327" t="s">
        <v>487</v>
      </c>
      <c r="M327">
        <v>30</v>
      </c>
    </row>
    <row r="328" spans="1:13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223</v>
      </c>
      <c r="K328">
        <v>10</v>
      </c>
      <c r="L328" t="s">
        <v>488</v>
      </c>
      <c r="M328">
        <v>31</v>
      </c>
    </row>
    <row r="329" spans="1:13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223</v>
      </c>
      <c r="K329">
        <v>10</v>
      </c>
      <c r="L329" t="s">
        <v>489</v>
      </c>
      <c r="M329">
        <v>32</v>
      </c>
    </row>
    <row r="330" spans="1:13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224</v>
      </c>
      <c r="K330">
        <v>3</v>
      </c>
      <c r="L330" t="s">
        <v>343</v>
      </c>
      <c r="M330">
        <v>1</v>
      </c>
    </row>
    <row r="331" spans="1:13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224</v>
      </c>
      <c r="K331">
        <v>3</v>
      </c>
      <c r="L331" t="s">
        <v>235</v>
      </c>
      <c r="M331">
        <v>2</v>
      </c>
    </row>
    <row r="332" spans="1:13">
      <c r="A332" t="s">
        <v>225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225</v>
      </c>
      <c r="K332">
        <v>2</v>
      </c>
      <c r="L332" t="s">
        <v>490</v>
      </c>
      <c r="M332">
        <v>1</v>
      </c>
    </row>
    <row r="333" spans="1:13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225</v>
      </c>
      <c r="K333">
        <v>2</v>
      </c>
      <c r="L333" t="s">
        <v>211</v>
      </c>
      <c r="M333">
        <v>2</v>
      </c>
    </row>
    <row r="334" spans="1:13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225</v>
      </c>
      <c r="K334">
        <v>2</v>
      </c>
      <c r="L334" t="s">
        <v>491</v>
      </c>
      <c r="M334">
        <v>3</v>
      </c>
    </row>
    <row r="335" spans="1:13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225</v>
      </c>
      <c r="K335">
        <v>2</v>
      </c>
      <c r="L335" t="s">
        <v>492</v>
      </c>
      <c r="M335">
        <v>4</v>
      </c>
    </row>
    <row r="336" spans="1:13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225</v>
      </c>
      <c r="K336">
        <v>2</v>
      </c>
      <c r="L336" t="s">
        <v>493</v>
      </c>
      <c r="M336">
        <v>5</v>
      </c>
    </row>
    <row r="337" spans="1:13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225</v>
      </c>
      <c r="K337">
        <v>2</v>
      </c>
      <c r="L337" t="s">
        <v>494</v>
      </c>
      <c r="M337">
        <v>6</v>
      </c>
    </row>
    <row r="338" spans="1:13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225</v>
      </c>
      <c r="K338">
        <v>2</v>
      </c>
      <c r="L338" t="s">
        <v>495</v>
      </c>
      <c r="M338">
        <v>7</v>
      </c>
    </row>
    <row r="339" spans="1:13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225</v>
      </c>
      <c r="K339">
        <v>2</v>
      </c>
      <c r="L339" t="s">
        <v>496</v>
      </c>
      <c r="M339">
        <v>8</v>
      </c>
    </row>
    <row r="340" spans="1:13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225</v>
      </c>
      <c r="K340">
        <v>2</v>
      </c>
      <c r="L340" t="s">
        <v>497</v>
      </c>
      <c r="M340">
        <v>9</v>
      </c>
    </row>
    <row r="341" spans="1:13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225</v>
      </c>
      <c r="K341">
        <v>2</v>
      </c>
      <c r="L341" t="s">
        <v>498</v>
      </c>
      <c r="M341">
        <v>10</v>
      </c>
    </row>
    <row r="342" spans="1:13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225</v>
      </c>
      <c r="K342">
        <v>2</v>
      </c>
      <c r="L342" t="s">
        <v>499</v>
      </c>
      <c r="M342">
        <v>11</v>
      </c>
    </row>
    <row r="343" spans="1:13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225</v>
      </c>
      <c r="K343">
        <v>2</v>
      </c>
      <c r="L343" t="s">
        <v>500</v>
      </c>
      <c r="M343">
        <v>12</v>
      </c>
    </row>
    <row r="344" spans="1:13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225</v>
      </c>
      <c r="K344">
        <v>2</v>
      </c>
      <c r="L344" t="s">
        <v>501</v>
      </c>
      <c r="M344">
        <v>13</v>
      </c>
    </row>
    <row r="345" spans="1:13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225</v>
      </c>
      <c r="K345">
        <v>2</v>
      </c>
      <c r="L345" t="s">
        <v>502</v>
      </c>
      <c r="M345">
        <v>14</v>
      </c>
    </row>
    <row r="346" spans="1:13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225</v>
      </c>
      <c r="K346">
        <v>3</v>
      </c>
      <c r="L346" t="s">
        <v>439</v>
      </c>
      <c r="M346">
        <v>1</v>
      </c>
    </row>
    <row r="347" spans="1:13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225</v>
      </c>
      <c r="K347">
        <v>3</v>
      </c>
      <c r="L347" t="s">
        <v>503</v>
      </c>
      <c r="M347">
        <v>2</v>
      </c>
    </row>
    <row r="348" spans="1:13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225</v>
      </c>
      <c r="K348">
        <v>3</v>
      </c>
      <c r="L348" t="s">
        <v>504</v>
      </c>
      <c r="M348">
        <v>3</v>
      </c>
    </row>
    <row r="349" spans="1:13">
      <c r="A349" t="s">
        <v>225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225</v>
      </c>
      <c r="K349">
        <v>3</v>
      </c>
      <c r="L349" t="s">
        <v>505</v>
      </c>
      <c r="M349">
        <v>4</v>
      </c>
    </row>
    <row r="350" spans="1:13">
      <c r="A350" t="s">
        <v>225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225</v>
      </c>
      <c r="K350">
        <v>3</v>
      </c>
      <c r="L350" t="s">
        <v>506</v>
      </c>
      <c r="M350">
        <v>5</v>
      </c>
    </row>
    <row r="351" spans="1:13">
      <c r="A351" t="s">
        <v>225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225</v>
      </c>
      <c r="K351">
        <v>3</v>
      </c>
      <c r="L351" t="s">
        <v>507</v>
      </c>
      <c r="M351">
        <v>6</v>
      </c>
    </row>
    <row r="352" spans="1:13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225</v>
      </c>
      <c r="K352">
        <v>4</v>
      </c>
      <c r="L352" t="s">
        <v>439</v>
      </c>
      <c r="M352">
        <v>1</v>
      </c>
    </row>
    <row r="353" spans="1:13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225</v>
      </c>
      <c r="K353">
        <v>4</v>
      </c>
      <c r="L353" t="s">
        <v>508</v>
      </c>
      <c r="M353">
        <v>2</v>
      </c>
    </row>
    <row r="354" spans="1:13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225</v>
      </c>
      <c r="K354">
        <v>4</v>
      </c>
      <c r="L354" t="s">
        <v>505</v>
      </c>
      <c r="M354">
        <v>3</v>
      </c>
    </row>
    <row r="355" spans="1:13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225</v>
      </c>
      <c r="K355">
        <v>4</v>
      </c>
      <c r="L355" t="s">
        <v>504</v>
      </c>
      <c r="M355">
        <v>4</v>
      </c>
    </row>
    <row r="356" spans="1:13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225</v>
      </c>
      <c r="K356">
        <v>4</v>
      </c>
      <c r="L356" t="s">
        <v>506</v>
      </c>
      <c r="M356">
        <v>5</v>
      </c>
    </row>
    <row r="357" spans="1:13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225</v>
      </c>
      <c r="K357">
        <v>4</v>
      </c>
      <c r="L357" t="s">
        <v>507</v>
      </c>
      <c r="M357">
        <v>6</v>
      </c>
    </row>
    <row r="358" spans="1:13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225</v>
      </c>
      <c r="K358">
        <v>4</v>
      </c>
      <c r="L358" t="s">
        <v>509</v>
      </c>
      <c r="M358">
        <v>7</v>
      </c>
    </row>
    <row r="359" spans="1:13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225</v>
      </c>
      <c r="K359">
        <v>4</v>
      </c>
      <c r="L359" t="s">
        <v>510</v>
      </c>
      <c r="M359">
        <v>8</v>
      </c>
    </row>
    <row r="360" spans="1:13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225</v>
      </c>
      <c r="K360">
        <v>4</v>
      </c>
      <c r="L360" t="s">
        <v>511</v>
      </c>
      <c r="M360">
        <v>9</v>
      </c>
    </row>
    <row r="361" spans="1:13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225</v>
      </c>
      <c r="K361">
        <v>5</v>
      </c>
      <c r="L361" t="s">
        <v>203</v>
      </c>
      <c r="M361">
        <v>1</v>
      </c>
    </row>
    <row r="362" spans="1:13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225</v>
      </c>
      <c r="K362">
        <v>5</v>
      </c>
      <c r="L362" t="s">
        <v>179</v>
      </c>
      <c r="M362">
        <v>2</v>
      </c>
    </row>
    <row r="363" spans="1:13">
      <c r="A363" t="s">
        <v>225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225</v>
      </c>
      <c r="K363">
        <v>5</v>
      </c>
      <c r="L363" t="s">
        <v>215</v>
      </c>
      <c r="M363">
        <v>3</v>
      </c>
    </row>
    <row r="364" spans="1:13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225</v>
      </c>
      <c r="K364">
        <v>5</v>
      </c>
      <c r="L364" t="s">
        <v>204</v>
      </c>
      <c r="M364">
        <v>4</v>
      </c>
    </row>
    <row r="365" spans="1:13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225</v>
      </c>
      <c r="K365">
        <v>5</v>
      </c>
      <c r="L365" t="s">
        <v>443</v>
      </c>
      <c r="M365">
        <v>5</v>
      </c>
    </row>
    <row r="366" spans="1:13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225</v>
      </c>
      <c r="K366">
        <v>5</v>
      </c>
      <c r="L366" t="s">
        <v>512</v>
      </c>
      <c r="M366">
        <v>6</v>
      </c>
    </row>
    <row r="367" spans="1:13">
      <c r="A367" t="s">
        <v>225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225</v>
      </c>
      <c r="K367">
        <v>6</v>
      </c>
      <c r="L367" t="s">
        <v>513</v>
      </c>
      <c r="M367">
        <v>1</v>
      </c>
    </row>
    <row r="368" spans="1:13">
      <c r="A368" t="s">
        <v>225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225</v>
      </c>
      <c r="K368">
        <v>6</v>
      </c>
      <c r="L368" t="s">
        <v>514</v>
      </c>
      <c r="M368">
        <v>2</v>
      </c>
    </row>
    <row r="369" spans="1:13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225</v>
      </c>
      <c r="K369">
        <v>6</v>
      </c>
      <c r="L369" t="s">
        <v>515</v>
      </c>
      <c r="M369">
        <v>3</v>
      </c>
    </row>
    <row r="370" spans="1:13">
      <c r="A370" t="s">
        <v>225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225</v>
      </c>
      <c r="K370">
        <v>6</v>
      </c>
      <c r="L370" t="s">
        <v>520</v>
      </c>
      <c r="M370">
        <v>4</v>
      </c>
    </row>
    <row r="371" spans="1:13">
      <c r="A371" t="s">
        <v>225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225</v>
      </c>
      <c r="K371">
        <v>6</v>
      </c>
      <c r="L371" t="s">
        <v>516</v>
      </c>
      <c r="M371">
        <v>5</v>
      </c>
    </row>
    <row r="372" spans="1:13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225</v>
      </c>
      <c r="K372">
        <v>6</v>
      </c>
      <c r="L372" t="s">
        <v>517</v>
      </c>
      <c r="M372">
        <v>6</v>
      </c>
    </row>
    <row r="373" spans="1:13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225</v>
      </c>
      <c r="K373">
        <v>6</v>
      </c>
      <c r="L373" t="s">
        <v>518</v>
      </c>
      <c r="M373">
        <v>7</v>
      </c>
    </row>
    <row r="374" spans="1:13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225</v>
      </c>
      <c r="K374">
        <v>6</v>
      </c>
      <c r="L374" t="s">
        <v>519</v>
      </c>
      <c r="M374">
        <v>8</v>
      </c>
    </row>
    <row r="375" spans="1:13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225</v>
      </c>
      <c r="K375">
        <v>6</v>
      </c>
      <c r="L375" t="s">
        <v>522</v>
      </c>
      <c r="M375">
        <v>9</v>
      </c>
    </row>
    <row r="376" spans="1:13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225</v>
      </c>
      <c r="K376">
        <v>6</v>
      </c>
      <c r="L376" t="s">
        <v>521</v>
      </c>
      <c r="M376">
        <v>10</v>
      </c>
    </row>
    <row r="377" spans="1:13">
      <c r="A377" t="s">
        <v>225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225</v>
      </c>
      <c r="K377">
        <v>7</v>
      </c>
      <c r="L377" t="s">
        <v>523</v>
      </c>
      <c r="M377">
        <v>1</v>
      </c>
    </row>
    <row r="378" spans="1:13">
      <c r="A378" t="s">
        <v>225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225</v>
      </c>
      <c r="K378">
        <v>7</v>
      </c>
      <c r="L378" t="s">
        <v>524</v>
      </c>
      <c r="M378">
        <v>2</v>
      </c>
    </row>
    <row r="379" spans="1:13">
      <c r="A379" t="s">
        <v>225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225</v>
      </c>
      <c r="K379">
        <v>7</v>
      </c>
      <c r="L379" t="s">
        <v>526</v>
      </c>
      <c r="M379">
        <v>3</v>
      </c>
    </row>
    <row r="380" spans="1:13">
      <c r="A380" t="s">
        <v>225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225</v>
      </c>
      <c r="K380">
        <v>7</v>
      </c>
      <c r="L380" t="s">
        <v>525</v>
      </c>
      <c r="M380">
        <v>4</v>
      </c>
    </row>
    <row r="381" spans="1:13">
      <c r="A381" t="s">
        <v>225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225</v>
      </c>
      <c r="K381">
        <v>7</v>
      </c>
      <c r="L381" t="s">
        <v>527</v>
      </c>
      <c r="M381">
        <v>5</v>
      </c>
    </row>
    <row r="382" spans="1:13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225</v>
      </c>
      <c r="K382">
        <v>7</v>
      </c>
      <c r="L382" t="s">
        <v>528</v>
      </c>
      <c r="M382">
        <v>6</v>
      </c>
    </row>
    <row r="383" spans="1:13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225</v>
      </c>
      <c r="K383">
        <v>7</v>
      </c>
      <c r="L383" t="s">
        <v>529</v>
      </c>
      <c r="M383">
        <v>7</v>
      </c>
    </row>
    <row r="384" spans="1:13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225</v>
      </c>
      <c r="K384">
        <v>7</v>
      </c>
      <c r="L384" t="s">
        <v>530</v>
      </c>
      <c r="M384">
        <v>8</v>
      </c>
    </row>
    <row r="385" spans="1:13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225</v>
      </c>
      <c r="K385">
        <v>7</v>
      </c>
      <c r="L385" t="s">
        <v>531</v>
      </c>
      <c r="M385">
        <v>9</v>
      </c>
    </row>
    <row r="386" spans="1:13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225</v>
      </c>
      <c r="K386">
        <v>7</v>
      </c>
      <c r="L386" t="s">
        <v>532</v>
      </c>
      <c r="M386">
        <v>10</v>
      </c>
    </row>
    <row r="387" spans="1:13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225</v>
      </c>
      <c r="K387">
        <v>8</v>
      </c>
      <c r="L387" t="s">
        <v>439</v>
      </c>
      <c r="M387">
        <v>1</v>
      </c>
    </row>
    <row r="388" spans="1:13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225</v>
      </c>
      <c r="K388">
        <v>8</v>
      </c>
      <c r="L388" t="s">
        <v>533</v>
      </c>
      <c r="M388">
        <v>2</v>
      </c>
    </row>
    <row r="389" spans="1:13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225</v>
      </c>
      <c r="K389">
        <v>8</v>
      </c>
      <c r="L389" t="s">
        <v>505</v>
      </c>
      <c r="M389">
        <v>3</v>
      </c>
    </row>
    <row r="390" spans="1:13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225</v>
      </c>
      <c r="K390">
        <v>8</v>
      </c>
      <c r="L390" t="s">
        <v>534</v>
      </c>
      <c r="M390">
        <v>4</v>
      </c>
    </row>
    <row r="391" spans="1:13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225</v>
      </c>
      <c r="K391">
        <v>8</v>
      </c>
      <c r="L391" t="s">
        <v>535</v>
      </c>
      <c r="M391">
        <v>5</v>
      </c>
    </row>
    <row r="392" spans="1:13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225</v>
      </c>
      <c r="K392">
        <v>8</v>
      </c>
      <c r="L392" t="s">
        <v>536</v>
      </c>
      <c r="M392">
        <v>6</v>
      </c>
    </row>
    <row r="393" spans="1:13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225</v>
      </c>
      <c r="K393">
        <v>9</v>
      </c>
      <c r="L393" t="s">
        <v>439</v>
      </c>
      <c r="M393">
        <v>1</v>
      </c>
    </row>
    <row r="394" spans="1:13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225</v>
      </c>
      <c r="K394">
        <v>9</v>
      </c>
      <c r="L394" t="s">
        <v>537</v>
      </c>
      <c r="M394">
        <v>2</v>
      </c>
    </row>
    <row r="395" spans="1:13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225</v>
      </c>
      <c r="K395">
        <v>9</v>
      </c>
      <c r="L395" t="s">
        <v>505</v>
      </c>
      <c r="M395">
        <v>3</v>
      </c>
    </row>
    <row r="396" spans="1:13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225</v>
      </c>
      <c r="K396">
        <v>9</v>
      </c>
      <c r="L396" t="s">
        <v>534</v>
      </c>
      <c r="M396">
        <v>4</v>
      </c>
    </row>
    <row r="397" spans="1:13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225</v>
      </c>
      <c r="K397">
        <v>9</v>
      </c>
      <c r="L397" t="s">
        <v>535</v>
      </c>
      <c r="M397">
        <v>5</v>
      </c>
    </row>
    <row r="398" spans="1:13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225</v>
      </c>
      <c r="K398">
        <v>9</v>
      </c>
      <c r="L398" t="s">
        <v>536</v>
      </c>
      <c r="M398">
        <v>6</v>
      </c>
    </row>
    <row r="399" spans="1:13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225</v>
      </c>
      <c r="K399">
        <v>9</v>
      </c>
      <c r="L399" t="s">
        <v>538</v>
      </c>
      <c r="M399">
        <v>7</v>
      </c>
    </row>
    <row r="400" spans="1:13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225</v>
      </c>
      <c r="K400">
        <v>9</v>
      </c>
      <c r="L400" t="s">
        <v>539</v>
      </c>
      <c r="M400">
        <v>8</v>
      </c>
    </row>
    <row r="401" spans="1:13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225</v>
      </c>
      <c r="K401">
        <v>9</v>
      </c>
      <c r="L401" t="s">
        <v>540</v>
      </c>
      <c r="M401">
        <v>9</v>
      </c>
    </row>
    <row r="402" spans="1:13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225</v>
      </c>
      <c r="K402">
        <v>11</v>
      </c>
      <c r="L402" t="s">
        <v>2</v>
      </c>
      <c r="M402">
        <v>1</v>
      </c>
    </row>
    <row r="403" spans="1:13">
      <c r="A403" t="s">
        <v>225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225</v>
      </c>
      <c r="K403">
        <v>11</v>
      </c>
      <c r="L403" t="s">
        <v>203</v>
      </c>
      <c r="M403">
        <v>2</v>
      </c>
    </row>
    <row r="404" spans="1:13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225</v>
      </c>
      <c r="K404">
        <v>13</v>
      </c>
      <c r="L404" t="s">
        <v>203</v>
      </c>
      <c r="M404">
        <v>1</v>
      </c>
    </row>
    <row r="405" spans="1:13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225</v>
      </c>
      <c r="K405">
        <v>13</v>
      </c>
      <c r="L405" t="s">
        <v>179</v>
      </c>
      <c r="M405">
        <v>2</v>
      </c>
    </row>
    <row r="406" spans="1:13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225</v>
      </c>
      <c r="K406">
        <v>13</v>
      </c>
      <c r="L406" t="s">
        <v>541</v>
      </c>
      <c r="M406">
        <v>3</v>
      </c>
    </row>
    <row r="407" spans="1:13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225</v>
      </c>
      <c r="K407">
        <v>13</v>
      </c>
      <c r="L407" t="s">
        <v>204</v>
      </c>
      <c r="M407">
        <v>4</v>
      </c>
    </row>
    <row r="408" spans="1:13">
      <c r="A408" s="9" t="s">
        <v>225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225</v>
      </c>
      <c r="K408">
        <v>14</v>
      </c>
      <c r="L408" t="s">
        <v>203</v>
      </c>
      <c r="M408">
        <v>1</v>
      </c>
    </row>
    <row r="409" spans="1:13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225</v>
      </c>
      <c r="K409">
        <v>14</v>
      </c>
      <c r="L409" t="s">
        <v>179</v>
      </c>
      <c r="M409">
        <v>2</v>
      </c>
    </row>
    <row r="410" spans="1:13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225</v>
      </c>
      <c r="K410">
        <v>14</v>
      </c>
      <c r="L410" t="s">
        <v>541</v>
      </c>
      <c r="M410">
        <v>3</v>
      </c>
    </row>
    <row r="411" spans="1:13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225</v>
      </c>
      <c r="K411">
        <v>14</v>
      </c>
      <c r="L411" t="s">
        <v>686</v>
      </c>
      <c r="M411">
        <v>4</v>
      </c>
    </row>
    <row r="412" spans="1:13">
      <c r="A412" t="s">
        <v>225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225</v>
      </c>
      <c r="K412">
        <v>14</v>
      </c>
      <c r="L412" t="s">
        <v>687</v>
      </c>
      <c r="M412">
        <v>5</v>
      </c>
    </row>
    <row r="413" spans="1:13">
      <c r="A413" t="s">
        <v>225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225</v>
      </c>
      <c r="K413">
        <v>14</v>
      </c>
      <c r="L413" t="s">
        <v>688</v>
      </c>
      <c r="M413">
        <v>6</v>
      </c>
    </row>
    <row r="414" spans="1:13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225</v>
      </c>
      <c r="K414">
        <v>14</v>
      </c>
      <c r="L414" t="s">
        <v>689</v>
      </c>
      <c r="M414">
        <v>7</v>
      </c>
    </row>
    <row r="415" spans="1:13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225</v>
      </c>
      <c r="K415">
        <v>14</v>
      </c>
      <c r="L415" t="s">
        <v>690</v>
      </c>
      <c r="M415">
        <v>8</v>
      </c>
    </row>
    <row r="416" spans="1:13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225</v>
      </c>
      <c r="K416">
        <v>14</v>
      </c>
      <c r="L416" t="s">
        <v>691</v>
      </c>
      <c r="M416">
        <v>9</v>
      </c>
    </row>
    <row r="417" spans="1:13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225</v>
      </c>
      <c r="K417">
        <v>14</v>
      </c>
      <c r="L417" t="s">
        <v>692</v>
      </c>
      <c r="M417">
        <v>10</v>
      </c>
    </row>
    <row r="418" spans="1:13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225</v>
      </c>
      <c r="K418">
        <v>14</v>
      </c>
      <c r="L418" t="s">
        <v>693</v>
      </c>
      <c r="M418">
        <v>11</v>
      </c>
    </row>
    <row r="419" spans="1:13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225</v>
      </c>
      <c r="K419">
        <v>15</v>
      </c>
      <c r="L419" t="s">
        <v>203</v>
      </c>
      <c r="M419">
        <v>1</v>
      </c>
    </row>
    <row r="420" spans="1:13">
      <c r="A420" t="s">
        <v>225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225</v>
      </c>
      <c r="K420">
        <v>15</v>
      </c>
      <c r="L420" t="s">
        <v>179</v>
      </c>
      <c r="M420">
        <v>2</v>
      </c>
    </row>
    <row r="421" spans="1:13">
      <c r="A421" t="s">
        <v>225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225</v>
      </c>
      <c r="K421">
        <v>15</v>
      </c>
      <c r="L421" t="s">
        <v>541</v>
      </c>
      <c r="M421">
        <v>3</v>
      </c>
    </row>
    <row r="422" spans="1:13">
      <c r="A422" t="s">
        <v>225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225</v>
      </c>
      <c r="K422">
        <v>15</v>
      </c>
      <c r="L422" t="s">
        <v>204</v>
      </c>
      <c r="M422">
        <v>4</v>
      </c>
    </row>
    <row r="423" spans="1:13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225</v>
      </c>
      <c r="K423">
        <v>16</v>
      </c>
      <c r="L423" t="s">
        <v>203</v>
      </c>
      <c r="M423">
        <v>1</v>
      </c>
    </row>
    <row r="424" spans="1:13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225</v>
      </c>
      <c r="K424">
        <v>16</v>
      </c>
      <c r="L424" t="s">
        <v>179</v>
      </c>
      <c r="M424">
        <v>2</v>
      </c>
    </row>
    <row r="425" spans="1:13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225</v>
      </c>
      <c r="K425">
        <v>16</v>
      </c>
      <c r="L425" t="s">
        <v>541</v>
      </c>
      <c r="M425">
        <v>3</v>
      </c>
    </row>
    <row r="426" spans="1:13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225</v>
      </c>
      <c r="K426">
        <v>16</v>
      </c>
      <c r="L426" t="s">
        <v>204</v>
      </c>
      <c r="M426">
        <v>4</v>
      </c>
    </row>
    <row r="427" spans="1:13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225</v>
      </c>
      <c r="K427">
        <v>20</v>
      </c>
      <c r="L427" t="s">
        <v>203</v>
      </c>
      <c r="M427">
        <v>1</v>
      </c>
    </row>
    <row r="428" spans="1:13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225</v>
      </c>
      <c r="K428">
        <v>20</v>
      </c>
      <c r="L428" t="s">
        <v>2</v>
      </c>
      <c r="M428">
        <v>2</v>
      </c>
    </row>
    <row r="429" spans="1:13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225</v>
      </c>
      <c r="K429">
        <v>21</v>
      </c>
      <c r="L429" t="s">
        <v>2</v>
      </c>
      <c r="M429">
        <v>1</v>
      </c>
    </row>
    <row r="430" spans="1:13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225</v>
      </c>
      <c r="K430">
        <v>21</v>
      </c>
      <c r="L430" t="s">
        <v>203</v>
      </c>
      <c r="M430">
        <v>2</v>
      </c>
    </row>
    <row r="431" spans="1:13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227</v>
      </c>
      <c r="K431">
        <v>0</v>
      </c>
      <c r="L431" t="s">
        <v>2</v>
      </c>
      <c r="M431">
        <v>1</v>
      </c>
    </row>
    <row r="432" spans="1:13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227</v>
      </c>
      <c r="K432">
        <v>0</v>
      </c>
      <c r="L432" t="s">
        <v>0</v>
      </c>
      <c r="M432">
        <v>2</v>
      </c>
    </row>
    <row r="433" spans="1:13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227</v>
      </c>
      <c r="K433">
        <v>0</v>
      </c>
      <c r="L433" t="s">
        <v>233</v>
      </c>
      <c r="M433">
        <v>3</v>
      </c>
    </row>
    <row r="434" spans="1:13">
      <c r="A434" t="s">
        <v>227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227</v>
      </c>
      <c r="K434">
        <v>0</v>
      </c>
      <c r="L434" t="s">
        <v>234</v>
      </c>
      <c r="M434">
        <v>4</v>
      </c>
    </row>
    <row r="435" spans="1:13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227</v>
      </c>
      <c r="K435">
        <v>1</v>
      </c>
      <c r="L435" t="s">
        <v>544</v>
      </c>
      <c r="M435">
        <v>1</v>
      </c>
    </row>
    <row r="436" spans="1:13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227</v>
      </c>
      <c r="K436">
        <v>1</v>
      </c>
      <c r="L436" t="s">
        <v>2</v>
      </c>
      <c r="M436">
        <v>2</v>
      </c>
    </row>
    <row r="437" spans="1:13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227</v>
      </c>
      <c r="K437">
        <v>1</v>
      </c>
      <c r="L437" t="s">
        <v>545</v>
      </c>
      <c r="M437">
        <v>3</v>
      </c>
    </row>
    <row r="438" spans="1:13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227</v>
      </c>
      <c r="K438">
        <v>1</v>
      </c>
      <c r="L438" t="s">
        <v>546</v>
      </c>
      <c r="M438">
        <v>4</v>
      </c>
    </row>
    <row r="439" spans="1:13">
      <c r="A439" s="9" t="s">
        <v>228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228</v>
      </c>
      <c r="K439">
        <v>1</v>
      </c>
      <c r="L439" t="s">
        <v>547</v>
      </c>
      <c r="M439">
        <v>1</v>
      </c>
    </row>
    <row r="440" spans="1:13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228</v>
      </c>
      <c r="K440">
        <v>1</v>
      </c>
      <c r="L440" t="s">
        <v>206</v>
      </c>
      <c r="M440">
        <v>2</v>
      </c>
    </row>
    <row r="441" spans="1:13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228</v>
      </c>
      <c r="K441">
        <v>1</v>
      </c>
      <c r="L441" t="s">
        <v>491</v>
      </c>
      <c r="M441">
        <v>3</v>
      </c>
    </row>
    <row r="442" spans="1:13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228</v>
      </c>
      <c r="K442">
        <v>1</v>
      </c>
      <c r="L442" t="s">
        <v>548</v>
      </c>
      <c r="M442">
        <v>4</v>
      </c>
    </row>
    <row r="443" spans="1:13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228</v>
      </c>
      <c r="K443">
        <v>1</v>
      </c>
      <c r="L443" t="s">
        <v>549</v>
      </c>
      <c r="M443">
        <v>5</v>
      </c>
    </row>
    <row r="444" spans="1:13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228</v>
      </c>
      <c r="K444">
        <v>1</v>
      </c>
      <c r="L444" t="s">
        <v>550</v>
      </c>
      <c r="M444">
        <v>6</v>
      </c>
    </row>
    <row r="445" spans="1:13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228</v>
      </c>
      <c r="K445">
        <v>1</v>
      </c>
      <c r="L445" t="s">
        <v>204</v>
      </c>
      <c r="M445">
        <v>7</v>
      </c>
    </row>
    <row r="446" spans="1:13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228</v>
      </c>
      <c r="K446">
        <v>1</v>
      </c>
      <c r="L446" t="s">
        <v>541</v>
      </c>
      <c r="M446">
        <v>8</v>
      </c>
    </row>
    <row r="447" spans="1:13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230</v>
      </c>
      <c r="K447">
        <v>1</v>
      </c>
      <c r="L447" t="s">
        <v>2</v>
      </c>
      <c r="M447">
        <v>1</v>
      </c>
    </row>
    <row r="448" spans="1:13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230</v>
      </c>
      <c r="K448">
        <v>1</v>
      </c>
      <c r="L448" t="s">
        <v>445</v>
      </c>
      <c r="M448">
        <v>2</v>
      </c>
    </row>
    <row r="449" spans="1:13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230</v>
      </c>
      <c r="K449">
        <v>1</v>
      </c>
      <c r="L449" t="s">
        <v>551</v>
      </c>
      <c r="M449">
        <v>3</v>
      </c>
    </row>
    <row r="450" spans="1:13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230</v>
      </c>
      <c r="K450">
        <v>1</v>
      </c>
      <c r="L450" t="s">
        <v>552</v>
      </c>
      <c r="M450">
        <v>4</v>
      </c>
    </row>
    <row r="451" spans="1:13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230</v>
      </c>
      <c r="K451">
        <v>1</v>
      </c>
      <c r="L451" t="s">
        <v>553</v>
      </c>
      <c r="M451">
        <v>5</v>
      </c>
    </row>
    <row r="452" spans="1:13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231</v>
      </c>
      <c r="K452">
        <v>5</v>
      </c>
      <c r="L452" t="s">
        <v>554</v>
      </c>
      <c r="M452">
        <v>1</v>
      </c>
    </row>
    <row r="453" spans="1:13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231</v>
      </c>
      <c r="K453">
        <v>5</v>
      </c>
      <c r="L453" t="s">
        <v>2</v>
      </c>
      <c r="M453">
        <v>2</v>
      </c>
    </row>
    <row r="454" spans="1:13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231</v>
      </c>
      <c r="K454">
        <v>5</v>
      </c>
      <c r="L454" t="s">
        <v>545</v>
      </c>
      <c r="M454">
        <v>3</v>
      </c>
    </row>
    <row r="455" spans="1:13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231</v>
      </c>
      <c r="K455">
        <v>5</v>
      </c>
      <c r="L455" t="s">
        <v>555</v>
      </c>
      <c r="M455">
        <v>4</v>
      </c>
    </row>
    <row r="456" spans="1:13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231</v>
      </c>
      <c r="K456">
        <v>5</v>
      </c>
      <c r="L456" t="s">
        <v>556</v>
      </c>
      <c r="M456">
        <v>5</v>
      </c>
    </row>
    <row r="457" spans="1:13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231</v>
      </c>
      <c r="K457">
        <v>7</v>
      </c>
      <c r="L457" t="s">
        <v>1</v>
      </c>
      <c r="M457">
        <v>1</v>
      </c>
    </row>
    <row r="458" spans="1:13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231</v>
      </c>
      <c r="K458">
        <v>7</v>
      </c>
      <c r="L458" t="s">
        <v>2</v>
      </c>
      <c r="M458">
        <v>2</v>
      </c>
    </row>
    <row r="459" spans="1:13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231</v>
      </c>
      <c r="K459">
        <v>7</v>
      </c>
      <c r="L459" t="s">
        <v>0</v>
      </c>
      <c r="M459">
        <v>3</v>
      </c>
    </row>
    <row r="460" spans="1:13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231</v>
      </c>
      <c r="K460">
        <v>9</v>
      </c>
      <c r="L460" t="s">
        <v>557</v>
      </c>
      <c r="M460">
        <v>1</v>
      </c>
    </row>
    <row r="461" spans="1:13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231</v>
      </c>
      <c r="K461">
        <v>9</v>
      </c>
      <c r="L461" t="s">
        <v>559</v>
      </c>
      <c r="M461">
        <v>2</v>
      </c>
    </row>
    <row r="462" spans="1:13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231</v>
      </c>
      <c r="K462">
        <v>9</v>
      </c>
      <c r="L462" t="s">
        <v>558</v>
      </c>
      <c r="M462">
        <v>3</v>
      </c>
    </row>
    <row r="463" spans="1:13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231</v>
      </c>
      <c r="K463">
        <v>9</v>
      </c>
      <c r="L463" t="s">
        <v>560</v>
      </c>
      <c r="M463">
        <v>4</v>
      </c>
    </row>
    <row r="464" spans="1:13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231</v>
      </c>
      <c r="K464">
        <v>9</v>
      </c>
      <c r="L464" t="s">
        <v>561</v>
      </c>
      <c r="M464">
        <v>5</v>
      </c>
    </row>
    <row r="465" spans="1:13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231</v>
      </c>
      <c r="K465">
        <v>9</v>
      </c>
      <c r="L465" t="s">
        <v>563</v>
      </c>
      <c r="M465">
        <v>6</v>
      </c>
    </row>
    <row r="466" spans="1:13">
      <c r="A466" t="s">
        <v>231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231</v>
      </c>
      <c r="K466">
        <v>9</v>
      </c>
      <c r="L466" t="s">
        <v>564</v>
      </c>
      <c r="M466">
        <v>7</v>
      </c>
    </row>
    <row r="467" spans="1:13">
      <c r="A467" t="s">
        <v>231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231</v>
      </c>
      <c r="K467">
        <v>9</v>
      </c>
      <c r="L467" t="s">
        <v>205</v>
      </c>
      <c r="M467">
        <v>8</v>
      </c>
    </row>
    <row r="468" spans="1:13">
      <c r="A468" t="s">
        <v>231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231</v>
      </c>
      <c r="K468">
        <v>9</v>
      </c>
      <c r="L468" t="s">
        <v>562</v>
      </c>
      <c r="M468">
        <v>9</v>
      </c>
    </row>
    <row r="469" spans="1:13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231</v>
      </c>
      <c r="K469">
        <v>9</v>
      </c>
      <c r="L469" t="s">
        <v>566</v>
      </c>
      <c r="M469">
        <v>10</v>
      </c>
    </row>
    <row r="470" spans="1:13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231</v>
      </c>
      <c r="K470">
        <v>9</v>
      </c>
      <c r="L470" t="s">
        <v>565</v>
      </c>
      <c r="M470">
        <v>11</v>
      </c>
    </row>
    <row r="471" spans="1:13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231</v>
      </c>
      <c r="K471">
        <v>9</v>
      </c>
      <c r="L471" t="s">
        <v>567</v>
      </c>
      <c r="M471">
        <v>12</v>
      </c>
    </row>
    <row r="472" spans="1:13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231</v>
      </c>
      <c r="K472">
        <v>9</v>
      </c>
      <c r="L472" t="s">
        <v>568</v>
      </c>
      <c r="M472">
        <v>13</v>
      </c>
    </row>
    <row r="473" spans="1:13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231</v>
      </c>
      <c r="K473">
        <v>9</v>
      </c>
      <c r="L473" t="s">
        <v>569</v>
      </c>
      <c r="M473">
        <v>14</v>
      </c>
    </row>
    <row r="474" spans="1:13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231</v>
      </c>
      <c r="K474">
        <v>9</v>
      </c>
      <c r="L474" t="s">
        <v>570</v>
      </c>
      <c r="M474">
        <v>15</v>
      </c>
    </row>
    <row r="475" spans="1:13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231</v>
      </c>
      <c r="K475">
        <v>9</v>
      </c>
      <c r="L475" t="s">
        <v>571</v>
      </c>
      <c r="M475">
        <v>16</v>
      </c>
    </row>
    <row r="476" spans="1:13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231</v>
      </c>
      <c r="K476">
        <v>9</v>
      </c>
      <c r="L476" t="s">
        <v>572</v>
      </c>
      <c r="M476">
        <v>17</v>
      </c>
    </row>
    <row r="477" spans="1:13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231</v>
      </c>
      <c r="K477">
        <v>9</v>
      </c>
      <c r="L477" t="s">
        <v>573</v>
      </c>
      <c r="M477">
        <v>18</v>
      </c>
    </row>
    <row r="478" spans="1:13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231</v>
      </c>
      <c r="K478">
        <v>10</v>
      </c>
      <c r="L478" t="s">
        <v>179</v>
      </c>
      <c r="M478">
        <v>1</v>
      </c>
    </row>
    <row r="479" spans="1:13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231</v>
      </c>
      <c r="K479">
        <v>10</v>
      </c>
      <c r="L479" t="s">
        <v>1</v>
      </c>
      <c r="M479">
        <v>2</v>
      </c>
    </row>
    <row r="480" spans="1:13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231</v>
      </c>
      <c r="K480">
        <v>10</v>
      </c>
      <c r="L480" t="s">
        <v>180</v>
      </c>
      <c r="M480">
        <v>3</v>
      </c>
    </row>
    <row r="481" spans="1:13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231</v>
      </c>
      <c r="K481">
        <v>10</v>
      </c>
      <c r="L481" t="s">
        <v>0</v>
      </c>
      <c r="M481">
        <v>4</v>
      </c>
    </row>
    <row r="482" spans="1:13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231</v>
      </c>
      <c r="K482">
        <v>11</v>
      </c>
      <c r="L482" t="s">
        <v>542</v>
      </c>
      <c r="M482">
        <v>1</v>
      </c>
    </row>
    <row r="483" spans="1:13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231</v>
      </c>
      <c r="K483">
        <v>11</v>
      </c>
      <c r="L483" t="s">
        <v>574</v>
      </c>
      <c r="M483">
        <v>2</v>
      </c>
    </row>
    <row r="484" spans="1:13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231</v>
      </c>
      <c r="K484">
        <v>11</v>
      </c>
      <c r="L484" t="s">
        <v>575</v>
      </c>
      <c r="M484">
        <v>3</v>
      </c>
    </row>
    <row r="485" spans="1:13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231</v>
      </c>
      <c r="K485">
        <v>11</v>
      </c>
      <c r="L485" t="s">
        <v>576</v>
      </c>
      <c r="M485">
        <v>4</v>
      </c>
    </row>
    <row r="486" spans="1:13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231</v>
      </c>
      <c r="K486">
        <v>11</v>
      </c>
      <c r="L486" t="s">
        <v>577</v>
      </c>
      <c r="M486">
        <v>5</v>
      </c>
    </row>
    <row r="487" spans="1:13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231</v>
      </c>
      <c r="K487">
        <v>11</v>
      </c>
      <c r="L487" t="s">
        <v>543</v>
      </c>
      <c r="M487">
        <v>6</v>
      </c>
    </row>
    <row r="488" spans="1:13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231</v>
      </c>
      <c r="K488">
        <v>11</v>
      </c>
      <c r="L488" t="s">
        <v>578</v>
      </c>
      <c r="M488">
        <v>7</v>
      </c>
    </row>
    <row r="489" spans="1:13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231</v>
      </c>
      <c r="K489">
        <v>11</v>
      </c>
      <c r="L489" t="s">
        <v>579</v>
      </c>
      <c r="M489">
        <v>8</v>
      </c>
    </row>
    <row r="490" spans="1:13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231</v>
      </c>
      <c r="K490">
        <v>11</v>
      </c>
      <c r="L490" t="s">
        <v>580</v>
      </c>
      <c r="M490">
        <v>9</v>
      </c>
    </row>
    <row r="491" spans="1:13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231</v>
      </c>
      <c r="K491">
        <v>11</v>
      </c>
      <c r="L491" t="s">
        <v>581</v>
      </c>
      <c r="M491">
        <v>10</v>
      </c>
    </row>
    <row r="492" spans="1:13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231</v>
      </c>
      <c r="K492">
        <v>11</v>
      </c>
      <c r="L492" t="s">
        <v>583</v>
      </c>
      <c r="M492">
        <v>11</v>
      </c>
    </row>
    <row r="493" spans="1:13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231</v>
      </c>
      <c r="K493">
        <v>11</v>
      </c>
      <c r="L493" t="s">
        <v>585</v>
      </c>
      <c r="M493">
        <v>12</v>
      </c>
    </row>
    <row r="494" spans="1:13">
      <c r="A494" t="s">
        <v>231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231</v>
      </c>
      <c r="K494">
        <v>11</v>
      </c>
      <c r="L494" t="s">
        <v>584</v>
      </c>
      <c r="M494">
        <v>13</v>
      </c>
    </row>
    <row r="495" spans="1:13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231</v>
      </c>
      <c r="K495">
        <v>11</v>
      </c>
      <c r="L495" t="s">
        <v>582</v>
      </c>
      <c r="M495">
        <v>14</v>
      </c>
    </row>
    <row r="496" spans="1:13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231</v>
      </c>
      <c r="K496">
        <v>11</v>
      </c>
      <c r="L496" t="s">
        <v>587</v>
      </c>
      <c r="M496">
        <v>15</v>
      </c>
    </row>
    <row r="497" spans="1:13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231</v>
      </c>
      <c r="K497">
        <v>11</v>
      </c>
      <c r="L497" t="s">
        <v>586</v>
      </c>
      <c r="M497">
        <v>16</v>
      </c>
    </row>
    <row r="498" spans="1:13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231</v>
      </c>
      <c r="K498">
        <v>11</v>
      </c>
      <c r="L498" t="s">
        <v>588</v>
      </c>
      <c r="M498">
        <v>17</v>
      </c>
    </row>
    <row r="499" spans="1:13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231</v>
      </c>
      <c r="K499">
        <v>11</v>
      </c>
      <c r="L499" t="s">
        <v>589</v>
      </c>
      <c r="M499">
        <v>18</v>
      </c>
    </row>
    <row r="500" spans="1:13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231</v>
      </c>
      <c r="K500">
        <v>11</v>
      </c>
      <c r="L500" t="s">
        <v>590</v>
      </c>
      <c r="M500">
        <v>19</v>
      </c>
    </row>
    <row r="501" spans="1:13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231</v>
      </c>
      <c r="K501">
        <v>12</v>
      </c>
      <c r="L501" t="s">
        <v>591</v>
      </c>
      <c r="M501">
        <v>1</v>
      </c>
    </row>
    <row r="502" spans="1:13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231</v>
      </c>
      <c r="K502">
        <v>12</v>
      </c>
      <c r="L502" t="s">
        <v>592</v>
      </c>
      <c r="M502">
        <v>2</v>
      </c>
    </row>
    <row r="503" spans="1:13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231</v>
      </c>
      <c r="K503">
        <v>12</v>
      </c>
      <c r="L503" t="s">
        <v>593</v>
      </c>
      <c r="M503">
        <v>3</v>
      </c>
    </row>
    <row r="504" spans="1:13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231</v>
      </c>
      <c r="K504">
        <v>12</v>
      </c>
      <c r="L504" t="s">
        <v>594</v>
      </c>
      <c r="M504">
        <v>4</v>
      </c>
    </row>
    <row r="505" spans="1:13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231</v>
      </c>
      <c r="K505">
        <v>12</v>
      </c>
      <c r="L505" t="s">
        <v>558</v>
      </c>
      <c r="M505">
        <v>5</v>
      </c>
    </row>
    <row r="506" spans="1:13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231</v>
      </c>
      <c r="K506">
        <v>12</v>
      </c>
      <c r="L506" t="s">
        <v>197</v>
      </c>
      <c r="M506">
        <v>6</v>
      </c>
    </row>
    <row r="507" spans="1:13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231</v>
      </c>
      <c r="K507">
        <v>12</v>
      </c>
      <c r="L507" t="s">
        <v>595</v>
      </c>
      <c r="M507">
        <v>7</v>
      </c>
    </row>
    <row r="508" spans="1:13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231</v>
      </c>
      <c r="K508">
        <v>12</v>
      </c>
      <c r="L508" t="s">
        <v>596</v>
      </c>
      <c r="M508">
        <v>8</v>
      </c>
    </row>
    <row r="509" spans="1:13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231</v>
      </c>
      <c r="K509">
        <v>12</v>
      </c>
      <c r="L509" t="s">
        <v>597</v>
      </c>
      <c r="M509">
        <v>9</v>
      </c>
    </row>
    <row r="510" spans="1:13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231</v>
      </c>
      <c r="K510">
        <v>13</v>
      </c>
      <c r="L510" t="s">
        <v>203</v>
      </c>
      <c r="M510">
        <v>1</v>
      </c>
    </row>
    <row r="511" spans="1:13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231</v>
      </c>
      <c r="K511">
        <v>13</v>
      </c>
      <c r="L511" t="s">
        <v>2</v>
      </c>
      <c r="M511">
        <v>2</v>
      </c>
    </row>
    <row r="512" spans="1:13">
      <c r="A512" t="s">
        <v>598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598</v>
      </c>
      <c r="K512">
        <v>2</v>
      </c>
      <c r="L512" t="s">
        <v>694</v>
      </c>
      <c r="M512">
        <v>1</v>
      </c>
    </row>
    <row r="513" spans="1:13">
      <c r="A513" t="s">
        <v>598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598</v>
      </c>
      <c r="K513">
        <v>2</v>
      </c>
      <c r="L513" t="s">
        <v>235</v>
      </c>
      <c r="M513">
        <v>2</v>
      </c>
    </row>
    <row r="514" spans="1:13">
      <c r="A514" t="s">
        <v>598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598</v>
      </c>
      <c r="K514">
        <v>2</v>
      </c>
      <c r="L514" t="s">
        <v>695</v>
      </c>
      <c r="M514">
        <v>3</v>
      </c>
    </row>
    <row r="515" spans="1:13">
      <c r="A515" t="s">
        <v>598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598</v>
      </c>
      <c r="K515">
        <v>6</v>
      </c>
      <c r="L515" t="s">
        <v>599</v>
      </c>
      <c r="M515">
        <v>1</v>
      </c>
    </row>
    <row r="516" spans="1:13">
      <c r="A516" t="s">
        <v>598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598</v>
      </c>
      <c r="K516">
        <v>6</v>
      </c>
      <c r="L516" t="s">
        <v>236</v>
      </c>
      <c r="M516">
        <v>2</v>
      </c>
    </row>
    <row r="517" spans="1:13">
      <c r="A517" t="s">
        <v>598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598</v>
      </c>
      <c r="K517">
        <v>6</v>
      </c>
      <c r="L517" t="s">
        <v>600</v>
      </c>
      <c r="M517">
        <v>3</v>
      </c>
    </row>
    <row r="518" spans="1:13">
      <c r="A518" t="s">
        <v>598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598</v>
      </c>
      <c r="K518">
        <v>6</v>
      </c>
      <c r="L518" t="s">
        <v>601</v>
      </c>
      <c r="M518">
        <v>4</v>
      </c>
    </row>
    <row r="519" spans="1:13">
      <c r="A519" t="s">
        <v>598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598</v>
      </c>
      <c r="K519">
        <v>6</v>
      </c>
      <c r="L519" t="s">
        <v>446</v>
      </c>
      <c r="M519">
        <v>5</v>
      </c>
    </row>
    <row r="520" spans="1:13">
      <c r="I520" s="4"/>
      <c r="J520" t="s">
        <v>598</v>
      </c>
      <c r="K520">
        <v>6</v>
      </c>
      <c r="L520" t="s">
        <v>602</v>
      </c>
      <c r="M520">
        <v>6</v>
      </c>
    </row>
    <row r="521" spans="1:13">
      <c r="I521" s="4"/>
      <c r="J521" t="s">
        <v>598</v>
      </c>
      <c r="K521">
        <v>8</v>
      </c>
      <c r="L521" t="s">
        <v>203</v>
      </c>
      <c r="M521">
        <v>1</v>
      </c>
    </row>
    <row r="522" spans="1:13">
      <c r="I522" s="4"/>
      <c r="J522" t="s">
        <v>598</v>
      </c>
      <c r="K522">
        <v>8</v>
      </c>
      <c r="L522" t="s">
        <v>2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216</v>
      </c>
      <c r="B1" t="s">
        <v>217</v>
      </c>
      <c r="C1" t="s">
        <v>608</v>
      </c>
      <c r="D1" t="s">
        <v>218</v>
      </c>
      <c r="E1" t="s">
        <v>232</v>
      </c>
      <c r="F1" s="4" t="s">
        <v>603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  <c r="CD1" t="s">
        <v>608</v>
      </c>
      <c r="CE1" t="s">
        <v>608</v>
      </c>
      <c r="CF1" t="s">
        <v>608</v>
      </c>
      <c r="CG1" t="s">
        <v>608</v>
      </c>
      <c r="CH1" t="s">
        <v>608</v>
      </c>
      <c r="CI1" t="s">
        <v>608</v>
      </c>
      <c r="CJ1" t="s">
        <v>608</v>
      </c>
    </row>
    <row r="2" spans="1:88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COUNTA(X2:CJ2)</f>
        <v>65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615</v>
      </c>
      <c r="AJ2" t="s">
        <v>617</v>
      </c>
      <c r="AK2" t="s">
        <v>616</v>
      </c>
      <c r="AL2" t="s">
        <v>684</v>
      </c>
      <c r="AM2" t="s">
        <v>618</v>
      </c>
      <c r="AN2" t="s">
        <v>630</v>
      </c>
      <c r="AO2" t="s">
        <v>631</v>
      </c>
      <c r="AP2" t="s">
        <v>632</v>
      </c>
      <c r="AQ2" t="s">
        <v>633</v>
      </c>
      <c r="AR2" t="s">
        <v>634</v>
      </c>
      <c r="AS2" t="s">
        <v>635</v>
      </c>
      <c r="AT2" t="s">
        <v>636</v>
      </c>
      <c r="AU2" t="s">
        <v>637</v>
      </c>
      <c r="AV2" t="s">
        <v>638</v>
      </c>
      <c r="AW2" t="s">
        <v>639</v>
      </c>
      <c r="AX2" t="s">
        <v>640</v>
      </c>
      <c r="AY2" t="s">
        <v>641</v>
      </c>
      <c r="AZ2" t="s">
        <v>642</v>
      </c>
      <c r="BA2" t="s">
        <v>643</v>
      </c>
      <c r="BB2" t="s">
        <v>644</v>
      </c>
      <c r="BC2" t="s">
        <v>645</v>
      </c>
      <c r="BD2" t="s">
        <v>646</v>
      </c>
      <c r="BE2" t="s">
        <v>647</v>
      </c>
      <c r="BF2" t="s">
        <v>648</v>
      </c>
      <c r="BG2" t="s">
        <v>649</v>
      </c>
      <c r="BH2" t="s">
        <v>650</v>
      </c>
      <c r="BI2" t="s">
        <v>651</v>
      </c>
      <c r="BJ2" t="s">
        <v>652</v>
      </c>
      <c r="BK2" t="s">
        <v>653</v>
      </c>
      <c r="BL2" t="s">
        <v>654</v>
      </c>
      <c r="BM2" t="s">
        <v>655</v>
      </c>
      <c r="BN2" t="s">
        <v>656</v>
      </c>
      <c r="BO2" t="s">
        <v>657</v>
      </c>
      <c r="BP2" t="s">
        <v>658</v>
      </c>
      <c r="BQ2" t="s">
        <v>659</v>
      </c>
      <c r="BR2" t="s">
        <v>660</v>
      </c>
      <c r="BS2" t="s">
        <v>661</v>
      </c>
      <c r="BT2" t="s">
        <v>662</v>
      </c>
      <c r="BU2" t="s">
        <v>663</v>
      </c>
      <c r="BV2" t="s">
        <v>664</v>
      </c>
      <c r="BW2" t="s">
        <v>665</v>
      </c>
      <c r="BX2" t="s">
        <v>666</v>
      </c>
      <c r="BY2" t="s">
        <v>667</v>
      </c>
      <c r="BZ2" t="s">
        <v>668</v>
      </c>
      <c r="CA2" t="s">
        <v>669</v>
      </c>
      <c r="CB2" t="s">
        <v>670</v>
      </c>
      <c r="CC2" t="s">
        <v>671</v>
      </c>
      <c r="CD2" t="s">
        <v>672</v>
      </c>
      <c r="CE2" t="s">
        <v>673</v>
      </c>
      <c r="CF2" t="s">
        <v>674</v>
      </c>
      <c r="CG2" t="s">
        <v>675</v>
      </c>
      <c r="CH2" t="s">
        <v>676</v>
      </c>
      <c r="CI2" t="s">
        <v>677</v>
      </c>
      <c r="CJ2" t="s">
        <v>678</v>
      </c>
    </row>
    <row r="3" spans="1:88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604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604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605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605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606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606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681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681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607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607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682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682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619</v>
      </c>
      <c r="O13" s="4"/>
      <c r="P13" s="4"/>
      <c r="Q13" s="4"/>
      <c r="R13" s="4"/>
      <c r="S13" s="4"/>
      <c r="T13" s="4"/>
      <c r="U13" s="4"/>
    </row>
    <row r="14" spans="1:88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620</v>
      </c>
      <c r="O14" s="4"/>
      <c r="P14" s="4"/>
      <c r="Q14" s="4"/>
      <c r="R14" s="4"/>
      <c r="S14" s="4"/>
      <c r="T14" s="4"/>
      <c r="U14" s="4"/>
    </row>
    <row r="15" spans="1:88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621</v>
      </c>
      <c r="O15" s="4"/>
      <c r="P15" s="4"/>
      <c r="Q15" s="4"/>
      <c r="R15" s="4"/>
      <c r="S15" s="4"/>
      <c r="T15" s="4"/>
      <c r="U15" s="4"/>
    </row>
    <row r="16" spans="1:88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622</v>
      </c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623</v>
      </c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624</v>
      </c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625</v>
      </c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626</v>
      </c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627</v>
      </c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628</v>
      </c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629</v>
      </c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617</v>
      </c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616</v>
      </c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684</v>
      </c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618</v>
      </c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630</v>
      </c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631</v>
      </c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632</v>
      </c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633</v>
      </c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634</v>
      </c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635</v>
      </c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636</v>
      </c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637</v>
      </c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638</v>
      </c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639</v>
      </c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640</v>
      </c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641</v>
      </c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642</v>
      </c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643</v>
      </c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644</v>
      </c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645</v>
      </c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646</v>
      </c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647</v>
      </c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648</v>
      </c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649</v>
      </c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650</v>
      </c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651</v>
      </c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653</v>
      </c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654</v>
      </c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697</v>
      </c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655</v>
      </c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656</v>
      </c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657</v>
      </c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658</v>
      </c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661</v>
      </c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662</v>
      </c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663</v>
      </c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665</v>
      </c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667</v>
      </c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668</v>
      </c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670</v>
      </c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671</v>
      </c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672</v>
      </c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673</v>
      </c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674</v>
      </c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675</v>
      </c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676</v>
      </c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677</v>
      </c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222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229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229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231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231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231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231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231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231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231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231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231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231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231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231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231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231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598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598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598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598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598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598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598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598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598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598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598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598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598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598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598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Compare dom4</vt:lpstr>
      <vt:lpstr>SatUnsatData Full dom4</vt:lpstr>
      <vt:lpstr>Time Data Full dom4</vt:lpstr>
      <vt:lpstr>Prelim data</vt:lpstr>
      <vt:lpstr>cleanedData</vt:lpstr>
      <vt:lpstr>Compare dom9</vt:lpstr>
      <vt:lpstr>Time Data Full dom9</vt:lpstr>
      <vt:lpstr>SatUnsatData Full dom9</vt:lpstr>
      <vt:lpstr>Compare old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2017-02-14T23:23:57Z</dcterms:created>
  <dcterms:modified xsi:type="dcterms:W3CDTF">2017-05-06T18:53:44Z</dcterms:modified>
</cp:coreProperties>
</file>