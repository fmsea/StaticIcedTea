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5260" yWindow="0" windowWidth="25440" windowHeight="14740" tabRatio="500" firstSheet="1" activeTab="5"/>
  </bookViews>
  <sheets>
    <sheet name="Sheet1" sheetId="1" r:id="rId1"/>
    <sheet name="time" sheetId="2" r:id="rId2"/>
    <sheet name="Sheet2" sheetId="3" r:id="rId3"/>
    <sheet name="cleanedData" sheetId="4" r:id="rId4"/>
    <sheet name="TestPathData" sheetId="5" r:id="rId5"/>
    <sheet name="Time Data" sheetId="6" r:id="rId6"/>
    <sheet name="SatUnsatData" sheetId="7" r:id="rId7"/>
    <sheet name="Sheet5" sheetId="8" r:id="rId8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35" i="6" l="1"/>
  <c r="G26" i="6"/>
  <c r="G27" i="6"/>
  <c r="G28" i="6"/>
  <c r="G29" i="6"/>
  <c r="G30" i="6"/>
  <c r="G31" i="6"/>
  <c r="G32" i="6"/>
  <c r="G33" i="6"/>
  <c r="G34" i="6"/>
  <c r="G21" i="6"/>
  <c r="G22" i="6"/>
  <c r="G23" i="6"/>
  <c r="G24" i="6"/>
  <c r="G25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" i="6"/>
  <c r="H3" i="5"/>
  <c r="H4" i="5"/>
  <c r="H5" i="5"/>
  <c r="H2" i="5"/>
  <c r="F3" i="5"/>
  <c r="F4" i="5"/>
  <c r="F5" i="5"/>
  <c r="F2" i="5"/>
  <c r="F108" i="3"/>
  <c r="F109" i="3"/>
  <c r="F107" i="3"/>
  <c r="F75" i="3"/>
  <c r="F106" i="3"/>
  <c r="F7" i="3"/>
  <c r="F8" i="3"/>
  <c r="F10" i="3"/>
  <c r="F11" i="3"/>
  <c r="F12" i="3"/>
  <c r="F15" i="3"/>
  <c r="F17" i="3"/>
  <c r="F18" i="3"/>
  <c r="F19" i="3"/>
  <c r="F21" i="3"/>
  <c r="F22" i="3"/>
  <c r="F24" i="3"/>
  <c r="F27" i="3"/>
  <c r="F30" i="3"/>
  <c r="F31" i="3"/>
  <c r="F32" i="3"/>
  <c r="F33" i="3"/>
  <c r="F35" i="3"/>
  <c r="F38" i="3"/>
  <c r="F40" i="3"/>
  <c r="F43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3" i="3"/>
  <c r="F64" i="3"/>
  <c r="F65" i="3"/>
  <c r="F69" i="3"/>
  <c r="F70" i="3"/>
  <c r="F74" i="3"/>
  <c r="F76" i="3"/>
  <c r="F77" i="3"/>
  <c r="F79" i="3"/>
  <c r="F81" i="3"/>
  <c r="F84" i="3"/>
  <c r="F86" i="3"/>
  <c r="F87" i="3"/>
  <c r="F89" i="3"/>
  <c r="F90" i="3"/>
  <c r="F91" i="3"/>
  <c r="F92" i="3"/>
  <c r="F93" i="3"/>
  <c r="F94" i="3"/>
  <c r="F97" i="3"/>
  <c r="F100" i="3"/>
  <c r="F102" i="3"/>
  <c r="F105" i="3"/>
  <c r="F3" i="3"/>
  <c r="F2" i="3"/>
  <c r="I22" i="2"/>
  <c r="K19" i="2"/>
  <c r="H19" i="2"/>
  <c r="I19" i="2"/>
  <c r="I21" i="2"/>
  <c r="J19" i="2"/>
  <c r="G19" i="2"/>
  <c r="K7" i="2"/>
  <c r="H7" i="2"/>
  <c r="I10" i="2"/>
  <c r="I7" i="2"/>
  <c r="I9" i="2"/>
  <c r="J7" i="2"/>
  <c r="G7" i="2"/>
  <c r="E39" i="2"/>
  <c r="B39" i="2"/>
  <c r="C42" i="2"/>
  <c r="C39" i="2"/>
  <c r="C41" i="2"/>
  <c r="D39" i="2"/>
  <c r="A39" i="2"/>
  <c r="B19" i="2"/>
  <c r="C22" i="2"/>
  <c r="C32" i="2"/>
  <c r="E19" i="2"/>
  <c r="E29" i="2"/>
  <c r="B29" i="2"/>
  <c r="C29" i="2"/>
  <c r="C31" i="2"/>
  <c r="D29" i="2"/>
  <c r="A29" i="2"/>
  <c r="C19" i="2"/>
  <c r="C21" i="2"/>
  <c r="D19" i="2"/>
  <c r="A19" i="2"/>
  <c r="C12" i="2"/>
  <c r="C11" i="2"/>
  <c r="B9" i="2"/>
  <c r="C9" i="2"/>
  <c r="D9" i="2"/>
  <c r="E9" i="2"/>
  <c r="A9" i="2"/>
</calcChain>
</file>

<file path=xl/sharedStrings.xml><?xml version="1.0" encoding="utf-8"?>
<sst xmlns="http://schemas.openxmlformats.org/spreadsheetml/2006/main" count="1286" uniqueCount="486">
  <si>
    <t>Done in 748</t>
  </si>
  <si>
    <t>13 if i1 != 0 goto z9 = 1:&lt;test.OneTcas: int main2(int,int,int,int,int,int,int,int,int,int,int,int)&gt;</t>
  </si>
  <si>
    <t>i1-&gt;(= i1 0)</t>
  </si>
  <si>
    <t>14 z9 = 0:&lt;test.OneTcas: int main2(int,int,int,int,int,int,int,int,int,int,int,int)&gt;</t>
  </si>
  <si>
    <t>z9-&gt;(= z9 0)</t>
  </si>
  <si>
    <t>17 if i2 != 0 goto z10 = 1:&lt;test.OneTcas: int main2(int,int,int,int,int,int,int,int,int,int,int,int)&gt;</t>
  </si>
  <si>
    <t>i2-&gt;(= i2 0)</t>
  </si>
  <si>
    <t>18 z10 = 0:&lt;test.OneTcas: int main2(int,int,int,int,int,int,int,int,int,int,int,int)&gt;</t>
  </si>
  <si>
    <t>z10-&gt;(= z10 0)</t>
  </si>
  <si>
    <t>21 if z9 == 0 goto $z11 = 0:&lt;test.OneTcas: int main2(int,int,int,int,int,int,int,int,int,int,int,int)&gt;</t>
  </si>
  <si>
    <t>z9f-&gt;(= z9 0)</t>
  </si>
  <si>
    <t>26 $z11 = 0:&lt;test.OneTcas: int main2(int,int,int,int,int,int,int,int,int,int,int,int)&gt;</t>
  </si>
  <si>
    <t>$z11-&gt;(= $z11 0)</t>
  </si>
  <si>
    <t>27 z2 = $z11:&lt;test.OneTcas: int main2(int,int,int,int,int,int,int,int,int,int,int,int)&gt;</t>
  </si>
  <si>
    <t>z2-&gt;(= z2 0)</t>
  </si>
  <si>
    <t>28 if i10 != 1 goto $z12 = 0:&lt;test.OneTcas: int main2(int,int,int,int,int,int,int,int,int,int,int,int)&gt;</t>
  </si>
  <si>
    <t>i10-&gt;(= i10 1)</t>
  </si>
  <si>
    <t>i10f-&gt;(or (= i10 (- 1)) (= i10 0) (&gt; i10 1) (&lt; i10 (- 1)))</t>
  </si>
  <si>
    <t>29 $z12 = 1:&lt;test.OneTcas: int main2(int,int,int,int,int,int,int,int,int,int,int,int)&gt;</t>
  </si>
  <si>
    <t>$z12-&gt;(= $z12 1)</t>
  </si>
  <si>
    <t>31 $z12 = 0:&lt;test.OneTcas: int main2(int,int,int,int,int,int,int,int,int,int,int,int)&gt;</t>
  </si>
  <si>
    <t>$z12-&gt;(= $z12 0)</t>
  </si>
  <si>
    <t>32 z0 = $z12:&lt;test.OneTcas: int main2(int,int,int,int,int,int,int,int,int,int,int,int)&gt;</t>
  </si>
  <si>
    <t>z0-&gt;(or (= z0 1) (= z0 0))</t>
  </si>
  <si>
    <t>33 if z10 == 0 goto $z13 = 0:&lt;test.OneTcas: int main2(int,int,int,int,int,int,int,int,int,int,int,int)&gt;</t>
  </si>
  <si>
    <t>z10f-&gt;(= z10 0)</t>
  </si>
  <si>
    <t>37 $z13 = 0:&lt;test.OneTcas: int main2(int,int,int,int,int,int,int,int,int,int,int,int)&gt;</t>
  </si>
  <si>
    <t>$z13-&gt;(= $z13 0)</t>
  </si>
  <si>
    <t>38 z1 = $z13:&lt;test.OneTcas: int main2(int,int,int,int,int,int,int,int,int,int,int,int)&gt;</t>
  </si>
  <si>
    <t>z1-&gt;(= z1 0)</t>
  </si>
  <si>
    <t>39 i35 = 0:&lt;test.OneTcas: int main2(int,int,int,int,int,int,int,int,int,int,int,int)&gt;</t>
  </si>
  <si>
    <t>i35-&gt;(= i35 0)</t>
  </si>
  <si>
    <t>40 if i6 != 0 goto (branch):&lt;test.OneTcas: int main2(int,int,int,int,int,int,int,int,int,int,int,int)&gt;</t>
  </si>
  <si>
    <t>i6-&gt;(= i6 0)</t>
  </si>
  <si>
    <t>i6f-&gt;(or (= i6 (- 1)) (= i6 1) (&gt; i6 1) (&lt; i6 (- 1)))</t>
  </si>
  <si>
    <t>41 i36 = 400:&lt;test.OneTcas: int main2(int,int,int,int,int,int,int,int,int,int,int,int)&gt;</t>
  </si>
  <si>
    <t>i36-&gt;(&gt; i36 1)</t>
  </si>
  <si>
    <t>43 if i6 != 1 goto (branch):&lt;test.OneTcas: int main2(int,int,int,int,int,int,int,int,int,int,int,int)&gt;</t>
  </si>
  <si>
    <t>i6-&gt;(= i6 1)</t>
  </si>
  <si>
    <t>i6f-&gt;(or (= i6 (- 1)) (&gt; i6 1) (&lt; i6 (- 1)))</t>
  </si>
  <si>
    <t>44 i36 = 500:&lt;test.OneTcas: int main2(int,int,int,int,int,int,int,int,int,int,int,int)&gt;</t>
  </si>
  <si>
    <t>46 if i6 != 2 goto i36 = 740:&lt;test.OneTcas: int main2(int,int,int,int,int,int,int,int,int,int,int,int)&gt;</t>
  </si>
  <si>
    <t>i6-&gt;(&gt; i6 1)</t>
  </si>
  <si>
    <t>47 i36 = 640:&lt;test.OneTcas: int main2(int,int,int,int,int,int,int,int,int,int,int,int)&gt;</t>
  </si>
  <si>
    <t>49 i36 = 740:&lt;test.OneTcas: int main2(int,int,int,int,int,int,int,int,int,int,int,int)&gt;</t>
  </si>
  <si>
    <t>50 if i3 &gt;= i5 goto $z14 = 0:&lt;test.OneTcas: int main2(int,int,int,int,int,int,int,int,int,int,int,int)&gt;</t>
  </si>
  <si>
    <t>i3-&gt;(or (= i3 (- 1)) (= i3 1) (= i3 0) (&gt; i3 1) (&lt; i3 (- 1)))</t>
  </si>
  <si>
    <t>i5-&gt;(or (= i5 (- 1)) (= i5 1) (= i5 0) (&gt; i5 1) (&lt; i5 (- 1)))</t>
  </si>
  <si>
    <t>i3f-&gt;(or (= i3 (- 1)) (= i3 1) (= i3 0) (&gt; i3 1) (&lt; i3 (- 1)))</t>
  </si>
  <si>
    <t>i5f-&gt;(or (= i5 (- 1)) (= i5 1) (= i5 0) (&gt; i5 1) (&lt; i5 (- 1)))</t>
  </si>
  <si>
    <t>51 $z14 = 1:&lt;test.OneTcas: int main2(int,int,int,int,int,int,int,int,int,int,int,int)&gt;</t>
  </si>
  <si>
    <t>$z14-&gt;(= $z14 1)</t>
  </si>
  <si>
    <t>53 $z14 = 0:&lt;test.OneTcas: int main2(int,int,int,int,int,int,int,int,int,int,int,int)&gt;</t>
  </si>
  <si>
    <t>$z14-&gt;(= $z14 0)</t>
  </si>
  <si>
    <t>54 z5 = $z14:&lt;test.OneTcas: int main2(int,int,int,int,int,int,int,int,int,int,int,int)&gt;</t>
  </si>
  <si>
    <t>z5-&gt;(or (= z5 1) (= z5 0))</t>
  </si>
  <si>
    <t>55 if i5 &gt;= i3 goto $z15 = 0:&lt;test.OneTcas: int main2(int,int,int,int,int,int,int,int,int,int,int,int)&gt;</t>
  </si>
  <si>
    <t>56 $z15 = 1:&lt;test.OneTcas: int main2(int,int,int,int,int,int,int,int,int,int,int,int)&gt;</t>
  </si>
  <si>
    <t>$z15-&gt;(= $z15 1)</t>
  </si>
  <si>
    <t>58 $z15 = 0:&lt;test.OneTcas: int main2(int,int,int,int,int,int,int,int,int,int,int,int)&gt;</t>
  </si>
  <si>
    <t>$z15-&gt;(= $z15 0)</t>
  </si>
  <si>
    <t>59 z6 = $z15:&lt;test.OneTcas: int main2(int,int,int,int,int,int,int,int,int,int,int,int)&gt;</t>
  </si>
  <si>
    <t>z6-&gt;(or (= z6 1) (= z6 0))</t>
  </si>
  <si>
    <t>60 if z2 == 0 goto return i35:&lt;test.OneTcas: int main2(int,int,int,int,int,int,int,int,int,int,int,int)&gt;</t>
  </si>
  <si>
    <t>z2f-&gt;(= z2 0)</t>
  </si>
  <si>
    <t>Done in 2197</t>
  </si>
  <si>
    <t>i1f-&gt;(or (= i1 (- 1)) (= i1 1) (&gt; i1 1) (&lt; i1 (- 1)))</t>
  </si>
  <si>
    <t>16 z9 = 1:&lt;test.OneTcas: int main2(int,int,int,int,int,int,int,int,int,int,int,int)&gt;</t>
  </si>
  <si>
    <t>z9-&gt;(= z9 1)</t>
  </si>
  <si>
    <t>i2f-&gt;(or (= i2 (- 1)) (= i2 1) (&gt; i2 1) (&lt; i2 (- 1)))</t>
  </si>
  <si>
    <t>20 z10 = 1:&lt;test.OneTcas: int main2(int,int,int,int,int,int,int,int,int,int,int,int)&gt;</t>
  </si>
  <si>
    <t>z10-&gt;(= z10 1)</t>
  </si>
  <si>
    <t>22 if i4 &gt; 600 goto $z11 = 0:&lt;test.OneTcas: int main2(int,int,int,int,int,int,int,int,int,int,int,int)&gt;</t>
  </si>
  <si>
    <t>i4-&gt;(or (= i4 (- 1)) (= i4 1) (= i4 0) (&gt; i4 1) (&lt; i4 (- 1)))</t>
  </si>
  <si>
    <t>i4f-&gt;(&gt; i4 1)</t>
  </si>
  <si>
    <t>23 if i0 &lt;= 600 goto $z11 = 0:&lt;test.OneTcas: int main2(int,int,int,int,int,int,int,int,int,int,int,int)&gt;</t>
  </si>
  <si>
    <t>i0-&gt;(&gt; i0 1)</t>
  </si>
  <si>
    <t>i0f-&gt;(or (= i0 (- 1)) (= i0 1) (= i0 0) (&gt; i0 1) (&lt; i0 (- 1)))</t>
  </si>
  <si>
    <t>24 $z11 = 1:&lt;test.OneTcas: int main2(int,int,int,int,int,int,int,int,int,int,int,int)&gt;</t>
  </si>
  <si>
    <t>$z11-&gt;(= $z11 1)</t>
  </si>
  <si>
    <t>z2-&gt;(or (= z2 1) (= z2 0))</t>
  </si>
  <si>
    <t>34 if i9 != 0 goto $z13 = 0:&lt;test.OneTcas: int main2(int,int,int,int,int,int,int,int,int,int,int,int)&gt;</t>
  </si>
  <si>
    <t>i9-&gt;(= i9 0)</t>
  </si>
  <si>
    <t>i9f-&gt;(or (= i9 (- 1)) (= i9 1) (&gt; i9 1) (&lt; i9 (- 1)))</t>
  </si>
  <si>
    <t>35 $z13 = 1:&lt;test.OneTcas: int main2(int,int,int,int,int,int,int,int,int,int,int,int)&gt;</t>
  </si>
  <si>
    <t>$z13-&gt;(= $z13 1)</t>
  </si>
  <si>
    <t>z1-&gt;(or (= z1 1) (= z1 0))</t>
  </si>
  <si>
    <t>z2-&gt;(= z2 1)</t>
  </si>
  <si>
    <t>61 if z0 == 0 goto (branch):&lt;test.OneTcas: int main2(int,int,int,int,int,int,int,int,int,int,int,int)&gt;</t>
  </si>
  <si>
    <t>z0-&gt;(= z0 1)</t>
  </si>
  <si>
    <t>z0f-&gt;(= z0 0)</t>
  </si>
  <si>
    <t>62 if z1 != 0 goto (branch):&lt;test.OneTcas: int main2(int,int,int,int,int,int,int,int,int,int,int,int)&gt;</t>
  </si>
  <si>
    <t>z1f-&gt;(= z1 1)</t>
  </si>
  <si>
    <t>63 if z0 != 0 goto return i35:&lt;test.OneTcas: int main2(int,int,int,int,int,int,int,int,int,int,int,int)&gt;</t>
  </si>
  <si>
    <t>z0-&gt;(= z0 0)</t>
  </si>
  <si>
    <t>z0f-&gt;(= z0 1)</t>
  </si>
  <si>
    <t>64 if i11 &lt;= 0 goto i37 = i7:&lt;test.OneTcas: int main2(int,int,int,int,int,int,int,int,int,int,int,int)&gt;</t>
  </si>
  <si>
    <t>i11-&gt;(or (= i11 1) (&gt; i11 1))</t>
  </si>
  <si>
    <t>i11f-&gt;(or (= i11 (- 1)) (= i11 0) (&lt; i11 (- 1)))</t>
  </si>
  <si>
    <t>65 i37 = i7 + 100:&lt;test.OneTcas: int main2(int,int,int,int,int,int,int,int,int,int,int,int)&gt;</t>
  </si>
  <si>
    <t>i37-&gt;(or (= i37 (- 1)) (= i37 1) (= i37 0) (&gt; i37 1) (&lt; i37 (- 1)))</t>
  </si>
  <si>
    <t>67 i37 = i7:&lt;test.OneTcas: int main2(int,int,int,int,int,int,int,int,int,int,int,int)&gt;</t>
  </si>
  <si>
    <t>68 if i37 &lt;= i8 goto z16 = 0:&lt;test.OneTcas: int main2(int,int,int,int,int,int,int,int,int,int,int,int)&gt;</t>
  </si>
  <si>
    <t>i8-&gt;(or (= i8 (- 1)) (= i8 1) (= i8 0) (&gt; i8 1) (&lt; i8 (- 1)))</t>
  </si>
  <si>
    <t>i8f-&gt;(or (= i8 (- 1)) (= i8 1) (= i8 0) (&gt; i8 1) (&lt; i8 (- 1)))</t>
  </si>
  <si>
    <t>i37f-&gt;(or (= i37 (- 1)) (= i37 1) (= i37 0) (&gt; i37 1) (&lt; i37 (- 1)))</t>
  </si>
  <si>
    <t>69 z16 = 1:&lt;test.OneTcas: int main2(int,int,int,int,int,int,int,int,int,int,int,int)&gt;</t>
  </si>
  <si>
    <t>z16-&gt;(= z16 1)</t>
  </si>
  <si>
    <t>71 z16 = 0:&lt;test.OneTcas: int main2(int,int,int,int,int,int,int,int,int,int,int,int)&gt;</t>
  </si>
  <si>
    <t>z16-&gt;(= z16 0)</t>
  </si>
  <si>
    <t>72 if z16 == 0 goto (branch):&lt;test.OneTcas: int main2(int,int,int,int,int,int,int,int,int,int,int,int)&gt;</t>
  </si>
  <si>
    <t>z16f-&gt;(= z16 0)</t>
  </si>
  <si>
    <t>73 if z5 == 0 goto $z17 = 1:&lt;test.OneTcas: int main2(int,int,int,int,int,int,int,int,int,int,int,int)&gt;</t>
  </si>
  <si>
    <t>z5-&gt;(= z5 1)</t>
  </si>
  <si>
    <t>z5f-&gt;(= z5 0)</t>
  </si>
  <si>
    <t>74 if z5 == 0 goto $z17 = 0:&lt;test.OneTcas: int main2(int,int,int,int,int,int,int,int,int,int,int,int)&gt;</t>
  </si>
  <si>
    <t>75 if i8 &lt;= i36 goto $z17 = 1:&lt;test.OneTcas: int main2(int,int,int,int,int,int,int,int,int,int,int,int)&gt;</t>
  </si>
  <si>
    <t>i8-&gt;(&gt; i8 1)</t>
  </si>
  <si>
    <t>i36f-&gt;(&gt; i36 1)</t>
  </si>
  <si>
    <t>76 $z17 = 0:&lt;test.OneTcas: int main2(int,int,int,int,int,int,int,int,int,int,int,int)&gt;</t>
  </si>
  <si>
    <t>$z17-&gt;(= $z17 0)</t>
  </si>
  <si>
    <t>78 $z17 = 1:&lt;test.OneTcas: int main2(int,int,int,int,int,int,int,int,int,int,int,int)&gt;</t>
  </si>
  <si>
    <t>$z17-&gt;(= $z17 1)</t>
  </si>
  <si>
    <t>79 z18 = $z17:&lt;test.OneTcas: int main2(int,int,int,int,int,int,int,int,int,int,int,int)&gt;</t>
  </si>
  <si>
    <t>z18-&gt;(or (= z18 1) (= z18 0))</t>
  </si>
  <si>
    <t>81 if z6 == 0 goto $z19 = 0:&lt;test.OneTcas: int main2(int,int,int,int,int,int,int,int,int,int,int,int)&gt;</t>
  </si>
  <si>
    <t>z6-&gt;(= z6 1)</t>
  </si>
  <si>
    <t>z6f-&gt;(= z6 0)</t>
  </si>
  <si>
    <t>82 if i0 &lt; 300 goto $z19 = 0:&lt;test.OneTcas: int main2(int,int,int,int,int,int,int,int,int,int,int,int)&gt;</t>
  </si>
  <si>
    <t>83 if i7 &lt; i36 goto $z19 = 0:&lt;test.OneTcas: int main2(int,int,int,int,int,int,int,int,int,int,int,int)&gt;</t>
  </si>
  <si>
    <t>i7-&gt;(&gt; i7 1)</t>
  </si>
  <si>
    <t>i7f-&gt;(or (= i7 (- 1)) (= i7 1) (= i7 0) (&gt; i7 1) (&lt; i7 (- 1)))</t>
  </si>
  <si>
    <t>84 $z19 = 1:&lt;test.OneTcas: int main2(int,int,int,int,int,int,int,int,int,int,int,int)&gt;</t>
  </si>
  <si>
    <t>$z19-&gt;(= $z19 1)</t>
  </si>
  <si>
    <t>86 $z19 = 0:&lt;test.OneTcas: int main2(int,int,int,int,int,int,int,int,int,int,int,int)&gt;</t>
  </si>
  <si>
    <t>$z19-&gt;(= $z19 0)</t>
  </si>
  <si>
    <t>87 z18 = $z19:&lt;test.OneTcas: int main2(int,int,int,int,int,int,int,int,int,int,int,int)&gt;</t>
  </si>
  <si>
    <t>88 z8 = z18:&lt;test.OneTcas: int main2(int,int,int,int,int,int,int,int,int,int,int,int)&gt;</t>
  </si>
  <si>
    <t>z8-&gt;(or (= z8 1) (= z8 0))</t>
  </si>
  <si>
    <t>89 if i11 &lt;= 0 goto i38 = i7:&lt;test.OneTcas: int main2(int,int,int,int,int,int,int,int,int,int,int,int)&gt;</t>
  </si>
  <si>
    <t>90 i38 = i7 + 100:&lt;test.OneTcas: int main2(int,int,int,int,int,int,int,int,int,int,int,int)&gt;</t>
  </si>
  <si>
    <t>i38-&gt;(or (= i38 (- 1)) (= i38 1) (= i38 0) (&gt; i38 1) (&lt; i38 (- 1)))</t>
  </si>
  <si>
    <t>92 i38 = i7:&lt;test.OneTcas: int main2(int,int,int,int,int,int,int,int,int,int,int,int)&gt;</t>
  </si>
  <si>
    <t>93 if i38 &lt;= i8 goto z20 = 0:&lt;test.OneTcas: int main2(int,int,int,int,int,int,int,int,int,int,int,int)&gt;</t>
  </si>
  <si>
    <t>i38f-&gt;(or (= i38 (- 1)) (= i38 1) (= i38 0) (&gt; i38 1) (&lt; i38 (- 1)))</t>
  </si>
  <si>
    <t>94 z20 = 1:&lt;test.OneTcas: int main2(int,int,int,int,int,int,int,int,int,int,int,int)&gt;</t>
  </si>
  <si>
    <t>z20-&gt;(= z20 1)</t>
  </si>
  <si>
    <t>96 z20 = 0:&lt;test.OneTcas: int main2(int,int,int,int,int,int,int,int,int,int,int,int)&gt;</t>
  </si>
  <si>
    <t>z20-&gt;(= z20 0)</t>
  </si>
  <si>
    <t>97 if z20 == 0 goto (branch):&lt;test.OneTcas: int main2(int,int,int,int,int,int,int,int,int,int,int,int)&gt;</t>
  </si>
  <si>
    <t>z20f-&gt;(= z20 0)</t>
  </si>
  <si>
    <t>98 if z5 == 0 goto $z21 = 0:&lt;test.OneTcas: int main2(int,int,int,int,int,int,int,int,int,int,int,int)&gt;</t>
  </si>
  <si>
    <t>99 if i0 &lt; 300 goto $z21 = 0:&lt;test.OneTcas: int main2(int,int,int,int,int,int,int,int,int,int,int,int)&gt;</t>
  </si>
  <si>
    <t>100 if i8 &lt; i36 goto $z21 = 0:&lt;test.OneTcas: int main2(int,int,int,int,int,int,int,int,int,int,int,int)&gt;</t>
  </si>
  <si>
    <t>101 $z21 = 1:&lt;test.OneTcas: int main2(int,int,int,int,int,int,int,int,int,int,int,int)&gt;</t>
  </si>
  <si>
    <t>$z21-&gt;(= $z21 1)</t>
  </si>
  <si>
    <t>103 $z21 = 0:&lt;test.OneTcas: int main2(int,int,int,int,int,int,int,int,int,int,int,int)&gt;</t>
  </si>
  <si>
    <t>$z21-&gt;(= $z21 0)</t>
  </si>
  <si>
    <t>104 z22 = $z21:&lt;test.OneTcas: int main2(int,int,int,int,int,int,int,int,int,int,int,int)&gt;</t>
  </si>
  <si>
    <t>z22-&gt;(or (= z22 1) (= z22 0))</t>
  </si>
  <si>
    <t>106 if z6 == 0 goto $z23 = 1:&lt;test.OneTcas: int main2(int,int,int,int,int,int,int,int,int,int,int,int)&gt;</t>
  </si>
  <si>
    <t>107 if z6 == 0 goto $z23 = 0:&lt;test.OneTcas: int main2(int,int,int,int,int,int,int,int,int,int,int,int)&gt;</t>
  </si>
  <si>
    <t>108 if i7 &gt;= i36 goto $z23 = 1:&lt;test.OneTcas: int main2(int,int,int,int,int,int,int,int,int,int,int,int)&gt;</t>
  </si>
  <si>
    <t>i7-&gt;(or (= i7 (- 1)) (= i7 1) (= i7 0) (&gt; i7 1) (&lt; i7 (- 1)))</t>
  </si>
  <si>
    <t>i7f-&gt;(&gt; i7 1)</t>
  </si>
  <si>
    <t>109 $z23 = 0:&lt;test.OneTcas: int main2(int,int,int,int,int,int,int,int,int,int,int,int)&gt;</t>
  </si>
  <si>
    <t>$z23-&gt;(= $z23 0)</t>
  </si>
  <si>
    <t>111 $z23 = 1:&lt;test.OneTcas: int main2(int,int,int,int,int,int,int,int,int,int,int,int)&gt;</t>
  </si>
  <si>
    <t>$z23-&gt;(= $z23 1)</t>
  </si>
  <si>
    <t>112 z22 = $z23:&lt;test.OneTcas: int main2(int,int,int,int,int,int,int,int,int,int,int,int)&gt;</t>
  </si>
  <si>
    <t>113 z7 = z22:&lt;test.OneTcas: int main2(int,int,int,int,int,int,int,int,int,int,int,int)&gt;</t>
  </si>
  <si>
    <t>z7-&gt;(or (= z7 1) (= z7 0))</t>
  </si>
  <si>
    <t>114 if z8 == 0 goto $z24 = 0:&lt;test.OneTcas: int main2(int,int,int,int,int,int,int,int,int,int,int,int)&gt;</t>
  </si>
  <si>
    <t>z8-&gt;(= z8 1)</t>
  </si>
  <si>
    <t>z8f-&gt;(= z8 0)</t>
  </si>
  <si>
    <t>115 if z5 == 0 goto $z24 = 0:&lt;test.OneTcas: int main2(int,int,int,int,int,int,int,int,int,int,int,int)&gt;</t>
  </si>
  <si>
    <t>116 $z24 = 1:&lt;test.OneTcas: int main2(int,int,int,int,int,int,int,int,int,int,int,int)&gt;</t>
  </si>
  <si>
    <t>$z24-&gt;(= $z24 1)</t>
  </si>
  <si>
    <t>118 $z24 = 0:&lt;test.OneTcas: int main2(int,int,int,int,int,int,int,int,int,int,int,int)&gt;</t>
  </si>
  <si>
    <t>$z24-&gt;(= $z24 0)</t>
  </si>
  <si>
    <t>119 z3 = $z24:&lt;test.OneTcas: int main2(int,int,int,int,int,int,int,int,int,int,int,int)&gt;</t>
  </si>
  <si>
    <t>z3-&gt;(or (= z3 1) (= z3 0))</t>
  </si>
  <si>
    <t>120 if z7 == 0 goto $z25 = 0:&lt;test.OneTcas: int main2(int,int,int,int,int,int,int,int,int,int,int,int)&gt;</t>
  </si>
  <si>
    <t>z7-&gt;(= z7 1)</t>
  </si>
  <si>
    <t>z7f-&gt;(= z7 0)</t>
  </si>
  <si>
    <t>121 if z6 == 0 goto $z25 = 0:&lt;test.OneTcas: int main2(int,int,int,int,int,int,int,int,int,int,int,int)&gt;</t>
  </si>
  <si>
    <t>122 $z25 = 1:&lt;test.OneTcas: int main2(int,int,int,int,int,int,int,int,int,int,int,int)&gt;</t>
  </si>
  <si>
    <t>$z25-&gt;(= $z25 1)</t>
  </si>
  <si>
    <t>124 $z25 = 0:&lt;test.OneTcas: int main2(int,int,int,int,int,int,int,int,int,int,int,int)&gt;</t>
  </si>
  <si>
    <t>$z25-&gt;(= $z25 0)</t>
  </si>
  <si>
    <t>125 z4 = $z25:&lt;test.OneTcas: int main2(int,int,int,int,int,int,int,int,int,int,int,int)&gt;</t>
  </si>
  <si>
    <t>z4-&gt;(or (= z4 1) (= z4 0))</t>
  </si>
  <si>
    <t>126 if z3 == 0 goto (branch):&lt;test.OneTcas: int main2(int,int,int,int,int,int,int,int,int,int,int,int)&gt;</t>
  </si>
  <si>
    <t>z3-&gt;(= z3 1)</t>
  </si>
  <si>
    <t>z3f-&gt;(= z3 0)</t>
  </si>
  <si>
    <t>127 if $z25 == 0 goto (branch):&lt;test.OneTcas: int main2(int,int,int,int,int,int,int,int,int,int,int,int)&gt;</t>
  </si>
  <si>
    <t>$z25f-&gt;(= $z25 0)</t>
  </si>
  <si>
    <t>128 i35 = 5:&lt;test.OneTcas: int main2(int,int,int,int,int,int,int,int,int,int,int,int)&gt;</t>
  </si>
  <si>
    <t>i35-&gt;(&gt; i35 1)</t>
  </si>
  <si>
    <t>130 if z3 == 0 goto (branch):&lt;test.OneTcas: int main2(int,int,int,int,int,int,int,int,int,int,int,int)&gt;</t>
  </si>
  <si>
    <t>131 i35 = 1:&lt;test.OneTcas: int main2(int,int,int,int,int,int,int,int,int,int,int,int)&gt;</t>
  </si>
  <si>
    <t>i35-&gt;(= i35 1)</t>
  </si>
  <si>
    <t>133 if z4 == 0 goto i35 = 5:&lt;test.OneTcas: int main2(int,int,int,int,int,int,int,int,int,int,int,int)&gt;</t>
  </si>
  <si>
    <t>z4-&gt;(= z4 1)</t>
  </si>
  <si>
    <t>z4f-&gt;(= z4 0)</t>
  </si>
  <si>
    <t>134 i35 = 2:&lt;test.OneTcas: int main2(int,int,int,int,int,int,int,int,int,int,int,int)&gt;</t>
  </si>
  <si>
    <t>136 i35 = 5:&lt;test.OneTcas: int main2(int,int,int,int,int,int,int,int,int,int,int,int)&gt;</t>
  </si>
  <si>
    <t>137 if i35 &gt; 0 goto return i35:&lt;test.OneTcas: int main2(int,int,int,int,int,int,int,int,int,int,int,int)&gt;</t>
  </si>
  <si>
    <t>i35f-&gt;(or (= i35 1) (&gt; i35 1))</t>
  </si>
  <si>
    <t>Done in 828</t>
  </si>
  <si>
    <t>1t2t</t>
  </si>
  <si>
    <t>1t2f</t>
  </si>
  <si>
    <t>all</t>
  </si>
  <si>
    <t>1f</t>
  </si>
  <si>
    <t>Done in 2126</t>
  </si>
  <si>
    <t>if i1 != 0 goto z9 = 1</t>
  </si>
  <si>
    <t>if i2 != 0 goto z10 = 1</t>
  </si>
  <si>
    <t>if z9 == 0 goto $z11 = 0</t>
  </si>
  <si>
    <t>if i4 &gt; 600 goto $z11 = 0</t>
  </si>
  <si>
    <t>if i0 &lt;= 600 goto $z11 = 0</t>
  </si>
  <si>
    <t>if i10 != 1 goto $z12 = 0</t>
  </si>
  <si>
    <t>if z10 == 0 goto $z13 = 0</t>
  </si>
  <si>
    <t>if i9 != 0 goto $z13 = 0</t>
  </si>
  <si>
    <t>if i6 != 0 goto (branch)</t>
  </si>
  <si>
    <t>if i6 != 1 goto (branch)</t>
  </si>
  <si>
    <t>if i6 != 2 goto i36 = 740</t>
  </si>
  <si>
    <t>if i3 &gt;= i5 goto $z14 = 0</t>
  </si>
  <si>
    <t>if i5 &gt;= i3 goto $z15 = 0</t>
  </si>
  <si>
    <t>if z2 == 0 goto return i35</t>
  </si>
  <si>
    <t>if z0 == 0 goto (branch)</t>
  </si>
  <si>
    <t>if z1 != 0 goto (branch)</t>
  </si>
  <si>
    <t>if z0 != 0 goto return i35</t>
  </si>
  <si>
    <t>if i11 &lt;= 0 goto i37 = i7</t>
  </si>
  <si>
    <t>if i37 &lt;= i8 goto z16 = 0</t>
  </si>
  <si>
    <t>if z16 == 0 goto (branch)</t>
  </si>
  <si>
    <t>if z5 == 0 goto $z17 = 1</t>
  </si>
  <si>
    <t>if z5 == 0 goto $z17 = 0</t>
  </si>
  <si>
    <t>if i8 &lt;= i36 goto $z17 = 1</t>
  </si>
  <si>
    <t>if z6 == 0 goto $z19 = 0</t>
  </si>
  <si>
    <t>if i0 &lt; 300 goto $z19 = 0</t>
  </si>
  <si>
    <t>if i7 &lt; i36 goto $z19 = 0</t>
  </si>
  <si>
    <t>if i11 &lt;= 0 goto i38 = i7</t>
  </si>
  <si>
    <t>if i38 &lt;= i8 goto z20 = 0</t>
  </si>
  <si>
    <t>if z20 == 0 goto (branch)</t>
  </si>
  <si>
    <t>if z5 == 0 goto $z21 = 0</t>
  </si>
  <si>
    <t>if i0 &lt; 300 goto $z21 = 0</t>
  </si>
  <si>
    <t>if i8 &lt; i36 goto $z21 = 0</t>
  </si>
  <si>
    <t>if z6 == 0 goto $z23 = 1</t>
  </si>
  <si>
    <t>if z6 == 0 goto $z23 = 0</t>
  </si>
  <si>
    <t>if i7 &gt;= i36 goto $z23 = 1</t>
  </si>
  <si>
    <t>if z8 == 0 goto $z24 = 0</t>
  </si>
  <si>
    <t>if z5 == 0 goto $z24 = 0</t>
  </si>
  <si>
    <t>if z7 == 0 goto $z25 = 0</t>
  </si>
  <si>
    <t>if z6 == 0 goto $z25 = 0</t>
  </si>
  <si>
    <t>if z3 == 0 goto (branch)</t>
  </si>
  <si>
    <t>if $z25 == 0 goto (branch)</t>
  </si>
  <si>
    <t>if z4 == 0 goto i35 = 5</t>
  </si>
  <si>
    <t>if i35 &gt; 0 goto return i35</t>
  </si>
  <si>
    <t>20t,29t</t>
  </si>
  <si>
    <t>20t,29f</t>
  </si>
  <si>
    <t>20f,29t</t>
  </si>
  <si>
    <t>20f,29f</t>
  </si>
  <si>
    <t>full</t>
  </si>
  <si>
    <t>D = 5 pred</t>
  </si>
  <si>
    <t>D = 7 pred</t>
  </si>
  <si>
    <t>D = 10 pred</t>
  </si>
  <si>
    <t>D = 12 pred</t>
  </si>
  <si>
    <t>Disjoint</t>
  </si>
  <si>
    <t>Not-disjoint</t>
  </si>
  <si>
    <t>D = 9 pred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</si>
  <si>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</si>
  <si>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</si>
  <si>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</si>
  <si>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</si>
  <si>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</si>
  <si>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</si>
  <si>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</si>
  <si>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</si>
  <si>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</si>
  <si>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</si>
  <si>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</si>
  <si>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</si>
  <si>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</si>
  <si>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</si>
  <si>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</si>
  <si>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</si>
  <si>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</si>
  <si>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</si>
  <si>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</si>
  <si>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</si>
  <si>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</si>
  <si>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</si>
  <si>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</si>
  <si>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</si>
  <si>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</si>
  <si>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</si>
  <si>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</si>
  <si>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</si>
  <si>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</si>
  <si>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</si>
  <si>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</si>
  <si>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</si>
  <si>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</si>
  <si>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</si>
  <si>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</si>
  <si>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</si>
  <si>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</si>
  <si>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</si>
  <si>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</si>
  <si>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</si>
  <si>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</si>
  <si>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</si>
  <si>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</si>
  <si>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</si>
  <si>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</si>
  <si>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</si>
  <si>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</si>
  <si>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</si>
  <si>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</si>
  <si>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</si>
  <si>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</si>
  <si>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</si>
  <si>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</si>
  <si>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</si>
  <si>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</si>
  <si>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</si>
  <si>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</si>
  <si>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</si>
  <si>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</si>
  <si>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</si>
  <si>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</si>
  <si>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</si>
  <si>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</si>
  <si>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</si>
  <si>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</si>
  <si>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</si>
  <si>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</si>
  <si>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</si>
  <si>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</si>
  <si>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</si>
  <si>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</si>
  <si>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</si>
  <si>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</si>
  <si>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</si>
  <si>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</si>
  <si>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no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</si>
  <si>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</si>
  <si>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</si>
  <si>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</si>
  <si>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</si>
  <si>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</si>
  <si>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</si>
  <si>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</si>
  <si>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</si>
  <si>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</si>
  <si>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</si>
  <si>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</si>
  <si>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</si>
  <si>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</si>
  <si>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</si>
  <si>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</si>
  <si>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</si>
  <si>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</si>
  <si>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</si>
  <si>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</si>
  <si>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</si>
  <si>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</si>
  <si>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</si>
  <si>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</si>
  <si>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</si>
  <si>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</si>
  <si>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</si>
  <si>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</si>
  <si>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</si>
  <si>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</si>
  <si>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</si>
  <si>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</si>
  <si>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</si>
  <si>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</si>
  <si>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</si>
  <si>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</si>
  <si>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</si>
  <si>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</si>
  <si>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</si>
  <si>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</si>
  <si>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</si>
  <si>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</si>
  <si>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</si>
  <si>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</si>
  <si>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</si>
  <si>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</si>
  <si>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</si>
  <si>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</si>
  <si>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</si>
  <si>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</si>
  <si>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</si>
  <si>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</si>
  <si>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</si>
  <si>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</si>
  <si>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</si>
  <si>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</si>
  <si>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</si>
  <si>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</si>
  <si>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</si>
  <si>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</si>
  <si>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</si>
  <si>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</si>
  <si>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</si>
  <si>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</si>
  <si>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</si>
  <si>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</si>
  <si>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</si>
  <si>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</si>
  <si>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</si>
  <si>
    <t>prec 3, diff 6</t>
  </si>
  <si>
    <t>nextLesser than 8 bits</t>
  </si>
  <si>
    <t>small method</t>
  </si>
  <si>
    <t>nextState</t>
  </si>
  <si>
    <t>nexState</t>
  </si>
  <si>
    <t>add1DBits</t>
  </si>
  <si>
    <t>add2Bits</t>
  </si>
  <si>
    <t>addEOL</t>
  </si>
  <si>
    <t>addEOFB</t>
  </si>
  <si>
    <t>encode1D</t>
  </si>
  <si>
    <t>encodeRLE</t>
  </si>
  <si>
    <t>encodeT4</t>
  </si>
  <si>
    <t>no good cond outside of loop, with loops has stack overflow because two cond statements for the loops exit</t>
  </si>
  <si>
    <t>encodeT6</t>
  </si>
  <si>
    <t>no good branches outside of loop, with loops have self-ref to node 8 - my code cannot handle an arbitry exit from the program, only when it is the only one cond stmt -- need to work on it. orec 10, diff 6, prec 6 had 24 paths and some were quite fast</t>
  </si>
  <si>
    <t>%Diff</t>
  </si>
  <si>
    <t xml:space="preserve"> </t>
  </si>
  <si>
    <t>methods</t>
  </si>
  <si>
    <t>BallonFactory</t>
  </si>
  <si>
    <t>Has cond in loops</t>
  </si>
  <si>
    <t>Prec</t>
  </si>
  <si>
    <t>Diff</t>
  </si>
  <si>
    <t>yes</t>
  </si>
  <si>
    <t xml:space="preserve">Paths </t>
  </si>
  <si>
    <t>Path with loops</t>
  </si>
  <si>
    <t>Prec of code %</t>
  </si>
  <si>
    <t>Diff between branches % of code</t>
  </si>
  <si>
    <t>the same</t>
  </si>
  <si>
    <t>with 3 percent we get 46 and 53 paths</t>
  </si>
  <si>
    <t>22 loops!</t>
  </si>
  <si>
    <t>decodeWhiteCodeWord</t>
  </si>
  <si>
    <t>the same -- takes about 9 min to run without loops</t>
  </si>
  <si>
    <t>Path id</t>
  </si>
  <si>
    <t>Path time</t>
  </si>
  <si>
    <t>1f2t</t>
  </si>
  <si>
    <t>1f2f</t>
  </si>
  <si>
    <t>sat/sat</t>
  </si>
  <si>
    <t>sat/unsat</t>
  </si>
  <si>
    <t>unsat/sat</t>
  </si>
  <si>
    <t>unsat/unsat</t>
  </si>
  <si>
    <t>%</t>
  </si>
  <si>
    <t>Paths</t>
  </si>
  <si>
    <t>Path Id</t>
  </si>
  <si>
    <t>Path Time</t>
  </si>
  <si>
    <t>test.BallonFactory</t>
  </si>
  <si>
    <t>1t3f4f</t>
  </si>
  <si>
    <t>1f2t3f4f</t>
  </si>
  <si>
    <t>1t3t5f6f</t>
  </si>
  <si>
    <t>1t3f4t5f6f</t>
  </si>
  <si>
    <t>1f2t3t5f6f</t>
  </si>
  <si>
    <t>1t3t5t</t>
  </si>
  <si>
    <t>1f2t3f4t5f6f</t>
  </si>
  <si>
    <t>1t3t5f6t</t>
  </si>
  <si>
    <t>1t3f4t5t</t>
  </si>
  <si>
    <t>1f2t3t5t</t>
  </si>
  <si>
    <t>1f2t3t5f6t</t>
  </si>
  <si>
    <t>1f2t3f4t5t</t>
  </si>
  <si>
    <t>1t3f4t5f6t</t>
  </si>
  <si>
    <t>1f2t3f4t5f6t</t>
  </si>
  <si>
    <t>1t</t>
  </si>
  <si>
    <t>1f2f3t</t>
  </si>
  <si>
    <t>1f2f3f4f</t>
  </si>
  <si>
    <t>1t5t7t</t>
  </si>
  <si>
    <t>1f2t3t4t</t>
  </si>
  <si>
    <t>1f2t3t4f</t>
  </si>
  <si>
    <t>1f2t3f</t>
  </si>
  <si>
    <t>1t5t7f8f10t</t>
  </si>
  <si>
    <t>1t5f</t>
  </si>
  <si>
    <t>1t5t7f8f10f</t>
  </si>
  <si>
    <t>1t5t7f8t10t</t>
  </si>
  <si>
    <t>1t5t7f8t10f</t>
  </si>
  <si>
    <t>1f2f3f4t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</si>
</sst>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8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16" fontId="0" fillId="0" borderId="0" xfId="0" applyNumberFormat="1"/>
    <xf numFmtId="0" fontId="3" fillId="0" borderId="0" xfId="0" applyFont="1"/>
    <xf numFmtId="0" fontId="0" fillId="2" borderId="0" xfId="0" applyFill="1"/>
    <xf numFmtId="2" fontId="0" fillId="0" borderId="0" xfId="0" applyNumberFormat="1"/>
    <xf numFmtId="2" fontId="0" fillId="2" borderId="0" xfId="0" applyNumberFormat="1" applyFill="1"/>
  </cellXfs>
  <cellStyles count="8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sharedStrings" Target="sharedStrings.xml"/><Relationship Id="rId12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8"/>
  <sheetViews>
    <sheetView workbookViewId="0">
      <selection sqref="A1:D1"/>
    </sheetView>
  </sheetViews>
  <sheetFormatPr baseColWidth="10" defaultRowHeight="15" x14ac:dyDescent="0"/>
  <cols>
    <col min="1" max="1" width="78.33203125" bestFit="1" customWidth="1"/>
    <col min="2" max="3" width="78.33203125" customWidth="1"/>
  </cols>
  <sheetData>
    <row r="1" spans="1:4">
      <c r="A1" t="s">
        <v>210</v>
      </c>
      <c r="B1" t="s">
        <v>211</v>
      </c>
      <c r="C1" t="s">
        <v>213</v>
      </c>
      <c r="D1" t="s">
        <v>212</v>
      </c>
    </row>
    <row r="2" spans="1:4">
      <c r="A2" t="s">
        <v>0</v>
      </c>
      <c r="B2" t="s">
        <v>209</v>
      </c>
      <c r="C2" t="s">
        <v>214</v>
      </c>
      <c r="D2" t="s">
        <v>65</v>
      </c>
    </row>
    <row r="3" spans="1:4">
      <c r="A3" t="s">
        <v>1</v>
      </c>
      <c r="B3" t="s">
        <v>1</v>
      </c>
      <c r="C3" t="s">
        <v>1</v>
      </c>
      <c r="D3" t="s">
        <v>1</v>
      </c>
    </row>
    <row r="4" spans="1:4">
      <c r="A4" t="s">
        <v>2</v>
      </c>
      <c r="B4" t="s">
        <v>2</v>
      </c>
      <c r="D4" t="s">
        <v>2</v>
      </c>
    </row>
    <row r="5" spans="1:4">
      <c r="C5" t="s">
        <v>66</v>
      </c>
      <c r="D5" t="s">
        <v>66</v>
      </c>
    </row>
    <row r="7" spans="1:4">
      <c r="A7" t="s">
        <v>3</v>
      </c>
      <c r="B7" t="s">
        <v>3</v>
      </c>
      <c r="D7" t="s">
        <v>3</v>
      </c>
    </row>
    <row r="8" spans="1:4">
      <c r="A8" t="s">
        <v>4</v>
      </c>
      <c r="B8" t="s">
        <v>4</v>
      </c>
      <c r="D8" t="s">
        <v>4</v>
      </c>
    </row>
    <row r="10" spans="1:4">
      <c r="C10" t="s">
        <v>67</v>
      </c>
      <c r="D10" t="s">
        <v>67</v>
      </c>
    </row>
    <row r="11" spans="1:4">
      <c r="C11" t="s">
        <v>68</v>
      </c>
      <c r="D11" t="s">
        <v>68</v>
      </c>
    </row>
    <row r="13" spans="1:4">
      <c r="A13" t="s">
        <v>5</v>
      </c>
      <c r="B13" t="s">
        <v>5</v>
      </c>
      <c r="C13" t="s">
        <v>5</v>
      </c>
      <c r="D13" t="s">
        <v>5</v>
      </c>
    </row>
    <row r="14" spans="1:4">
      <c r="A14" t="s">
        <v>6</v>
      </c>
      <c r="B14" t="s">
        <v>69</v>
      </c>
      <c r="C14" t="s">
        <v>6</v>
      </c>
      <c r="D14" t="s">
        <v>6</v>
      </c>
    </row>
    <row r="15" spans="1:4">
      <c r="C15" t="s">
        <v>69</v>
      </c>
      <c r="D15" t="s">
        <v>69</v>
      </c>
    </row>
    <row r="17" spans="1:4">
      <c r="A17" t="s">
        <v>7</v>
      </c>
      <c r="C17" t="s">
        <v>7</v>
      </c>
      <c r="D17" t="s">
        <v>7</v>
      </c>
    </row>
    <row r="18" spans="1:4">
      <c r="A18" t="s">
        <v>8</v>
      </c>
      <c r="C18" t="s">
        <v>8</v>
      </c>
      <c r="D18" t="s">
        <v>8</v>
      </c>
    </row>
    <row r="20" spans="1:4">
      <c r="B20" t="s">
        <v>70</v>
      </c>
      <c r="C20" t="s">
        <v>70</v>
      </c>
      <c r="D20" t="s">
        <v>70</v>
      </c>
    </row>
    <row r="21" spans="1:4">
      <c r="B21" t="s">
        <v>71</v>
      </c>
      <c r="C21" t="s">
        <v>71</v>
      </c>
      <c r="D21" t="s">
        <v>71</v>
      </c>
    </row>
    <row r="23" spans="1:4">
      <c r="A23" t="s">
        <v>9</v>
      </c>
      <c r="B23" t="s">
        <v>9</v>
      </c>
      <c r="C23" t="s">
        <v>9</v>
      </c>
      <c r="D23" t="s">
        <v>9</v>
      </c>
    </row>
    <row r="24" spans="1:4">
      <c r="A24" t="s">
        <v>10</v>
      </c>
      <c r="B24" t="s">
        <v>10</v>
      </c>
      <c r="C24" t="s">
        <v>68</v>
      </c>
      <c r="D24" t="s">
        <v>68</v>
      </c>
    </row>
    <row r="25" spans="1:4">
      <c r="D25" t="s">
        <v>10</v>
      </c>
    </row>
    <row r="27" spans="1:4">
      <c r="C27" t="s">
        <v>72</v>
      </c>
      <c r="D27" t="s">
        <v>72</v>
      </c>
    </row>
    <row r="28" spans="1:4">
      <c r="C28" t="s">
        <v>73</v>
      </c>
      <c r="D28" t="s">
        <v>73</v>
      </c>
    </row>
    <row r="29" spans="1:4">
      <c r="C29" t="s">
        <v>74</v>
      </c>
      <c r="D29" t="s">
        <v>74</v>
      </c>
    </row>
    <row r="31" spans="1:4">
      <c r="C31" t="s">
        <v>75</v>
      </c>
      <c r="D31" t="s">
        <v>75</v>
      </c>
    </row>
    <row r="32" spans="1:4">
      <c r="C32" t="s">
        <v>76</v>
      </c>
      <c r="D32" t="s">
        <v>76</v>
      </c>
    </row>
    <row r="33" spans="1:4">
      <c r="C33" t="s">
        <v>77</v>
      </c>
      <c r="D33" t="s">
        <v>77</v>
      </c>
    </row>
    <row r="35" spans="1:4">
      <c r="C35" t="s">
        <v>78</v>
      </c>
      <c r="D35" t="s">
        <v>78</v>
      </c>
    </row>
    <row r="36" spans="1:4">
      <c r="C36" t="s">
        <v>79</v>
      </c>
      <c r="D36" t="s">
        <v>79</v>
      </c>
    </row>
    <row r="38" spans="1:4">
      <c r="A38" t="s">
        <v>11</v>
      </c>
      <c r="B38" t="s">
        <v>11</v>
      </c>
      <c r="C38" t="s">
        <v>11</v>
      </c>
      <c r="D38" t="s">
        <v>11</v>
      </c>
    </row>
    <row r="39" spans="1:4">
      <c r="A39" t="s">
        <v>12</v>
      </c>
      <c r="B39" t="s">
        <v>12</v>
      </c>
      <c r="C39" t="s">
        <v>12</v>
      </c>
      <c r="D39" t="s">
        <v>12</v>
      </c>
    </row>
    <row r="41" spans="1:4">
      <c r="A41" t="s">
        <v>13</v>
      </c>
      <c r="B41" t="s">
        <v>13</v>
      </c>
      <c r="C41" t="s">
        <v>13</v>
      </c>
      <c r="D41" t="s">
        <v>13</v>
      </c>
    </row>
    <row r="42" spans="1:4">
      <c r="A42" t="s">
        <v>14</v>
      </c>
      <c r="B42" t="s">
        <v>14</v>
      </c>
      <c r="C42" t="s">
        <v>80</v>
      </c>
      <c r="D42" t="s">
        <v>80</v>
      </c>
    </row>
    <row r="44" spans="1:4">
      <c r="A44" t="s">
        <v>15</v>
      </c>
      <c r="B44" t="s">
        <v>15</v>
      </c>
      <c r="C44" t="s">
        <v>15</v>
      </c>
      <c r="D44" t="s">
        <v>15</v>
      </c>
    </row>
    <row r="45" spans="1:4">
      <c r="A45" t="s">
        <v>16</v>
      </c>
      <c r="B45" t="s">
        <v>16</v>
      </c>
      <c r="C45" t="s">
        <v>16</v>
      </c>
      <c r="D45" t="s">
        <v>16</v>
      </c>
    </row>
    <row r="46" spans="1:4">
      <c r="A46" t="s">
        <v>17</v>
      </c>
      <c r="B46" t="s">
        <v>17</v>
      </c>
      <c r="C46" t="s">
        <v>17</v>
      </c>
      <c r="D46" t="s">
        <v>17</v>
      </c>
    </row>
    <row r="48" spans="1:4">
      <c r="A48" t="s">
        <v>18</v>
      </c>
      <c r="B48" t="s">
        <v>18</v>
      </c>
      <c r="C48" t="s">
        <v>18</v>
      </c>
      <c r="D48" t="s">
        <v>18</v>
      </c>
    </row>
    <row r="49" spans="1:4">
      <c r="A49" t="s">
        <v>19</v>
      </c>
      <c r="B49" t="s">
        <v>19</v>
      </c>
      <c r="C49" t="s">
        <v>19</v>
      </c>
      <c r="D49" t="s">
        <v>19</v>
      </c>
    </row>
    <row r="51" spans="1:4">
      <c r="A51" t="s">
        <v>20</v>
      </c>
      <c r="B51" t="s">
        <v>20</v>
      </c>
      <c r="C51" t="s">
        <v>20</v>
      </c>
      <c r="D51" t="s">
        <v>20</v>
      </c>
    </row>
    <row r="52" spans="1:4">
      <c r="A52" t="s">
        <v>21</v>
      </c>
      <c r="B52" t="s">
        <v>21</v>
      </c>
      <c r="C52" t="s">
        <v>21</v>
      </c>
      <c r="D52" t="s">
        <v>21</v>
      </c>
    </row>
    <row r="54" spans="1:4">
      <c r="A54" t="s">
        <v>22</v>
      </c>
      <c r="B54" t="s">
        <v>22</v>
      </c>
      <c r="C54" t="s">
        <v>22</v>
      </c>
      <c r="D54" t="s">
        <v>22</v>
      </c>
    </row>
    <row r="55" spans="1:4">
      <c r="A55" t="s">
        <v>23</v>
      </c>
      <c r="B55" t="s">
        <v>23</v>
      </c>
      <c r="C55" t="s">
        <v>23</v>
      </c>
      <c r="D55" t="s">
        <v>23</v>
      </c>
    </row>
    <row r="57" spans="1:4">
      <c r="A57" t="s">
        <v>24</v>
      </c>
      <c r="B57" t="s">
        <v>24</v>
      </c>
      <c r="C57" t="s">
        <v>24</v>
      </c>
      <c r="D57" t="s">
        <v>24</v>
      </c>
    </row>
    <row r="58" spans="1:4">
      <c r="A58" t="s">
        <v>25</v>
      </c>
      <c r="B58" t="s">
        <v>71</v>
      </c>
      <c r="C58" t="s">
        <v>71</v>
      </c>
      <c r="D58" t="s">
        <v>71</v>
      </c>
    </row>
    <row r="59" spans="1:4">
      <c r="C59" t="s">
        <v>25</v>
      </c>
      <c r="D59" t="s">
        <v>25</v>
      </c>
    </row>
    <row r="61" spans="1:4">
      <c r="B61" t="s">
        <v>81</v>
      </c>
      <c r="C61" t="s">
        <v>81</v>
      </c>
      <c r="D61" t="s">
        <v>81</v>
      </c>
    </row>
    <row r="62" spans="1:4">
      <c r="B62" t="s">
        <v>82</v>
      </c>
      <c r="C62" t="s">
        <v>82</v>
      </c>
      <c r="D62" t="s">
        <v>82</v>
      </c>
    </row>
    <row r="63" spans="1:4">
      <c r="B63" t="s">
        <v>83</v>
      </c>
      <c r="C63" t="s">
        <v>83</v>
      </c>
      <c r="D63" t="s">
        <v>83</v>
      </c>
    </row>
    <row r="65" spans="1:4">
      <c r="B65" t="s">
        <v>84</v>
      </c>
      <c r="C65" t="s">
        <v>84</v>
      </c>
      <c r="D65" t="s">
        <v>84</v>
      </c>
    </row>
    <row r="66" spans="1:4">
      <c r="B66" t="s">
        <v>85</v>
      </c>
      <c r="C66" t="s">
        <v>85</v>
      </c>
      <c r="D66" t="s">
        <v>85</v>
      </c>
    </row>
    <row r="68" spans="1:4">
      <c r="A68" t="s">
        <v>26</v>
      </c>
      <c r="B68" t="s">
        <v>26</v>
      </c>
      <c r="C68" t="s">
        <v>26</v>
      </c>
      <c r="D68" t="s">
        <v>26</v>
      </c>
    </row>
    <row r="69" spans="1:4">
      <c r="A69" t="s">
        <v>27</v>
      </c>
      <c r="B69" t="s">
        <v>27</v>
      </c>
      <c r="C69" t="s">
        <v>27</v>
      </c>
      <c r="D69" t="s">
        <v>27</v>
      </c>
    </row>
    <row r="71" spans="1:4">
      <c r="A71" t="s">
        <v>28</v>
      </c>
      <c r="B71" t="s">
        <v>28</v>
      </c>
      <c r="C71" t="s">
        <v>28</v>
      </c>
      <c r="D71" t="s">
        <v>28</v>
      </c>
    </row>
    <row r="72" spans="1:4">
      <c r="A72" t="s">
        <v>29</v>
      </c>
      <c r="B72" t="s">
        <v>86</v>
      </c>
      <c r="C72" t="s">
        <v>86</v>
      </c>
      <c r="D72" t="s">
        <v>86</v>
      </c>
    </row>
    <row r="74" spans="1:4">
      <c r="A74" t="s">
        <v>30</v>
      </c>
      <c r="B74" t="s">
        <v>30</v>
      </c>
      <c r="C74" t="s">
        <v>30</v>
      </c>
      <c r="D74" t="s">
        <v>30</v>
      </c>
    </row>
    <row r="75" spans="1:4">
      <c r="A75" t="s">
        <v>31</v>
      </c>
      <c r="B75" t="s">
        <v>31</v>
      </c>
      <c r="C75" t="s">
        <v>31</v>
      </c>
      <c r="D75" t="s">
        <v>31</v>
      </c>
    </row>
    <row r="77" spans="1:4">
      <c r="A77" t="s">
        <v>32</v>
      </c>
      <c r="B77" t="s">
        <v>32</v>
      </c>
      <c r="C77" t="s">
        <v>32</v>
      </c>
      <c r="D77" t="s">
        <v>32</v>
      </c>
    </row>
    <row r="78" spans="1:4">
      <c r="A78" t="s">
        <v>33</v>
      </c>
      <c r="B78" t="s">
        <v>33</v>
      </c>
      <c r="C78" t="s">
        <v>33</v>
      </c>
      <c r="D78" t="s">
        <v>33</v>
      </c>
    </row>
    <row r="79" spans="1:4">
      <c r="A79" t="s">
        <v>34</v>
      </c>
      <c r="B79" t="s">
        <v>34</v>
      </c>
      <c r="C79" t="s">
        <v>34</v>
      </c>
      <c r="D79" t="s">
        <v>34</v>
      </c>
    </row>
    <row r="81" spans="1:4">
      <c r="A81" t="s">
        <v>35</v>
      </c>
      <c r="B81" t="s">
        <v>35</v>
      </c>
      <c r="C81" t="s">
        <v>35</v>
      </c>
      <c r="D81" t="s">
        <v>35</v>
      </c>
    </row>
    <row r="82" spans="1:4">
      <c r="A82" t="s">
        <v>36</v>
      </c>
      <c r="B82" t="s">
        <v>36</v>
      </c>
      <c r="C82" t="s">
        <v>36</v>
      </c>
      <c r="D82" t="s">
        <v>36</v>
      </c>
    </row>
    <row r="84" spans="1:4">
      <c r="A84" t="s">
        <v>37</v>
      </c>
      <c r="B84" t="s">
        <v>37</v>
      </c>
      <c r="C84" t="s">
        <v>37</v>
      </c>
      <c r="D84" t="s">
        <v>37</v>
      </c>
    </row>
    <row r="85" spans="1:4">
      <c r="A85" t="s">
        <v>38</v>
      </c>
      <c r="B85" t="s">
        <v>38</v>
      </c>
      <c r="C85" t="s">
        <v>38</v>
      </c>
      <c r="D85" t="s">
        <v>38</v>
      </c>
    </row>
    <row r="86" spans="1:4">
      <c r="A86" t="s">
        <v>39</v>
      </c>
      <c r="B86" t="s">
        <v>39</v>
      </c>
      <c r="C86" t="s">
        <v>39</v>
      </c>
      <c r="D86" t="s">
        <v>39</v>
      </c>
    </row>
    <row r="88" spans="1:4">
      <c r="A88" t="s">
        <v>40</v>
      </c>
      <c r="B88" t="s">
        <v>40</v>
      </c>
      <c r="C88" t="s">
        <v>40</v>
      </c>
      <c r="D88" t="s">
        <v>40</v>
      </c>
    </row>
    <row r="89" spans="1:4">
      <c r="A89" t="s">
        <v>36</v>
      </c>
      <c r="B89" t="s">
        <v>36</v>
      </c>
      <c r="C89" t="s">
        <v>36</v>
      </c>
      <c r="D89" t="s">
        <v>36</v>
      </c>
    </row>
    <row r="91" spans="1:4">
      <c r="A91" t="s">
        <v>41</v>
      </c>
      <c r="B91" t="s">
        <v>41</v>
      </c>
      <c r="C91" t="s">
        <v>41</v>
      </c>
      <c r="D91" t="s">
        <v>41</v>
      </c>
    </row>
    <row r="92" spans="1:4">
      <c r="A92" t="s">
        <v>42</v>
      </c>
      <c r="B92" t="s">
        <v>42</v>
      </c>
      <c r="C92" t="s">
        <v>42</v>
      </c>
      <c r="D92" t="s">
        <v>42</v>
      </c>
    </row>
    <row r="93" spans="1:4">
      <c r="A93" t="s">
        <v>39</v>
      </c>
      <c r="B93" t="s">
        <v>39</v>
      </c>
      <c r="C93" t="s">
        <v>39</v>
      </c>
      <c r="D93" t="s">
        <v>39</v>
      </c>
    </row>
    <row r="95" spans="1:4">
      <c r="A95" t="s">
        <v>43</v>
      </c>
      <c r="B95" t="s">
        <v>43</v>
      </c>
      <c r="C95" t="s">
        <v>43</v>
      </c>
      <c r="D95" t="s">
        <v>43</v>
      </c>
    </row>
    <row r="96" spans="1:4">
      <c r="A96" t="s">
        <v>36</v>
      </c>
      <c r="B96" t="s">
        <v>36</v>
      </c>
      <c r="C96" t="s">
        <v>36</v>
      </c>
      <c r="D96" t="s">
        <v>36</v>
      </c>
    </row>
    <row r="98" spans="1:4">
      <c r="A98" t="s">
        <v>44</v>
      </c>
      <c r="B98" t="s">
        <v>44</v>
      </c>
      <c r="C98" t="s">
        <v>44</v>
      </c>
      <c r="D98" t="s">
        <v>44</v>
      </c>
    </row>
    <row r="99" spans="1:4">
      <c r="A99" t="s">
        <v>36</v>
      </c>
      <c r="B99" t="s">
        <v>36</v>
      </c>
      <c r="C99" t="s">
        <v>36</v>
      </c>
      <c r="D99" t="s">
        <v>36</v>
      </c>
    </row>
    <row r="101" spans="1:4">
      <c r="A101" t="s">
        <v>45</v>
      </c>
      <c r="B101" t="s">
        <v>45</v>
      </c>
      <c r="C101" t="s">
        <v>45</v>
      </c>
      <c r="D101" t="s">
        <v>45</v>
      </c>
    </row>
    <row r="102" spans="1:4">
      <c r="A102" t="s">
        <v>46</v>
      </c>
      <c r="B102" t="s">
        <v>46</v>
      </c>
      <c r="C102" t="s">
        <v>46</v>
      </c>
      <c r="D102" t="s">
        <v>46</v>
      </c>
    </row>
    <row r="103" spans="1:4">
      <c r="A103" t="s">
        <v>47</v>
      </c>
      <c r="B103" t="s">
        <v>47</v>
      </c>
      <c r="C103" t="s">
        <v>47</v>
      </c>
      <c r="D103" t="s">
        <v>47</v>
      </c>
    </row>
    <row r="104" spans="1:4">
      <c r="A104" t="s">
        <v>48</v>
      </c>
      <c r="B104" t="s">
        <v>48</v>
      </c>
      <c r="C104" t="s">
        <v>48</v>
      </c>
      <c r="D104" t="s">
        <v>48</v>
      </c>
    </row>
    <row r="105" spans="1:4">
      <c r="A105" t="s">
        <v>49</v>
      </c>
      <c r="B105" t="s">
        <v>49</v>
      </c>
      <c r="C105" t="s">
        <v>49</v>
      </c>
      <c r="D105" t="s">
        <v>49</v>
      </c>
    </row>
    <row r="107" spans="1:4">
      <c r="A107" t="s">
        <v>50</v>
      </c>
      <c r="B107" t="s">
        <v>50</v>
      </c>
      <c r="C107" t="s">
        <v>50</v>
      </c>
      <c r="D107" t="s">
        <v>50</v>
      </c>
    </row>
    <row r="108" spans="1:4">
      <c r="A108" t="s">
        <v>51</v>
      </c>
      <c r="B108" t="s">
        <v>51</v>
      </c>
      <c r="C108" t="s">
        <v>51</v>
      </c>
      <c r="D108" t="s">
        <v>51</v>
      </c>
    </row>
    <row r="110" spans="1:4">
      <c r="A110" t="s">
        <v>52</v>
      </c>
      <c r="B110" t="s">
        <v>52</v>
      </c>
      <c r="C110" t="s">
        <v>52</v>
      </c>
      <c r="D110" t="s">
        <v>52</v>
      </c>
    </row>
    <row r="111" spans="1:4">
      <c r="A111" t="s">
        <v>53</v>
      </c>
      <c r="B111" t="s">
        <v>53</v>
      </c>
      <c r="C111" t="s">
        <v>53</v>
      </c>
      <c r="D111" t="s">
        <v>53</v>
      </c>
    </row>
    <row r="113" spans="1:4">
      <c r="A113" t="s">
        <v>54</v>
      </c>
      <c r="B113" t="s">
        <v>54</v>
      </c>
      <c r="C113" t="s">
        <v>54</v>
      </c>
      <c r="D113" t="s">
        <v>54</v>
      </c>
    </row>
    <row r="114" spans="1:4">
      <c r="A114" t="s">
        <v>55</v>
      </c>
      <c r="B114" t="s">
        <v>55</v>
      </c>
      <c r="C114" t="s">
        <v>55</v>
      </c>
      <c r="D114" t="s">
        <v>55</v>
      </c>
    </row>
    <row r="116" spans="1:4">
      <c r="A116" t="s">
        <v>56</v>
      </c>
      <c r="B116" t="s">
        <v>56</v>
      </c>
      <c r="C116" t="s">
        <v>56</v>
      </c>
      <c r="D116" t="s">
        <v>56</v>
      </c>
    </row>
    <row r="117" spans="1:4">
      <c r="A117" t="s">
        <v>46</v>
      </c>
      <c r="B117" t="s">
        <v>46</v>
      </c>
      <c r="C117" t="s">
        <v>46</v>
      </c>
      <c r="D117" t="s">
        <v>46</v>
      </c>
    </row>
    <row r="118" spans="1:4">
      <c r="A118" t="s">
        <v>47</v>
      </c>
      <c r="B118" t="s">
        <v>47</v>
      </c>
      <c r="C118" t="s">
        <v>47</v>
      </c>
      <c r="D118" t="s">
        <v>47</v>
      </c>
    </row>
    <row r="119" spans="1:4">
      <c r="A119" t="s">
        <v>48</v>
      </c>
      <c r="B119" t="s">
        <v>48</v>
      </c>
      <c r="C119" t="s">
        <v>48</v>
      </c>
      <c r="D119" t="s">
        <v>48</v>
      </c>
    </row>
    <row r="120" spans="1:4">
      <c r="A120" t="s">
        <v>49</v>
      </c>
      <c r="B120" t="s">
        <v>49</v>
      </c>
      <c r="C120" t="s">
        <v>49</v>
      </c>
      <c r="D120" t="s">
        <v>49</v>
      </c>
    </row>
    <row r="122" spans="1:4">
      <c r="A122" t="s">
        <v>57</v>
      </c>
      <c r="B122" t="s">
        <v>57</v>
      </c>
      <c r="C122" t="s">
        <v>57</v>
      </c>
      <c r="D122" t="s">
        <v>57</v>
      </c>
    </row>
    <row r="123" spans="1:4">
      <c r="A123" t="s">
        <v>58</v>
      </c>
      <c r="B123" t="s">
        <v>58</v>
      </c>
      <c r="C123" t="s">
        <v>58</v>
      </c>
      <c r="D123" t="s">
        <v>58</v>
      </c>
    </row>
    <row r="125" spans="1:4">
      <c r="A125" t="s">
        <v>59</v>
      </c>
      <c r="B125" t="s">
        <v>59</v>
      </c>
      <c r="C125" t="s">
        <v>59</v>
      </c>
      <c r="D125" t="s">
        <v>59</v>
      </c>
    </row>
    <row r="126" spans="1:4">
      <c r="A126" t="s">
        <v>60</v>
      </c>
      <c r="B126" t="s">
        <v>60</v>
      </c>
      <c r="C126" t="s">
        <v>60</v>
      </c>
      <c r="D126" t="s">
        <v>60</v>
      </c>
    </row>
    <row r="128" spans="1:4">
      <c r="A128" t="s">
        <v>61</v>
      </c>
      <c r="B128" t="s">
        <v>61</v>
      </c>
      <c r="C128" t="s">
        <v>61</v>
      </c>
      <c r="D128" t="s">
        <v>61</v>
      </c>
    </row>
    <row r="129" spans="1:4">
      <c r="A129" t="s">
        <v>62</v>
      </c>
      <c r="B129" t="s">
        <v>62</v>
      </c>
      <c r="C129" t="s">
        <v>62</v>
      </c>
      <c r="D129" t="s">
        <v>62</v>
      </c>
    </row>
    <row r="131" spans="1:4">
      <c r="A131" t="s">
        <v>63</v>
      </c>
      <c r="B131" t="s">
        <v>63</v>
      </c>
      <c r="C131" t="s">
        <v>63</v>
      </c>
      <c r="D131" t="s">
        <v>63</v>
      </c>
    </row>
    <row r="132" spans="1:4">
      <c r="A132" t="s">
        <v>64</v>
      </c>
      <c r="B132" t="s">
        <v>64</v>
      </c>
      <c r="C132" t="s">
        <v>87</v>
      </c>
      <c r="D132" t="s">
        <v>87</v>
      </c>
    </row>
    <row r="133" spans="1:4">
      <c r="C133" t="s">
        <v>64</v>
      </c>
      <c r="D133" t="s">
        <v>64</v>
      </c>
    </row>
    <row r="135" spans="1:4">
      <c r="C135" t="s">
        <v>88</v>
      </c>
      <c r="D135" t="s">
        <v>88</v>
      </c>
    </row>
    <row r="136" spans="1:4">
      <c r="C136" t="s">
        <v>89</v>
      </c>
      <c r="D136" t="s">
        <v>89</v>
      </c>
    </row>
    <row r="137" spans="1:4">
      <c r="C137" t="s">
        <v>90</v>
      </c>
      <c r="D137" t="s">
        <v>90</v>
      </c>
    </row>
    <row r="139" spans="1:4">
      <c r="C139" t="s">
        <v>91</v>
      </c>
      <c r="D139" t="s">
        <v>91</v>
      </c>
    </row>
    <row r="140" spans="1:4">
      <c r="C140" t="s">
        <v>29</v>
      </c>
      <c r="D140" t="s">
        <v>29</v>
      </c>
    </row>
    <row r="141" spans="1:4">
      <c r="C141" t="s">
        <v>92</v>
      </c>
      <c r="D141" t="s">
        <v>92</v>
      </c>
    </row>
    <row r="143" spans="1:4">
      <c r="C143" t="s">
        <v>93</v>
      </c>
      <c r="D143" t="s">
        <v>93</v>
      </c>
    </row>
    <row r="144" spans="1:4">
      <c r="C144" t="s">
        <v>94</v>
      </c>
      <c r="D144" t="s">
        <v>94</v>
      </c>
    </row>
    <row r="145" spans="3:4">
      <c r="C145" t="s">
        <v>95</v>
      </c>
      <c r="D145" t="s">
        <v>95</v>
      </c>
    </row>
    <row r="147" spans="3:4">
      <c r="C147" t="s">
        <v>96</v>
      </c>
      <c r="D147" t="s">
        <v>96</v>
      </c>
    </row>
    <row r="148" spans="3:4">
      <c r="C148" t="s">
        <v>97</v>
      </c>
      <c r="D148" t="s">
        <v>97</v>
      </c>
    </row>
    <row r="149" spans="3:4">
      <c r="C149" t="s">
        <v>98</v>
      </c>
      <c r="D149" t="s">
        <v>98</v>
      </c>
    </row>
    <row r="151" spans="3:4">
      <c r="C151" t="s">
        <v>99</v>
      </c>
      <c r="D151" t="s">
        <v>99</v>
      </c>
    </row>
    <row r="152" spans="3:4">
      <c r="C152" t="s">
        <v>100</v>
      </c>
      <c r="D152" t="s">
        <v>100</v>
      </c>
    </row>
    <row r="154" spans="3:4">
      <c r="C154" t="s">
        <v>101</v>
      </c>
      <c r="D154" t="s">
        <v>101</v>
      </c>
    </row>
    <row r="155" spans="3:4">
      <c r="C155" t="s">
        <v>100</v>
      </c>
      <c r="D155" t="s">
        <v>100</v>
      </c>
    </row>
    <row r="157" spans="3:4">
      <c r="C157" t="s">
        <v>102</v>
      </c>
      <c r="D157" t="s">
        <v>102</v>
      </c>
    </row>
    <row r="158" spans="3:4">
      <c r="C158" t="s">
        <v>103</v>
      </c>
      <c r="D158" t="s">
        <v>103</v>
      </c>
    </row>
    <row r="159" spans="3:4">
      <c r="C159" t="s">
        <v>100</v>
      </c>
      <c r="D159" t="s">
        <v>100</v>
      </c>
    </row>
    <row r="160" spans="3:4">
      <c r="C160" t="s">
        <v>104</v>
      </c>
      <c r="D160" t="s">
        <v>104</v>
      </c>
    </row>
    <row r="161" spans="3:4">
      <c r="C161" t="s">
        <v>105</v>
      </c>
      <c r="D161" t="s">
        <v>105</v>
      </c>
    </row>
    <row r="163" spans="3:4">
      <c r="C163" t="s">
        <v>106</v>
      </c>
      <c r="D163" t="s">
        <v>106</v>
      </c>
    </row>
    <row r="164" spans="3:4">
      <c r="C164" t="s">
        <v>107</v>
      </c>
      <c r="D164" t="s">
        <v>107</v>
      </c>
    </row>
    <row r="166" spans="3:4">
      <c r="C166" t="s">
        <v>108</v>
      </c>
      <c r="D166" t="s">
        <v>108</v>
      </c>
    </row>
    <row r="167" spans="3:4">
      <c r="C167" t="s">
        <v>109</v>
      </c>
      <c r="D167" t="s">
        <v>109</v>
      </c>
    </row>
    <row r="169" spans="3:4">
      <c r="C169" t="s">
        <v>110</v>
      </c>
      <c r="D169" t="s">
        <v>110</v>
      </c>
    </row>
    <row r="170" spans="3:4">
      <c r="C170" t="s">
        <v>107</v>
      </c>
      <c r="D170" t="s">
        <v>107</v>
      </c>
    </row>
    <row r="171" spans="3:4">
      <c r="C171" t="s">
        <v>111</v>
      </c>
      <c r="D171" t="s">
        <v>111</v>
      </c>
    </row>
    <row r="173" spans="3:4">
      <c r="C173" t="s">
        <v>112</v>
      </c>
      <c r="D173" t="s">
        <v>112</v>
      </c>
    </row>
    <row r="174" spans="3:4">
      <c r="C174" t="s">
        <v>113</v>
      </c>
      <c r="D174" t="s">
        <v>113</v>
      </c>
    </row>
    <row r="175" spans="3:4">
      <c r="C175" t="s">
        <v>114</v>
      </c>
      <c r="D175" t="s">
        <v>114</v>
      </c>
    </row>
    <row r="177" spans="3:4">
      <c r="C177" t="s">
        <v>115</v>
      </c>
      <c r="D177" t="s">
        <v>115</v>
      </c>
    </row>
    <row r="178" spans="3:4">
      <c r="C178" t="s">
        <v>113</v>
      </c>
      <c r="D178" t="s">
        <v>113</v>
      </c>
    </row>
    <row r="180" spans="3:4">
      <c r="C180" t="s">
        <v>116</v>
      </c>
      <c r="D180" t="s">
        <v>116</v>
      </c>
    </row>
    <row r="181" spans="3:4">
      <c r="C181" t="s">
        <v>117</v>
      </c>
      <c r="D181" t="s">
        <v>117</v>
      </c>
    </row>
    <row r="182" spans="3:4">
      <c r="C182" t="s">
        <v>36</v>
      </c>
      <c r="D182" t="s">
        <v>36</v>
      </c>
    </row>
    <row r="183" spans="3:4">
      <c r="C183" t="s">
        <v>104</v>
      </c>
      <c r="D183" t="s">
        <v>104</v>
      </c>
    </row>
    <row r="184" spans="3:4">
      <c r="C184" t="s">
        <v>118</v>
      </c>
      <c r="D184" t="s">
        <v>118</v>
      </c>
    </row>
    <row r="186" spans="3:4">
      <c r="C186" t="s">
        <v>119</v>
      </c>
      <c r="D186" t="s">
        <v>119</v>
      </c>
    </row>
    <row r="187" spans="3:4">
      <c r="C187" t="s">
        <v>120</v>
      </c>
      <c r="D187" t="s">
        <v>120</v>
      </c>
    </row>
    <row r="189" spans="3:4">
      <c r="C189" t="s">
        <v>121</v>
      </c>
      <c r="D189" t="s">
        <v>121</v>
      </c>
    </row>
    <row r="190" spans="3:4">
      <c r="C190" t="s">
        <v>122</v>
      </c>
      <c r="D190" t="s">
        <v>122</v>
      </c>
    </row>
    <row r="192" spans="3:4">
      <c r="C192" t="s">
        <v>123</v>
      </c>
      <c r="D192" t="s">
        <v>123</v>
      </c>
    </row>
    <row r="193" spans="3:4">
      <c r="C193" t="s">
        <v>124</v>
      </c>
      <c r="D193" t="s">
        <v>124</v>
      </c>
    </row>
    <row r="195" spans="3:4">
      <c r="C195" t="s">
        <v>125</v>
      </c>
      <c r="D195" t="s">
        <v>125</v>
      </c>
    </row>
    <row r="196" spans="3:4">
      <c r="C196" t="s">
        <v>126</v>
      </c>
      <c r="D196" t="s">
        <v>126</v>
      </c>
    </row>
    <row r="197" spans="3:4">
      <c r="C197" t="s">
        <v>127</v>
      </c>
      <c r="D197" t="s">
        <v>127</v>
      </c>
    </row>
    <row r="199" spans="3:4">
      <c r="C199" t="s">
        <v>128</v>
      </c>
      <c r="D199" t="s">
        <v>128</v>
      </c>
    </row>
    <row r="200" spans="3:4">
      <c r="C200" t="s">
        <v>76</v>
      </c>
      <c r="D200" t="s">
        <v>76</v>
      </c>
    </row>
    <row r="201" spans="3:4">
      <c r="C201" t="s">
        <v>77</v>
      </c>
      <c r="D201" t="s">
        <v>77</v>
      </c>
    </row>
    <row r="203" spans="3:4">
      <c r="C203" t="s">
        <v>129</v>
      </c>
      <c r="D203" t="s">
        <v>129</v>
      </c>
    </row>
    <row r="204" spans="3:4">
      <c r="C204" t="s">
        <v>130</v>
      </c>
      <c r="D204" t="s">
        <v>130</v>
      </c>
    </row>
    <row r="205" spans="3:4">
      <c r="C205" t="s">
        <v>36</v>
      </c>
      <c r="D205" t="s">
        <v>36</v>
      </c>
    </row>
    <row r="206" spans="3:4">
      <c r="C206" t="s">
        <v>131</v>
      </c>
      <c r="D206" t="s">
        <v>131</v>
      </c>
    </row>
    <row r="207" spans="3:4">
      <c r="C207" t="s">
        <v>118</v>
      </c>
      <c r="D207" t="s">
        <v>118</v>
      </c>
    </row>
    <row r="209" spans="3:4">
      <c r="C209" t="s">
        <v>132</v>
      </c>
      <c r="D209" t="s">
        <v>132</v>
      </c>
    </row>
    <row r="210" spans="3:4">
      <c r="C210" t="s">
        <v>133</v>
      </c>
      <c r="D210" t="s">
        <v>133</v>
      </c>
    </row>
    <row r="212" spans="3:4">
      <c r="C212" t="s">
        <v>134</v>
      </c>
      <c r="D212" t="s">
        <v>134</v>
      </c>
    </row>
    <row r="213" spans="3:4">
      <c r="C213" t="s">
        <v>135</v>
      </c>
      <c r="D213" t="s">
        <v>135</v>
      </c>
    </row>
    <row r="215" spans="3:4">
      <c r="C215" t="s">
        <v>136</v>
      </c>
      <c r="D215" t="s">
        <v>136</v>
      </c>
    </row>
    <row r="216" spans="3:4">
      <c r="C216" t="s">
        <v>124</v>
      </c>
      <c r="D216" t="s">
        <v>124</v>
      </c>
    </row>
    <row r="218" spans="3:4">
      <c r="C218" t="s">
        <v>137</v>
      </c>
      <c r="D218" t="s">
        <v>137</v>
      </c>
    </row>
    <row r="219" spans="3:4">
      <c r="C219" t="s">
        <v>138</v>
      </c>
      <c r="D219" t="s">
        <v>138</v>
      </c>
    </row>
    <row r="221" spans="3:4">
      <c r="C221" t="s">
        <v>139</v>
      </c>
      <c r="D221" t="s">
        <v>139</v>
      </c>
    </row>
    <row r="222" spans="3:4">
      <c r="C222" t="s">
        <v>97</v>
      </c>
      <c r="D222" t="s">
        <v>97</v>
      </c>
    </row>
    <row r="223" spans="3:4">
      <c r="C223" t="s">
        <v>98</v>
      </c>
      <c r="D223" t="s">
        <v>98</v>
      </c>
    </row>
    <row r="225" spans="3:4">
      <c r="C225" t="s">
        <v>140</v>
      </c>
      <c r="D225" t="s">
        <v>140</v>
      </c>
    </row>
    <row r="226" spans="3:4">
      <c r="C226" t="s">
        <v>141</v>
      </c>
      <c r="D226" t="s">
        <v>141</v>
      </c>
    </row>
    <row r="228" spans="3:4">
      <c r="C228" t="s">
        <v>142</v>
      </c>
      <c r="D228" t="s">
        <v>142</v>
      </c>
    </row>
    <row r="229" spans="3:4">
      <c r="C229" t="s">
        <v>141</v>
      </c>
      <c r="D229" t="s">
        <v>141</v>
      </c>
    </row>
    <row r="231" spans="3:4">
      <c r="C231" t="s">
        <v>143</v>
      </c>
      <c r="D231" t="s">
        <v>143</v>
      </c>
    </row>
    <row r="232" spans="3:4">
      <c r="C232" t="s">
        <v>103</v>
      </c>
      <c r="D232" t="s">
        <v>103</v>
      </c>
    </row>
    <row r="233" spans="3:4">
      <c r="C233" t="s">
        <v>141</v>
      </c>
      <c r="D233" t="s">
        <v>141</v>
      </c>
    </row>
    <row r="234" spans="3:4">
      <c r="C234" t="s">
        <v>104</v>
      </c>
      <c r="D234" t="s">
        <v>104</v>
      </c>
    </row>
    <row r="235" spans="3:4">
      <c r="C235" t="s">
        <v>144</v>
      </c>
      <c r="D235" t="s">
        <v>144</v>
      </c>
    </row>
    <row r="237" spans="3:4">
      <c r="C237" t="s">
        <v>145</v>
      </c>
      <c r="D237" t="s">
        <v>145</v>
      </c>
    </row>
    <row r="238" spans="3:4">
      <c r="C238" t="s">
        <v>146</v>
      </c>
      <c r="D238" t="s">
        <v>146</v>
      </c>
    </row>
    <row r="240" spans="3:4">
      <c r="C240" t="s">
        <v>147</v>
      </c>
      <c r="D240" t="s">
        <v>147</v>
      </c>
    </row>
    <row r="241" spans="3:4">
      <c r="C241" t="s">
        <v>148</v>
      </c>
      <c r="D241" t="s">
        <v>148</v>
      </c>
    </row>
    <row r="243" spans="3:4">
      <c r="C243" t="s">
        <v>149</v>
      </c>
      <c r="D243" t="s">
        <v>149</v>
      </c>
    </row>
    <row r="244" spans="3:4">
      <c r="C244" t="s">
        <v>146</v>
      </c>
      <c r="D244" t="s">
        <v>146</v>
      </c>
    </row>
    <row r="245" spans="3:4">
      <c r="C245" t="s">
        <v>150</v>
      </c>
      <c r="D245" t="s">
        <v>150</v>
      </c>
    </row>
    <row r="247" spans="3:4">
      <c r="C247" t="s">
        <v>151</v>
      </c>
      <c r="D247" t="s">
        <v>151</v>
      </c>
    </row>
    <row r="248" spans="3:4">
      <c r="C248" t="s">
        <v>113</v>
      </c>
      <c r="D248" t="s">
        <v>113</v>
      </c>
    </row>
    <row r="249" spans="3:4">
      <c r="C249" t="s">
        <v>114</v>
      </c>
      <c r="D249" t="s">
        <v>114</v>
      </c>
    </row>
    <row r="251" spans="3:4">
      <c r="C251" t="s">
        <v>152</v>
      </c>
      <c r="D251" t="s">
        <v>152</v>
      </c>
    </row>
    <row r="252" spans="3:4">
      <c r="C252" t="s">
        <v>76</v>
      </c>
      <c r="D252" t="s">
        <v>76</v>
      </c>
    </row>
    <row r="253" spans="3:4">
      <c r="C253" t="s">
        <v>77</v>
      </c>
      <c r="D253" t="s">
        <v>77</v>
      </c>
    </row>
    <row r="255" spans="3:4">
      <c r="C255" t="s">
        <v>153</v>
      </c>
      <c r="D255" t="s">
        <v>153</v>
      </c>
    </row>
    <row r="256" spans="3:4">
      <c r="C256" t="s">
        <v>117</v>
      </c>
      <c r="D256" t="s">
        <v>117</v>
      </c>
    </row>
    <row r="257" spans="3:4">
      <c r="C257" t="s">
        <v>36</v>
      </c>
      <c r="D257" t="s">
        <v>36</v>
      </c>
    </row>
    <row r="258" spans="3:4">
      <c r="C258" t="s">
        <v>104</v>
      </c>
      <c r="D258" t="s">
        <v>104</v>
      </c>
    </row>
    <row r="259" spans="3:4">
      <c r="C259" t="s">
        <v>118</v>
      </c>
      <c r="D259" t="s">
        <v>118</v>
      </c>
    </row>
    <row r="261" spans="3:4">
      <c r="C261" t="s">
        <v>154</v>
      </c>
      <c r="D261" t="s">
        <v>154</v>
      </c>
    </row>
    <row r="262" spans="3:4">
      <c r="C262" t="s">
        <v>155</v>
      </c>
      <c r="D262" t="s">
        <v>155</v>
      </c>
    </row>
    <row r="264" spans="3:4">
      <c r="C264" t="s">
        <v>156</v>
      </c>
      <c r="D264" t="s">
        <v>156</v>
      </c>
    </row>
    <row r="265" spans="3:4">
      <c r="C265" t="s">
        <v>157</v>
      </c>
      <c r="D265" t="s">
        <v>157</v>
      </c>
    </row>
    <row r="267" spans="3:4">
      <c r="C267" t="s">
        <v>158</v>
      </c>
      <c r="D267" t="s">
        <v>158</v>
      </c>
    </row>
    <row r="268" spans="3:4">
      <c r="C268" t="s">
        <v>159</v>
      </c>
      <c r="D268" t="s">
        <v>159</v>
      </c>
    </row>
    <row r="270" spans="3:4">
      <c r="C270" t="s">
        <v>160</v>
      </c>
      <c r="D270" t="s">
        <v>160</v>
      </c>
    </row>
    <row r="271" spans="3:4">
      <c r="C271" t="s">
        <v>126</v>
      </c>
      <c r="D271" t="s">
        <v>126</v>
      </c>
    </row>
    <row r="272" spans="3:4">
      <c r="C272" t="s">
        <v>127</v>
      </c>
      <c r="D272" t="s">
        <v>127</v>
      </c>
    </row>
    <row r="274" spans="3:4">
      <c r="C274" t="s">
        <v>161</v>
      </c>
      <c r="D274" t="s">
        <v>161</v>
      </c>
    </row>
    <row r="275" spans="3:4">
      <c r="C275" t="s">
        <v>126</v>
      </c>
      <c r="D275" t="s">
        <v>126</v>
      </c>
    </row>
    <row r="277" spans="3:4">
      <c r="C277" t="s">
        <v>162</v>
      </c>
      <c r="D277" t="s">
        <v>162</v>
      </c>
    </row>
    <row r="278" spans="3:4">
      <c r="C278" t="s">
        <v>163</v>
      </c>
      <c r="D278" t="s">
        <v>163</v>
      </c>
    </row>
    <row r="279" spans="3:4">
      <c r="C279" t="s">
        <v>36</v>
      </c>
      <c r="D279" t="s">
        <v>36</v>
      </c>
    </row>
    <row r="280" spans="3:4">
      <c r="C280" t="s">
        <v>164</v>
      </c>
      <c r="D280" t="s">
        <v>164</v>
      </c>
    </row>
    <row r="281" spans="3:4">
      <c r="C281" t="s">
        <v>118</v>
      </c>
      <c r="D281" t="s">
        <v>118</v>
      </c>
    </row>
    <row r="283" spans="3:4">
      <c r="C283" t="s">
        <v>165</v>
      </c>
      <c r="D283" t="s">
        <v>165</v>
      </c>
    </row>
    <row r="284" spans="3:4">
      <c r="C284" t="s">
        <v>166</v>
      </c>
      <c r="D284" t="s">
        <v>166</v>
      </c>
    </row>
    <row r="286" spans="3:4">
      <c r="C286" t="s">
        <v>167</v>
      </c>
      <c r="D286" t="s">
        <v>167</v>
      </c>
    </row>
    <row r="287" spans="3:4">
      <c r="C287" t="s">
        <v>168</v>
      </c>
      <c r="D287" t="s">
        <v>168</v>
      </c>
    </row>
    <row r="289" spans="3:4">
      <c r="C289" t="s">
        <v>169</v>
      </c>
      <c r="D289" t="s">
        <v>169</v>
      </c>
    </row>
    <row r="290" spans="3:4">
      <c r="C290" t="s">
        <v>159</v>
      </c>
      <c r="D290" t="s">
        <v>159</v>
      </c>
    </row>
    <row r="292" spans="3:4">
      <c r="C292" t="s">
        <v>170</v>
      </c>
      <c r="D292" t="s">
        <v>170</v>
      </c>
    </row>
    <row r="293" spans="3:4">
      <c r="C293" t="s">
        <v>171</v>
      </c>
      <c r="D293" t="s">
        <v>171</v>
      </c>
    </row>
    <row r="295" spans="3:4">
      <c r="C295" t="s">
        <v>172</v>
      </c>
      <c r="D295" t="s">
        <v>172</v>
      </c>
    </row>
    <row r="296" spans="3:4">
      <c r="C296" t="s">
        <v>173</v>
      </c>
      <c r="D296" t="s">
        <v>173</v>
      </c>
    </row>
    <row r="297" spans="3:4">
      <c r="C297" t="s">
        <v>174</v>
      </c>
      <c r="D297" t="s">
        <v>174</v>
      </c>
    </row>
    <row r="299" spans="3:4">
      <c r="C299" t="s">
        <v>175</v>
      </c>
      <c r="D299" t="s">
        <v>175</v>
      </c>
    </row>
    <row r="300" spans="3:4">
      <c r="C300" t="s">
        <v>113</v>
      </c>
      <c r="D300" t="s">
        <v>113</v>
      </c>
    </row>
    <row r="301" spans="3:4">
      <c r="C301" t="s">
        <v>114</v>
      </c>
      <c r="D301" t="s">
        <v>114</v>
      </c>
    </row>
    <row r="303" spans="3:4">
      <c r="C303" t="s">
        <v>176</v>
      </c>
      <c r="D303" t="s">
        <v>176</v>
      </c>
    </row>
    <row r="304" spans="3:4">
      <c r="C304" t="s">
        <v>177</v>
      </c>
      <c r="D304" t="s">
        <v>177</v>
      </c>
    </row>
    <row r="306" spans="3:4">
      <c r="C306" t="s">
        <v>178</v>
      </c>
      <c r="D306" t="s">
        <v>178</v>
      </c>
    </row>
    <row r="307" spans="3:4">
      <c r="C307" t="s">
        <v>179</v>
      </c>
      <c r="D307" t="s">
        <v>179</v>
      </c>
    </row>
    <row r="309" spans="3:4">
      <c r="C309" t="s">
        <v>180</v>
      </c>
      <c r="D309" t="s">
        <v>180</v>
      </c>
    </row>
    <row r="310" spans="3:4">
      <c r="C310" t="s">
        <v>181</v>
      </c>
      <c r="D310" t="s">
        <v>181</v>
      </c>
    </row>
    <row r="312" spans="3:4">
      <c r="C312" t="s">
        <v>182</v>
      </c>
      <c r="D312" t="s">
        <v>182</v>
      </c>
    </row>
    <row r="313" spans="3:4">
      <c r="C313" t="s">
        <v>183</v>
      </c>
      <c r="D313" t="s">
        <v>183</v>
      </c>
    </row>
    <row r="314" spans="3:4">
      <c r="C314" t="s">
        <v>184</v>
      </c>
      <c r="D314" t="s">
        <v>184</v>
      </c>
    </row>
    <row r="316" spans="3:4">
      <c r="C316" t="s">
        <v>185</v>
      </c>
      <c r="D316" t="s">
        <v>185</v>
      </c>
    </row>
    <row r="317" spans="3:4">
      <c r="C317" t="s">
        <v>126</v>
      </c>
      <c r="D317" t="s">
        <v>126</v>
      </c>
    </row>
    <row r="318" spans="3:4">
      <c r="C318" t="s">
        <v>127</v>
      </c>
      <c r="D318" t="s">
        <v>127</v>
      </c>
    </row>
    <row r="320" spans="3:4">
      <c r="C320" t="s">
        <v>186</v>
      </c>
      <c r="D320" t="s">
        <v>186</v>
      </c>
    </row>
    <row r="321" spans="3:4">
      <c r="C321" t="s">
        <v>187</v>
      </c>
      <c r="D321" t="s">
        <v>187</v>
      </c>
    </row>
    <row r="323" spans="3:4">
      <c r="C323" t="s">
        <v>188</v>
      </c>
      <c r="D323" t="s">
        <v>188</v>
      </c>
    </row>
    <row r="324" spans="3:4">
      <c r="C324" t="s">
        <v>189</v>
      </c>
      <c r="D324" t="s">
        <v>189</v>
      </c>
    </row>
    <row r="326" spans="3:4">
      <c r="C326" t="s">
        <v>190</v>
      </c>
      <c r="D326" t="s">
        <v>190</v>
      </c>
    </row>
    <row r="327" spans="3:4">
      <c r="C327" t="s">
        <v>191</v>
      </c>
      <c r="D327" t="s">
        <v>191</v>
      </c>
    </row>
    <row r="329" spans="3:4">
      <c r="C329" t="s">
        <v>192</v>
      </c>
      <c r="D329" t="s">
        <v>192</v>
      </c>
    </row>
    <row r="330" spans="3:4">
      <c r="C330" t="s">
        <v>193</v>
      </c>
      <c r="D330" t="s">
        <v>193</v>
      </c>
    </row>
    <row r="331" spans="3:4">
      <c r="C331" t="s">
        <v>194</v>
      </c>
      <c r="D331" t="s">
        <v>194</v>
      </c>
    </row>
    <row r="333" spans="3:4">
      <c r="C333" t="s">
        <v>195</v>
      </c>
      <c r="D333" t="s">
        <v>195</v>
      </c>
    </row>
    <row r="334" spans="3:4">
      <c r="C334" t="s">
        <v>187</v>
      </c>
      <c r="D334" t="s">
        <v>187</v>
      </c>
    </row>
    <row r="335" spans="3:4">
      <c r="C335" t="s">
        <v>196</v>
      </c>
      <c r="D335" t="s">
        <v>196</v>
      </c>
    </row>
    <row r="337" spans="3:4">
      <c r="C337" t="s">
        <v>197</v>
      </c>
      <c r="D337" t="s">
        <v>197</v>
      </c>
    </row>
    <row r="338" spans="3:4">
      <c r="C338" t="s">
        <v>198</v>
      </c>
      <c r="D338" t="s">
        <v>198</v>
      </c>
    </row>
    <row r="340" spans="3:4">
      <c r="C340" t="s">
        <v>199</v>
      </c>
      <c r="D340" t="s">
        <v>199</v>
      </c>
    </row>
    <row r="341" spans="3:4">
      <c r="C341" t="s">
        <v>193</v>
      </c>
      <c r="D341" t="s">
        <v>193</v>
      </c>
    </row>
    <row r="342" spans="3:4">
      <c r="C342" t="s">
        <v>194</v>
      </c>
      <c r="D342" t="s">
        <v>194</v>
      </c>
    </row>
    <row r="344" spans="3:4">
      <c r="C344" t="s">
        <v>200</v>
      </c>
      <c r="D344" t="s">
        <v>200</v>
      </c>
    </row>
    <row r="345" spans="3:4">
      <c r="C345" t="s">
        <v>201</v>
      </c>
      <c r="D345" t="s">
        <v>201</v>
      </c>
    </row>
    <row r="347" spans="3:4">
      <c r="C347" t="s">
        <v>202</v>
      </c>
      <c r="D347" t="s">
        <v>202</v>
      </c>
    </row>
    <row r="348" spans="3:4">
      <c r="C348" t="s">
        <v>203</v>
      </c>
      <c r="D348" t="s">
        <v>203</v>
      </c>
    </row>
    <row r="349" spans="3:4">
      <c r="C349" t="s">
        <v>204</v>
      </c>
      <c r="D349" t="s">
        <v>204</v>
      </c>
    </row>
    <row r="351" spans="3:4">
      <c r="C351" t="s">
        <v>205</v>
      </c>
      <c r="D351" t="s">
        <v>205</v>
      </c>
    </row>
    <row r="352" spans="3:4">
      <c r="C352" t="s">
        <v>198</v>
      </c>
      <c r="D352" t="s">
        <v>198</v>
      </c>
    </row>
    <row r="354" spans="3:4">
      <c r="C354" t="s">
        <v>206</v>
      </c>
      <c r="D354" t="s">
        <v>206</v>
      </c>
    </row>
    <row r="355" spans="3:4">
      <c r="C355" t="s">
        <v>198</v>
      </c>
      <c r="D355" t="s">
        <v>198</v>
      </c>
    </row>
    <row r="357" spans="3:4">
      <c r="C357" t="s">
        <v>207</v>
      </c>
      <c r="D357" t="s">
        <v>207</v>
      </c>
    </row>
    <row r="358" spans="3:4">
      <c r="C358" t="s">
        <v>208</v>
      </c>
      <c r="D358" t="s">
        <v>208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workbookViewId="0">
      <selection activeCell="I23" sqref="I23"/>
    </sheetView>
  </sheetViews>
  <sheetFormatPr baseColWidth="10" defaultRowHeight="15" x14ac:dyDescent="0"/>
  <sheetData>
    <row r="1" spans="1:13">
      <c r="A1" t="s">
        <v>267</v>
      </c>
      <c r="G1" t="s">
        <v>268</v>
      </c>
    </row>
    <row r="2" spans="1:13">
      <c r="A2" t="s">
        <v>263</v>
      </c>
      <c r="G2" t="s">
        <v>269</v>
      </c>
    </row>
    <row r="3" spans="1:13">
      <c r="A3" t="s">
        <v>258</v>
      </c>
      <c r="B3" t="s">
        <v>259</v>
      </c>
      <c r="C3" t="s">
        <v>260</v>
      </c>
      <c r="D3" t="s">
        <v>261</v>
      </c>
      <c r="E3" t="s">
        <v>262</v>
      </c>
      <c r="G3" t="s">
        <v>258</v>
      </c>
      <c r="H3" t="s">
        <v>259</v>
      </c>
      <c r="I3" t="s">
        <v>260</v>
      </c>
      <c r="J3" t="s">
        <v>261</v>
      </c>
      <c r="K3" t="s">
        <v>262</v>
      </c>
      <c r="L3">
        <v>1</v>
      </c>
      <c r="M3" t="s">
        <v>215</v>
      </c>
    </row>
    <row r="4" spans="1:13">
      <c r="A4">
        <v>1893</v>
      </c>
      <c r="B4">
        <v>1865</v>
      </c>
      <c r="C4">
        <v>1922</v>
      </c>
      <c r="D4">
        <v>1887</v>
      </c>
      <c r="E4">
        <v>2116</v>
      </c>
      <c r="G4">
        <v>4355</v>
      </c>
      <c r="H4">
        <v>4256</v>
      </c>
      <c r="I4">
        <v>4488</v>
      </c>
      <c r="J4">
        <v>4314</v>
      </c>
      <c r="K4">
        <v>4975</v>
      </c>
      <c r="L4">
        <v>2</v>
      </c>
      <c r="M4" t="s">
        <v>216</v>
      </c>
    </row>
    <row r="5" spans="1:13">
      <c r="A5">
        <v>1941</v>
      </c>
      <c r="B5">
        <v>1855</v>
      </c>
      <c r="C5">
        <v>1910</v>
      </c>
      <c r="D5">
        <v>1901</v>
      </c>
      <c r="E5">
        <v>2138</v>
      </c>
      <c r="G5">
        <v>4391</v>
      </c>
      <c r="H5">
        <v>4232</v>
      </c>
      <c r="I5">
        <v>4457</v>
      </c>
      <c r="J5">
        <v>4383</v>
      </c>
      <c r="K5">
        <v>4906</v>
      </c>
      <c r="L5">
        <v>3</v>
      </c>
      <c r="M5" t="s">
        <v>217</v>
      </c>
    </row>
    <row r="6" spans="1:13">
      <c r="A6">
        <v>1895</v>
      </c>
      <c r="B6">
        <v>1881</v>
      </c>
      <c r="C6">
        <v>1912</v>
      </c>
      <c r="D6">
        <v>1956</v>
      </c>
      <c r="E6">
        <v>2160</v>
      </c>
      <c r="G6">
        <v>4434</v>
      </c>
      <c r="H6">
        <v>4285</v>
      </c>
      <c r="I6">
        <v>4491</v>
      </c>
      <c r="J6">
        <v>4458</v>
      </c>
      <c r="K6">
        <v>4852</v>
      </c>
      <c r="L6">
        <v>4</v>
      </c>
      <c r="M6" t="s">
        <v>218</v>
      </c>
    </row>
    <row r="7" spans="1:13">
      <c r="A7">
        <v>1876</v>
      </c>
      <c r="B7">
        <v>1855</v>
      </c>
      <c r="C7">
        <v>1935</v>
      </c>
      <c r="D7">
        <v>1896</v>
      </c>
      <c r="E7">
        <v>2139</v>
      </c>
      <c r="G7">
        <f>AVERAGE(G4:G6)</f>
        <v>4393.333333333333</v>
      </c>
      <c r="H7">
        <f t="shared" ref="H7" si="0">AVERAGE(H4:H6)</f>
        <v>4257.666666666667</v>
      </c>
      <c r="I7">
        <f t="shared" ref="I7" si="1">AVERAGE(I4:I6)</f>
        <v>4478.666666666667</v>
      </c>
      <c r="J7">
        <f t="shared" ref="J7" si="2">AVERAGE(J4:J6)</f>
        <v>4385</v>
      </c>
      <c r="K7">
        <f>AVERAGE(K4:K6)</f>
        <v>4911</v>
      </c>
      <c r="L7">
        <v>5</v>
      </c>
      <c r="M7" t="s">
        <v>219</v>
      </c>
    </row>
    <row r="8" spans="1:13">
      <c r="A8">
        <v>1876</v>
      </c>
      <c r="B8">
        <v>1879</v>
      </c>
      <c r="C8">
        <v>1928</v>
      </c>
      <c r="D8">
        <v>1890</v>
      </c>
      <c r="E8">
        <v>2131</v>
      </c>
      <c r="L8">
        <v>6</v>
      </c>
      <c r="M8" t="s">
        <v>220</v>
      </c>
    </row>
    <row r="9" spans="1:13">
      <c r="A9">
        <f>AVERAGE(A4:A8)</f>
        <v>1896.2</v>
      </c>
      <c r="B9">
        <f t="shared" ref="B9:E9" si="3">AVERAGE(B4:B8)</f>
        <v>1867</v>
      </c>
      <c r="C9">
        <f t="shared" si="3"/>
        <v>1921.4</v>
      </c>
      <c r="D9">
        <f t="shared" si="3"/>
        <v>1906</v>
      </c>
      <c r="E9">
        <f t="shared" si="3"/>
        <v>2136.8000000000002</v>
      </c>
      <c r="I9">
        <f>(K7-I7)/K7</f>
        <v>8.8033665920043372E-2</v>
      </c>
      <c r="L9">
        <v>7</v>
      </c>
      <c r="M9" t="s">
        <v>221</v>
      </c>
    </row>
    <row r="10" spans="1:13">
      <c r="I10">
        <f>(K7-H7)/K7</f>
        <v>0.13303468404262533</v>
      </c>
      <c r="L10">
        <v>8</v>
      </c>
      <c r="M10" t="s">
        <v>222</v>
      </c>
    </row>
    <row r="11" spans="1:13">
      <c r="C11">
        <f>(E9-C9)/E9</f>
        <v>0.10080494196929993</v>
      </c>
      <c r="L11">
        <v>9</v>
      </c>
      <c r="M11" t="s">
        <v>223</v>
      </c>
    </row>
    <row r="12" spans="1:13">
      <c r="C12">
        <f>(E9-B9)/E9</f>
        <v>0.12626357169599409</v>
      </c>
      <c r="L12">
        <v>10</v>
      </c>
      <c r="M12" t="s">
        <v>224</v>
      </c>
    </row>
    <row r="13" spans="1:13">
      <c r="L13">
        <v>11</v>
      </c>
      <c r="M13" t="s">
        <v>225</v>
      </c>
    </row>
    <row r="14" spans="1:13">
      <c r="A14" t="s">
        <v>264</v>
      </c>
      <c r="G14" t="s">
        <v>266</v>
      </c>
      <c r="L14">
        <v>12</v>
      </c>
      <c r="M14" t="s">
        <v>226</v>
      </c>
    </row>
    <row r="15" spans="1:13">
      <c r="A15" t="s">
        <v>258</v>
      </c>
      <c r="B15" t="s">
        <v>259</v>
      </c>
      <c r="C15" t="s">
        <v>260</v>
      </c>
      <c r="D15" t="s">
        <v>261</v>
      </c>
      <c r="E15" t="s">
        <v>262</v>
      </c>
      <c r="G15" t="s">
        <v>258</v>
      </c>
      <c r="H15" t="s">
        <v>259</v>
      </c>
      <c r="I15" t="s">
        <v>260</v>
      </c>
      <c r="J15" t="s">
        <v>261</v>
      </c>
      <c r="K15" t="s">
        <v>262</v>
      </c>
      <c r="L15">
        <v>13</v>
      </c>
      <c r="M15" t="s">
        <v>227</v>
      </c>
    </row>
    <row r="16" spans="1:13">
      <c r="A16">
        <v>2566</v>
      </c>
      <c r="B16">
        <v>2496</v>
      </c>
      <c r="C16">
        <v>2674</v>
      </c>
      <c r="D16">
        <v>2566</v>
      </c>
      <c r="E16">
        <v>2909</v>
      </c>
      <c r="G16">
        <v>20582</v>
      </c>
      <c r="H16">
        <v>19419</v>
      </c>
      <c r="I16">
        <v>20715</v>
      </c>
      <c r="J16">
        <v>20329</v>
      </c>
      <c r="K16">
        <v>23717</v>
      </c>
      <c r="L16">
        <v>14</v>
      </c>
      <c r="M16" t="s">
        <v>228</v>
      </c>
    </row>
    <row r="17" spans="1:13">
      <c r="A17">
        <v>2588</v>
      </c>
      <c r="B17">
        <v>2542</v>
      </c>
      <c r="C17">
        <v>2600</v>
      </c>
      <c r="D17">
        <v>2569</v>
      </c>
      <c r="E17">
        <v>2909</v>
      </c>
      <c r="G17">
        <v>21149</v>
      </c>
      <c r="H17">
        <v>19154</v>
      </c>
      <c r="I17">
        <v>21278</v>
      </c>
      <c r="J17">
        <v>20027</v>
      </c>
      <c r="K17">
        <v>24453</v>
      </c>
      <c r="L17">
        <v>15</v>
      </c>
      <c r="M17" t="s">
        <v>229</v>
      </c>
    </row>
    <row r="18" spans="1:13">
      <c r="A18">
        <v>2634</v>
      </c>
      <c r="B18">
        <v>2575</v>
      </c>
      <c r="C18">
        <v>2656</v>
      </c>
      <c r="D18">
        <v>2565</v>
      </c>
      <c r="E18">
        <v>2951</v>
      </c>
      <c r="G18">
        <v>20198</v>
      </c>
      <c r="H18">
        <v>19154</v>
      </c>
      <c r="I18">
        <v>21464</v>
      </c>
      <c r="J18">
        <v>20086</v>
      </c>
      <c r="K18">
        <v>24054</v>
      </c>
      <c r="L18">
        <v>16</v>
      </c>
      <c r="M18" t="s">
        <v>230</v>
      </c>
    </row>
    <row r="19" spans="1:13">
      <c r="A19">
        <f>AVERAGE(A16:A18)</f>
        <v>2596</v>
      </c>
      <c r="B19">
        <f t="shared" ref="B19:D19" si="4">AVERAGE(B16:B18)</f>
        <v>2537.6666666666665</v>
      </c>
      <c r="C19">
        <f t="shared" si="4"/>
        <v>2643.3333333333335</v>
      </c>
      <c r="D19">
        <f t="shared" si="4"/>
        <v>2566.6666666666665</v>
      </c>
      <c r="E19">
        <f>AVERAGE(E16:E18)</f>
        <v>2923</v>
      </c>
      <c r="G19">
        <f>AVERAGE(G16:G18)</f>
        <v>20643</v>
      </c>
      <c r="H19">
        <f t="shared" ref="H19" si="5">AVERAGE(H16:H18)</f>
        <v>19242.333333333332</v>
      </c>
      <c r="I19">
        <f t="shared" ref="I19" si="6">AVERAGE(I16:I18)</f>
        <v>21152.333333333332</v>
      </c>
      <c r="J19">
        <f t="shared" ref="J19" si="7">AVERAGE(J16:J18)</f>
        <v>20147.333333333332</v>
      </c>
      <c r="K19">
        <f>AVERAGE(K16:K18)</f>
        <v>24074.666666666668</v>
      </c>
      <c r="L19">
        <v>17</v>
      </c>
      <c r="M19" t="s">
        <v>231</v>
      </c>
    </row>
    <row r="21" spans="1:13">
      <c r="C21">
        <f>(E19-C19)/E19</f>
        <v>9.5677956437450057E-2</v>
      </c>
      <c r="I21">
        <f>(K19-I19)/K19</f>
        <v>0.12138624280017732</v>
      </c>
      <c r="L21">
        <v>18</v>
      </c>
      <c r="M21" t="s">
        <v>232</v>
      </c>
    </row>
    <row r="22" spans="1:13">
      <c r="C22">
        <f>(E19-B19)/E19</f>
        <v>0.13182803056220782</v>
      </c>
      <c r="I22">
        <f>(K19-H19)/K19</f>
        <v>0.20072275143996465</v>
      </c>
      <c r="L22">
        <v>19</v>
      </c>
      <c r="M22" t="s">
        <v>233</v>
      </c>
    </row>
    <row r="23" spans="1:13">
      <c r="L23">
        <v>20</v>
      </c>
      <c r="M23" t="s">
        <v>234</v>
      </c>
    </row>
    <row r="24" spans="1:13">
      <c r="A24" t="s">
        <v>265</v>
      </c>
      <c r="L24">
        <v>21</v>
      </c>
      <c r="M24" t="s">
        <v>235</v>
      </c>
    </row>
    <row r="25" spans="1:13">
      <c r="A25" t="s">
        <v>258</v>
      </c>
      <c r="B25" t="s">
        <v>259</v>
      </c>
      <c r="C25" t="s">
        <v>260</v>
      </c>
      <c r="D25" t="s">
        <v>261</v>
      </c>
      <c r="E25" t="s">
        <v>262</v>
      </c>
      <c r="L25">
        <v>22</v>
      </c>
      <c r="M25" t="s">
        <v>236</v>
      </c>
    </row>
    <row r="26" spans="1:13">
      <c r="A26">
        <v>3583</v>
      </c>
      <c r="B26">
        <v>3489</v>
      </c>
      <c r="C26">
        <v>3684</v>
      </c>
      <c r="D26">
        <v>3619</v>
      </c>
      <c r="E26">
        <v>4115</v>
      </c>
      <c r="L26">
        <v>23</v>
      </c>
      <c r="M26" t="s">
        <v>237</v>
      </c>
    </row>
    <row r="27" spans="1:13">
      <c r="A27">
        <v>3618</v>
      </c>
      <c r="B27">
        <v>3532</v>
      </c>
      <c r="C27">
        <v>3657</v>
      </c>
      <c r="D27">
        <v>3602</v>
      </c>
      <c r="E27">
        <v>4217</v>
      </c>
      <c r="L27">
        <v>24</v>
      </c>
      <c r="M27" t="s">
        <v>238</v>
      </c>
    </row>
    <row r="28" spans="1:13">
      <c r="A28">
        <v>3615</v>
      </c>
      <c r="B28">
        <v>3519</v>
      </c>
      <c r="C28">
        <v>3688</v>
      </c>
      <c r="D28">
        <v>3599</v>
      </c>
      <c r="E28">
        <v>4111</v>
      </c>
      <c r="L28">
        <v>25</v>
      </c>
      <c r="M28" t="s">
        <v>239</v>
      </c>
    </row>
    <row r="29" spans="1:13">
      <c r="A29">
        <f>AVERAGE(A26:A28)</f>
        <v>3605.3333333333335</v>
      </c>
      <c r="B29">
        <f t="shared" ref="B29" si="8">AVERAGE(B26:B28)</f>
        <v>3513.3333333333335</v>
      </c>
      <c r="C29">
        <f t="shared" ref="C29" si="9">AVERAGE(C26:C28)</f>
        <v>3676.3333333333335</v>
      </c>
      <c r="D29">
        <f t="shared" ref="D29" si="10">AVERAGE(D26:D28)</f>
        <v>3606.6666666666665</v>
      </c>
      <c r="E29">
        <f>AVERAGE(E26:E28)</f>
        <v>4147.666666666667</v>
      </c>
      <c r="L29">
        <v>26</v>
      </c>
      <c r="M29" t="s">
        <v>240</v>
      </c>
    </row>
    <row r="30" spans="1:13">
      <c r="L30">
        <v>27</v>
      </c>
      <c r="M30" t="s">
        <v>241</v>
      </c>
    </row>
    <row r="31" spans="1:13">
      <c r="C31">
        <f>(E29-C29)/E29</f>
        <v>0.11363819014707068</v>
      </c>
      <c r="L31">
        <v>28</v>
      </c>
      <c r="M31" t="s">
        <v>242</v>
      </c>
    </row>
    <row r="32" spans="1:13">
      <c r="C32">
        <f>(E29-B29)/E29</f>
        <v>0.1529373945190067</v>
      </c>
      <c r="L32">
        <v>29</v>
      </c>
      <c r="M32" t="s">
        <v>243</v>
      </c>
    </row>
    <row r="33" spans="1:13">
      <c r="L33">
        <v>30</v>
      </c>
      <c r="M33" t="s">
        <v>244</v>
      </c>
    </row>
    <row r="34" spans="1:13">
      <c r="A34" t="s">
        <v>266</v>
      </c>
      <c r="L34">
        <v>31</v>
      </c>
      <c r="M34" t="s">
        <v>245</v>
      </c>
    </row>
    <row r="35" spans="1:13">
      <c r="A35" t="s">
        <v>258</v>
      </c>
      <c r="B35" t="s">
        <v>259</v>
      </c>
      <c r="C35" t="s">
        <v>260</v>
      </c>
      <c r="D35" t="s">
        <v>261</v>
      </c>
      <c r="E35" t="s">
        <v>262</v>
      </c>
      <c r="L35">
        <v>32</v>
      </c>
      <c r="M35" t="s">
        <v>246</v>
      </c>
    </row>
    <row r="36" spans="1:13">
      <c r="A36">
        <v>4226</v>
      </c>
      <c r="B36">
        <v>4190</v>
      </c>
      <c r="C36">
        <v>4329</v>
      </c>
      <c r="D36">
        <v>4251</v>
      </c>
      <c r="E36">
        <v>4789</v>
      </c>
      <c r="L36">
        <v>33</v>
      </c>
      <c r="M36" t="s">
        <v>247</v>
      </c>
    </row>
    <row r="37" spans="1:13">
      <c r="A37">
        <v>4283</v>
      </c>
      <c r="B37">
        <v>4174</v>
      </c>
      <c r="C37">
        <v>4349</v>
      </c>
      <c r="D37">
        <v>4206</v>
      </c>
      <c r="E37">
        <v>4831</v>
      </c>
      <c r="L37">
        <v>34</v>
      </c>
      <c r="M37" t="s">
        <v>248</v>
      </c>
    </row>
    <row r="38" spans="1:13">
      <c r="A38">
        <v>4245</v>
      </c>
      <c r="B38">
        <v>4197</v>
      </c>
      <c r="C38">
        <v>4327</v>
      </c>
      <c r="D38">
        <v>4283</v>
      </c>
      <c r="E38">
        <v>4805</v>
      </c>
      <c r="L38">
        <v>35</v>
      </c>
      <c r="M38" t="s">
        <v>249</v>
      </c>
    </row>
    <row r="39" spans="1:13">
      <c r="A39">
        <f>AVERAGE(A36:A38)</f>
        <v>4251.333333333333</v>
      </c>
      <c r="B39">
        <f t="shared" ref="B39" si="11">AVERAGE(B36:B38)</f>
        <v>4187</v>
      </c>
      <c r="C39">
        <f t="shared" ref="C39" si="12">AVERAGE(C36:C38)</f>
        <v>4335</v>
      </c>
      <c r="D39">
        <f t="shared" ref="D39" si="13">AVERAGE(D36:D38)</f>
        <v>4246.666666666667</v>
      </c>
      <c r="E39">
        <f>AVERAGE(E36:E38)</f>
        <v>4808.333333333333</v>
      </c>
      <c r="L39">
        <v>36</v>
      </c>
      <c r="M39" t="s">
        <v>250</v>
      </c>
    </row>
    <row r="40" spans="1:13">
      <c r="L40">
        <v>37</v>
      </c>
      <c r="M40" t="s">
        <v>251</v>
      </c>
    </row>
    <row r="41" spans="1:13">
      <c r="C41">
        <f>(E39-C39)/E39</f>
        <v>9.8440207972270308E-2</v>
      </c>
      <c r="L41">
        <v>38</v>
      </c>
      <c r="M41" t="s">
        <v>252</v>
      </c>
    </row>
    <row r="42" spans="1:13">
      <c r="C42">
        <f>(E39-B39)/E39</f>
        <v>0.12922010398613512</v>
      </c>
      <c r="L42">
        <v>39</v>
      </c>
      <c r="M42" t="s">
        <v>253</v>
      </c>
    </row>
    <row r="43" spans="1:13">
      <c r="L43">
        <v>40</v>
      </c>
      <c r="M43" t="s">
        <v>254</v>
      </c>
    </row>
    <row r="44" spans="1:13">
      <c r="L44">
        <v>41</v>
      </c>
      <c r="M44" t="s">
        <v>255</v>
      </c>
    </row>
    <row r="45" spans="1:13">
      <c r="L45">
        <v>42</v>
      </c>
      <c r="M45" t="s">
        <v>254</v>
      </c>
    </row>
    <row r="46" spans="1:13">
      <c r="L46">
        <v>43</v>
      </c>
      <c r="M46" t="s">
        <v>256</v>
      </c>
    </row>
    <row r="47" spans="1:13">
      <c r="L47">
        <v>44</v>
      </c>
      <c r="M47" t="s">
        <v>257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workbookViewId="0">
      <selection activeCell="H7" sqref="H7"/>
    </sheetView>
  </sheetViews>
  <sheetFormatPr baseColWidth="10" defaultRowHeight="15" x14ac:dyDescent="0"/>
  <cols>
    <col min="1" max="1" width="21.83203125" bestFit="1" customWidth="1"/>
    <col min="2" max="2" width="22.1640625" customWidth="1"/>
  </cols>
  <sheetData>
    <row r="1" spans="1:11">
      <c r="A1" t="s">
        <v>270</v>
      </c>
      <c r="B1" t="s">
        <v>271</v>
      </c>
      <c r="C1" t="s">
        <v>272</v>
      </c>
      <c r="D1" t="s">
        <v>274</v>
      </c>
      <c r="E1" t="s">
        <v>275</v>
      </c>
      <c r="F1" t="s">
        <v>429</v>
      </c>
      <c r="G1" t="s">
        <v>277</v>
      </c>
      <c r="H1" t="s">
        <v>278</v>
      </c>
      <c r="I1" t="s">
        <v>279</v>
      </c>
      <c r="J1" t="s">
        <v>286</v>
      </c>
      <c r="K1" t="s">
        <v>287</v>
      </c>
    </row>
    <row r="2" spans="1:11">
      <c r="A2" t="s">
        <v>432</v>
      </c>
      <c r="B2" t="s">
        <v>273</v>
      </c>
      <c r="C2">
        <v>1</v>
      </c>
      <c r="D2">
        <v>16</v>
      </c>
      <c r="E2">
        <v>7590</v>
      </c>
      <c r="F2" s="4">
        <f>(E2-G2)/E2</f>
        <v>0.38102766798418974</v>
      </c>
      <c r="G2">
        <v>4698</v>
      </c>
      <c r="H2">
        <v>1295</v>
      </c>
      <c r="I2">
        <v>11</v>
      </c>
      <c r="J2">
        <v>0</v>
      </c>
      <c r="K2" t="s">
        <v>288</v>
      </c>
    </row>
    <row r="3" spans="1:11">
      <c r="B3" t="s">
        <v>276</v>
      </c>
      <c r="C3">
        <v>2</v>
      </c>
      <c r="D3">
        <v>15</v>
      </c>
      <c r="E3">
        <v>1029</v>
      </c>
      <c r="F3" s="4">
        <f>(E3-G3)/E3</f>
        <v>4.1788143828960157E-2</v>
      </c>
      <c r="G3">
        <v>986</v>
      </c>
      <c r="H3">
        <v>338</v>
      </c>
      <c r="I3">
        <v>0</v>
      </c>
    </row>
    <row r="4" spans="1:11">
      <c r="B4" t="s">
        <v>280</v>
      </c>
      <c r="C4">
        <v>3</v>
      </c>
      <c r="D4" t="s">
        <v>281</v>
      </c>
      <c r="F4" s="4" t="s">
        <v>430</v>
      </c>
    </row>
    <row r="5" spans="1:11">
      <c r="B5" t="s">
        <v>282</v>
      </c>
      <c r="C5">
        <v>4</v>
      </c>
      <c r="D5" t="s">
        <v>283</v>
      </c>
      <c r="F5" s="4" t="s">
        <v>430</v>
      </c>
    </row>
    <row r="6" spans="1:11">
      <c r="B6" t="s">
        <v>284</v>
      </c>
      <c r="C6">
        <v>5</v>
      </c>
      <c r="D6" t="s">
        <v>283</v>
      </c>
      <c r="F6" s="4" t="s">
        <v>430</v>
      </c>
    </row>
    <row r="7" spans="1:11">
      <c r="B7" t="s">
        <v>285</v>
      </c>
      <c r="C7">
        <v>6</v>
      </c>
      <c r="D7">
        <v>5</v>
      </c>
      <c r="E7">
        <v>752</v>
      </c>
      <c r="F7" s="4">
        <f t="shared" ref="F7:F65" si="0">(E7-G7)/E7</f>
        <v>6.9148936170212769E-2</v>
      </c>
      <c r="G7">
        <v>700</v>
      </c>
      <c r="H7">
        <v>91</v>
      </c>
      <c r="I7">
        <v>0</v>
      </c>
    </row>
    <row r="8" spans="1:11">
      <c r="B8" t="s">
        <v>289</v>
      </c>
      <c r="C8">
        <v>7</v>
      </c>
      <c r="D8">
        <v>20736</v>
      </c>
      <c r="E8">
        <v>4486</v>
      </c>
      <c r="F8" s="4">
        <f t="shared" si="0"/>
        <v>4.1462327240303166E-2</v>
      </c>
      <c r="G8">
        <v>4300</v>
      </c>
      <c r="H8">
        <v>4100</v>
      </c>
      <c r="J8" t="s">
        <v>290</v>
      </c>
      <c r="K8" t="s">
        <v>292</v>
      </c>
    </row>
    <row r="9" spans="1:11">
      <c r="B9" t="s">
        <v>293</v>
      </c>
      <c r="C9">
        <v>8</v>
      </c>
      <c r="D9" t="s">
        <v>281</v>
      </c>
      <c r="F9" s="4" t="s">
        <v>430</v>
      </c>
    </row>
    <row r="10" spans="1:11">
      <c r="B10" t="s">
        <v>294</v>
      </c>
      <c r="C10">
        <v>9</v>
      </c>
      <c r="D10">
        <v>10</v>
      </c>
      <c r="E10">
        <v>1997</v>
      </c>
      <c r="F10" s="4">
        <f t="shared" si="0"/>
        <v>0.64947421131697547</v>
      </c>
      <c r="G10">
        <v>700</v>
      </c>
      <c r="H10">
        <v>18</v>
      </c>
      <c r="J10" t="s">
        <v>291</v>
      </c>
    </row>
    <row r="11" spans="1:11">
      <c r="A11" t="s">
        <v>295</v>
      </c>
      <c r="B11" t="s">
        <v>296</v>
      </c>
      <c r="C11">
        <v>2</v>
      </c>
      <c r="D11">
        <v>4</v>
      </c>
      <c r="E11">
        <v>1144</v>
      </c>
      <c r="F11" s="4">
        <f t="shared" si="0"/>
        <v>4.5454545454545456E-2</v>
      </c>
      <c r="G11">
        <v>1092</v>
      </c>
    </row>
    <row r="12" spans="1:11">
      <c r="B12" t="s">
        <v>297</v>
      </c>
      <c r="C12">
        <v>4</v>
      </c>
      <c r="D12">
        <v>4</v>
      </c>
      <c r="E12">
        <v>1151</v>
      </c>
      <c r="F12" s="4">
        <f t="shared" si="0"/>
        <v>3.4752389226759342E-2</v>
      </c>
      <c r="G12">
        <v>1111</v>
      </c>
    </row>
    <row r="13" spans="1:11">
      <c r="B13" t="s">
        <v>298</v>
      </c>
      <c r="C13">
        <v>7</v>
      </c>
      <c r="D13" t="s">
        <v>283</v>
      </c>
      <c r="F13" s="4" t="s">
        <v>430</v>
      </c>
    </row>
    <row r="14" spans="1:11">
      <c r="B14" t="s">
        <v>299</v>
      </c>
      <c r="C14">
        <v>8</v>
      </c>
      <c r="D14" t="s">
        <v>283</v>
      </c>
      <c r="F14" s="4" t="s">
        <v>430</v>
      </c>
    </row>
    <row r="15" spans="1:11">
      <c r="B15" t="s">
        <v>300</v>
      </c>
      <c r="C15">
        <v>13</v>
      </c>
      <c r="D15">
        <v>5</v>
      </c>
      <c r="E15">
        <v>369</v>
      </c>
      <c r="F15" s="4">
        <f t="shared" si="0"/>
        <v>-5.9620596205962058E-2</v>
      </c>
      <c r="G15">
        <v>391</v>
      </c>
    </row>
    <row r="16" spans="1:11">
      <c r="B16" t="s">
        <v>301</v>
      </c>
      <c r="C16">
        <v>14</v>
      </c>
      <c r="D16" t="s">
        <v>302</v>
      </c>
      <c r="F16" s="4" t="s">
        <v>430</v>
      </c>
    </row>
    <row r="17" spans="1:10">
      <c r="B17" t="s">
        <v>297</v>
      </c>
      <c r="C17">
        <v>16</v>
      </c>
      <c r="D17">
        <v>12</v>
      </c>
      <c r="E17">
        <v>20633</v>
      </c>
      <c r="F17" s="4">
        <f t="shared" si="0"/>
        <v>5.0065429166868611E-2</v>
      </c>
      <c r="G17">
        <v>19600</v>
      </c>
      <c r="J17" t="s">
        <v>322</v>
      </c>
    </row>
    <row r="18" spans="1:10">
      <c r="B18" t="s">
        <v>303</v>
      </c>
      <c r="C18">
        <v>18</v>
      </c>
      <c r="D18">
        <v>15</v>
      </c>
      <c r="E18">
        <v>10064</v>
      </c>
      <c r="F18" s="4">
        <f t="shared" si="0"/>
        <v>2.3350556438791734E-2</v>
      </c>
      <c r="G18">
        <v>9829</v>
      </c>
      <c r="H18">
        <v>798</v>
      </c>
    </row>
    <row r="19" spans="1:10">
      <c r="B19" t="s">
        <v>299</v>
      </c>
      <c r="C19">
        <v>19</v>
      </c>
      <c r="D19">
        <v>15</v>
      </c>
      <c r="E19">
        <v>8729</v>
      </c>
      <c r="F19" s="4">
        <f t="shared" si="0"/>
        <v>8.6378737541528236E-2</v>
      </c>
      <c r="G19">
        <v>7975</v>
      </c>
      <c r="H19">
        <v>239</v>
      </c>
      <c r="I19">
        <v>0</v>
      </c>
      <c r="J19" t="s">
        <v>304</v>
      </c>
    </row>
    <row r="20" spans="1:10">
      <c r="B20" t="s">
        <v>305</v>
      </c>
      <c r="C20">
        <v>21</v>
      </c>
      <c r="D20" t="s">
        <v>283</v>
      </c>
      <c r="F20" s="4" t="s">
        <v>430</v>
      </c>
    </row>
    <row r="21" spans="1:10">
      <c r="B21" t="s">
        <v>306</v>
      </c>
      <c r="C21">
        <v>20</v>
      </c>
      <c r="D21">
        <v>11</v>
      </c>
      <c r="E21">
        <v>6269</v>
      </c>
      <c r="F21" s="4">
        <f t="shared" si="0"/>
        <v>-0.15233689583665658</v>
      </c>
      <c r="G21">
        <v>7224</v>
      </c>
      <c r="I21">
        <v>0</v>
      </c>
    </row>
    <row r="22" spans="1:10">
      <c r="A22" t="s">
        <v>307</v>
      </c>
      <c r="B22" t="s">
        <v>308</v>
      </c>
      <c r="C22">
        <v>1</v>
      </c>
      <c r="D22">
        <v>5</v>
      </c>
      <c r="E22">
        <v>6471</v>
      </c>
      <c r="F22" s="4">
        <f t="shared" si="0"/>
        <v>0.31556173698037399</v>
      </c>
      <c r="G22">
        <v>4429</v>
      </c>
      <c r="I22">
        <v>2</v>
      </c>
      <c r="J22" t="s">
        <v>312</v>
      </c>
    </row>
    <row r="23" spans="1:10">
      <c r="B23" t="s">
        <v>309</v>
      </c>
      <c r="C23">
        <v>2</v>
      </c>
      <c r="D23" t="s">
        <v>310</v>
      </c>
      <c r="F23" s="4" t="s">
        <v>430</v>
      </c>
    </row>
    <row r="24" spans="1:10">
      <c r="B24" t="s">
        <v>311</v>
      </c>
      <c r="C24">
        <v>3</v>
      </c>
      <c r="D24">
        <v>4</v>
      </c>
      <c r="E24">
        <v>1928</v>
      </c>
      <c r="F24" s="4">
        <f t="shared" si="0"/>
        <v>2.0746887966804979E-3</v>
      </c>
      <c r="G24">
        <v>1924</v>
      </c>
      <c r="I24">
        <v>0</v>
      </c>
      <c r="J24" t="s">
        <v>313</v>
      </c>
    </row>
    <row r="25" spans="1:10">
      <c r="B25" t="s">
        <v>314</v>
      </c>
      <c r="C25">
        <v>4</v>
      </c>
      <c r="D25" t="s">
        <v>281</v>
      </c>
      <c r="F25" s="4" t="s">
        <v>430</v>
      </c>
    </row>
    <row r="26" spans="1:10">
      <c r="B26" t="s">
        <v>315</v>
      </c>
      <c r="C26">
        <v>6</v>
      </c>
      <c r="D26" t="s">
        <v>283</v>
      </c>
      <c r="F26" s="4" t="s">
        <v>430</v>
      </c>
    </row>
    <row r="27" spans="1:10">
      <c r="B27" t="s">
        <v>316</v>
      </c>
      <c r="C27">
        <v>7</v>
      </c>
      <c r="D27">
        <v>4</v>
      </c>
      <c r="E27">
        <v>1845</v>
      </c>
      <c r="F27" s="4">
        <f t="shared" si="0"/>
        <v>-9.7560975609756097E-3</v>
      </c>
      <c r="G27">
        <v>1863</v>
      </c>
      <c r="I27">
        <v>0</v>
      </c>
      <c r="J27" t="s">
        <v>313</v>
      </c>
    </row>
    <row r="28" spans="1:10">
      <c r="B28" t="s">
        <v>317</v>
      </c>
      <c r="C28">
        <v>8</v>
      </c>
      <c r="D28" t="s">
        <v>281</v>
      </c>
      <c r="F28" s="4" t="s">
        <v>430</v>
      </c>
    </row>
    <row r="29" spans="1:10">
      <c r="B29" t="s">
        <v>319</v>
      </c>
      <c r="C29">
        <v>9</v>
      </c>
      <c r="D29" t="s">
        <v>281</v>
      </c>
      <c r="F29" s="4" t="s">
        <v>430</v>
      </c>
    </row>
    <row r="30" spans="1:10">
      <c r="B30" t="s">
        <v>320</v>
      </c>
      <c r="C30">
        <v>10</v>
      </c>
      <c r="D30">
        <v>24</v>
      </c>
      <c r="E30">
        <v>16891</v>
      </c>
      <c r="F30" s="4">
        <f t="shared" si="0"/>
        <v>0.59286010301343905</v>
      </c>
      <c r="G30">
        <v>6877</v>
      </c>
      <c r="I30">
        <v>0</v>
      </c>
      <c r="J30" t="s">
        <v>318</v>
      </c>
    </row>
    <row r="31" spans="1:10">
      <c r="B31" t="s">
        <v>321</v>
      </c>
      <c r="C31">
        <v>11</v>
      </c>
      <c r="D31">
        <v>19</v>
      </c>
      <c r="E31">
        <v>7407</v>
      </c>
      <c r="F31" s="4">
        <f t="shared" si="0"/>
        <v>3.4561900904549747E-2</v>
      </c>
      <c r="G31">
        <v>7151</v>
      </c>
      <c r="I31">
        <v>0</v>
      </c>
      <c r="J31" t="s">
        <v>324</v>
      </c>
    </row>
    <row r="32" spans="1:10">
      <c r="B32" t="s">
        <v>323</v>
      </c>
      <c r="C32">
        <v>12</v>
      </c>
      <c r="D32">
        <v>25</v>
      </c>
      <c r="E32">
        <v>4790</v>
      </c>
      <c r="F32" s="4">
        <f t="shared" si="0"/>
        <v>2.5678496868475991E-2</v>
      </c>
      <c r="G32">
        <v>4667</v>
      </c>
    </row>
    <row r="33" spans="1:10">
      <c r="A33" t="s">
        <v>325</v>
      </c>
      <c r="B33" t="s">
        <v>326</v>
      </c>
      <c r="C33">
        <v>1</v>
      </c>
      <c r="D33">
        <v>7</v>
      </c>
      <c r="E33">
        <v>3381</v>
      </c>
      <c r="F33" s="4">
        <f t="shared" si="0"/>
        <v>-6.9210292812777283E-2</v>
      </c>
      <c r="G33">
        <v>3615</v>
      </c>
    </row>
    <row r="34" spans="1:10">
      <c r="B34" t="s">
        <v>327</v>
      </c>
      <c r="C34">
        <v>2</v>
      </c>
      <c r="D34" t="s">
        <v>328</v>
      </c>
      <c r="F34" s="4" t="s">
        <v>430</v>
      </c>
    </row>
    <row r="35" spans="1:10">
      <c r="A35" t="s">
        <v>329</v>
      </c>
      <c r="B35" t="s">
        <v>330</v>
      </c>
      <c r="C35">
        <v>1</v>
      </c>
      <c r="D35">
        <v>10</v>
      </c>
      <c r="E35">
        <v>16006</v>
      </c>
      <c r="F35" s="4">
        <f t="shared" si="0"/>
        <v>3.0738473072597777E-2</v>
      </c>
      <c r="G35">
        <v>15514</v>
      </c>
      <c r="I35">
        <v>0</v>
      </c>
    </row>
    <row r="36" spans="1:10">
      <c r="B36" t="s">
        <v>331</v>
      </c>
      <c r="C36">
        <v>2</v>
      </c>
      <c r="D36" t="s">
        <v>283</v>
      </c>
      <c r="F36" s="4" t="s">
        <v>430</v>
      </c>
    </row>
    <row r="37" spans="1:10">
      <c r="B37" t="s">
        <v>332</v>
      </c>
      <c r="C37">
        <v>3</v>
      </c>
      <c r="D37" t="s">
        <v>337</v>
      </c>
      <c r="F37" s="4" t="s">
        <v>430</v>
      </c>
    </row>
    <row r="38" spans="1:10">
      <c r="B38" t="s">
        <v>333</v>
      </c>
      <c r="C38">
        <v>4</v>
      </c>
      <c r="D38">
        <v>32</v>
      </c>
      <c r="E38">
        <v>4859</v>
      </c>
      <c r="F38" s="4">
        <f t="shared" si="0"/>
        <v>7.4089318789874459E-2</v>
      </c>
      <c r="G38">
        <v>4499</v>
      </c>
      <c r="I38">
        <v>0</v>
      </c>
      <c r="J38" t="s">
        <v>338</v>
      </c>
    </row>
    <row r="39" spans="1:10">
      <c r="B39" t="s">
        <v>334</v>
      </c>
      <c r="C39">
        <v>5</v>
      </c>
      <c r="D39" t="s">
        <v>283</v>
      </c>
      <c r="F39" s="4" t="s">
        <v>430</v>
      </c>
    </row>
    <row r="40" spans="1:10">
      <c r="B40" t="s">
        <v>335</v>
      </c>
      <c r="C40">
        <v>6</v>
      </c>
      <c r="D40">
        <v>34</v>
      </c>
      <c r="E40">
        <v>7696</v>
      </c>
      <c r="F40" s="4">
        <f t="shared" si="0"/>
        <v>0.1645010395010395</v>
      </c>
      <c r="G40">
        <v>6430</v>
      </c>
      <c r="I40">
        <v>0</v>
      </c>
    </row>
    <row r="41" spans="1:10">
      <c r="B41" t="s">
        <v>336</v>
      </c>
      <c r="C41">
        <v>7</v>
      </c>
      <c r="D41" t="s">
        <v>283</v>
      </c>
      <c r="F41" s="4" t="s">
        <v>430</v>
      </c>
    </row>
    <row r="42" spans="1:10">
      <c r="A42" t="s">
        <v>340</v>
      </c>
      <c r="B42" t="s">
        <v>341</v>
      </c>
      <c r="C42">
        <v>1</v>
      </c>
      <c r="D42" t="s">
        <v>283</v>
      </c>
      <c r="F42" s="4" t="s">
        <v>430</v>
      </c>
    </row>
    <row r="43" spans="1:10">
      <c r="A43" t="s">
        <v>339</v>
      </c>
      <c r="B43" t="s">
        <v>342</v>
      </c>
      <c r="C43">
        <v>3</v>
      </c>
      <c r="D43">
        <v>3</v>
      </c>
      <c r="E43">
        <v>6341</v>
      </c>
      <c r="F43" s="4">
        <f t="shared" si="0"/>
        <v>0.36035325658413497</v>
      </c>
      <c r="G43">
        <v>4056</v>
      </c>
      <c r="I43">
        <v>0</v>
      </c>
      <c r="J43" s="1" t="s">
        <v>343</v>
      </c>
    </row>
    <row r="44" spans="1:10">
      <c r="B44" t="s">
        <v>344</v>
      </c>
      <c r="C44">
        <v>4</v>
      </c>
      <c r="D44" t="s">
        <v>281</v>
      </c>
      <c r="F44" s="4" t="s">
        <v>430</v>
      </c>
    </row>
    <row r="45" spans="1:10">
      <c r="B45" t="s">
        <v>346</v>
      </c>
      <c r="C45">
        <v>5</v>
      </c>
      <c r="D45" t="s">
        <v>281</v>
      </c>
      <c r="F45" s="4" t="s">
        <v>430</v>
      </c>
    </row>
    <row r="46" spans="1:10">
      <c r="B46" t="s">
        <v>347</v>
      </c>
      <c r="C46">
        <v>6</v>
      </c>
      <c r="D46" t="s">
        <v>281</v>
      </c>
      <c r="F46" s="4" t="s">
        <v>430</v>
      </c>
    </row>
    <row r="47" spans="1:10">
      <c r="B47" t="s">
        <v>349</v>
      </c>
      <c r="C47">
        <v>7</v>
      </c>
      <c r="D47">
        <v>16</v>
      </c>
      <c r="E47">
        <v>5794</v>
      </c>
      <c r="F47" s="4">
        <f t="shared" si="0"/>
        <v>5.695547117707974E-3</v>
      </c>
      <c r="G47">
        <v>5761</v>
      </c>
      <c r="J47" t="s">
        <v>348</v>
      </c>
    </row>
    <row r="48" spans="1:10">
      <c r="B48" t="s">
        <v>350</v>
      </c>
      <c r="C48">
        <v>8</v>
      </c>
      <c r="D48">
        <v>12</v>
      </c>
      <c r="E48">
        <v>3936</v>
      </c>
      <c r="F48" s="4">
        <f t="shared" si="0"/>
        <v>0.11229674796747967</v>
      </c>
      <c r="G48">
        <v>3494</v>
      </c>
      <c r="I48">
        <v>0</v>
      </c>
      <c r="J48" t="s">
        <v>348</v>
      </c>
    </row>
    <row r="49" spans="1:10">
      <c r="B49" t="s">
        <v>351</v>
      </c>
      <c r="C49">
        <v>9</v>
      </c>
      <c r="D49">
        <v>5</v>
      </c>
      <c r="E49">
        <v>2535</v>
      </c>
      <c r="F49" s="4">
        <f t="shared" si="0"/>
        <v>1.0256410256410256E-2</v>
      </c>
      <c r="G49">
        <v>2509</v>
      </c>
    </row>
    <row r="50" spans="1:10">
      <c r="B50" t="s">
        <v>352</v>
      </c>
      <c r="C50">
        <v>10</v>
      </c>
      <c r="D50">
        <v>25</v>
      </c>
      <c r="E50">
        <v>1242</v>
      </c>
      <c r="F50" s="4">
        <f t="shared" si="0"/>
        <v>5.7165861513687598E-2</v>
      </c>
      <c r="G50">
        <v>1171</v>
      </c>
    </row>
    <row r="51" spans="1:10">
      <c r="A51" t="s">
        <v>353</v>
      </c>
      <c r="B51" t="s">
        <v>354</v>
      </c>
      <c r="C51">
        <v>3</v>
      </c>
      <c r="D51">
        <v>2</v>
      </c>
      <c r="E51" s="2">
        <v>41974</v>
      </c>
      <c r="F51" s="4">
        <f t="shared" si="0"/>
        <v>-0.12807928717777672</v>
      </c>
      <c r="G51">
        <v>47350</v>
      </c>
      <c r="H51">
        <v>40714</v>
      </c>
      <c r="I51">
        <v>0</v>
      </c>
    </row>
    <row r="52" spans="1:10">
      <c r="A52" t="s">
        <v>355</v>
      </c>
      <c r="B52" t="s">
        <v>356</v>
      </c>
      <c r="C52">
        <v>2</v>
      </c>
      <c r="D52">
        <v>14</v>
      </c>
      <c r="E52">
        <v>4089</v>
      </c>
      <c r="F52" s="4">
        <f t="shared" si="0"/>
        <v>0.58840792369772565</v>
      </c>
      <c r="G52">
        <v>1683</v>
      </c>
      <c r="H52">
        <v>708</v>
      </c>
      <c r="I52">
        <v>0</v>
      </c>
    </row>
    <row r="53" spans="1:10">
      <c r="B53" t="s">
        <v>357</v>
      </c>
      <c r="C53">
        <v>3</v>
      </c>
      <c r="D53">
        <v>12</v>
      </c>
      <c r="E53">
        <v>12187</v>
      </c>
      <c r="F53" s="4">
        <f t="shared" si="0"/>
        <v>0.51604168376138504</v>
      </c>
      <c r="G53">
        <v>5898</v>
      </c>
      <c r="H53">
        <v>132</v>
      </c>
      <c r="I53">
        <v>0</v>
      </c>
    </row>
    <row r="54" spans="1:10">
      <c r="B54" t="s">
        <v>357</v>
      </c>
      <c r="C54">
        <v>4</v>
      </c>
      <c r="D54">
        <v>8</v>
      </c>
      <c r="E54">
        <v>31459</v>
      </c>
      <c r="F54" s="4">
        <f t="shared" si="0"/>
        <v>0.73063352299818807</v>
      </c>
      <c r="G54">
        <v>8474</v>
      </c>
      <c r="H54">
        <v>2511</v>
      </c>
      <c r="I54">
        <v>0</v>
      </c>
    </row>
    <row r="55" spans="1:10">
      <c r="B55" t="s">
        <v>358</v>
      </c>
      <c r="C55">
        <v>5</v>
      </c>
      <c r="D55">
        <v>6</v>
      </c>
      <c r="E55">
        <v>1165</v>
      </c>
      <c r="F55" s="4">
        <f t="shared" si="0"/>
        <v>0.12703862660944207</v>
      </c>
      <c r="G55">
        <v>1017</v>
      </c>
      <c r="H55">
        <v>457</v>
      </c>
      <c r="I55">
        <v>0</v>
      </c>
    </row>
    <row r="56" spans="1:10">
      <c r="B56" t="s">
        <v>359</v>
      </c>
      <c r="C56">
        <v>6</v>
      </c>
      <c r="D56">
        <v>5</v>
      </c>
      <c r="E56">
        <v>1229</v>
      </c>
      <c r="F56" s="4">
        <f t="shared" si="0"/>
        <v>0.15134255492270138</v>
      </c>
      <c r="G56">
        <v>1043</v>
      </c>
      <c r="H56">
        <v>398</v>
      </c>
      <c r="I56">
        <v>0</v>
      </c>
    </row>
    <row r="57" spans="1:10">
      <c r="B57" t="s">
        <v>360</v>
      </c>
      <c r="C57">
        <v>7</v>
      </c>
      <c r="D57">
        <v>9</v>
      </c>
      <c r="E57">
        <v>4187</v>
      </c>
      <c r="F57" s="4">
        <f t="shared" si="0"/>
        <v>0.14974922378791497</v>
      </c>
      <c r="G57">
        <v>3560</v>
      </c>
      <c r="H57">
        <v>1056</v>
      </c>
      <c r="I57">
        <v>0</v>
      </c>
    </row>
    <row r="58" spans="1:10">
      <c r="B58" t="s">
        <v>361</v>
      </c>
      <c r="C58">
        <v>8</v>
      </c>
      <c r="D58">
        <v>12</v>
      </c>
      <c r="E58">
        <v>13469</v>
      </c>
      <c r="F58" s="4">
        <f t="shared" si="0"/>
        <v>0.5471081743262306</v>
      </c>
      <c r="G58">
        <v>6100</v>
      </c>
      <c r="H58">
        <v>747</v>
      </c>
      <c r="I58">
        <v>0</v>
      </c>
    </row>
    <row r="59" spans="1:10">
      <c r="B59" t="s">
        <v>361</v>
      </c>
      <c r="C59">
        <v>9</v>
      </c>
      <c r="D59">
        <v>8</v>
      </c>
      <c r="E59">
        <v>33821</v>
      </c>
      <c r="F59" s="4">
        <f t="shared" si="0"/>
        <v>0.71902072676739304</v>
      </c>
      <c r="G59">
        <v>9503</v>
      </c>
      <c r="H59">
        <v>903</v>
      </c>
      <c r="I59">
        <v>0</v>
      </c>
    </row>
    <row r="60" spans="1:10">
      <c r="B60" t="s">
        <v>362</v>
      </c>
      <c r="C60">
        <v>10</v>
      </c>
      <c r="D60">
        <v>2</v>
      </c>
      <c r="E60">
        <v>1224</v>
      </c>
      <c r="F60" s="4">
        <f t="shared" si="0"/>
        <v>4.7385620915032678E-2</v>
      </c>
      <c r="G60">
        <v>1166</v>
      </c>
      <c r="H60">
        <v>202</v>
      </c>
      <c r="I60">
        <v>1</v>
      </c>
      <c r="J60" t="s">
        <v>363</v>
      </c>
    </row>
    <row r="61" spans="1:10">
      <c r="B61" t="s">
        <v>365</v>
      </c>
      <c r="C61">
        <v>11</v>
      </c>
      <c r="D61">
        <v>2</v>
      </c>
      <c r="E61">
        <v>10849</v>
      </c>
      <c r="F61" s="4">
        <f t="shared" si="0"/>
        <v>0.20591759609180571</v>
      </c>
      <c r="G61">
        <v>8615</v>
      </c>
      <c r="H61">
        <v>403</v>
      </c>
      <c r="I61">
        <v>0</v>
      </c>
      <c r="J61" t="s">
        <v>364</v>
      </c>
    </row>
    <row r="62" spans="1:10">
      <c r="B62" t="s">
        <v>366</v>
      </c>
      <c r="C62">
        <v>12</v>
      </c>
      <c r="D62" t="s">
        <v>283</v>
      </c>
      <c r="F62" s="4" t="s">
        <v>430</v>
      </c>
    </row>
    <row r="63" spans="1:10">
      <c r="B63" t="s">
        <v>367</v>
      </c>
      <c r="C63">
        <v>13</v>
      </c>
      <c r="D63">
        <v>4</v>
      </c>
      <c r="E63">
        <v>28623</v>
      </c>
      <c r="F63" s="4">
        <f t="shared" si="0"/>
        <v>7.1760472347412924E-2</v>
      </c>
      <c r="G63">
        <v>26569</v>
      </c>
      <c r="H63">
        <v>1104</v>
      </c>
      <c r="I63">
        <v>0</v>
      </c>
      <c r="J63" t="s">
        <v>368</v>
      </c>
    </row>
    <row r="64" spans="1:10">
      <c r="B64" t="s">
        <v>367</v>
      </c>
      <c r="C64">
        <v>14</v>
      </c>
      <c r="D64">
        <v>11</v>
      </c>
      <c r="E64">
        <v>77024</v>
      </c>
      <c r="F64" s="4">
        <f t="shared" si="0"/>
        <v>0.23901641046946406</v>
      </c>
      <c r="G64">
        <v>58614</v>
      </c>
      <c r="H64">
        <v>1050</v>
      </c>
      <c r="I64">
        <v>0</v>
      </c>
    </row>
    <row r="65" spans="1:10">
      <c r="B65" t="s">
        <v>367</v>
      </c>
      <c r="C65">
        <v>15</v>
      </c>
      <c r="D65">
        <v>6</v>
      </c>
      <c r="E65">
        <v>21196</v>
      </c>
      <c r="F65" s="4">
        <f t="shared" si="0"/>
        <v>8.3695036799396119E-2</v>
      </c>
      <c r="G65">
        <v>19422</v>
      </c>
      <c r="H65">
        <v>396</v>
      </c>
      <c r="I65">
        <v>0</v>
      </c>
    </row>
    <row r="66" spans="1:10">
      <c r="B66" t="s">
        <v>367</v>
      </c>
      <c r="C66">
        <v>16</v>
      </c>
      <c r="F66" s="4" t="s">
        <v>430</v>
      </c>
      <c r="J66" s="3" t="s">
        <v>369</v>
      </c>
    </row>
    <row r="67" spans="1:10">
      <c r="B67" t="s">
        <v>370</v>
      </c>
      <c r="C67">
        <v>17</v>
      </c>
      <c r="D67" t="s">
        <v>283</v>
      </c>
      <c r="F67" s="4" t="s">
        <v>430</v>
      </c>
    </row>
    <row r="68" spans="1:10">
      <c r="B68" t="s">
        <v>371</v>
      </c>
      <c r="C68">
        <v>18</v>
      </c>
      <c r="D68" t="s">
        <v>283</v>
      </c>
      <c r="F68" s="4" t="s">
        <v>430</v>
      </c>
    </row>
    <row r="69" spans="1:10">
      <c r="B69" t="s">
        <v>372</v>
      </c>
      <c r="C69">
        <v>20</v>
      </c>
      <c r="D69">
        <v>2</v>
      </c>
      <c r="E69">
        <v>4302</v>
      </c>
      <c r="F69" s="4">
        <f t="shared" ref="F69:F105" si="1">(E69-G69)/E69</f>
        <v>0.44932589493258951</v>
      </c>
      <c r="G69">
        <v>2369</v>
      </c>
      <c r="H69">
        <v>2276</v>
      </c>
      <c r="I69">
        <v>0</v>
      </c>
    </row>
    <row r="70" spans="1:10">
      <c r="B70" t="s">
        <v>373</v>
      </c>
      <c r="C70">
        <v>21</v>
      </c>
      <c r="D70">
        <v>2</v>
      </c>
      <c r="E70">
        <v>18483</v>
      </c>
      <c r="F70" s="4">
        <f t="shared" si="1"/>
        <v>0.53048747497700588</v>
      </c>
      <c r="G70">
        <v>8678</v>
      </c>
      <c r="H70">
        <v>8444</v>
      </c>
      <c r="I70">
        <v>0</v>
      </c>
    </row>
    <row r="71" spans="1:10" s="3" customFormat="1">
      <c r="A71" s="3" t="s">
        <v>374</v>
      </c>
      <c r="B71" s="3" t="s">
        <v>382</v>
      </c>
      <c r="C71" s="3">
        <v>2</v>
      </c>
      <c r="F71" s="5" t="s">
        <v>430</v>
      </c>
      <c r="J71" s="3" t="s">
        <v>383</v>
      </c>
    </row>
    <row r="72" spans="1:10" s="3" customFormat="1">
      <c r="A72" s="3" t="s">
        <v>375</v>
      </c>
      <c r="B72" s="3" t="s">
        <v>382</v>
      </c>
      <c r="C72" s="3">
        <v>2</v>
      </c>
      <c r="F72" s="5" t="s">
        <v>430</v>
      </c>
      <c r="J72" s="3" t="s">
        <v>383</v>
      </c>
    </row>
    <row r="73" spans="1:10" s="3" customFormat="1">
      <c r="A73" s="3" t="s">
        <v>376</v>
      </c>
      <c r="B73" s="3" t="s">
        <v>384</v>
      </c>
      <c r="C73" s="3">
        <v>2</v>
      </c>
      <c r="D73" s="3" t="s">
        <v>385</v>
      </c>
      <c r="F73" s="5" t="s">
        <v>430</v>
      </c>
      <c r="J73" s="3" t="s">
        <v>386</v>
      </c>
    </row>
    <row r="74" spans="1:10">
      <c r="A74" t="s">
        <v>377</v>
      </c>
      <c r="B74" t="s">
        <v>388</v>
      </c>
      <c r="C74">
        <v>2</v>
      </c>
      <c r="D74">
        <v>2</v>
      </c>
      <c r="E74">
        <v>17673</v>
      </c>
      <c r="F74" s="4">
        <f t="shared" si="1"/>
        <v>0.12929327222316528</v>
      </c>
      <c r="G74">
        <v>15388</v>
      </c>
      <c r="H74">
        <v>10348</v>
      </c>
      <c r="I74">
        <v>2</v>
      </c>
      <c r="J74" t="s">
        <v>363</v>
      </c>
    </row>
    <row r="75" spans="1:10">
      <c r="B75" t="s">
        <v>387</v>
      </c>
      <c r="C75">
        <v>3</v>
      </c>
      <c r="D75">
        <v>6</v>
      </c>
      <c r="E75">
        <v>40086</v>
      </c>
      <c r="F75" s="4">
        <f t="shared" si="1"/>
        <v>3.6845781569625306E-2</v>
      </c>
      <c r="G75">
        <v>38609</v>
      </c>
      <c r="H75">
        <v>1315</v>
      </c>
      <c r="I75">
        <v>0</v>
      </c>
      <c r="J75" t="s">
        <v>363</v>
      </c>
    </row>
    <row r="76" spans="1:10">
      <c r="A76" t="s">
        <v>378</v>
      </c>
      <c r="B76" t="s">
        <v>389</v>
      </c>
      <c r="C76">
        <v>0</v>
      </c>
      <c r="D76">
        <v>4</v>
      </c>
      <c r="E76">
        <v>184</v>
      </c>
      <c r="F76" s="4">
        <f t="shared" si="1"/>
        <v>1.0869565217391304E-2</v>
      </c>
      <c r="G76">
        <v>182</v>
      </c>
      <c r="I76">
        <v>0</v>
      </c>
      <c r="J76" t="s">
        <v>390</v>
      </c>
    </row>
    <row r="77" spans="1:10">
      <c r="B77" t="s">
        <v>391</v>
      </c>
      <c r="C77">
        <v>1</v>
      </c>
      <c r="D77">
        <v>4</v>
      </c>
      <c r="E77">
        <v>10593</v>
      </c>
      <c r="F77" s="4">
        <f t="shared" si="1"/>
        <v>0.37392617766449543</v>
      </c>
      <c r="G77">
        <v>6632</v>
      </c>
      <c r="H77">
        <v>938</v>
      </c>
      <c r="I77">
        <v>0</v>
      </c>
      <c r="J77" t="s">
        <v>392</v>
      </c>
    </row>
    <row r="78" spans="1:10">
      <c r="B78" t="s">
        <v>394</v>
      </c>
      <c r="C78">
        <v>2</v>
      </c>
      <c r="D78" t="s">
        <v>393</v>
      </c>
      <c r="F78" s="4" t="s">
        <v>430</v>
      </c>
    </row>
    <row r="79" spans="1:10">
      <c r="A79" t="s">
        <v>379</v>
      </c>
      <c r="B79" t="s">
        <v>395</v>
      </c>
      <c r="C79">
        <v>1</v>
      </c>
      <c r="D79">
        <v>8</v>
      </c>
      <c r="E79">
        <v>3602</v>
      </c>
      <c r="F79" s="4">
        <f t="shared" si="1"/>
        <v>0.72820655191560246</v>
      </c>
      <c r="G79">
        <v>979</v>
      </c>
      <c r="H79">
        <v>738</v>
      </c>
      <c r="I79">
        <v>0</v>
      </c>
    </row>
    <row r="80" spans="1:10">
      <c r="A80" t="s">
        <v>380</v>
      </c>
      <c r="B80" t="s">
        <v>389</v>
      </c>
      <c r="C80">
        <v>1</v>
      </c>
      <c r="D80" t="s">
        <v>281</v>
      </c>
      <c r="F80" s="4" t="s">
        <v>430</v>
      </c>
    </row>
    <row r="81" spans="1:13">
      <c r="B81" t="s">
        <v>398</v>
      </c>
      <c r="C81">
        <v>3</v>
      </c>
      <c r="D81">
        <v>2</v>
      </c>
      <c r="E81">
        <v>62456</v>
      </c>
      <c r="F81" s="4">
        <f t="shared" si="1"/>
        <v>0.16264250032022542</v>
      </c>
      <c r="G81">
        <v>52298</v>
      </c>
      <c r="H81">
        <v>49719</v>
      </c>
      <c r="I81">
        <v>0</v>
      </c>
      <c r="J81" t="s">
        <v>396</v>
      </c>
    </row>
    <row r="82" spans="1:13" s="3" customFormat="1">
      <c r="B82" s="3" t="s">
        <v>397</v>
      </c>
      <c r="C82" s="3">
        <v>4</v>
      </c>
      <c r="F82" s="5" t="s">
        <v>430</v>
      </c>
      <c r="J82" s="3" t="s">
        <v>399</v>
      </c>
    </row>
    <row r="83" spans="1:13">
      <c r="C83">
        <v>5</v>
      </c>
      <c r="D83" t="s">
        <v>281</v>
      </c>
      <c r="F83" s="4" t="s">
        <v>430</v>
      </c>
    </row>
    <row r="84" spans="1:13">
      <c r="A84" t="s">
        <v>381</v>
      </c>
      <c r="B84" t="s">
        <v>400</v>
      </c>
      <c r="C84">
        <v>1</v>
      </c>
      <c r="D84">
        <v>5</v>
      </c>
      <c r="E84">
        <v>32925</v>
      </c>
      <c r="F84" s="4">
        <f t="shared" si="1"/>
        <v>0.72151860288534553</v>
      </c>
      <c r="G84">
        <v>9169</v>
      </c>
      <c r="H84">
        <v>7057</v>
      </c>
      <c r="I84">
        <v>0</v>
      </c>
    </row>
    <row r="85" spans="1:13">
      <c r="A85" t="s">
        <v>404</v>
      </c>
      <c r="B85" t="s">
        <v>389</v>
      </c>
      <c r="C85">
        <v>2</v>
      </c>
      <c r="D85" t="s">
        <v>281</v>
      </c>
      <c r="F85" s="4" t="s">
        <v>430</v>
      </c>
    </row>
    <row r="86" spans="1:13">
      <c r="B86" t="s">
        <v>402</v>
      </c>
      <c r="C86">
        <v>4</v>
      </c>
      <c r="D86">
        <v>2</v>
      </c>
      <c r="E86">
        <v>18636</v>
      </c>
      <c r="F86" s="4">
        <f t="shared" si="1"/>
        <v>-1.7385705086928525E-2</v>
      </c>
      <c r="G86">
        <v>18960</v>
      </c>
      <c r="H86">
        <v>216</v>
      </c>
      <c r="J86" t="s">
        <v>403</v>
      </c>
      <c r="K86">
        <v>14366</v>
      </c>
      <c r="L86">
        <v>160</v>
      </c>
      <c r="M86" t="s">
        <v>405</v>
      </c>
    </row>
    <row r="87" spans="1:13">
      <c r="B87" t="s">
        <v>406</v>
      </c>
      <c r="C87">
        <v>5</v>
      </c>
      <c r="D87">
        <v>8</v>
      </c>
      <c r="E87">
        <v>31833</v>
      </c>
      <c r="F87" s="4">
        <f t="shared" si="1"/>
        <v>0.38579461565042567</v>
      </c>
      <c r="G87">
        <v>19552</v>
      </c>
      <c r="H87">
        <v>6084</v>
      </c>
      <c r="I87">
        <v>4</v>
      </c>
      <c r="J87" t="s">
        <v>407</v>
      </c>
    </row>
    <row r="88" spans="1:13">
      <c r="B88" t="s">
        <v>408</v>
      </c>
      <c r="C88">
        <v>6</v>
      </c>
      <c r="D88" t="s">
        <v>281</v>
      </c>
      <c r="F88" s="4" t="s">
        <v>430</v>
      </c>
      <c r="J88" t="s">
        <v>363</v>
      </c>
    </row>
    <row r="89" spans="1:13">
      <c r="C89">
        <v>7</v>
      </c>
      <c r="D89">
        <v>4</v>
      </c>
      <c r="E89">
        <v>1105</v>
      </c>
      <c r="F89" s="4">
        <f t="shared" si="1"/>
        <v>0.151131221719457</v>
      </c>
      <c r="G89">
        <v>938</v>
      </c>
      <c r="H89">
        <v>268</v>
      </c>
      <c r="I89">
        <v>0</v>
      </c>
    </row>
    <row r="90" spans="1:13">
      <c r="B90" t="s">
        <v>409</v>
      </c>
      <c r="C90">
        <v>8</v>
      </c>
      <c r="D90">
        <v>5</v>
      </c>
      <c r="E90">
        <v>1375</v>
      </c>
      <c r="F90" s="4">
        <f t="shared" si="1"/>
        <v>0.34836363636363638</v>
      </c>
      <c r="G90">
        <v>896</v>
      </c>
      <c r="H90">
        <v>462</v>
      </c>
      <c r="I90">
        <v>0</v>
      </c>
      <c r="J90" t="s">
        <v>363</v>
      </c>
    </row>
    <row r="91" spans="1:13">
      <c r="B91" t="s">
        <v>410</v>
      </c>
      <c r="C91">
        <v>9</v>
      </c>
      <c r="D91">
        <v>18</v>
      </c>
      <c r="E91">
        <v>1158</v>
      </c>
      <c r="F91" s="4">
        <f t="shared" si="1"/>
        <v>0.31347150259067358</v>
      </c>
      <c r="G91">
        <v>795</v>
      </c>
      <c r="H91">
        <v>289</v>
      </c>
      <c r="I91">
        <v>0</v>
      </c>
    </row>
    <row r="92" spans="1:13">
      <c r="B92" t="s">
        <v>411</v>
      </c>
      <c r="C92">
        <v>10</v>
      </c>
      <c r="D92">
        <v>4</v>
      </c>
      <c r="E92">
        <v>1298</v>
      </c>
      <c r="F92" s="4">
        <f t="shared" si="1"/>
        <v>2.6194144838212634E-2</v>
      </c>
      <c r="G92">
        <v>1264</v>
      </c>
      <c r="H92">
        <v>1155</v>
      </c>
      <c r="I92">
        <v>0</v>
      </c>
      <c r="J92" t="s">
        <v>412</v>
      </c>
    </row>
    <row r="93" spans="1:13">
      <c r="B93" t="s">
        <v>413</v>
      </c>
      <c r="C93">
        <v>11</v>
      </c>
      <c r="D93">
        <v>19</v>
      </c>
      <c r="E93">
        <v>2362</v>
      </c>
      <c r="F93" s="4">
        <f t="shared" si="1"/>
        <v>0.43945808636748518</v>
      </c>
      <c r="G93">
        <v>1324</v>
      </c>
      <c r="H93">
        <v>217</v>
      </c>
      <c r="I93">
        <v>0</v>
      </c>
    </row>
    <row r="94" spans="1:13">
      <c r="B94" t="s">
        <v>415</v>
      </c>
      <c r="C94">
        <v>12</v>
      </c>
      <c r="D94">
        <v>5</v>
      </c>
      <c r="E94">
        <v>1430</v>
      </c>
      <c r="F94" s="4">
        <f t="shared" si="1"/>
        <v>0.27552447552447551</v>
      </c>
      <c r="G94">
        <v>1036</v>
      </c>
      <c r="H94">
        <v>732</v>
      </c>
      <c r="I94">
        <v>0</v>
      </c>
      <c r="J94" t="s">
        <v>414</v>
      </c>
    </row>
    <row r="95" spans="1:13">
      <c r="B95" t="s">
        <v>417</v>
      </c>
      <c r="C95">
        <v>13</v>
      </c>
      <c r="D95" t="s">
        <v>283</v>
      </c>
      <c r="F95" s="4" t="s">
        <v>430</v>
      </c>
      <c r="J95" t="s">
        <v>416</v>
      </c>
    </row>
    <row r="96" spans="1:13">
      <c r="C96">
        <v>14</v>
      </c>
      <c r="D96" t="s">
        <v>281</v>
      </c>
      <c r="F96" s="4" t="s">
        <v>430</v>
      </c>
      <c r="J96" t="s">
        <v>416</v>
      </c>
    </row>
    <row r="97" spans="1:10">
      <c r="A97" t="s">
        <v>401</v>
      </c>
      <c r="B97" t="s">
        <v>418</v>
      </c>
      <c r="C97">
        <v>2</v>
      </c>
      <c r="D97">
        <v>9</v>
      </c>
      <c r="E97">
        <v>2821</v>
      </c>
      <c r="F97" s="4">
        <f t="shared" si="1"/>
        <v>0.31690889755405882</v>
      </c>
      <c r="G97">
        <v>1927</v>
      </c>
      <c r="H97">
        <v>751</v>
      </c>
      <c r="I97">
        <v>0</v>
      </c>
    </row>
    <row r="98" spans="1:10">
      <c r="B98" t="s">
        <v>419</v>
      </c>
      <c r="C98">
        <v>4</v>
      </c>
      <c r="D98" t="s">
        <v>283</v>
      </c>
      <c r="F98" s="4" t="s">
        <v>430</v>
      </c>
    </row>
    <row r="99" spans="1:10">
      <c r="B99" t="s">
        <v>420</v>
      </c>
      <c r="C99">
        <v>5</v>
      </c>
      <c r="D99" t="s">
        <v>281</v>
      </c>
      <c r="F99" s="4" t="s">
        <v>430</v>
      </c>
    </row>
    <row r="100" spans="1:10">
      <c r="B100" t="s">
        <v>421</v>
      </c>
      <c r="C100">
        <v>6</v>
      </c>
      <c r="D100">
        <v>6</v>
      </c>
      <c r="E100">
        <v>1290</v>
      </c>
      <c r="F100" s="4">
        <f t="shared" si="1"/>
        <v>0.20232558139534884</v>
      </c>
      <c r="G100">
        <v>1029</v>
      </c>
      <c r="H100">
        <v>962</v>
      </c>
      <c r="I100">
        <v>0</v>
      </c>
    </row>
    <row r="101" spans="1:10">
      <c r="B101" t="s">
        <v>422</v>
      </c>
      <c r="C101">
        <v>7</v>
      </c>
      <c r="D101" t="s">
        <v>283</v>
      </c>
      <c r="F101" s="4" t="s">
        <v>430</v>
      </c>
    </row>
    <row r="102" spans="1:10">
      <c r="B102" t="s">
        <v>423</v>
      </c>
      <c r="C102">
        <v>8</v>
      </c>
      <c r="D102">
        <v>2</v>
      </c>
      <c r="E102">
        <v>1305</v>
      </c>
      <c r="F102" s="4">
        <f t="shared" si="1"/>
        <v>2.681992337164751E-2</v>
      </c>
      <c r="G102">
        <v>1270</v>
      </c>
      <c r="H102">
        <v>1247</v>
      </c>
      <c r="I102">
        <v>0</v>
      </c>
    </row>
    <row r="103" spans="1:10">
      <c r="B103" t="s">
        <v>424</v>
      </c>
      <c r="C103">
        <v>9</v>
      </c>
      <c r="D103" t="s">
        <v>283</v>
      </c>
      <c r="F103" s="4" t="s">
        <v>430</v>
      </c>
    </row>
    <row r="104" spans="1:10" s="3" customFormat="1">
      <c r="B104" s="3" t="s">
        <v>425</v>
      </c>
      <c r="C104" s="3">
        <v>10</v>
      </c>
      <c r="F104" s="5" t="s">
        <v>430</v>
      </c>
      <c r="J104" s="3" t="s">
        <v>426</v>
      </c>
    </row>
    <row r="105" spans="1:10">
      <c r="B105" t="s">
        <v>427</v>
      </c>
      <c r="C105">
        <v>11</v>
      </c>
      <c r="D105">
        <v>4</v>
      </c>
      <c r="E105">
        <v>12665</v>
      </c>
      <c r="F105" s="4">
        <f t="shared" si="1"/>
        <v>6.356099486774576E-2</v>
      </c>
      <c r="G105">
        <v>11860</v>
      </c>
      <c r="H105">
        <v>7897</v>
      </c>
      <c r="I105">
        <v>0</v>
      </c>
      <c r="J105" t="s">
        <v>428</v>
      </c>
    </row>
    <row r="106" spans="1:10">
      <c r="E106" t="s">
        <v>431</v>
      </c>
      <c r="F106">
        <f>COUNT(F2:F105)</f>
        <v>62</v>
      </c>
    </row>
    <row r="107" spans="1:10">
      <c r="F107">
        <f>COUNTIF(F2:F105, "&lt;=.10")</f>
        <v>30</v>
      </c>
    </row>
    <row r="108" spans="1:10">
      <c r="F108">
        <f>COUNTIF(F2:F105, "&lt;=.50")-F107</f>
        <v>22</v>
      </c>
    </row>
    <row r="109" spans="1:10">
      <c r="F109">
        <f>COUNTIF(F2:F105,"&gt;.50")</f>
        <v>10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1"/>
  <sheetViews>
    <sheetView workbookViewId="0">
      <selection activeCell="I5" sqref="I5"/>
    </sheetView>
  </sheetViews>
  <sheetFormatPr baseColWidth="10" defaultRowHeight="15" x14ac:dyDescent="0"/>
  <cols>
    <col min="1" max="1" width="18" bestFit="1" customWidth="1"/>
    <col min="2" max="2" width="26.1640625" bestFit="1" customWidth="1"/>
    <col min="3" max="3" width="9.6640625" bestFit="1" customWidth="1"/>
    <col min="4" max="4" width="8.1640625" customWidth="1"/>
    <col min="5" max="5" width="9.5" customWidth="1"/>
    <col min="6" max="6" width="9" customWidth="1"/>
    <col min="7" max="7" width="15.5" bestFit="1" customWidth="1"/>
    <col min="10" max="10" width="13.83203125" bestFit="1" customWidth="1"/>
  </cols>
  <sheetData>
    <row r="1" spans="1:11">
      <c r="A1" s="2" t="s">
        <v>270</v>
      </c>
      <c r="B1" s="2" t="s">
        <v>271</v>
      </c>
      <c r="C1" s="2" t="s">
        <v>272</v>
      </c>
      <c r="D1" s="2" t="s">
        <v>439</v>
      </c>
      <c r="E1" s="2" t="s">
        <v>440</v>
      </c>
      <c r="F1" s="2" t="s">
        <v>437</v>
      </c>
      <c r="G1" s="2" t="s">
        <v>433</v>
      </c>
      <c r="H1" s="2" t="s">
        <v>434</v>
      </c>
      <c r="I1" s="2" t="s">
        <v>435</v>
      </c>
      <c r="J1" s="2" t="s">
        <v>438</v>
      </c>
    </row>
    <row r="2" spans="1:11">
      <c r="A2" s="2" t="s">
        <v>432</v>
      </c>
      <c r="B2" s="2" t="s">
        <v>273</v>
      </c>
      <c r="C2" s="2">
        <v>1</v>
      </c>
      <c r="D2" s="2">
        <v>3</v>
      </c>
      <c r="E2" s="2">
        <v>60</v>
      </c>
      <c r="F2" s="2">
        <v>4</v>
      </c>
      <c r="G2" s="2" t="s">
        <v>436</v>
      </c>
      <c r="H2" s="2">
        <v>3</v>
      </c>
      <c r="I2" s="2">
        <v>60</v>
      </c>
      <c r="J2" s="2">
        <v>16</v>
      </c>
    </row>
    <row r="3" spans="1:11">
      <c r="A3" s="2"/>
      <c r="B3" s="2" t="s">
        <v>276</v>
      </c>
      <c r="C3" s="2">
        <v>2</v>
      </c>
      <c r="D3" s="2">
        <v>3</v>
      </c>
      <c r="E3" s="2">
        <v>60</v>
      </c>
      <c r="F3" s="2">
        <v>15</v>
      </c>
      <c r="G3" s="2" t="s">
        <v>345</v>
      </c>
      <c r="H3" s="2"/>
      <c r="I3" s="2"/>
    </row>
    <row r="4" spans="1:11">
      <c r="A4" s="2"/>
      <c r="B4" s="2" t="s">
        <v>285</v>
      </c>
      <c r="C4" s="2">
        <v>6</v>
      </c>
      <c r="D4" s="2">
        <v>3</v>
      </c>
      <c r="E4" s="2">
        <v>60</v>
      </c>
      <c r="F4" s="2">
        <v>5</v>
      </c>
      <c r="G4" s="2" t="s">
        <v>345</v>
      </c>
      <c r="H4" s="2"/>
      <c r="I4" s="2"/>
    </row>
    <row r="5" spans="1:11">
      <c r="A5" s="2"/>
      <c r="B5" s="2" t="s">
        <v>289</v>
      </c>
      <c r="C5" s="2">
        <v>7</v>
      </c>
      <c r="D5" s="2">
        <v>3</v>
      </c>
      <c r="E5" s="2">
        <v>60</v>
      </c>
      <c r="F5" s="2">
        <v>0</v>
      </c>
      <c r="G5" s="2" t="s">
        <v>436</v>
      </c>
      <c r="H5" s="2">
        <v>3</v>
      </c>
      <c r="I5" s="2">
        <v>60</v>
      </c>
      <c r="J5" s="2">
        <v>16</v>
      </c>
    </row>
    <row r="6" spans="1:11">
      <c r="A6" s="2"/>
      <c r="B6" s="2" t="s">
        <v>294</v>
      </c>
      <c r="C6" s="2">
        <v>9</v>
      </c>
      <c r="D6" s="2">
        <v>3</v>
      </c>
      <c r="E6" s="2">
        <v>60</v>
      </c>
      <c r="F6" s="2">
        <v>10</v>
      </c>
      <c r="G6" s="2" t="s">
        <v>345</v>
      </c>
      <c r="H6" s="2"/>
      <c r="I6" s="2"/>
    </row>
    <row r="7" spans="1:11">
      <c r="A7" s="2" t="s">
        <v>295</v>
      </c>
      <c r="B7" s="2" t="s">
        <v>296</v>
      </c>
      <c r="C7" s="2">
        <v>2</v>
      </c>
      <c r="D7" s="2">
        <v>3</v>
      </c>
      <c r="E7" s="2">
        <v>60</v>
      </c>
      <c r="F7" s="2">
        <v>4</v>
      </c>
      <c r="G7" s="2" t="s">
        <v>345</v>
      </c>
      <c r="H7" s="2"/>
      <c r="I7" s="2"/>
    </row>
    <row r="8" spans="1:11">
      <c r="A8" s="2"/>
      <c r="B8" s="2" t="s">
        <v>297</v>
      </c>
      <c r="C8" s="2">
        <v>4</v>
      </c>
      <c r="D8" s="2">
        <v>3</v>
      </c>
      <c r="E8" s="2">
        <v>60</v>
      </c>
      <c r="F8" s="2">
        <v>4</v>
      </c>
      <c r="G8" s="2" t="s">
        <v>345</v>
      </c>
      <c r="H8" s="2"/>
      <c r="I8" s="2"/>
    </row>
    <row r="9" spans="1:11">
      <c r="A9" s="2"/>
      <c r="B9" s="2" t="s">
        <v>300</v>
      </c>
      <c r="C9" s="2">
        <v>13</v>
      </c>
      <c r="D9" s="2">
        <v>3</v>
      </c>
      <c r="E9" s="2">
        <v>60</v>
      </c>
      <c r="F9" s="2">
        <v>5</v>
      </c>
      <c r="G9" s="2" t="s">
        <v>345</v>
      </c>
      <c r="H9" s="2"/>
      <c r="I9" s="2"/>
    </row>
    <row r="10" spans="1:11">
      <c r="A10" s="2"/>
      <c r="B10" s="2" t="s">
        <v>297</v>
      </c>
      <c r="C10" s="2">
        <v>16</v>
      </c>
      <c r="D10" s="2">
        <v>3</v>
      </c>
      <c r="E10" s="2">
        <v>60</v>
      </c>
      <c r="F10" s="2">
        <v>4</v>
      </c>
      <c r="G10" s="2" t="s">
        <v>436</v>
      </c>
      <c r="H10" s="2">
        <v>3</v>
      </c>
      <c r="I10" s="2">
        <v>60</v>
      </c>
      <c r="J10" s="2">
        <v>4</v>
      </c>
      <c r="K10" t="s">
        <v>441</v>
      </c>
    </row>
    <row r="11" spans="1:11">
      <c r="A11" s="2"/>
      <c r="B11" s="2" t="s">
        <v>303</v>
      </c>
      <c r="C11" s="2">
        <v>18</v>
      </c>
      <c r="D11" s="2">
        <v>15</v>
      </c>
      <c r="E11" s="2">
        <v>60</v>
      </c>
      <c r="F11" s="2">
        <v>24</v>
      </c>
      <c r="G11" s="2" t="s">
        <v>436</v>
      </c>
      <c r="H11" s="2">
        <v>15</v>
      </c>
      <c r="I11" s="2">
        <v>60</v>
      </c>
      <c r="J11" s="2">
        <v>27</v>
      </c>
      <c r="K11" t="s">
        <v>442</v>
      </c>
    </row>
    <row r="12" spans="1:11">
      <c r="A12" s="2"/>
      <c r="B12" s="2" t="s">
        <v>299</v>
      </c>
      <c r="C12" s="2">
        <v>19</v>
      </c>
      <c r="D12" s="2">
        <v>3</v>
      </c>
      <c r="E12" s="2">
        <v>60</v>
      </c>
      <c r="F12" s="2">
        <v>28</v>
      </c>
      <c r="G12" s="2" t="s">
        <v>436</v>
      </c>
      <c r="H12" s="2">
        <v>3</v>
      </c>
      <c r="I12" s="2">
        <v>60</v>
      </c>
      <c r="J12" s="2">
        <v>15</v>
      </c>
    </row>
    <row r="13" spans="1:11">
      <c r="A13" s="2"/>
      <c r="B13" s="2" t="s">
        <v>306</v>
      </c>
      <c r="C13" s="2">
        <v>20</v>
      </c>
      <c r="D13" s="2">
        <v>15</v>
      </c>
      <c r="E13" s="2">
        <v>60</v>
      </c>
      <c r="F13" s="2">
        <v>33</v>
      </c>
      <c r="G13" s="2" t="s">
        <v>436</v>
      </c>
      <c r="H13" s="2">
        <v>15</v>
      </c>
      <c r="I13" s="2">
        <v>60</v>
      </c>
      <c r="J13" s="2">
        <v>45</v>
      </c>
    </row>
    <row r="14" spans="1:11">
      <c r="A14" s="2" t="s">
        <v>307</v>
      </c>
      <c r="B14" s="2" t="s">
        <v>308</v>
      </c>
      <c r="C14" s="2">
        <v>1</v>
      </c>
      <c r="D14" s="2">
        <v>3</v>
      </c>
      <c r="E14" s="2">
        <v>60</v>
      </c>
      <c r="F14" s="2">
        <v>0</v>
      </c>
      <c r="G14" s="2" t="s">
        <v>436</v>
      </c>
      <c r="H14" s="2">
        <v>3</v>
      </c>
      <c r="I14" s="2">
        <v>60</v>
      </c>
      <c r="J14" s="2">
        <v>5</v>
      </c>
    </row>
    <row r="15" spans="1:11">
      <c r="A15" s="2"/>
      <c r="B15" s="2" t="s">
        <v>309</v>
      </c>
      <c r="C15" s="2">
        <v>2</v>
      </c>
      <c r="D15" s="2">
        <v>3</v>
      </c>
      <c r="E15" s="2">
        <v>60</v>
      </c>
      <c r="F15" s="2">
        <v>3</v>
      </c>
      <c r="G15" s="2" t="s">
        <v>345</v>
      </c>
      <c r="H15" s="2"/>
      <c r="I15" s="2"/>
    </row>
    <row r="16" spans="1:11">
      <c r="A16" s="2"/>
      <c r="B16" s="2" t="s">
        <v>311</v>
      </c>
      <c r="C16" s="2">
        <v>3</v>
      </c>
      <c r="D16" s="2">
        <v>3</v>
      </c>
      <c r="E16" s="2">
        <v>60</v>
      </c>
      <c r="F16" s="2">
        <v>2</v>
      </c>
      <c r="G16" s="2" t="s">
        <v>436</v>
      </c>
      <c r="H16" s="2">
        <v>3</v>
      </c>
      <c r="I16" s="2">
        <v>60</v>
      </c>
      <c r="J16" s="2">
        <v>2</v>
      </c>
      <c r="K16" t="s">
        <v>441</v>
      </c>
    </row>
    <row r="17" spans="1:11">
      <c r="A17" s="2"/>
      <c r="B17" s="2" t="s">
        <v>315</v>
      </c>
      <c r="C17" s="2">
        <v>6</v>
      </c>
      <c r="D17" s="2">
        <v>3</v>
      </c>
      <c r="E17" s="2">
        <v>60</v>
      </c>
      <c r="F17" s="2">
        <v>3</v>
      </c>
      <c r="G17" s="2" t="s">
        <v>345</v>
      </c>
      <c r="H17" s="2"/>
      <c r="I17" s="2"/>
    </row>
    <row r="18" spans="1:11">
      <c r="A18" s="2"/>
      <c r="B18" s="2" t="s">
        <v>316</v>
      </c>
      <c r="C18" s="2">
        <v>7</v>
      </c>
      <c r="D18" s="2">
        <v>3</v>
      </c>
      <c r="E18" s="2">
        <v>60</v>
      </c>
      <c r="F18" s="2">
        <v>2</v>
      </c>
      <c r="G18" s="2" t="s">
        <v>436</v>
      </c>
      <c r="H18" s="2">
        <v>3</v>
      </c>
      <c r="I18" s="2">
        <v>60</v>
      </c>
      <c r="J18" s="2">
        <v>2</v>
      </c>
      <c r="K18" t="s">
        <v>441</v>
      </c>
    </row>
    <row r="19" spans="1:11">
      <c r="A19" s="2"/>
      <c r="B19" s="2" t="s">
        <v>320</v>
      </c>
      <c r="C19" s="2">
        <v>10</v>
      </c>
      <c r="D19" s="2">
        <v>15</v>
      </c>
      <c r="E19" s="2">
        <v>30</v>
      </c>
      <c r="F19" s="2">
        <v>32</v>
      </c>
      <c r="G19" s="2" t="s">
        <v>345</v>
      </c>
      <c r="H19" s="2"/>
      <c r="I19" s="2"/>
    </row>
    <row r="20" spans="1:11">
      <c r="A20" s="2"/>
      <c r="B20" s="2" t="s">
        <v>321</v>
      </c>
      <c r="C20" s="2">
        <v>11</v>
      </c>
      <c r="D20" s="2">
        <v>20</v>
      </c>
      <c r="E20" s="2">
        <v>15</v>
      </c>
      <c r="F20" s="2">
        <v>13</v>
      </c>
      <c r="G20" s="2" t="s">
        <v>345</v>
      </c>
      <c r="H20" s="2"/>
      <c r="I20" s="2"/>
    </row>
    <row r="21" spans="1:11">
      <c r="A21" s="2"/>
      <c r="B21" s="2" t="s">
        <v>323</v>
      </c>
      <c r="C21" s="2">
        <v>12</v>
      </c>
      <c r="D21" s="2">
        <v>20</v>
      </c>
      <c r="E21" s="2">
        <v>30</v>
      </c>
      <c r="F21" s="2">
        <v>17</v>
      </c>
      <c r="G21" s="2" t="s">
        <v>345</v>
      </c>
      <c r="H21" s="2"/>
      <c r="I21" s="2"/>
    </row>
    <row r="22" spans="1:11">
      <c r="A22" s="2" t="s">
        <v>325</v>
      </c>
      <c r="B22" s="2" t="s">
        <v>326</v>
      </c>
      <c r="C22" s="2">
        <v>1</v>
      </c>
      <c r="D22" s="2">
        <v>3</v>
      </c>
      <c r="E22" s="2">
        <v>60</v>
      </c>
      <c r="F22" s="2">
        <v>7</v>
      </c>
      <c r="G22" s="2" t="s">
        <v>345</v>
      </c>
      <c r="H22" s="2"/>
      <c r="I22" s="2"/>
    </row>
    <row r="23" spans="1:11">
      <c r="A23" s="2" t="s">
        <v>329</v>
      </c>
      <c r="B23" s="2" t="s">
        <v>330</v>
      </c>
      <c r="C23" s="2">
        <v>1</v>
      </c>
      <c r="D23" s="2">
        <v>3</v>
      </c>
      <c r="E23" s="2">
        <v>60</v>
      </c>
      <c r="F23" s="2">
        <v>16</v>
      </c>
      <c r="G23" s="2" t="s">
        <v>436</v>
      </c>
      <c r="H23" s="2">
        <v>3</v>
      </c>
      <c r="I23" s="2">
        <v>60</v>
      </c>
      <c r="J23" s="2">
        <v>16</v>
      </c>
      <c r="K23" t="s">
        <v>441</v>
      </c>
    </row>
    <row r="24" spans="1:11">
      <c r="A24" s="2"/>
      <c r="B24" s="2" t="s">
        <v>332</v>
      </c>
      <c r="C24" s="2">
        <v>3</v>
      </c>
      <c r="D24" s="2">
        <v>3</v>
      </c>
      <c r="E24" s="2">
        <v>60</v>
      </c>
      <c r="F24" s="2">
        <v>3</v>
      </c>
      <c r="G24" s="2" t="s">
        <v>436</v>
      </c>
      <c r="H24" s="2">
        <v>3</v>
      </c>
      <c r="I24" s="2">
        <v>60</v>
      </c>
      <c r="J24" s="2">
        <v>3</v>
      </c>
      <c r="K24" t="s">
        <v>441</v>
      </c>
    </row>
    <row r="25" spans="1:11">
      <c r="A25" s="2"/>
      <c r="B25" s="2" t="s">
        <v>333</v>
      </c>
      <c r="C25" s="2">
        <v>4</v>
      </c>
      <c r="D25" s="2">
        <v>3</v>
      </c>
      <c r="E25" s="2">
        <v>60</v>
      </c>
      <c r="F25" s="2">
        <v>9</v>
      </c>
      <c r="G25" s="2" t="s">
        <v>436</v>
      </c>
      <c r="H25" s="2">
        <v>3</v>
      </c>
      <c r="I25" s="2">
        <v>60</v>
      </c>
      <c r="J25" s="2">
        <v>9</v>
      </c>
      <c r="K25" t="s">
        <v>441</v>
      </c>
    </row>
    <row r="26" spans="1:11">
      <c r="A26" s="2"/>
      <c r="B26" s="2" t="s">
        <v>335</v>
      </c>
      <c r="C26" s="2">
        <v>6</v>
      </c>
      <c r="D26" s="2">
        <v>3</v>
      </c>
      <c r="E26" s="2">
        <v>60</v>
      </c>
      <c r="F26" s="2">
        <v>2</v>
      </c>
      <c r="G26" s="2" t="s">
        <v>436</v>
      </c>
      <c r="H26" s="2">
        <v>3</v>
      </c>
      <c r="I26" s="2">
        <v>60</v>
      </c>
      <c r="J26" s="2">
        <v>2</v>
      </c>
      <c r="K26" t="s">
        <v>441</v>
      </c>
    </row>
    <row r="27" spans="1:11">
      <c r="A27" s="2"/>
      <c r="B27" s="2" t="s">
        <v>336</v>
      </c>
      <c r="C27" s="2">
        <v>7</v>
      </c>
      <c r="D27" s="2">
        <v>3</v>
      </c>
      <c r="E27" s="2">
        <v>60</v>
      </c>
      <c r="F27" s="2">
        <v>7</v>
      </c>
      <c r="G27" s="2" t="s">
        <v>345</v>
      </c>
      <c r="H27" s="2"/>
      <c r="I27" s="2"/>
    </row>
    <row r="28" spans="1:11">
      <c r="A28" s="2" t="s">
        <v>339</v>
      </c>
      <c r="B28" s="2" t="s">
        <v>342</v>
      </c>
      <c r="C28" s="2">
        <v>3</v>
      </c>
      <c r="D28" s="2">
        <v>3</v>
      </c>
      <c r="E28" s="2">
        <v>60</v>
      </c>
      <c r="F28" s="2">
        <v>3</v>
      </c>
      <c r="G28" s="2" t="s">
        <v>436</v>
      </c>
      <c r="H28" s="2">
        <v>3</v>
      </c>
      <c r="I28" s="2">
        <v>60</v>
      </c>
      <c r="J28" s="2">
        <v>3</v>
      </c>
      <c r="K28" t="s">
        <v>441</v>
      </c>
    </row>
    <row r="29" spans="1:11">
      <c r="A29" s="2"/>
      <c r="B29" s="2" t="s">
        <v>349</v>
      </c>
      <c r="C29" s="2">
        <v>7</v>
      </c>
      <c r="D29" s="2">
        <v>3</v>
      </c>
      <c r="E29" s="2">
        <v>60</v>
      </c>
      <c r="F29" s="2">
        <v>6</v>
      </c>
      <c r="G29" s="2" t="s">
        <v>436</v>
      </c>
      <c r="H29" s="2">
        <v>3</v>
      </c>
      <c r="I29" s="2">
        <v>60</v>
      </c>
      <c r="J29" s="2">
        <v>6</v>
      </c>
      <c r="K29" t="s">
        <v>441</v>
      </c>
    </row>
    <row r="30" spans="1:11">
      <c r="A30" s="2"/>
      <c r="B30" s="2" t="s">
        <v>350</v>
      </c>
      <c r="C30" s="2">
        <v>8</v>
      </c>
      <c r="D30" s="2">
        <v>3</v>
      </c>
      <c r="E30" s="2">
        <v>60</v>
      </c>
      <c r="F30" s="2">
        <v>11</v>
      </c>
      <c r="G30" s="2" t="s">
        <v>436</v>
      </c>
      <c r="H30" s="2">
        <v>3</v>
      </c>
      <c r="I30" s="2">
        <v>60</v>
      </c>
      <c r="J30" s="2">
        <v>11</v>
      </c>
      <c r="K30" t="s">
        <v>441</v>
      </c>
    </row>
    <row r="31" spans="1:11">
      <c r="A31" s="2"/>
      <c r="B31" s="2" t="s">
        <v>351</v>
      </c>
      <c r="C31" s="2">
        <v>9</v>
      </c>
      <c r="D31" s="2">
        <v>3</v>
      </c>
      <c r="E31" s="2">
        <v>60</v>
      </c>
      <c r="F31" s="2">
        <v>5</v>
      </c>
      <c r="G31" s="2" t="s">
        <v>436</v>
      </c>
      <c r="H31" s="2">
        <v>3</v>
      </c>
      <c r="I31" s="2">
        <v>60</v>
      </c>
      <c r="J31" s="2">
        <v>5</v>
      </c>
      <c r="K31" t="s">
        <v>441</v>
      </c>
    </row>
    <row r="32" spans="1:11">
      <c r="A32" s="2"/>
      <c r="B32" s="2" t="s">
        <v>352</v>
      </c>
      <c r="C32" s="2">
        <v>10</v>
      </c>
      <c r="D32" s="2">
        <v>3</v>
      </c>
      <c r="E32" s="2">
        <v>60</v>
      </c>
      <c r="F32" s="2">
        <v>32</v>
      </c>
      <c r="G32" s="2" t="s">
        <v>345</v>
      </c>
      <c r="H32" s="2"/>
      <c r="I32" s="2"/>
    </row>
    <row r="33" spans="1:11">
      <c r="A33" s="2" t="s">
        <v>353</v>
      </c>
      <c r="B33" s="2" t="s">
        <v>354</v>
      </c>
      <c r="C33" s="2">
        <v>3</v>
      </c>
      <c r="D33" s="2">
        <v>3</v>
      </c>
      <c r="E33" s="2">
        <v>60</v>
      </c>
      <c r="F33" s="2">
        <v>2</v>
      </c>
      <c r="G33" s="2" t="s">
        <v>436</v>
      </c>
      <c r="H33" s="2">
        <v>3</v>
      </c>
      <c r="I33" s="2">
        <v>60</v>
      </c>
      <c r="J33" s="2">
        <v>2</v>
      </c>
      <c r="K33" t="s">
        <v>441</v>
      </c>
    </row>
    <row r="34" spans="1:11">
      <c r="A34" s="2" t="s">
        <v>355</v>
      </c>
      <c r="B34" s="2" t="s">
        <v>356</v>
      </c>
      <c r="C34" s="2">
        <v>2</v>
      </c>
      <c r="D34" s="2">
        <v>3</v>
      </c>
      <c r="E34" s="2">
        <v>60</v>
      </c>
      <c r="F34" s="2">
        <v>8</v>
      </c>
      <c r="G34" s="2" t="s">
        <v>345</v>
      </c>
      <c r="H34" s="2"/>
      <c r="I34" s="2"/>
    </row>
    <row r="35" spans="1:11">
      <c r="A35" s="2"/>
      <c r="B35" s="2" t="s">
        <v>357</v>
      </c>
      <c r="C35" s="2">
        <v>3</v>
      </c>
      <c r="D35" s="2">
        <v>3</v>
      </c>
      <c r="E35" s="2">
        <v>60</v>
      </c>
      <c r="F35" s="2">
        <v>6</v>
      </c>
      <c r="G35" s="2" t="s">
        <v>436</v>
      </c>
      <c r="H35" s="2">
        <v>3</v>
      </c>
      <c r="I35" s="2">
        <v>60</v>
      </c>
      <c r="J35" s="2">
        <v>9</v>
      </c>
    </row>
    <row r="36" spans="1:11">
      <c r="A36" s="2"/>
      <c r="B36" s="2" t="s">
        <v>357</v>
      </c>
      <c r="C36" s="2">
        <v>4</v>
      </c>
      <c r="D36" s="2">
        <v>3</v>
      </c>
      <c r="E36" s="2">
        <v>60</v>
      </c>
      <c r="F36" s="2">
        <v>9</v>
      </c>
      <c r="G36" s="2" t="s">
        <v>436</v>
      </c>
      <c r="H36" s="2">
        <v>3</v>
      </c>
      <c r="I36" s="2">
        <v>60</v>
      </c>
      <c r="J36" s="2">
        <v>10</v>
      </c>
    </row>
    <row r="37" spans="1:11">
      <c r="A37" s="2"/>
      <c r="B37" s="2" t="s">
        <v>358</v>
      </c>
      <c r="C37" s="2">
        <v>5</v>
      </c>
      <c r="D37" s="2">
        <v>3</v>
      </c>
      <c r="E37" s="2">
        <v>60</v>
      </c>
      <c r="F37" s="2">
        <v>6</v>
      </c>
      <c r="G37" s="2" t="s">
        <v>345</v>
      </c>
      <c r="H37" s="2"/>
      <c r="I37" s="2"/>
    </row>
    <row r="38" spans="1:11">
      <c r="A38" s="2"/>
      <c r="B38" s="2" t="s">
        <v>359</v>
      </c>
      <c r="C38" s="2">
        <v>6</v>
      </c>
      <c r="D38" s="2">
        <v>3</v>
      </c>
      <c r="E38" s="2">
        <v>60</v>
      </c>
      <c r="F38" s="2">
        <v>10</v>
      </c>
      <c r="G38" s="2" t="s">
        <v>345</v>
      </c>
      <c r="H38" s="2"/>
      <c r="I38" s="2"/>
    </row>
    <row r="39" spans="1:11">
      <c r="A39" s="2"/>
      <c r="B39" s="2" t="s">
        <v>360</v>
      </c>
      <c r="C39" s="2">
        <v>7</v>
      </c>
      <c r="D39" s="2">
        <v>3</v>
      </c>
      <c r="E39" s="2">
        <v>60</v>
      </c>
      <c r="F39" s="2">
        <v>10</v>
      </c>
      <c r="G39" s="2" t="s">
        <v>345</v>
      </c>
      <c r="H39" s="2"/>
      <c r="I39" s="2"/>
    </row>
    <row r="40" spans="1:11">
      <c r="A40" s="2"/>
      <c r="B40" s="2" t="s">
        <v>361</v>
      </c>
      <c r="C40" s="2">
        <v>8</v>
      </c>
      <c r="D40" s="2">
        <v>3</v>
      </c>
      <c r="E40" s="2">
        <v>60</v>
      </c>
      <c r="F40" s="2">
        <v>6</v>
      </c>
      <c r="G40" s="2" t="s">
        <v>436</v>
      </c>
      <c r="H40" s="2">
        <v>3</v>
      </c>
      <c r="I40" s="2">
        <v>60</v>
      </c>
      <c r="J40" s="2">
        <v>10</v>
      </c>
    </row>
    <row r="41" spans="1:11">
      <c r="A41" s="2"/>
      <c r="B41" s="2" t="s">
        <v>361</v>
      </c>
      <c r="C41" s="2">
        <v>9</v>
      </c>
      <c r="D41" s="2">
        <v>3</v>
      </c>
      <c r="E41" s="2">
        <v>60</v>
      </c>
      <c r="F41" s="2">
        <v>9</v>
      </c>
      <c r="G41" s="2" t="s">
        <v>436</v>
      </c>
      <c r="H41" s="2">
        <v>3</v>
      </c>
      <c r="I41" s="2">
        <v>60</v>
      </c>
      <c r="J41" s="2">
        <v>10</v>
      </c>
    </row>
    <row r="42" spans="1:11">
      <c r="A42" s="2"/>
      <c r="B42" s="2" t="s">
        <v>362</v>
      </c>
      <c r="C42" s="2">
        <v>10</v>
      </c>
      <c r="D42" s="2">
        <v>3</v>
      </c>
      <c r="E42" s="2">
        <v>60</v>
      </c>
      <c r="F42" s="2">
        <v>0</v>
      </c>
      <c r="G42" s="2" t="s">
        <v>436</v>
      </c>
      <c r="H42" s="2">
        <v>3</v>
      </c>
      <c r="I42" s="2">
        <v>60</v>
      </c>
      <c r="J42" s="2">
        <v>2</v>
      </c>
    </row>
    <row r="43" spans="1:11">
      <c r="A43" s="2"/>
      <c r="B43" s="2" t="s">
        <v>365</v>
      </c>
      <c r="C43" s="2">
        <v>11</v>
      </c>
      <c r="D43" s="2">
        <v>3</v>
      </c>
      <c r="E43" s="2">
        <v>60</v>
      </c>
      <c r="F43" s="2">
        <v>2</v>
      </c>
      <c r="G43" s="2" t="s">
        <v>436</v>
      </c>
      <c r="H43" s="2">
        <v>3</v>
      </c>
      <c r="I43" s="2">
        <v>60</v>
      </c>
      <c r="J43" s="2">
        <v>3</v>
      </c>
    </row>
    <row r="44" spans="1:11">
      <c r="A44" s="2"/>
      <c r="B44" s="2" t="s">
        <v>367</v>
      </c>
      <c r="C44" s="2">
        <v>13</v>
      </c>
      <c r="D44" s="2">
        <v>3</v>
      </c>
      <c r="E44" s="2">
        <v>60</v>
      </c>
      <c r="F44" s="2">
        <v>4</v>
      </c>
      <c r="G44" s="2" t="s">
        <v>436</v>
      </c>
      <c r="H44" s="2">
        <v>3</v>
      </c>
      <c r="I44" s="2">
        <v>60</v>
      </c>
      <c r="J44" s="2">
        <v>11</v>
      </c>
      <c r="K44" t="s">
        <v>441</v>
      </c>
    </row>
    <row r="45" spans="1:11">
      <c r="A45" s="2"/>
      <c r="B45" s="2" t="s">
        <v>367</v>
      </c>
      <c r="C45" s="2">
        <v>14</v>
      </c>
      <c r="D45" s="2">
        <v>3</v>
      </c>
      <c r="E45" s="2">
        <v>60</v>
      </c>
      <c r="F45" s="2">
        <v>11</v>
      </c>
      <c r="G45" s="2" t="s">
        <v>436</v>
      </c>
      <c r="H45" s="2">
        <v>3</v>
      </c>
      <c r="I45" s="2">
        <v>60</v>
      </c>
      <c r="J45" s="2">
        <v>15</v>
      </c>
      <c r="K45" t="s">
        <v>443</v>
      </c>
    </row>
    <row r="46" spans="1:11">
      <c r="A46" s="2"/>
      <c r="B46" s="2" t="s">
        <v>367</v>
      </c>
      <c r="C46" s="2">
        <v>15</v>
      </c>
      <c r="D46" s="2">
        <v>3</v>
      </c>
      <c r="E46" s="2">
        <v>60</v>
      </c>
      <c r="F46" s="2">
        <v>4</v>
      </c>
      <c r="G46" s="2" t="s">
        <v>436</v>
      </c>
      <c r="H46" s="2">
        <v>3</v>
      </c>
      <c r="I46" s="2">
        <v>60</v>
      </c>
      <c r="J46" s="2">
        <v>4</v>
      </c>
      <c r="K46" t="s">
        <v>441</v>
      </c>
    </row>
    <row r="47" spans="1:11">
      <c r="A47" s="2"/>
      <c r="B47" s="2" t="s">
        <v>367</v>
      </c>
      <c r="C47" s="2">
        <v>16</v>
      </c>
      <c r="D47" s="2">
        <v>3</v>
      </c>
      <c r="E47" s="2">
        <v>60</v>
      </c>
      <c r="F47" s="2">
        <v>4</v>
      </c>
      <c r="G47" s="2" t="s">
        <v>436</v>
      </c>
      <c r="H47" s="2">
        <v>3</v>
      </c>
      <c r="I47" s="2">
        <v>60</v>
      </c>
      <c r="J47" s="2">
        <v>4</v>
      </c>
      <c r="K47" t="s">
        <v>445</v>
      </c>
    </row>
    <row r="48" spans="1:11">
      <c r="A48" s="2"/>
      <c r="B48" s="2" t="s">
        <v>372</v>
      </c>
      <c r="C48" s="2">
        <v>20</v>
      </c>
      <c r="D48" s="2">
        <v>3</v>
      </c>
      <c r="E48" s="2">
        <v>60</v>
      </c>
      <c r="F48" s="2">
        <v>2</v>
      </c>
      <c r="G48" s="2" t="s">
        <v>436</v>
      </c>
      <c r="H48" s="2">
        <v>3</v>
      </c>
      <c r="I48" s="2">
        <v>60</v>
      </c>
      <c r="J48" s="2">
        <v>2</v>
      </c>
      <c r="K48" t="s">
        <v>441</v>
      </c>
    </row>
    <row r="49" spans="1:12">
      <c r="A49" s="2"/>
      <c r="B49" s="2" t="s">
        <v>373</v>
      </c>
      <c r="C49" s="2">
        <v>21</v>
      </c>
      <c r="D49" s="2">
        <v>3</v>
      </c>
      <c r="E49" s="2">
        <v>60</v>
      </c>
      <c r="F49" s="2">
        <v>2</v>
      </c>
      <c r="G49" s="2" t="s">
        <v>436</v>
      </c>
      <c r="H49" s="2">
        <v>3</v>
      </c>
      <c r="I49" s="2">
        <v>60</v>
      </c>
      <c r="J49" s="2">
        <v>4</v>
      </c>
    </row>
    <row r="50" spans="1:12">
      <c r="A50" s="2" t="s">
        <v>377</v>
      </c>
      <c r="B50" s="2" t="s">
        <v>388</v>
      </c>
      <c r="C50" s="2">
        <v>2</v>
      </c>
      <c r="D50" s="2">
        <v>3</v>
      </c>
      <c r="E50" s="2">
        <v>60</v>
      </c>
      <c r="F50" s="2">
        <v>0</v>
      </c>
      <c r="G50" s="2" t="s">
        <v>436</v>
      </c>
      <c r="H50" s="2">
        <v>3</v>
      </c>
      <c r="I50" s="2">
        <v>60</v>
      </c>
      <c r="J50" s="2">
        <v>4</v>
      </c>
    </row>
    <row r="51" spans="1:12">
      <c r="A51" s="2"/>
      <c r="B51" s="2" t="s">
        <v>387</v>
      </c>
      <c r="C51" s="2">
        <v>3</v>
      </c>
      <c r="D51" s="2">
        <v>3</v>
      </c>
      <c r="E51" s="2">
        <v>60</v>
      </c>
      <c r="F51" s="2">
        <v>0</v>
      </c>
      <c r="G51" s="2" t="s">
        <v>436</v>
      </c>
      <c r="H51" s="2">
        <v>3</v>
      </c>
      <c r="I51" s="2">
        <v>60</v>
      </c>
      <c r="J51" s="2">
        <v>6</v>
      </c>
    </row>
    <row r="52" spans="1:12">
      <c r="A52" s="2" t="s">
        <v>378</v>
      </c>
      <c r="B52" s="2" t="s">
        <v>389</v>
      </c>
      <c r="C52" s="2">
        <v>0</v>
      </c>
      <c r="D52" s="2">
        <v>3</v>
      </c>
      <c r="E52" s="2">
        <v>60</v>
      </c>
      <c r="F52" s="2">
        <v>4</v>
      </c>
      <c r="G52" s="2" t="s">
        <v>345</v>
      </c>
      <c r="H52" s="2"/>
      <c r="I52" s="2"/>
    </row>
    <row r="53" spans="1:12">
      <c r="A53" s="2"/>
      <c r="B53" s="2" t="s">
        <v>391</v>
      </c>
      <c r="C53" s="2">
        <v>1</v>
      </c>
      <c r="D53" s="2">
        <v>3</v>
      </c>
      <c r="E53" s="2">
        <v>60</v>
      </c>
      <c r="F53" s="2">
        <v>4</v>
      </c>
      <c r="G53" s="2" t="s">
        <v>436</v>
      </c>
      <c r="H53" s="2">
        <v>3</v>
      </c>
      <c r="I53" s="2">
        <v>60</v>
      </c>
      <c r="J53" s="2">
        <v>4</v>
      </c>
      <c r="K53" t="s">
        <v>441</v>
      </c>
    </row>
    <row r="54" spans="1:12">
      <c r="A54" s="2" t="s">
        <v>379</v>
      </c>
      <c r="B54" s="2" t="s">
        <v>395</v>
      </c>
      <c r="C54" s="2">
        <v>1</v>
      </c>
      <c r="D54" s="2">
        <v>3</v>
      </c>
      <c r="E54" s="2">
        <v>60</v>
      </c>
      <c r="F54" s="2">
        <v>8</v>
      </c>
      <c r="G54" s="2" t="s">
        <v>345</v>
      </c>
      <c r="H54" s="2"/>
      <c r="I54" s="2"/>
    </row>
    <row r="55" spans="1:12">
      <c r="A55" s="2" t="s">
        <v>380</v>
      </c>
      <c r="B55" s="2" t="s">
        <v>398</v>
      </c>
      <c r="C55" s="2">
        <v>3</v>
      </c>
      <c r="D55" s="2">
        <v>3</v>
      </c>
      <c r="E55" s="2">
        <v>60</v>
      </c>
      <c r="F55" s="2">
        <v>0</v>
      </c>
      <c r="G55" s="2" t="s">
        <v>436</v>
      </c>
      <c r="H55" s="2">
        <v>3</v>
      </c>
      <c r="I55" s="2">
        <v>60</v>
      </c>
      <c r="J55" s="2">
        <v>2</v>
      </c>
    </row>
    <row r="56" spans="1:12">
      <c r="A56" s="2" t="s">
        <v>381</v>
      </c>
      <c r="B56" s="2" t="s">
        <v>400</v>
      </c>
      <c r="C56" s="2">
        <v>1</v>
      </c>
      <c r="D56" s="2">
        <v>3</v>
      </c>
      <c r="E56" s="2">
        <v>60</v>
      </c>
      <c r="F56" s="2">
        <v>5</v>
      </c>
      <c r="G56" s="2" t="s">
        <v>436</v>
      </c>
      <c r="H56" s="2">
        <v>3</v>
      </c>
      <c r="I56" s="2">
        <v>60</v>
      </c>
      <c r="J56" s="2">
        <v>16</v>
      </c>
      <c r="L56">
        <v>60</v>
      </c>
    </row>
    <row r="57" spans="1:12">
      <c r="A57" s="2" t="s">
        <v>404</v>
      </c>
      <c r="B57" s="2" t="s">
        <v>402</v>
      </c>
      <c r="C57" s="2">
        <v>4</v>
      </c>
      <c r="D57" s="2">
        <v>3</v>
      </c>
      <c r="E57" s="2">
        <v>60</v>
      </c>
      <c r="F57" s="2">
        <v>0</v>
      </c>
      <c r="G57" s="2" t="s">
        <v>436</v>
      </c>
      <c r="H57" s="2">
        <v>3</v>
      </c>
      <c r="I57" s="2">
        <v>60</v>
      </c>
      <c r="J57" s="2">
        <v>7</v>
      </c>
    </row>
    <row r="58" spans="1:12">
      <c r="A58" s="2"/>
      <c r="B58" s="2" t="s">
        <v>406</v>
      </c>
      <c r="C58" s="2">
        <v>5</v>
      </c>
      <c r="D58" s="2">
        <v>3</v>
      </c>
      <c r="E58" s="2">
        <v>60</v>
      </c>
      <c r="F58" s="2">
        <v>5</v>
      </c>
      <c r="G58" s="2" t="s">
        <v>436</v>
      </c>
      <c r="H58" s="2">
        <v>3</v>
      </c>
      <c r="I58" s="2">
        <v>60</v>
      </c>
      <c r="J58" s="2">
        <v>8</v>
      </c>
    </row>
    <row r="59" spans="1:12">
      <c r="A59" s="2"/>
      <c r="B59" s="2" t="s">
        <v>444</v>
      </c>
      <c r="C59" s="2">
        <v>7</v>
      </c>
      <c r="D59" s="2">
        <v>3</v>
      </c>
      <c r="E59" s="2">
        <v>60</v>
      </c>
      <c r="F59" s="2">
        <v>3</v>
      </c>
      <c r="G59" s="2" t="s">
        <v>436</v>
      </c>
      <c r="H59" s="2">
        <v>3</v>
      </c>
      <c r="I59" s="2">
        <v>60</v>
      </c>
      <c r="J59" s="2">
        <v>4</v>
      </c>
    </row>
    <row r="60" spans="1:12">
      <c r="A60" s="2"/>
      <c r="B60" s="2" t="s">
        <v>409</v>
      </c>
      <c r="C60" s="2">
        <v>8</v>
      </c>
      <c r="D60" s="2">
        <v>3</v>
      </c>
      <c r="E60" s="2">
        <v>60</v>
      </c>
      <c r="F60" s="2">
        <v>0</v>
      </c>
      <c r="G60" s="2" t="s">
        <v>436</v>
      </c>
      <c r="H60" s="2">
        <v>3</v>
      </c>
      <c r="I60" s="2">
        <v>60</v>
      </c>
      <c r="J60" s="2">
        <v>5</v>
      </c>
    </row>
    <row r="61" spans="1:12">
      <c r="A61" s="2"/>
      <c r="B61" s="2" t="s">
        <v>410</v>
      </c>
      <c r="C61" s="2">
        <v>9</v>
      </c>
      <c r="D61" s="2">
        <v>3</v>
      </c>
      <c r="E61" s="2">
        <v>60</v>
      </c>
      <c r="F61" s="2">
        <v>18</v>
      </c>
      <c r="G61" s="2" t="s">
        <v>436</v>
      </c>
      <c r="H61" s="2">
        <v>3</v>
      </c>
      <c r="I61" s="2">
        <v>60</v>
      </c>
      <c r="J61" s="2">
        <v>20</v>
      </c>
    </row>
    <row r="62" spans="1:12">
      <c r="A62" s="2"/>
      <c r="B62" s="2" t="s">
        <v>411</v>
      </c>
      <c r="C62" s="2">
        <v>10</v>
      </c>
      <c r="D62" s="2">
        <v>3</v>
      </c>
      <c r="E62" s="2">
        <v>60</v>
      </c>
      <c r="F62" s="2">
        <v>4</v>
      </c>
      <c r="G62" s="2" t="s">
        <v>436</v>
      </c>
      <c r="H62" s="2">
        <v>3</v>
      </c>
      <c r="I62" s="2">
        <v>60</v>
      </c>
      <c r="J62" s="2">
        <v>8</v>
      </c>
    </row>
    <row r="63" spans="1:12">
      <c r="A63" s="2"/>
      <c r="B63" s="2" t="s">
        <v>413</v>
      </c>
      <c r="C63" s="2">
        <v>11</v>
      </c>
      <c r="D63" s="2">
        <v>3</v>
      </c>
      <c r="E63" s="2">
        <v>60</v>
      </c>
      <c r="F63" s="2">
        <v>19</v>
      </c>
      <c r="G63" s="2" t="s">
        <v>345</v>
      </c>
      <c r="H63" s="2"/>
      <c r="I63" s="2"/>
    </row>
    <row r="64" spans="1:12">
      <c r="A64" s="2"/>
      <c r="B64" s="2" t="s">
        <v>415</v>
      </c>
      <c r="C64" s="2">
        <v>12</v>
      </c>
      <c r="D64" s="2">
        <v>3</v>
      </c>
      <c r="E64" s="2">
        <v>60</v>
      </c>
      <c r="F64" s="2">
        <v>9</v>
      </c>
      <c r="G64" s="2" t="s">
        <v>345</v>
      </c>
      <c r="H64" s="2"/>
      <c r="I64" s="2"/>
    </row>
    <row r="65" spans="1:11">
      <c r="A65" s="2"/>
      <c r="B65" s="2" t="s">
        <v>417</v>
      </c>
      <c r="C65" s="2">
        <v>13</v>
      </c>
      <c r="D65" s="2">
        <v>3</v>
      </c>
      <c r="E65" s="2">
        <v>60</v>
      </c>
      <c r="F65" s="2">
        <v>2</v>
      </c>
      <c r="G65" s="2" t="s">
        <v>345</v>
      </c>
      <c r="H65" s="2"/>
      <c r="I65" s="2"/>
    </row>
    <row r="66" spans="1:11">
      <c r="A66" s="2" t="s">
        <v>401</v>
      </c>
      <c r="B66" s="2" t="s">
        <v>418</v>
      </c>
      <c r="C66" s="2">
        <v>2</v>
      </c>
      <c r="D66" s="2">
        <v>3</v>
      </c>
      <c r="E66" s="2">
        <v>60</v>
      </c>
      <c r="F66" s="2">
        <v>4</v>
      </c>
      <c r="G66" s="2" t="s">
        <v>436</v>
      </c>
      <c r="H66" s="2">
        <v>3</v>
      </c>
      <c r="I66" s="2">
        <v>60</v>
      </c>
      <c r="J66" s="2">
        <v>6</v>
      </c>
    </row>
    <row r="67" spans="1:11">
      <c r="A67" s="2"/>
      <c r="B67" s="2" t="s">
        <v>421</v>
      </c>
      <c r="C67" s="2">
        <v>6</v>
      </c>
      <c r="D67" s="2">
        <v>3</v>
      </c>
      <c r="E67" s="2">
        <v>60</v>
      </c>
      <c r="F67" s="2">
        <v>6</v>
      </c>
      <c r="G67" s="2" t="s">
        <v>436</v>
      </c>
      <c r="H67" s="2">
        <v>3</v>
      </c>
      <c r="I67" s="2">
        <v>60</v>
      </c>
      <c r="J67" s="2">
        <v>6</v>
      </c>
      <c r="K67" t="s">
        <v>441</v>
      </c>
    </row>
    <row r="68" spans="1:11">
      <c r="A68" s="2"/>
      <c r="B68" s="2" t="s">
        <v>423</v>
      </c>
      <c r="C68" s="2">
        <v>8</v>
      </c>
      <c r="D68" s="2">
        <v>3</v>
      </c>
      <c r="E68" s="2">
        <v>60</v>
      </c>
      <c r="F68" s="2">
        <v>2</v>
      </c>
      <c r="G68" s="2" t="s">
        <v>436</v>
      </c>
      <c r="H68" s="2">
        <v>3</v>
      </c>
      <c r="I68" s="2">
        <v>60</v>
      </c>
      <c r="J68" s="2">
        <v>2</v>
      </c>
      <c r="K68" t="s">
        <v>441</v>
      </c>
    </row>
    <row r="69" spans="1:11">
      <c r="A69" s="2"/>
      <c r="B69" s="2" t="s">
        <v>427</v>
      </c>
      <c r="C69" s="2">
        <v>11</v>
      </c>
      <c r="D69" s="2">
        <v>3</v>
      </c>
      <c r="E69" s="2">
        <v>60</v>
      </c>
      <c r="F69" s="2">
        <v>0</v>
      </c>
      <c r="G69" s="2" t="s">
        <v>436</v>
      </c>
      <c r="H69" s="2">
        <v>3</v>
      </c>
      <c r="I69" s="2">
        <v>60</v>
      </c>
      <c r="J69" s="2">
        <v>24</v>
      </c>
    </row>
    <row r="70" spans="1:11">
      <c r="A70" s="2"/>
      <c r="G70" s="2"/>
      <c r="H70" s="2"/>
      <c r="I70" s="2"/>
    </row>
    <row r="71" spans="1:11">
      <c r="A71" s="2"/>
      <c r="G71" s="2"/>
      <c r="H71" s="2"/>
      <c r="I71" s="2"/>
    </row>
  </sheetData>
  <sortState ref="A1:A16">
    <sortCondition ref="A1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workbookViewId="0">
      <selection activeCell="I1" sqref="I1:L1"/>
    </sheetView>
  </sheetViews>
  <sheetFormatPr baseColWidth="10" defaultRowHeight="15" x14ac:dyDescent="0"/>
  <sheetData>
    <row r="1" spans="1:12">
      <c r="A1" s="2" t="s">
        <v>270</v>
      </c>
      <c r="B1" s="2" t="s">
        <v>271</v>
      </c>
      <c r="C1" s="2" t="s">
        <v>272</v>
      </c>
      <c r="D1" s="2" t="s">
        <v>446</v>
      </c>
      <c r="E1" s="2" t="s">
        <v>455</v>
      </c>
      <c r="F1" s="2" t="s">
        <v>275</v>
      </c>
      <c r="G1" s="2" t="s">
        <v>447</v>
      </c>
      <c r="H1" s="2" t="s">
        <v>454</v>
      </c>
      <c r="I1" s="2" t="s">
        <v>450</v>
      </c>
      <c r="J1" s="2" t="s">
        <v>452</v>
      </c>
      <c r="K1" s="2" t="s">
        <v>451</v>
      </c>
      <c r="L1" s="2" t="s">
        <v>453</v>
      </c>
    </row>
    <row r="2" spans="1:12">
      <c r="A2" s="2" t="s">
        <v>432</v>
      </c>
      <c r="B2" s="2" t="s">
        <v>273</v>
      </c>
      <c r="C2" s="2">
        <v>1</v>
      </c>
      <c r="D2">
        <v>1</v>
      </c>
      <c r="E2" t="s">
        <v>210</v>
      </c>
      <c r="F2" s="2">
        <f>AVERAGE(7641,7431,7353)</f>
        <v>7475</v>
      </c>
      <c r="G2">
        <v>7169</v>
      </c>
      <c r="H2" s="4">
        <f>G2/F2</f>
        <v>0.95906354515050163</v>
      </c>
      <c r="I2">
        <v>45</v>
      </c>
      <c r="J2">
        <v>0</v>
      </c>
      <c r="K2">
        <v>4</v>
      </c>
      <c r="L2">
        <v>0</v>
      </c>
    </row>
    <row r="3" spans="1:12">
      <c r="D3">
        <v>2</v>
      </c>
      <c r="E3" t="s">
        <v>448</v>
      </c>
      <c r="F3" s="2">
        <f t="shared" ref="F3:F5" si="0">AVERAGE(7641,7431,7353)</f>
        <v>7475</v>
      </c>
      <c r="G3">
        <v>7283</v>
      </c>
      <c r="H3" s="4">
        <f t="shared" ref="H3:H5" si="1">G3/F3</f>
        <v>0.97431438127090297</v>
      </c>
      <c r="I3">
        <v>47</v>
      </c>
      <c r="J3">
        <v>0</v>
      </c>
      <c r="K3">
        <v>2</v>
      </c>
      <c r="L3">
        <v>0</v>
      </c>
    </row>
    <row r="4" spans="1:12">
      <c r="D4">
        <v>3</v>
      </c>
      <c r="E4" t="s">
        <v>449</v>
      </c>
      <c r="F4" s="2">
        <f t="shared" si="0"/>
        <v>7475</v>
      </c>
      <c r="G4">
        <v>7367</v>
      </c>
      <c r="H4" s="4">
        <f t="shared" si="1"/>
        <v>0.9855518394648829</v>
      </c>
      <c r="I4">
        <v>49</v>
      </c>
      <c r="J4">
        <v>0</v>
      </c>
      <c r="K4">
        <v>0</v>
      </c>
      <c r="L4">
        <v>0</v>
      </c>
    </row>
    <row r="5" spans="1:12">
      <c r="D5">
        <v>4</v>
      </c>
      <c r="E5" t="s">
        <v>211</v>
      </c>
      <c r="F5" s="2">
        <f t="shared" si="0"/>
        <v>7475</v>
      </c>
      <c r="G5">
        <v>7902</v>
      </c>
      <c r="H5" s="4">
        <f t="shared" si="1"/>
        <v>1.0571237458193981</v>
      </c>
      <c r="I5">
        <v>49</v>
      </c>
      <c r="J5">
        <v>0</v>
      </c>
      <c r="K5">
        <v>0</v>
      </c>
      <c r="L5"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tabSelected="1" workbookViewId="0">
      <selection activeCell="I33" sqref="I33"/>
    </sheetView>
  </sheetViews>
  <sheetFormatPr baseColWidth="10" defaultRowHeight="15" x14ac:dyDescent="0"/>
  <sheetData>
    <row r="1" spans="1:7">
      <c r="A1" t="s">
        <v>270</v>
      </c>
      <c r="B1" t="s">
        <v>272</v>
      </c>
      <c r="C1" t="s">
        <v>274</v>
      </c>
      <c r="D1" t="s">
        <v>456</v>
      </c>
      <c r="E1" t="s">
        <v>275</v>
      </c>
      <c r="F1" t="s">
        <v>457</v>
      </c>
      <c r="G1" t="s">
        <v>454</v>
      </c>
    </row>
    <row r="2" spans="1:7">
      <c r="A2" t="s">
        <v>458</v>
      </c>
      <c r="B2">
        <v>1</v>
      </c>
      <c r="C2" t="s">
        <v>210</v>
      </c>
      <c r="D2">
        <v>1</v>
      </c>
      <c r="E2">
        <v>7586</v>
      </c>
      <c r="F2">
        <v>7421</v>
      </c>
      <c r="G2" s="4">
        <f>F2/E2</f>
        <v>0.97824940680200367</v>
      </c>
    </row>
    <row r="3" spans="1:7">
      <c r="A3" t="s">
        <v>458</v>
      </c>
      <c r="B3">
        <v>1</v>
      </c>
      <c r="C3" t="s">
        <v>448</v>
      </c>
      <c r="D3">
        <v>2</v>
      </c>
      <c r="E3">
        <v>7586</v>
      </c>
      <c r="F3">
        <v>7469</v>
      </c>
      <c r="G3" s="4">
        <f t="shared" ref="G3:G35" si="0">F3/E3</f>
        <v>0.98457685209596624</v>
      </c>
    </row>
    <row r="4" spans="1:7">
      <c r="A4" t="s">
        <v>458</v>
      </c>
      <c r="B4">
        <v>1</v>
      </c>
      <c r="C4" t="s">
        <v>449</v>
      </c>
      <c r="D4">
        <v>3</v>
      </c>
      <c r="E4">
        <v>7586</v>
      </c>
      <c r="F4">
        <v>7493</v>
      </c>
      <c r="G4" s="4">
        <f t="shared" si="0"/>
        <v>0.98774057474294752</v>
      </c>
    </row>
    <row r="5" spans="1:7">
      <c r="A5" t="s">
        <v>458</v>
      </c>
      <c r="B5">
        <v>1</v>
      </c>
      <c r="C5" t="s">
        <v>211</v>
      </c>
      <c r="D5">
        <v>4</v>
      </c>
      <c r="E5">
        <v>7586</v>
      </c>
      <c r="F5">
        <v>7510</v>
      </c>
      <c r="G5" s="4">
        <f t="shared" si="0"/>
        <v>0.98998154495122592</v>
      </c>
    </row>
    <row r="6" spans="1:7">
      <c r="A6" t="s">
        <v>458</v>
      </c>
      <c r="B6">
        <v>2</v>
      </c>
      <c r="C6" t="s">
        <v>449</v>
      </c>
      <c r="D6">
        <v>1</v>
      </c>
      <c r="E6">
        <v>1188</v>
      </c>
      <c r="F6">
        <v>503</v>
      </c>
      <c r="G6" s="4">
        <f t="shared" si="0"/>
        <v>0.42340067340067339</v>
      </c>
    </row>
    <row r="7" spans="1:7">
      <c r="A7" t="s">
        <v>458</v>
      </c>
      <c r="B7">
        <v>2</v>
      </c>
      <c r="C7" t="s">
        <v>459</v>
      </c>
      <c r="D7">
        <v>2</v>
      </c>
      <c r="E7">
        <v>1188</v>
      </c>
      <c r="F7">
        <v>672</v>
      </c>
      <c r="G7" s="4">
        <f t="shared" si="0"/>
        <v>0.56565656565656564</v>
      </c>
    </row>
    <row r="8" spans="1:7">
      <c r="A8" t="s">
        <v>458</v>
      </c>
      <c r="B8">
        <v>2</v>
      </c>
      <c r="C8" t="s">
        <v>460</v>
      </c>
      <c r="D8">
        <v>3</v>
      </c>
      <c r="E8">
        <v>1188</v>
      </c>
      <c r="F8">
        <v>766</v>
      </c>
      <c r="G8" s="4">
        <f t="shared" si="0"/>
        <v>0.64478114478114479</v>
      </c>
    </row>
    <row r="9" spans="1:7">
      <c r="A9" t="s">
        <v>458</v>
      </c>
      <c r="B9">
        <v>2</v>
      </c>
      <c r="C9" t="s">
        <v>461</v>
      </c>
      <c r="D9">
        <v>4</v>
      </c>
      <c r="E9">
        <v>1188</v>
      </c>
      <c r="F9">
        <v>812</v>
      </c>
      <c r="G9" s="4">
        <f t="shared" si="0"/>
        <v>0.6835016835016835</v>
      </c>
    </row>
    <row r="10" spans="1:7">
      <c r="A10" t="s">
        <v>458</v>
      </c>
      <c r="B10">
        <v>2</v>
      </c>
      <c r="C10" t="s">
        <v>463</v>
      </c>
      <c r="D10">
        <v>5</v>
      </c>
      <c r="E10">
        <v>1188</v>
      </c>
      <c r="F10">
        <v>901</v>
      </c>
      <c r="G10" s="4">
        <f t="shared" si="0"/>
        <v>0.75841750841750843</v>
      </c>
    </row>
    <row r="11" spans="1:7">
      <c r="A11" t="s">
        <v>458</v>
      </c>
      <c r="B11">
        <v>2</v>
      </c>
      <c r="C11" t="s">
        <v>462</v>
      </c>
      <c r="D11">
        <v>6</v>
      </c>
      <c r="E11">
        <v>1188</v>
      </c>
      <c r="F11">
        <v>915</v>
      </c>
      <c r="G11" s="4">
        <f t="shared" si="0"/>
        <v>0.77020202020202022</v>
      </c>
    </row>
    <row r="12" spans="1:7">
      <c r="A12" t="s">
        <v>458</v>
      </c>
      <c r="B12">
        <v>2</v>
      </c>
      <c r="C12" t="s">
        <v>464</v>
      </c>
      <c r="D12">
        <v>7</v>
      </c>
      <c r="E12">
        <v>1188</v>
      </c>
      <c r="F12">
        <v>916</v>
      </c>
      <c r="G12" s="4">
        <f t="shared" si="0"/>
        <v>0.77104377104377109</v>
      </c>
    </row>
    <row r="13" spans="1:7">
      <c r="A13" t="s">
        <v>458</v>
      </c>
      <c r="B13">
        <v>2</v>
      </c>
      <c r="C13" t="s">
        <v>465</v>
      </c>
      <c r="D13">
        <v>8</v>
      </c>
      <c r="E13">
        <v>1188</v>
      </c>
      <c r="F13">
        <v>990</v>
      </c>
      <c r="G13" s="4">
        <f t="shared" si="0"/>
        <v>0.83333333333333337</v>
      </c>
    </row>
    <row r="14" spans="1:7">
      <c r="A14" t="s">
        <v>458</v>
      </c>
      <c r="B14">
        <v>2</v>
      </c>
      <c r="C14" t="s">
        <v>466</v>
      </c>
      <c r="D14">
        <v>9</v>
      </c>
      <c r="E14">
        <v>1188</v>
      </c>
      <c r="F14">
        <v>997</v>
      </c>
      <c r="G14" s="4">
        <f t="shared" si="0"/>
        <v>0.83922558922558921</v>
      </c>
    </row>
    <row r="15" spans="1:7">
      <c r="A15" t="s">
        <v>458</v>
      </c>
      <c r="B15">
        <v>2</v>
      </c>
      <c r="C15" t="s">
        <v>468</v>
      </c>
      <c r="D15">
        <v>10</v>
      </c>
      <c r="E15">
        <v>1188</v>
      </c>
      <c r="F15">
        <v>1013</v>
      </c>
      <c r="G15" s="4">
        <f t="shared" si="0"/>
        <v>0.85269360269360273</v>
      </c>
    </row>
    <row r="16" spans="1:7">
      <c r="A16" t="s">
        <v>458</v>
      </c>
      <c r="B16">
        <v>2</v>
      </c>
      <c r="C16" t="s">
        <v>467</v>
      </c>
      <c r="D16">
        <v>11</v>
      </c>
      <c r="E16">
        <v>1188</v>
      </c>
      <c r="F16">
        <v>1014</v>
      </c>
      <c r="G16" s="4">
        <f t="shared" si="0"/>
        <v>0.85353535353535348</v>
      </c>
    </row>
    <row r="17" spans="1:7">
      <c r="A17" t="s">
        <v>458</v>
      </c>
      <c r="B17">
        <v>2</v>
      </c>
      <c r="C17" t="s">
        <v>469</v>
      </c>
      <c r="D17">
        <v>12</v>
      </c>
      <c r="E17">
        <v>1188</v>
      </c>
      <c r="F17">
        <v>1084</v>
      </c>
      <c r="G17" s="4">
        <f t="shared" si="0"/>
        <v>0.91245791245791241</v>
      </c>
    </row>
    <row r="18" spans="1:7">
      <c r="A18" t="s">
        <v>458</v>
      </c>
      <c r="B18">
        <v>2</v>
      </c>
      <c r="C18" t="s">
        <v>470</v>
      </c>
      <c r="D18">
        <v>13</v>
      </c>
      <c r="E18">
        <v>1188</v>
      </c>
      <c r="F18">
        <v>1086</v>
      </c>
      <c r="G18" s="4">
        <f t="shared" si="0"/>
        <v>0.91414141414141414</v>
      </c>
    </row>
    <row r="19" spans="1:7">
      <c r="A19" t="s">
        <v>458</v>
      </c>
      <c r="B19">
        <v>2</v>
      </c>
      <c r="C19" t="s">
        <v>471</v>
      </c>
      <c r="D19">
        <v>14</v>
      </c>
      <c r="E19">
        <v>1188</v>
      </c>
      <c r="F19">
        <v>1094</v>
      </c>
      <c r="G19" s="4">
        <f t="shared" si="0"/>
        <v>0.92087542087542085</v>
      </c>
    </row>
    <row r="20" spans="1:7">
      <c r="A20" t="s">
        <v>458</v>
      </c>
      <c r="B20">
        <v>2</v>
      </c>
      <c r="C20" t="s">
        <v>472</v>
      </c>
      <c r="D20">
        <v>15</v>
      </c>
      <c r="E20">
        <v>1188</v>
      </c>
      <c r="F20">
        <v>1171</v>
      </c>
      <c r="G20" s="4">
        <f t="shared" si="0"/>
        <v>0.98569023569023573</v>
      </c>
    </row>
    <row r="21" spans="1:7">
      <c r="A21" t="s">
        <v>458</v>
      </c>
      <c r="B21">
        <v>6</v>
      </c>
      <c r="C21" t="s">
        <v>473</v>
      </c>
      <c r="D21">
        <v>1</v>
      </c>
      <c r="E21">
        <v>666</v>
      </c>
      <c r="F21">
        <v>104</v>
      </c>
      <c r="G21" s="4">
        <f t="shared" si="0"/>
        <v>0.15615615615615616</v>
      </c>
    </row>
    <row r="22" spans="1:7">
      <c r="A22" t="s">
        <v>458</v>
      </c>
      <c r="B22">
        <v>6</v>
      </c>
      <c r="C22" t="s">
        <v>448</v>
      </c>
      <c r="D22">
        <v>2</v>
      </c>
      <c r="E22">
        <v>666</v>
      </c>
      <c r="F22">
        <v>198</v>
      </c>
      <c r="G22" s="4">
        <f t="shared" si="0"/>
        <v>0.29729729729729731</v>
      </c>
    </row>
    <row r="23" spans="1:7">
      <c r="A23" t="s">
        <v>458</v>
      </c>
      <c r="B23">
        <v>6</v>
      </c>
      <c r="C23" t="s">
        <v>474</v>
      </c>
      <c r="D23">
        <v>3</v>
      </c>
      <c r="E23">
        <v>666</v>
      </c>
      <c r="F23">
        <v>468</v>
      </c>
      <c r="G23" s="4">
        <f t="shared" si="0"/>
        <v>0.70270270270270274</v>
      </c>
    </row>
    <row r="24" spans="1:7">
      <c r="A24" t="s">
        <v>458</v>
      </c>
      <c r="B24">
        <v>6</v>
      </c>
      <c r="C24" t="s">
        <v>485</v>
      </c>
      <c r="D24">
        <v>4</v>
      </c>
      <c r="E24">
        <v>666</v>
      </c>
      <c r="F24">
        <v>1990</v>
      </c>
      <c r="G24" s="4">
        <f t="shared" si="0"/>
        <v>2.9879879879879878</v>
      </c>
    </row>
    <row r="25" spans="1:7">
      <c r="A25" t="s">
        <v>458</v>
      </c>
      <c r="B25">
        <v>6</v>
      </c>
      <c r="C25" t="s">
        <v>475</v>
      </c>
      <c r="D25">
        <v>5</v>
      </c>
      <c r="E25">
        <v>666</v>
      </c>
      <c r="F25">
        <v>2637</v>
      </c>
      <c r="G25" s="4">
        <f t="shared" si="0"/>
        <v>3.9594594594594597</v>
      </c>
    </row>
    <row r="26" spans="1:7">
      <c r="A26" t="s">
        <v>458</v>
      </c>
      <c r="B26">
        <v>9</v>
      </c>
      <c r="C26" t="s">
        <v>477</v>
      </c>
      <c r="D26">
        <v>1</v>
      </c>
      <c r="E26">
        <v>2157</v>
      </c>
      <c r="F26">
        <v>163</v>
      </c>
      <c r="G26" s="4">
        <f t="shared" si="0"/>
        <v>7.5567918405192391E-2</v>
      </c>
    </row>
    <row r="27" spans="1:7">
      <c r="A27" t="s">
        <v>458</v>
      </c>
      <c r="B27">
        <v>9</v>
      </c>
      <c r="C27" t="s">
        <v>478</v>
      </c>
      <c r="D27">
        <v>2</v>
      </c>
      <c r="E27">
        <v>2157</v>
      </c>
      <c r="F27">
        <v>164</v>
      </c>
      <c r="G27" s="4">
        <f t="shared" si="0"/>
        <v>7.6031525266573946E-2</v>
      </c>
    </row>
    <row r="28" spans="1:7">
      <c r="A28" t="s">
        <v>458</v>
      </c>
      <c r="B28">
        <v>9</v>
      </c>
      <c r="C28" t="s">
        <v>476</v>
      </c>
      <c r="D28">
        <v>3</v>
      </c>
      <c r="E28">
        <v>2157</v>
      </c>
      <c r="F28">
        <v>168</v>
      </c>
      <c r="G28" s="4">
        <f t="shared" si="0"/>
        <v>7.7885952712100137E-2</v>
      </c>
    </row>
    <row r="29" spans="1:7">
      <c r="A29" t="s">
        <v>458</v>
      </c>
      <c r="B29">
        <v>9</v>
      </c>
      <c r="C29" t="s">
        <v>479</v>
      </c>
      <c r="D29">
        <v>4</v>
      </c>
      <c r="E29">
        <v>2157</v>
      </c>
      <c r="F29">
        <v>351</v>
      </c>
      <c r="G29" s="4">
        <f t="shared" si="0"/>
        <v>0.16272600834492351</v>
      </c>
    </row>
    <row r="30" spans="1:7">
      <c r="A30" t="s">
        <v>458</v>
      </c>
      <c r="B30">
        <v>9</v>
      </c>
      <c r="C30" t="s">
        <v>449</v>
      </c>
      <c r="D30">
        <v>5</v>
      </c>
      <c r="E30">
        <v>2157</v>
      </c>
      <c r="F30">
        <v>354</v>
      </c>
      <c r="G30" s="4">
        <f t="shared" si="0"/>
        <v>0.16411682892906815</v>
      </c>
    </row>
    <row r="31" spans="1:7">
      <c r="A31" t="s">
        <v>458</v>
      </c>
      <c r="B31">
        <v>9</v>
      </c>
      <c r="C31" t="s">
        <v>480</v>
      </c>
      <c r="D31">
        <v>6</v>
      </c>
      <c r="E31">
        <v>2157</v>
      </c>
      <c r="F31">
        <v>731</v>
      </c>
      <c r="G31" s="4">
        <f t="shared" si="0"/>
        <v>0.33889661566991192</v>
      </c>
    </row>
    <row r="32" spans="1:7">
      <c r="A32" t="s">
        <v>458</v>
      </c>
      <c r="B32">
        <v>9</v>
      </c>
      <c r="C32" t="s">
        <v>481</v>
      </c>
      <c r="D32">
        <v>7</v>
      </c>
      <c r="E32">
        <v>2157</v>
      </c>
      <c r="F32">
        <v>736</v>
      </c>
      <c r="G32" s="4">
        <f t="shared" si="0"/>
        <v>0.34121464997681966</v>
      </c>
    </row>
    <row r="33" spans="1:7">
      <c r="A33" t="s">
        <v>458</v>
      </c>
      <c r="B33">
        <v>9</v>
      </c>
      <c r="C33" t="s">
        <v>482</v>
      </c>
      <c r="D33">
        <v>8</v>
      </c>
      <c r="E33">
        <v>2157</v>
      </c>
      <c r="F33">
        <v>752</v>
      </c>
      <c r="G33" s="4">
        <f t="shared" si="0"/>
        <v>0.34863235975892443</v>
      </c>
    </row>
    <row r="34" spans="1:7">
      <c r="A34" t="s">
        <v>458</v>
      </c>
      <c r="B34">
        <v>9</v>
      </c>
      <c r="C34" t="s">
        <v>483</v>
      </c>
      <c r="D34">
        <v>9</v>
      </c>
      <c r="E34">
        <v>2157</v>
      </c>
      <c r="F34">
        <v>883</v>
      </c>
      <c r="G34" s="4">
        <f t="shared" si="0"/>
        <v>0.40936485859990729</v>
      </c>
    </row>
    <row r="35" spans="1:7">
      <c r="A35" t="s">
        <v>458</v>
      </c>
      <c r="B35">
        <v>9</v>
      </c>
      <c r="C35" t="s">
        <v>484</v>
      </c>
      <c r="D35">
        <v>10</v>
      </c>
      <c r="E35">
        <v>2157</v>
      </c>
      <c r="F35">
        <v>886</v>
      </c>
      <c r="G35" s="4">
        <f t="shared" si="0"/>
        <v>0.41075567918405193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selection activeCell="C1" sqref="C1"/>
    </sheetView>
  </sheetViews>
  <sheetFormatPr baseColWidth="10" defaultRowHeight="15" x14ac:dyDescent="0"/>
  <sheetData>
    <row r="1" spans="1:7">
      <c r="A1" t="s">
        <v>270</v>
      </c>
      <c r="B1" t="s">
        <v>272</v>
      </c>
      <c r="C1" t="s">
        <v>446</v>
      </c>
      <c r="D1" s="2" t="s">
        <v>450</v>
      </c>
      <c r="E1" s="2" t="s">
        <v>452</v>
      </c>
      <c r="F1" s="2" t="s">
        <v>451</v>
      </c>
      <c r="G1" s="2" t="s">
        <v>453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sqref="A1:B5"/>
    </sheetView>
  </sheetViews>
  <sheetFormatPr baseColWidth="10" defaultRowHeight="15" x14ac:dyDescent="0"/>
  <cols>
    <col min="1" max="1" width="12.33203125" bestFit="1" customWidth="1"/>
  </cols>
  <sheetData>
    <row r="1" spans="1:2">
      <c r="A1" s="2" t="s">
        <v>432</v>
      </c>
      <c r="B1" s="2">
        <v>1</v>
      </c>
    </row>
    <row r="2" spans="1:2">
      <c r="A2" s="2" t="s">
        <v>432</v>
      </c>
      <c r="B2" s="2">
        <v>2</v>
      </c>
    </row>
    <row r="3" spans="1:2">
      <c r="A3" s="2" t="s">
        <v>432</v>
      </c>
      <c r="B3" s="2">
        <v>6</v>
      </c>
    </row>
    <row r="4" spans="1:2">
      <c r="A4" s="2" t="s">
        <v>432</v>
      </c>
      <c r="B4" s="2">
        <v>7</v>
      </c>
    </row>
    <row r="5" spans="1:2">
      <c r="A5" s="2" t="s">
        <v>432</v>
      </c>
      <c r="B5" s="2">
        <v>9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time</vt:lpstr>
      <vt:lpstr>Sheet2</vt:lpstr>
      <vt:lpstr>cleanedData</vt:lpstr>
      <vt:lpstr>TestPathData</vt:lpstr>
      <vt:lpstr>Time Data</vt:lpstr>
      <vt:lpstr>SatUnsatData</vt:lpstr>
      <vt:lpstr>Sheet5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2017-02-14T23:23:57Z</dcterms:created>
  <dcterms:modified xsi:type="dcterms:W3CDTF">2017-04-29T04:30:31Z</dcterms:modified>
</cp:coreProperties>
</file>